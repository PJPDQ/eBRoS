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alid\OneDrive - Queensland University of Technology\Sentosa_DSG\Research\Thesis\Codes\8_Deterministic_Scheduling\eRoSB_Final\CPLEX-MIP\MIP-Data\"/>
    </mc:Choice>
  </mc:AlternateContent>
  <xr:revisionPtr revIDLastSave="0" documentId="13_ncr:1_{10FC027E-443A-483B-B975-0BBCC676FC8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20Trips" sheetId="1" r:id="rId1"/>
    <sheet name="feasible_mat" sheetId="3" r:id="rId2"/>
    <sheet name="duration_mat" sheetId="2" r:id="rId3"/>
    <sheet name="Recharged_Feasible_matv3" sheetId="14" r:id="rId4"/>
    <sheet name="idle_mat" sheetId="8" r:id="rId5"/>
    <sheet name="Recharged_Feasible_matv2" sheetId="13" r:id="rId6"/>
    <sheet name="40Trips" sheetId="15" r:id="rId7"/>
    <sheet name="gamma" sheetId="16" r:id="rId8"/>
    <sheet name="delta" sheetId="17" r:id="rId9"/>
    <sheet name="phi" sheetId="18" r:id="rId10"/>
    <sheet name="zeta" sheetId="19" r:id="rId11"/>
  </sheets>
  <calcPr calcId="181029"/>
</workbook>
</file>

<file path=xl/calcChain.xml><?xml version="1.0" encoding="utf-8"?>
<calcChain xmlns="http://schemas.openxmlformats.org/spreadsheetml/2006/main">
  <c r="E24" i="14" l="1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24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45" i="14"/>
  <c r="Y34" i="14"/>
  <c r="Y33" i="14"/>
  <c r="Y32" i="14"/>
  <c r="D3" i="19" l="1"/>
  <c r="E3" i="19"/>
  <c r="F3" i="19"/>
  <c r="G3" i="19"/>
  <c r="H3" i="19"/>
  <c r="I3" i="19"/>
  <c r="J3" i="19"/>
  <c r="K3" i="19"/>
  <c r="L3" i="19"/>
  <c r="M3" i="19"/>
  <c r="N3" i="19"/>
  <c r="O3" i="19"/>
  <c r="P3" i="19"/>
  <c r="Q3" i="19"/>
  <c r="R3" i="19"/>
  <c r="S3" i="19"/>
  <c r="T3" i="19"/>
  <c r="U3" i="19"/>
  <c r="V3" i="19"/>
  <c r="W3" i="19"/>
  <c r="X3" i="19"/>
  <c r="Y3" i="19"/>
  <c r="Z3" i="19"/>
  <c r="AA3" i="19"/>
  <c r="AB3" i="19"/>
  <c r="AC3" i="19"/>
  <c r="AD3" i="19"/>
  <c r="AE3" i="19"/>
  <c r="AF3" i="19"/>
  <c r="AG3" i="19"/>
  <c r="AH3" i="19"/>
  <c r="AI3" i="19"/>
  <c r="AJ3" i="19"/>
  <c r="AK3" i="19"/>
  <c r="AL3" i="19"/>
  <c r="AM3" i="19"/>
  <c r="AN3" i="19"/>
  <c r="AO3" i="19"/>
  <c r="AP3" i="19"/>
  <c r="D4" i="19"/>
  <c r="E4" i="19"/>
  <c r="F4" i="19"/>
  <c r="G4" i="19"/>
  <c r="H4" i="19"/>
  <c r="I4" i="19"/>
  <c r="J4" i="19"/>
  <c r="K4" i="19"/>
  <c r="L4" i="19"/>
  <c r="M4" i="19"/>
  <c r="N4" i="19"/>
  <c r="O4" i="19"/>
  <c r="P4" i="19"/>
  <c r="Q4" i="19"/>
  <c r="R4" i="19"/>
  <c r="S4" i="19"/>
  <c r="T4" i="19"/>
  <c r="U4" i="19"/>
  <c r="V4" i="19"/>
  <c r="W4" i="19"/>
  <c r="X4" i="19"/>
  <c r="Y4" i="19"/>
  <c r="Z4" i="19"/>
  <c r="AA4" i="19"/>
  <c r="AB4" i="19"/>
  <c r="AC4" i="19"/>
  <c r="AD4" i="19"/>
  <c r="AE4" i="19"/>
  <c r="AF4" i="19"/>
  <c r="AG4" i="19"/>
  <c r="AH4" i="19"/>
  <c r="AI4" i="19"/>
  <c r="AJ4" i="19"/>
  <c r="AK4" i="19"/>
  <c r="AL4" i="19"/>
  <c r="AM4" i="19"/>
  <c r="AN4" i="19"/>
  <c r="AO4" i="19"/>
  <c r="AP4" i="19"/>
  <c r="D5" i="19"/>
  <c r="E5" i="19"/>
  <c r="F5" i="19"/>
  <c r="G5" i="19"/>
  <c r="H5" i="19"/>
  <c r="I5" i="19"/>
  <c r="J5" i="19"/>
  <c r="K5" i="19"/>
  <c r="L5" i="19"/>
  <c r="M5" i="19"/>
  <c r="N5" i="19"/>
  <c r="O5" i="19"/>
  <c r="P5" i="19"/>
  <c r="Q5" i="19"/>
  <c r="R5" i="19"/>
  <c r="S5" i="19"/>
  <c r="T5" i="19"/>
  <c r="U5" i="19"/>
  <c r="V5" i="19"/>
  <c r="W5" i="19"/>
  <c r="X5" i="19"/>
  <c r="Y5" i="19"/>
  <c r="Z5" i="19"/>
  <c r="AA5" i="19"/>
  <c r="AB5" i="19"/>
  <c r="AC5" i="19"/>
  <c r="AD5" i="19"/>
  <c r="AE5" i="19"/>
  <c r="AF5" i="19"/>
  <c r="AG5" i="19"/>
  <c r="AH5" i="19"/>
  <c r="AI5" i="19"/>
  <c r="AJ5" i="19"/>
  <c r="AK5" i="19"/>
  <c r="AL5" i="19"/>
  <c r="AM5" i="19"/>
  <c r="AN5" i="19"/>
  <c r="AO5" i="19"/>
  <c r="AP5" i="19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AA6" i="19"/>
  <c r="AB6" i="19"/>
  <c r="AC6" i="19"/>
  <c r="AD6" i="19"/>
  <c r="AE6" i="19"/>
  <c r="AF6" i="19"/>
  <c r="AG6" i="19"/>
  <c r="AH6" i="19"/>
  <c r="AI6" i="19"/>
  <c r="AJ6" i="19"/>
  <c r="AK6" i="19"/>
  <c r="AL6" i="19"/>
  <c r="AM6" i="19"/>
  <c r="AN6" i="19"/>
  <c r="AO6" i="19"/>
  <c r="AP6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AA7" i="19"/>
  <c r="AB7" i="19"/>
  <c r="AC7" i="19"/>
  <c r="AD7" i="19"/>
  <c r="AE7" i="19"/>
  <c r="AF7" i="19"/>
  <c r="AG7" i="19"/>
  <c r="AH7" i="19"/>
  <c r="AI7" i="19"/>
  <c r="AJ7" i="19"/>
  <c r="AK7" i="19"/>
  <c r="AL7" i="19"/>
  <c r="AM7" i="19"/>
  <c r="AN7" i="19"/>
  <c r="AO7" i="19"/>
  <c r="AP7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AA8" i="19"/>
  <c r="AB8" i="19"/>
  <c r="AC8" i="19"/>
  <c r="AD8" i="19"/>
  <c r="AE8" i="19"/>
  <c r="AF8" i="19"/>
  <c r="AG8" i="19"/>
  <c r="AH8" i="19"/>
  <c r="AI8" i="19"/>
  <c r="AJ8" i="19"/>
  <c r="AK8" i="19"/>
  <c r="AL8" i="19"/>
  <c r="AM8" i="19"/>
  <c r="AN8" i="19"/>
  <c r="AO8" i="19"/>
  <c r="AP8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AA11" i="19"/>
  <c r="AB11" i="19"/>
  <c r="AC11" i="19"/>
  <c r="AD11" i="19"/>
  <c r="AE11" i="19"/>
  <c r="AF11" i="19"/>
  <c r="AG11" i="19"/>
  <c r="AH11" i="19"/>
  <c r="AI11" i="19"/>
  <c r="AJ11" i="19"/>
  <c r="AK11" i="19"/>
  <c r="AL11" i="19"/>
  <c r="AM11" i="19"/>
  <c r="AN11" i="19"/>
  <c r="AO11" i="19"/>
  <c r="AP11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Z12" i="19"/>
  <c r="AA12" i="19"/>
  <c r="AB12" i="19"/>
  <c r="AC12" i="19"/>
  <c r="AD12" i="19"/>
  <c r="AE12" i="19"/>
  <c r="AF12" i="19"/>
  <c r="AG12" i="19"/>
  <c r="AH12" i="19"/>
  <c r="AI12" i="19"/>
  <c r="AJ12" i="19"/>
  <c r="AK12" i="19"/>
  <c r="AL12" i="19"/>
  <c r="AM12" i="19"/>
  <c r="AN12" i="19"/>
  <c r="AO12" i="19"/>
  <c r="AP12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AA13" i="19"/>
  <c r="AB13" i="19"/>
  <c r="AC13" i="19"/>
  <c r="AD13" i="19"/>
  <c r="AE13" i="19"/>
  <c r="AF13" i="19"/>
  <c r="AG13" i="19"/>
  <c r="AH13" i="19"/>
  <c r="AI13" i="19"/>
  <c r="AJ13" i="19"/>
  <c r="AK13" i="19"/>
  <c r="AL13" i="19"/>
  <c r="AM13" i="19"/>
  <c r="AN13" i="19"/>
  <c r="AO13" i="19"/>
  <c r="AP13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AA14" i="19"/>
  <c r="AB14" i="19"/>
  <c r="AC14" i="19"/>
  <c r="AD14" i="19"/>
  <c r="AE14" i="19"/>
  <c r="AF14" i="19"/>
  <c r="AG14" i="19"/>
  <c r="AH14" i="19"/>
  <c r="AI14" i="19"/>
  <c r="AJ14" i="19"/>
  <c r="AK14" i="19"/>
  <c r="AL14" i="19"/>
  <c r="AM14" i="19"/>
  <c r="AN14" i="19"/>
  <c r="AO14" i="19"/>
  <c r="AP14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AA15" i="19"/>
  <c r="AB15" i="19"/>
  <c r="AC15" i="19"/>
  <c r="AD15" i="19"/>
  <c r="AE15" i="19"/>
  <c r="AF15" i="19"/>
  <c r="AG15" i="19"/>
  <c r="AH15" i="19"/>
  <c r="AI15" i="19"/>
  <c r="AJ15" i="19"/>
  <c r="AK15" i="19"/>
  <c r="AL15" i="19"/>
  <c r="AM15" i="19"/>
  <c r="AN15" i="19"/>
  <c r="AO15" i="19"/>
  <c r="AP15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D16" i="19"/>
  <c r="AE16" i="19"/>
  <c r="AF16" i="19"/>
  <c r="AG16" i="19"/>
  <c r="AH16" i="19"/>
  <c r="AI16" i="19"/>
  <c r="AJ16" i="19"/>
  <c r="AK16" i="19"/>
  <c r="AL16" i="19"/>
  <c r="AM16" i="19"/>
  <c r="AN16" i="19"/>
  <c r="AO16" i="19"/>
  <c r="AP16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AC17" i="19"/>
  <c r="AD17" i="19"/>
  <c r="AE17" i="19"/>
  <c r="AF17" i="19"/>
  <c r="AG17" i="19"/>
  <c r="AH17" i="19"/>
  <c r="AI17" i="19"/>
  <c r="AJ17" i="19"/>
  <c r="AK17" i="19"/>
  <c r="AL17" i="19"/>
  <c r="AM17" i="19"/>
  <c r="AN17" i="19"/>
  <c r="AO17" i="19"/>
  <c r="AP17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AA19" i="19"/>
  <c r="AB19" i="19"/>
  <c r="AC19" i="19"/>
  <c r="AD19" i="19"/>
  <c r="AE19" i="19"/>
  <c r="AF19" i="19"/>
  <c r="AG19" i="19"/>
  <c r="AH19" i="19"/>
  <c r="AI19" i="19"/>
  <c r="AJ19" i="19"/>
  <c r="AK19" i="19"/>
  <c r="AL19" i="19"/>
  <c r="AM19" i="19"/>
  <c r="AN19" i="19"/>
  <c r="AO19" i="19"/>
  <c r="AP19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AA20" i="19"/>
  <c r="AB20" i="19"/>
  <c r="AC20" i="19"/>
  <c r="AD20" i="19"/>
  <c r="AE20" i="19"/>
  <c r="AF20" i="19"/>
  <c r="AG20" i="19"/>
  <c r="AH20" i="19"/>
  <c r="AI20" i="19"/>
  <c r="AJ20" i="19"/>
  <c r="AK20" i="19"/>
  <c r="AL20" i="19"/>
  <c r="AM20" i="19"/>
  <c r="AN20" i="19"/>
  <c r="AO20" i="19"/>
  <c r="AP20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AA21" i="19"/>
  <c r="AB21" i="19"/>
  <c r="AC21" i="19"/>
  <c r="AD21" i="19"/>
  <c r="AE21" i="19"/>
  <c r="AF21" i="19"/>
  <c r="AG21" i="19"/>
  <c r="AH21" i="19"/>
  <c r="AI21" i="19"/>
  <c r="AJ21" i="19"/>
  <c r="AK21" i="19"/>
  <c r="AL21" i="19"/>
  <c r="AM21" i="19"/>
  <c r="AN21" i="19"/>
  <c r="AO21" i="19"/>
  <c r="AP21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AE22" i="19"/>
  <c r="AF22" i="19"/>
  <c r="AG22" i="19"/>
  <c r="AH22" i="19"/>
  <c r="AI22" i="19"/>
  <c r="AJ22" i="19"/>
  <c r="AK22" i="19"/>
  <c r="AL22" i="19"/>
  <c r="AM22" i="19"/>
  <c r="AN22" i="19"/>
  <c r="AO22" i="19"/>
  <c r="AP22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AK23" i="19"/>
  <c r="AL23" i="19"/>
  <c r="AM23" i="19"/>
  <c r="AN23" i="19"/>
  <c r="AO23" i="19"/>
  <c r="AP23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AJ24" i="19"/>
  <c r="AK24" i="19"/>
  <c r="AL24" i="19"/>
  <c r="AM24" i="19"/>
  <c r="AN24" i="19"/>
  <c r="AO24" i="19"/>
  <c r="AP24" i="19"/>
  <c r="D25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AA25" i="19"/>
  <c r="AB25" i="19"/>
  <c r="AC25" i="19"/>
  <c r="AD25" i="19"/>
  <c r="AE25" i="19"/>
  <c r="AF25" i="19"/>
  <c r="AG25" i="19"/>
  <c r="AH25" i="19"/>
  <c r="AI25" i="19"/>
  <c r="AJ25" i="19"/>
  <c r="AK25" i="19"/>
  <c r="AL25" i="19"/>
  <c r="AM25" i="19"/>
  <c r="AN25" i="19"/>
  <c r="AO25" i="19"/>
  <c r="AP25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AA26" i="19"/>
  <c r="AB26" i="19"/>
  <c r="AC26" i="19"/>
  <c r="AD26" i="19"/>
  <c r="AE26" i="19"/>
  <c r="AF26" i="19"/>
  <c r="AG26" i="19"/>
  <c r="AH26" i="19"/>
  <c r="AI26" i="19"/>
  <c r="AJ26" i="19"/>
  <c r="AK26" i="19"/>
  <c r="AL26" i="19"/>
  <c r="AM26" i="19"/>
  <c r="AN26" i="19"/>
  <c r="AO26" i="19"/>
  <c r="AP26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AA27" i="19"/>
  <c r="AB27" i="19"/>
  <c r="AC27" i="19"/>
  <c r="AD27" i="19"/>
  <c r="AE27" i="19"/>
  <c r="AF27" i="19"/>
  <c r="AG27" i="19"/>
  <c r="AH27" i="19"/>
  <c r="AI27" i="19"/>
  <c r="AJ27" i="19"/>
  <c r="AK27" i="19"/>
  <c r="AL27" i="19"/>
  <c r="AM27" i="19"/>
  <c r="AN27" i="19"/>
  <c r="AO27" i="19"/>
  <c r="AP27" i="19"/>
  <c r="D28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Z28" i="19"/>
  <c r="AA28" i="19"/>
  <c r="AB28" i="19"/>
  <c r="AC28" i="19"/>
  <c r="AD28" i="19"/>
  <c r="AE28" i="19"/>
  <c r="AF28" i="19"/>
  <c r="AG28" i="19"/>
  <c r="AH28" i="19"/>
  <c r="AI28" i="19"/>
  <c r="AJ28" i="19"/>
  <c r="AK28" i="19"/>
  <c r="AL28" i="19"/>
  <c r="AM28" i="19"/>
  <c r="AN28" i="19"/>
  <c r="AO28" i="19"/>
  <c r="AP28" i="19"/>
  <c r="D29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Z29" i="19"/>
  <c r="AA29" i="19"/>
  <c r="AB29" i="19"/>
  <c r="AC29" i="19"/>
  <c r="AD29" i="19"/>
  <c r="AE29" i="19"/>
  <c r="AF29" i="19"/>
  <c r="AG29" i="19"/>
  <c r="AH29" i="19"/>
  <c r="AI29" i="19"/>
  <c r="AJ29" i="19"/>
  <c r="AK29" i="19"/>
  <c r="AL29" i="19"/>
  <c r="AM29" i="19"/>
  <c r="AN29" i="19"/>
  <c r="AO29" i="19"/>
  <c r="AP29" i="19"/>
  <c r="D30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Q30" i="19"/>
  <c r="R30" i="19"/>
  <c r="S30" i="19"/>
  <c r="T30" i="19"/>
  <c r="U30" i="19"/>
  <c r="V30" i="19"/>
  <c r="W30" i="19"/>
  <c r="X30" i="19"/>
  <c r="Y30" i="19"/>
  <c r="Z30" i="19"/>
  <c r="AA30" i="19"/>
  <c r="AB30" i="19"/>
  <c r="AC30" i="19"/>
  <c r="AD30" i="19"/>
  <c r="AE30" i="19"/>
  <c r="AF30" i="19"/>
  <c r="AG30" i="19"/>
  <c r="AH30" i="19"/>
  <c r="AI30" i="19"/>
  <c r="AJ30" i="19"/>
  <c r="AK30" i="19"/>
  <c r="AL30" i="19"/>
  <c r="AM30" i="19"/>
  <c r="AN30" i="19"/>
  <c r="AO30" i="19"/>
  <c r="AP30" i="19"/>
  <c r="D31" i="19"/>
  <c r="E31" i="19"/>
  <c r="F31" i="19"/>
  <c r="G31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V31" i="19"/>
  <c r="W31" i="19"/>
  <c r="X31" i="19"/>
  <c r="Y31" i="19"/>
  <c r="Z31" i="19"/>
  <c r="AA31" i="19"/>
  <c r="AB31" i="19"/>
  <c r="AC31" i="19"/>
  <c r="AD31" i="19"/>
  <c r="AE31" i="19"/>
  <c r="AF31" i="19"/>
  <c r="AG31" i="19"/>
  <c r="AH31" i="19"/>
  <c r="AI31" i="19"/>
  <c r="AJ31" i="19"/>
  <c r="AK31" i="19"/>
  <c r="AL31" i="19"/>
  <c r="AM31" i="19"/>
  <c r="AN31" i="19"/>
  <c r="AO31" i="19"/>
  <c r="AP31" i="19"/>
  <c r="D32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V32" i="19"/>
  <c r="W32" i="19"/>
  <c r="X32" i="19"/>
  <c r="Y32" i="19"/>
  <c r="Z32" i="19"/>
  <c r="AA32" i="19"/>
  <c r="AB32" i="19"/>
  <c r="AC32" i="19"/>
  <c r="AD32" i="19"/>
  <c r="AE32" i="19"/>
  <c r="AF32" i="19"/>
  <c r="AG32" i="19"/>
  <c r="AH32" i="19"/>
  <c r="AI32" i="19"/>
  <c r="AJ32" i="19"/>
  <c r="AK32" i="19"/>
  <c r="AL32" i="19"/>
  <c r="AM32" i="19"/>
  <c r="AN32" i="19"/>
  <c r="AO32" i="19"/>
  <c r="AP32" i="19"/>
  <c r="D33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W33" i="19"/>
  <c r="X33" i="19"/>
  <c r="Y33" i="19"/>
  <c r="Z33" i="19"/>
  <c r="AA33" i="19"/>
  <c r="AB33" i="19"/>
  <c r="AC33" i="19"/>
  <c r="AD33" i="19"/>
  <c r="AE33" i="19"/>
  <c r="AF33" i="19"/>
  <c r="AG33" i="19"/>
  <c r="AH33" i="19"/>
  <c r="AI33" i="19"/>
  <c r="AJ33" i="19"/>
  <c r="AK33" i="19"/>
  <c r="AL33" i="19"/>
  <c r="AM33" i="19"/>
  <c r="AN33" i="19"/>
  <c r="AO33" i="19"/>
  <c r="AP33" i="19"/>
  <c r="D34" i="19"/>
  <c r="E34" i="19"/>
  <c r="F34" i="19"/>
  <c r="G34" i="19"/>
  <c r="H34" i="19"/>
  <c r="I34" i="19"/>
  <c r="J34" i="19"/>
  <c r="K34" i="19"/>
  <c r="L34" i="19"/>
  <c r="M34" i="19"/>
  <c r="N34" i="19"/>
  <c r="O34" i="19"/>
  <c r="P34" i="19"/>
  <c r="Q34" i="19"/>
  <c r="R34" i="19"/>
  <c r="S34" i="19"/>
  <c r="T34" i="19"/>
  <c r="U34" i="19"/>
  <c r="V34" i="19"/>
  <c r="W34" i="19"/>
  <c r="X34" i="19"/>
  <c r="Y34" i="19"/>
  <c r="Z34" i="19"/>
  <c r="AA34" i="19"/>
  <c r="AB34" i="19"/>
  <c r="AC34" i="19"/>
  <c r="AD34" i="19"/>
  <c r="AE34" i="19"/>
  <c r="AF34" i="19"/>
  <c r="AG34" i="19"/>
  <c r="AH34" i="19"/>
  <c r="AI34" i="19"/>
  <c r="AJ34" i="19"/>
  <c r="AK34" i="19"/>
  <c r="AL34" i="19"/>
  <c r="AM34" i="19"/>
  <c r="AN34" i="19"/>
  <c r="AO34" i="19"/>
  <c r="AP34" i="19"/>
  <c r="D35" i="19"/>
  <c r="E35" i="19"/>
  <c r="F35" i="19"/>
  <c r="G35" i="19"/>
  <c r="H35" i="19"/>
  <c r="I35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V35" i="19"/>
  <c r="W35" i="19"/>
  <c r="X35" i="19"/>
  <c r="Y35" i="19"/>
  <c r="Z35" i="19"/>
  <c r="AA35" i="19"/>
  <c r="AB35" i="19"/>
  <c r="AC35" i="19"/>
  <c r="AD35" i="19"/>
  <c r="AE35" i="19"/>
  <c r="AF35" i="19"/>
  <c r="AG35" i="19"/>
  <c r="AH35" i="19"/>
  <c r="AI35" i="19"/>
  <c r="AJ35" i="19"/>
  <c r="AK35" i="19"/>
  <c r="AL35" i="19"/>
  <c r="AM35" i="19"/>
  <c r="AN35" i="19"/>
  <c r="AO35" i="19"/>
  <c r="AP35" i="19"/>
  <c r="D36" i="19"/>
  <c r="E36" i="19"/>
  <c r="F36" i="19"/>
  <c r="G36" i="19"/>
  <c r="H36" i="19"/>
  <c r="I36" i="19"/>
  <c r="J36" i="19"/>
  <c r="K36" i="19"/>
  <c r="L36" i="19"/>
  <c r="M36" i="19"/>
  <c r="N36" i="19"/>
  <c r="O36" i="19"/>
  <c r="P36" i="19"/>
  <c r="Q36" i="19"/>
  <c r="R36" i="19"/>
  <c r="S36" i="19"/>
  <c r="T36" i="19"/>
  <c r="U36" i="19"/>
  <c r="V36" i="19"/>
  <c r="W36" i="19"/>
  <c r="X36" i="19"/>
  <c r="Y36" i="19"/>
  <c r="Z36" i="19"/>
  <c r="AA36" i="19"/>
  <c r="AB36" i="19"/>
  <c r="AC36" i="19"/>
  <c r="AD36" i="19"/>
  <c r="AE36" i="19"/>
  <c r="AF36" i="19"/>
  <c r="AG36" i="19"/>
  <c r="AH36" i="19"/>
  <c r="AI36" i="19"/>
  <c r="AJ36" i="19"/>
  <c r="AK36" i="19"/>
  <c r="AL36" i="19"/>
  <c r="AM36" i="19"/>
  <c r="AN36" i="19"/>
  <c r="AO36" i="19"/>
  <c r="AP36" i="19"/>
  <c r="D37" i="19"/>
  <c r="E37" i="19"/>
  <c r="F37" i="19"/>
  <c r="G37" i="19"/>
  <c r="H37" i="19"/>
  <c r="I37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V37" i="19"/>
  <c r="W37" i="19"/>
  <c r="X37" i="19"/>
  <c r="Y37" i="19"/>
  <c r="Z37" i="19"/>
  <c r="AA37" i="19"/>
  <c r="AB37" i="19"/>
  <c r="AC37" i="19"/>
  <c r="AD37" i="19"/>
  <c r="AE37" i="19"/>
  <c r="AF37" i="19"/>
  <c r="AG37" i="19"/>
  <c r="AH37" i="19"/>
  <c r="AI37" i="19"/>
  <c r="AJ37" i="19"/>
  <c r="AK37" i="19"/>
  <c r="AL37" i="19"/>
  <c r="AM37" i="19"/>
  <c r="AN37" i="19"/>
  <c r="AO37" i="19"/>
  <c r="AP37" i="19"/>
  <c r="D38" i="19"/>
  <c r="E38" i="19"/>
  <c r="F38" i="19"/>
  <c r="G38" i="19"/>
  <c r="H38" i="19"/>
  <c r="I38" i="19"/>
  <c r="J38" i="19"/>
  <c r="K38" i="19"/>
  <c r="L38" i="19"/>
  <c r="M38" i="19"/>
  <c r="N38" i="19"/>
  <c r="O38" i="19"/>
  <c r="P38" i="19"/>
  <c r="Q38" i="19"/>
  <c r="R38" i="19"/>
  <c r="S38" i="19"/>
  <c r="T38" i="19"/>
  <c r="U38" i="19"/>
  <c r="V38" i="19"/>
  <c r="W38" i="19"/>
  <c r="X38" i="19"/>
  <c r="Y38" i="19"/>
  <c r="Z38" i="19"/>
  <c r="AA38" i="19"/>
  <c r="AB38" i="19"/>
  <c r="AC38" i="19"/>
  <c r="AD38" i="19"/>
  <c r="AE38" i="19"/>
  <c r="AF38" i="19"/>
  <c r="AG38" i="19"/>
  <c r="AH38" i="19"/>
  <c r="AI38" i="19"/>
  <c r="AJ38" i="19"/>
  <c r="AK38" i="19"/>
  <c r="AL38" i="19"/>
  <c r="AM38" i="19"/>
  <c r="AN38" i="19"/>
  <c r="AO38" i="19"/>
  <c r="AP38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AA39" i="19"/>
  <c r="AB39" i="19"/>
  <c r="AC39" i="19"/>
  <c r="AD39" i="19"/>
  <c r="AE39" i="19"/>
  <c r="AF39" i="19"/>
  <c r="AG39" i="19"/>
  <c r="AH39" i="19"/>
  <c r="AI39" i="19"/>
  <c r="AJ39" i="19"/>
  <c r="AK39" i="19"/>
  <c r="AL39" i="19"/>
  <c r="AM39" i="19"/>
  <c r="AN39" i="19"/>
  <c r="AO39" i="19"/>
  <c r="AP39" i="19"/>
  <c r="D40" i="19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S40" i="19"/>
  <c r="T40" i="19"/>
  <c r="U40" i="19"/>
  <c r="V40" i="19"/>
  <c r="W40" i="19"/>
  <c r="X40" i="19"/>
  <c r="Y40" i="19"/>
  <c r="Z40" i="19"/>
  <c r="AA40" i="19"/>
  <c r="AB40" i="19"/>
  <c r="AC40" i="19"/>
  <c r="AD40" i="19"/>
  <c r="AE40" i="19"/>
  <c r="AF40" i="19"/>
  <c r="AG40" i="19"/>
  <c r="AH40" i="19"/>
  <c r="AI40" i="19"/>
  <c r="AJ40" i="19"/>
  <c r="AK40" i="19"/>
  <c r="AL40" i="19"/>
  <c r="AM40" i="19"/>
  <c r="AN40" i="19"/>
  <c r="AO40" i="19"/>
  <c r="AP40" i="19"/>
  <c r="D4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V41" i="19"/>
  <c r="W41" i="19"/>
  <c r="X41" i="19"/>
  <c r="Y41" i="19"/>
  <c r="Z41" i="19"/>
  <c r="AA41" i="19"/>
  <c r="AB41" i="19"/>
  <c r="AC41" i="19"/>
  <c r="AD41" i="19"/>
  <c r="AE41" i="19"/>
  <c r="AF41" i="19"/>
  <c r="AG41" i="19"/>
  <c r="AH41" i="19"/>
  <c r="AI41" i="19"/>
  <c r="AJ41" i="19"/>
  <c r="AK41" i="19"/>
  <c r="AL41" i="19"/>
  <c r="AM41" i="19"/>
  <c r="AN41" i="19"/>
  <c r="AO41" i="19"/>
  <c r="AP41" i="19"/>
  <c r="D42" i="19"/>
  <c r="E42" i="19"/>
  <c r="F42" i="19"/>
  <c r="G42" i="19"/>
  <c r="H42" i="19"/>
  <c r="I42" i="19"/>
  <c r="J42" i="19"/>
  <c r="K42" i="19"/>
  <c r="L42" i="19"/>
  <c r="M42" i="19"/>
  <c r="N42" i="19"/>
  <c r="O42" i="19"/>
  <c r="P42" i="19"/>
  <c r="Q42" i="19"/>
  <c r="R42" i="19"/>
  <c r="S42" i="19"/>
  <c r="T42" i="19"/>
  <c r="U42" i="19"/>
  <c r="V42" i="19"/>
  <c r="W42" i="19"/>
  <c r="X42" i="19"/>
  <c r="Y42" i="19"/>
  <c r="Z42" i="19"/>
  <c r="AA42" i="19"/>
  <c r="AB42" i="19"/>
  <c r="AC42" i="19"/>
  <c r="AD42" i="19"/>
  <c r="AE42" i="19"/>
  <c r="AF42" i="19"/>
  <c r="AG42" i="19"/>
  <c r="AH42" i="19"/>
  <c r="AI42" i="19"/>
  <c r="AJ42" i="19"/>
  <c r="AK42" i="19"/>
  <c r="AL42" i="19"/>
  <c r="AM42" i="19"/>
  <c r="AN42" i="19"/>
  <c r="AO42" i="19"/>
  <c r="AP42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3" i="19"/>
  <c r="D167" i="18"/>
  <c r="E126" i="18"/>
  <c r="F126" i="18"/>
  <c r="G126" i="18"/>
  <c r="H126" i="18"/>
  <c r="I126" i="18"/>
  <c r="J126" i="18"/>
  <c r="K126" i="18"/>
  <c r="L126" i="18"/>
  <c r="M126" i="18"/>
  <c r="N126" i="18"/>
  <c r="O126" i="18"/>
  <c r="P126" i="18"/>
  <c r="Q126" i="18"/>
  <c r="R126" i="18"/>
  <c r="S126" i="18"/>
  <c r="T126" i="18"/>
  <c r="U126" i="18"/>
  <c r="V126" i="18"/>
  <c r="W126" i="18"/>
  <c r="X126" i="18"/>
  <c r="Y126" i="18"/>
  <c r="Z126" i="18"/>
  <c r="AA126" i="18"/>
  <c r="AB126" i="18"/>
  <c r="AC126" i="18"/>
  <c r="AD126" i="18"/>
  <c r="AE126" i="18"/>
  <c r="AF126" i="18"/>
  <c r="AG126" i="18"/>
  <c r="AH126" i="18"/>
  <c r="AI126" i="18"/>
  <c r="AJ126" i="18"/>
  <c r="AK126" i="18"/>
  <c r="AL126" i="18"/>
  <c r="AM126" i="18"/>
  <c r="AN126" i="18"/>
  <c r="AO126" i="18"/>
  <c r="AP126" i="18"/>
  <c r="AQ126" i="18"/>
  <c r="E127" i="18"/>
  <c r="F127" i="18"/>
  <c r="G127" i="18"/>
  <c r="H127" i="18"/>
  <c r="I127" i="18"/>
  <c r="J127" i="18"/>
  <c r="K127" i="18"/>
  <c r="L127" i="18"/>
  <c r="M127" i="18"/>
  <c r="N127" i="18"/>
  <c r="O127" i="18"/>
  <c r="P127" i="18"/>
  <c r="Q127" i="18"/>
  <c r="R127" i="18"/>
  <c r="S127" i="18"/>
  <c r="T127" i="18"/>
  <c r="U127" i="18"/>
  <c r="V127" i="18"/>
  <c r="W127" i="18"/>
  <c r="X127" i="18"/>
  <c r="Y127" i="18"/>
  <c r="Z127" i="18"/>
  <c r="AA127" i="18"/>
  <c r="AB127" i="18"/>
  <c r="AC127" i="18"/>
  <c r="AD127" i="18"/>
  <c r="AE127" i="18"/>
  <c r="AF127" i="18"/>
  <c r="AG127" i="18"/>
  <c r="AH127" i="18"/>
  <c r="AI127" i="18"/>
  <c r="AJ127" i="18"/>
  <c r="AK127" i="18"/>
  <c r="AL127" i="18"/>
  <c r="AM127" i="18"/>
  <c r="AN127" i="18"/>
  <c r="AO127" i="18"/>
  <c r="AP127" i="18"/>
  <c r="AQ127" i="18"/>
  <c r="E128" i="18"/>
  <c r="F128" i="18"/>
  <c r="G128" i="18"/>
  <c r="H128" i="18"/>
  <c r="I128" i="18"/>
  <c r="J128" i="18"/>
  <c r="K128" i="18"/>
  <c r="L128" i="18"/>
  <c r="M128" i="18"/>
  <c r="N128" i="18"/>
  <c r="O128" i="18"/>
  <c r="P128" i="18"/>
  <c r="Q128" i="18"/>
  <c r="R128" i="18"/>
  <c r="S128" i="18"/>
  <c r="T128" i="18"/>
  <c r="U128" i="18"/>
  <c r="V128" i="18"/>
  <c r="W128" i="18"/>
  <c r="X128" i="18"/>
  <c r="Y128" i="18"/>
  <c r="Z128" i="18"/>
  <c r="AA128" i="18"/>
  <c r="AB128" i="18"/>
  <c r="AC128" i="18"/>
  <c r="AD128" i="18"/>
  <c r="AE128" i="18"/>
  <c r="AF128" i="18"/>
  <c r="AG128" i="18"/>
  <c r="AH128" i="18"/>
  <c r="AI128" i="18"/>
  <c r="AJ128" i="18"/>
  <c r="AK128" i="18"/>
  <c r="AL128" i="18"/>
  <c r="AM128" i="18"/>
  <c r="AN128" i="18"/>
  <c r="AO128" i="18"/>
  <c r="AP128" i="18"/>
  <c r="AQ128" i="18"/>
  <c r="E129" i="18"/>
  <c r="F129" i="18"/>
  <c r="G129" i="18"/>
  <c r="H129" i="18"/>
  <c r="I129" i="18"/>
  <c r="J129" i="18"/>
  <c r="K129" i="18"/>
  <c r="L129" i="18"/>
  <c r="M129" i="18"/>
  <c r="N129" i="18"/>
  <c r="O129" i="18"/>
  <c r="P129" i="18"/>
  <c r="Q129" i="18"/>
  <c r="R129" i="18"/>
  <c r="S129" i="18"/>
  <c r="T129" i="18"/>
  <c r="U129" i="18"/>
  <c r="V129" i="18"/>
  <c r="W129" i="18"/>
  <c r="X129" i="18"/>
  <c r="Y129" i="18"/>
  <c r="Z129" i="18"/>
  <c r="AA129" i="18"/>
  <c r="AB129" i="18"/>
  <c r="AC129" i="18"/>
  <c r="AD129" i="18"/>
  <c r="AE129" i="18"/>
  <c r="AF129" i="18"/>
  <c r="AG129" i="18"/>
  <c r="AH129" i="18"/>
  <c r="AI129" i="18"/>
  <c r="AJ129" i="18"/>
  <c r="AK129" i="18"/>
  <c r="AL129" i="18"/>
  <c r="AM129" i="18"/>
  <c r="AN129" i="18"/>
  <c r="AO129" i="18"/>
  <c r="AP129" i="18"/>
  <c r="AQ129" i="18"/>
  <c r="E130" i="18"/>
  <c r="F130" i="18"/>
  <c r="G130" i="18"/>
  <c r="H130" i="18"/>
  <c r="I130" i="18"/>
  <c r="J130" i="18"/>
  <c r="K130" i="18"/>
  <c r="L130" i="18"/>
  <c r="M130" i="18"/>
  <c r="N130" i="18"/>
  <c r="O130" i="18"/>
  <c r="P130" i="18"/>
  <c r="Q130" i="18"/>
  <c r="R130" i="18"/>
  <c r="S130" i="18"/>
  <c r="T130" i="18"/>
  <c r="U130" i="18"/>
  <c r="V130" i="18"/>
  <c r="W130" i="18"/>
  <c r="X130" i="18"/>
  <c r="Y130" i="18"/>
  <c r="Z130" i="18"/>
  <c r="AA130" i="18"/>
  <c r="AB130" i="18"/>
  <c r="AC130" i="18"/>
  <c r="AD130" i="18"/>
  <c r="AE130" i="18"/>
  <c r="AF130" i="18"/>
  <c r="AG130" i="18"/>
  <c r="AH130" i="18"/>
  <c r="AI130" i="18"/>
  <c r="AJ130" i="18"/>
  <c r="AK130" i="18"/>
  <c r="AL130" i="18"/>
  <c r="AM130" i="18"/>
  <c r="AN130" i="18"/>
  <c r="AO130" i="18"/>
  <c r="AP130" i="18"/>
  <c r="AQ130" i="18"/>
  <c r="E131" i="18"/>
  <c r="F131" i="18"/>
  <c r="G131" i="18"/>
  <c r="H131" i="18"/>
  <c r="I131" i="18"/>
  <c r="J131" i="18"/>
  <c r="K131" i="18"/>
  <c r="L131" i="18"/>
  <c r="M131" i="18"/>
  <c r="N131" i="18"/>
  <c r="O131" i="18"/>
  <c r="P131" i="18"/>
  <c r="Q131" i="18"/>
  <c r="R131" i="18"/>
  <c r="S131" i="18"/>
  <c r="T131" i="18"/>
  <c r="U131" i="18"/>
  <c r="V131" i="18"/>
  <c r="W131" i="18"/>
  <c r="X131" i="18"/>
  <c r="Y131" i="18"/>
  <c r="Z131" i="18"/>
  <c r="AA131" i="18"/>
  <c r="AB131" i="18"/>
  <c r="AC131" i="18"/>
  <c r="AD131" i="18"/>
  <c r="AE131" i="18"/>
  <c r="AF131" i="18"/>
  <c r="AG131" i="18"/>
  <c r="AH131" i="18"/>
  <c r="AI131" i="18"/>
  <c r="AJ131" i="18"/>
  <c r="AK131" i="18"/>
  <c r="AL131" i="18"/>
  <c r="AM131" i="18"/>
  <c r="AN131" i="18"/>
  <c r="AO131" i="18"/>
  <c r="AP131" i="18"/>
  <c r="AQ131" i="18"/>
  <c r="E132" i="18"/>
  <c r="F132" i="18"/>
  <c r="G132" i="18"/>
  <c r="H132" i="18"/>
  <c r="I132" i="18"/>
  <c r="J132" i="18"/>
  <c r="K132" i="18"/>
  <c r="L132" i="18"/>
  <c r="M132" i="18"/>
  <c r="N132" i="18"/>
  <c r="O132" i="18"/>
  <c r="P132" i="18"/>
  <c r="Q132" i="18"/>
  <c r="R132" i="18"/>
  <c r="S132" i="18"/>
  <c r="T132" i="18"/>
  <c r="U132" i="18"/>
  <c r="V132" i="18"/>
  <c r="W132" i="18"/>
  <c r="X132" i="18"/>
  <c r="Y132" i="18"/>
  <c r="Z132" i="18"/>
  <c r="AA132" i="18"/>
  <c r="AB132" i="18"/>
  <c r="AC132" i="18"/>
  <c r="AD132" i="18"/>
  <c r="AE132" i="18"/>
  <c r="AF132" i="18"/>
  <c r="AG132" i="18"/>
  <c r="AH132" i="18"/>
  <c r="AI132" i="18"/>
  <c r="AJ132" i="18"/>
  <c r="AK132" i="18"/>
  <c r="AL132" i="18"/>
  <c r="AM132" i="18"/>
  <c r="AN132" i="18"/>
  <c r="AO132" i="18"/>
  <c r="AP132" i="18"/>
  <c r="AQ132" i="18"/>
  <c r="E133" i="18"/>
  <c r="F133" i="18"/>
  <c r="G133" i="18"/>
  <c r="H133" i="18"/>
  <c r="I133" i="18"/>
  <c r="J133" i="18"/>
  <c r="K133" i="18"/>
  <c r="L133" i="18"/>
  <c r="M133" i="18"/>
  <c r="N133" i="18"/>
  <c r="O133" i="18"/>
  <c r="P133" i="18"/>
  <c r="Q133" i="18"/>
  <c r="R133" i="18"/>
  <c r="S133" i="18"/>
  <c r="T133" i="18"/>
  <c r="U133" i="18"/>
  <c r="V133" i="18"/>
  <c r="W133" i="18"/>
  <c r="X133" i="18"/>
  <c r="Y133" i="18"/>
  <c r="Z133" i="18"/>
  <c r="AA133" i="18"/>
  <c r="AB133" i="18"/>
  <c r="AC133" i="18"/>
  <c r="AD133" i="18"/>
  <c r="AE133" i="18"/>
  <c r="AF133" i="18"/>
  <c r="AG133" i="18"/>
  <c r="AH133" i="18"/>
  <c r="AI133" i="18"/>
  <c r="AJ133" i="18"/>
  <c r="AK133" i="18"/>
  <c r="AL133" i="18"/>
  <c r="AM133" i="18"/>
  <c r="AN133" i="18"/>
  <c r="AO133" i="18"/>
  <c r="AP133" i="18"/>
  <c r="AQ133" i="18"/>
  <c r="E134" i="18"/>
  <c r="F134" i="18"/>
  <c r="G134" i="18"/>
  <c r="H134" i="18"/>
  <c r="I134" i="18"/>
  <c r="J134" i="18"/>
  <c r="K134" i="18"/>
  <c r="L134" i="18"/>
  <c r="M134" i="18"/>
  <c r="N134" i="18"/>
  <c r="O134" i="18"/>
  <c r="P134" i="18"/>
  <c r="Q134" i="18"/>
  <c r="R134" i="18"/>
  <c r="S134" i="18"/>
  <c r="T134" i="18"/>
  <c r="U134" i="18"/>
  <c r="V134" i="18"/>
  <c r="W134" i="18"/>
  <c r="X134" i="18"/>
  <c r="Y134" i="18"/>
  <c r="Z134" i="18"/>
  <c r="AA134" i="18"/>
  <c r="AB134" i="18"/>
  <c r="AC134" i="18"/>
  <c r="AD134" i="18"/>
  <c r="AE134" i="18"/>
  <c r="AF134" i="18"/>
  <c r="AG134" i="18"/>
  <c r="AH134" i="18"/>
  <c r="AI134" i="18"/>
  <c r="AJ134" i="18"/>
  <c r="AK134" i="18"/>
  <c r="AL134" i="18"/>
  <c r="AM134" i="18"/>
  <c r="AN134" i="18"/>
  <c r="AO134" i="18"/>
  <c r="AP134" i="18"/>
  <c r="AQ134" i="18"/>
  <c r="E135" i="18"/>
  <c r="F135" i="18"/>
  <c r="G135" i="18"/>
  <c r="H135" i="18"/>
  <c r="I135" i="18"/>
  <c r="J135" i="18"/>
  <c r="K135" i="18"/>
  <c r="L135" i="18"/>
  <c r="M135" i="18"/>
  <c r="N135" i="18"/>
  <c r="O135" i="18"/>
  <c r="P135" i="18"/>
  <c r="Q135" i="18"/>
  <c r="R135" i="18"/>
  <c r="S135" i="18"/>
  <c r="T135" i="18"/>
  <c r="U135" i="18"/>
  <c r="V135" i="18"/>
  <c r="W135" i="18"/>
  <c r="X135" i="18"/>
  <c r="Y135" i="18"/>
  <c r="Z135" i="18"/>
  <c r="AA135" i="18"/>
  <c r="AB135" i="18"/>
  <c r="AC135" i="18"/>
  <c r="AD135" i="18"/>
  <c r="AE135" i="18"/>
  <c r="AF135" i="18"/>
  <c r="AG135" i="18"/>
  <c r="AH135" i="18"/>
  <c r="AI135" i="18"/>
  <c r="AJ135" i="18"/>
  <c r="AK135" i="18"/>
  <c r="AL135" i="18"/>
  <c r="AM135" i="18"/>
  <c r="AN135" i="18"/>
  <c r="AO135" i="18"/>
  <c r="AP135" i="18"/>
  <c r="AQ135" i="18"/>
  <c r="E136" i="18"/>
  <c r="F136" i="18"/>
  <c r="G136" i="18"/>
  <c r="H136" i="18"/>
  <c r="I136" i="18"/>
  <c r="J136" i="18"/>
  <c r="K136" i="18"/>
  <c r="L136" i="18"/>
  <c r="M136" i="18"/>
  <c r="N136" i="18"/>
  <c r="O136" i="18"/>
  <c r="P136" i="18"/>
  <c r="Q136" i="18"/>
  <c r="R136" i="18"/>
  <c r="S136" i="18"/>
  <c r="T136" i="18"/>
  <c r="U136" i="18"/>
  <c r="V136" i="18"/>
  <c r="W136" i="18"/>
  <c r="X136" i="18"/>
  <c r="Y136" i="18"/>
  <c r="Z136" i="18"/>
  <c r="AA136" i="18"/>
  <c r="AB136" i="18"/>
  <c r="AC136" i="18"/>
  <c r="AD136" i="18"/>
  <c r="AE136" i="18"/>
  <c r="AF136" i="18"/>
  <c r="AG136" i="18"/>
  <c r="AH136" i="18"/>
  <c r="AI136" i="18"/>
  <c r="AJ136" i="18"/>
  <c r="AK136" i="18"/>
  <c r="AL136" i="18"/>
  <c r="AM136" i="18"/>
  <c r="AN136" i="18"/>
  <c r="AO136" i="18"/>
  <c r="AP136" i="18"/>
  <c r="AQ136" i="18"/>
  <c r="E137" i="18"/>
  <c r="F137" i="18"/>
  <c r="G137" i="18"/>
  <c r="H137" i="18"/>
  <c r="I137" i="18"/>
  <c r="J137" i="18"/>
  <c r="K137" i="18"/>
  <c r="L137" i="18"/>
  <c r="M137" i="18"/>
  <c r="N137" i="18"/>
  <c r="O137" i="18"/>
  <c r="P137" i="18"/>
  <c r="Q137" i="18"/>
  <c r="R137" i="18"/>
  <c r="S137" i="18"/>
  <c r="T137" i="18"/>
  <c r="U137" i="18"/>
  <c r="V137" i="18"/>
  <c r="W137" i="18"/>
  <c r="X137" i="18"/>
  <c r="Y137" i="18"/>
  <c r="Z137" i="18"/>
  <c r="AA137" i="18"/>
  <c r="AB137" i="18"/>
  <c r="AC137" i="18"/>
  <c r="AD137" i="18"/>
  <c r="AE137" i="18"/>
  <c r="AF137" i="18"/>
  <c r="AG137" i="18"/>
  <c r="AH137" i="18"/>
  <c r="AI137" i="18"/>
  <c r="AJ137" i="18"/>
  <c r="AK137" i="18"/>
  <c r="AL137" i="18"/>
  <c r="AM137" i="18"/>
  <c r="AN137" i="18"/>
  <c r="AO137" i="18"/>
  <c r="AP137" i="18"/>
  <c r="AQ137" i="18"/>
  <c r="E138" i="18"/>
  <c r="F138" i="18"/>
  <c r="G138" i="18"/>
  <c r="H138" i="18"/>
  <c r="I138" i="18"/>
  <c r="J138" i="18"/>
  <c r="K138" i="18"/>
  <c r="L138" i="18"/>
  <c r="M138" i="18"/>
  <c r="N138" i="18"/>
  <c r="O138" i="18"/>
  <c r="P138" i="18"/>
  <c r="Q138" i="18"/>
  <c r="R138" i="18"/>
  <c r="S138" i="18"/>
  <c r="T138" i="18"/>
  <c r="U138" i="18"/>
  <c r="V138" i="18"/>
  <c r="W138" i="18"/>
  <c r="X138" i="18"/>
  <c r="Y138" i="18"/>
  <c r="Z138" i="18"/>
  <c r="AA138" i="18"/>
  <c r="AB138" i="18"/>
  <c r="AC138" i="18"/>
  <c r="AD138" i="18"/>
  <c r="AE138" i="18"/>
  <c r="AF138" i="18"/>
  <c r="AG138" i="18"/>
  <c r="AH138" i="18"/>
  <c r="AI138" i="18"/>
  <c r="AJ138" i="18"/>
  <c r="AK138" i="18"/>
  <c r="AL138" i="18"/>
  <c r="AM138" i="18"/>
  <c r="AN138" i="18"/>
  <c r="AO138" i="18"/>
  <c r="AP138" i="18"/>
  <c r="AQ138" i="18"/>
  <c r="E139" i="18"/>
  <c r="F139" i="18"/>
  <c r="G139" i="18"/>
  <c r="H139" i="18"/>
  <c r="I139" i="18"/>
  <c r="J139" i="18"/>
  <c r="K139" i="18"/>
  <c r="L139" i="18"/>
  <c r="M139" i="18"/>
  <c r="N139" i="18"/>
  <c r="O139" i="18"/>
  <c r="P139" i="18"/>
  <c r="Q139" i="18"/>
  <c r="R139" i="18"/>
  <c r="S139" i="18"/>
  <c r="T139" i="18"/>
  <c r="U139" i="18"/>
  <c r="V139" i="18"/>
  <c r="W139" i="18"/>
  <c r="X139" i="18"/>
  <c r="Y139" i="18"/>
  <c r="Z139" i="18"/>
  <c r="AA139" i="18"/>
  <c r="AB139" i="18"/>
  <c r="AC139" i="18"/>
  <c r="AD139" i="18"/>
  <c r="AE139" i="18"/>
  <c r="AF139" i="18"/>
  <c r="AG139" i="18"/>
  <c r="AH139" i="18"/>
  <c r="AI139" i="18"/>
  <c r="AJ139" i="18"/>
  <c r="AK139" i="18"/>
  <c r="AL139" i="18"/>
  <c r="AM139" i="18"/>
  <c r="AN139" i="18"/>
  <c r="AO139" i="18"/>
  <c r="AP139" i="18"/>
  <c r="AQ139" i="18"/>
  <c r="E140" i="18"/>
  <c r="F140" i="18"/>
  <c r="G140" i="18"/>
  <c r="H140" i="18"/>
  <c r="I140" i="18"/>
  <c r="J140" i="18"/>
  <c r="K140" i="18"/>
  <c r="L140" i="18"/>
  <c r="M140" i="18"/>
  <c r="N140" i="18"/>
  <c r="O140" i="18"/>
  <c r="P140" i="18"/>
  <c r="Q140" i="18"/>
  <c r="R140" i="18"/>
  <c r="S140" i="18"/>
  <c r="T140" i="18"/>
  <c r="U140" i="18"/>
  <c r="V140" i="18"/>
  <c r="W140" i="18"/>
  <c r="X140" i="18"/>
  <c r="Y140" i="18"/>
  <c r="Z140" i="18"/>
  <c r="AA140" i="18"/>
  <c r="AB140" i="18"/>
  <c r="AC140" i="18"/>
  <c r="AD140" i="18"/>
  <c r="AE140" i="18"/>
  <c r="AF140" i="18"/>
  <c r="AG140" i="18"/>
  <c r="AH140" i="18"/>
  <c r="AI140" i="18"/>
  <c r="AJ140" i="18"/>
  <c r="AK140" i="18"/>
  <c r="AL140" i="18"/>
  <c r="AM140" i="18"/>
  <c r="AN140" i="18"/>
  <c r="AO140" i="18"/>
  <c r="AP140" i="18"/>
  <c r="AQ140" i="18"/>
  <c r="E141" i="18"/>
  <c r="F141" i="18"/>
  <c r="G141" i="18"/>
  <c r="H141" i="18"/>
  <c r="I141" i="18"/>
  <c r="J141" i="18"/>
  <c r="K141" i="18"/>
  <c r="L141" i="18"/>
  <c r="M141" i="18"/>
  <c r="N141" i="18"/>
  <c r="O141" i="18"/>
  <c r="P141" i="18"/>
  <c r="Q141" i="18"/>
  <c r="R141" i="18"/>
  <c r="S141" i="18"/>
  <c r="T141" i="18"/>
  <c r="U141" i="18"/>
  <c r="V141" i="18"/>
  <c r="W141" i="18"/>
  <c r="X141" i="18"/>
  <c r="Y141" i="18"/>
  <c r="Z141" i="18"/>
  <c r="AA141" i="18"/>
  <c r="AB141" i="18"/>
  <c r="AC141" i="18"/>
  <c r="AD141" i="18"/>
  <c r="AE141" i="18"/>
  <c r="AF141" i="18"/>
  <c r="AG141" i="18"/>
  <c r="AH141" i="18"/>
  <c r="AI141" i="18"/>
  <c r="AJ141" i="18"/>
  <c r="AK141" i="18"/>
  <c r="AL141" i="18"/>
  <c r="AM141" i="18"/>
  <c r="AN141" i="18"/>
  <c r="AO141" i="18"/>
  <c r="AP141" i="18"/>
  <c r="AQ141" i="18"/>
  <c r="E142" i="18"/>
  <c r="F142" i="18"/>
  <c r="G142" i="18"/>
  <c r="H142" i="18"/>
  <c r="I142" i="18"/>
  <c r="J142" i="18"/>
  <c r="K142" i="18"/>
  <c r="L142" i="18"/>
  <c r="M142" i="18"/>
  <c r="N142" i="18"/>
  <c r="O142" i="18"/>
  <c r="P142" i="18"/>
  <c r="Q142" i="18"/>
  <c r="R142" i="18"/>
  <c r="S142" i="18"/>
  <c r="T142" i="18"/>
  <c r="U142" i="18"/>
  <c r="V142" i="18"/>
  <c r="W142" i="18"/>
  <c r="X142" i="18"/>
  <c r="Y142" i="18"/>
  <c r="Z142" i="18"/>
  <c r="AA142" i="18"/>
  <c r="AB142" i="18"/>
  <c r="AC142" i="18"/>
  <c r="AD142" i="18"/>
  <c r="AE142" i="18"/>
  <c r="AF142" i="18"/>
  <c r="AG142" i="18"/>
  <c r="AH142" i="18"/>
  <c r="AI142" i="18"/>
  <c r="AJ142" i="18"/>
  <c r="AK142" i="18"/>
  <c r="AL142" i="18"/>
  <c r="AM142" i="18"/>
  <c r="AN142" i="18"/>
  <c r="AO142" i="18"/>
  <c r="AP142" i="18"/>
  <c r="AQ142" i="18"/>
  <c r="E143" i="18"/>
  <c r="F143" i="18"/>
  <c r="G143" i="18"/>
  <c r="H143" i="18"/>
  <c r="I143" i="18"/>
  <c r="J143" i="18"/>
  <c r="K143" i="18"/>
  <c r="L143" i="18"/>
  <c r="M143" i="18"/>
  <c r="N143" i="18"/>
  <c r="O143" i="18"/>
  <c r="P143" i="18"/>
  <c r="Q143" i="18"/>
  <c r="R143" i="18"/>
  <c r="S143" i="18"/>
  <c r="T143" i="18"/>
  <c r="U143" i="18"/>
  <c r="V143" i="18"/>
  <c r="W143" i="18"/>
  <c r="X143" i="18"/>
  <c r="Y143" i="18"/>
  <c r="Z143" i="18"/>
  <c r="AA143" i="18"/>
  <c r="AB143" i="18"/>
  <c r="AC143" i="18"/>
  <c r="AD143" i="18"/>
  <c r="AE143" i="18"/>
  <c r="AF143" i="18"/>
  <c r="AG143" i="18"/>
  <c r="AH143" i="18"/>
  <c r="AI143" i="18"/>
  <c r="AJ143" i="18"/>
  <c r="AK143" i="18"/>
  <c r="AL143" i="18"/>
  <c r="AM143" i="18"/>
  <c r="AN143" i="18"/>
  <c r="AO143" i="18"/>
  <c r="AP143" i="18"/>
  <c r="AQ143" i="18"/>
  <c r="E144" i="18"/>
  <c r="F144" i="18"/>
  <c r="G144" i="18"/>
  <c r="H144" i="18"/>
  <c r="I144" i="18"/>
  <c r="J144" i="18"/>
  <c r="K144" i="18"/>
  <c r="L144" i="18"/>
  <c r="M144" i="18"/>
  <c r="N144" i="18"/>
  <c r="O144" i="18"/>
  <c r="P144" i="18"/>
  <c r="Q144" i="18"/>
  <c r="R144" i="18"/>
  <c r="S144" i="18"/>
  <c r="T144" i="18"/>
  <c r="U144" i="18"/>
  <c r="V144" i="18"/>
  <c r="W144" i="18"/>
  <c r="X144" i="18"/>
  <c r="Y144" i="18"/>
  <c r="Z144" i="18"/>
  <c r="AA144" i="18"/>
  <c r="AB144" i="18"/>
  <c r="AC144" i="18"/>
  <c r="AD144" i="18"/>
  <c r="AE144" i="18"/>
  <c r="AF144" i="18"/>
  <c r="AG144" i="18"/>
  <c r="AH144" i="18"/>
  <c r="AI144" i="18"/>
  <c r="AJ144" i="18"/>
  <c r="AK144" i="18"/>
  <c r="AL144" i="18"/>
  <c r="AM144" i="18"/>
  <c r="AN144" i="18"/>
  <c r="AO144" i="18"/>
  <c r="AP144" i="18"/>
  <c r="AQ144" i="18"/>
  <c r="E145" i="18"/>
  <c r="F145" i="18"/>
  <c r="G145" i="18"/>
  <c r="H145" i="18"/>
  <c r="I145" i="18"/>
  <c r="J145" i="18"/>
  <c r="K145" i="18"/>
  <c r="L145" i="18"/>
  <c r="M145" i="18"/>
  <c r="N145" i="18"/>
  <c r="O145" i="18"/>
  <c r="P145" i="18"/>
  <c r="Q145" i="18"/>
  <c r="R145" i="18"/>
  <c r="S145" i="18"/>
  <c r="T145" i="18"/>
  <c r="U145" i="18"/>
  <c r="V145" i="18"/>
  <c r="W145" i="18"/>
  <c r="X145" i="18"/>
  <c r="Y145" i="18"/>
  <c r="Z145" i="18"/>
  <c r="AA145" i="18"/>
  <c r="AB145" i="18"/>
  <c r="AC145" i="18"/>
  <c r="AD145" i="18"/>
  <c r="AE145" i="18"/>
  <c r="AF145" i="18"/>
  <c r="AG145" i="18"/>
  <c r="AH145" i="18"/>
  <c r="AI145" i="18"/>
  <c r="AJ145" i="18"/>
  <c r="AK145" i="18"/>
  <c r="AL145" i="18"/>
  <c r="AM145" i="18"/>
  <c r="AN145" i="18"/>
  <c r="AO145" i="18"/>
  <c r="AP145" i="18"/>
  <c r="AQ145" i="18"/>
  <c r="E146" i="18"/>
  <c r="F146" i="18"/>
  <c r="G146" i="18"/>
  <c r="H146" i="18"/>
  <c r="I146" i="18"/>
  <c r="J146" i="18"/>
  <c r="K146" i="18"/>
  <c r="L146" i="18"/>
  <c r="M146" i="18"/>
  <c r="N146" i="18"/>
  <c r="O146" i="18"/>
  <c r="P146" i="18"/>
  <c r="Q146" i="18"/>
  <c r="R146" i="18"/>
  <c r="S146" i="18"/>
  <c r="T146" i="18"/>
  <c r="U146" i="18"/>
  <c r="V146" i="18"/>
  <c r="W146" i="18"/>
  <c r="X146" i="18"/>
  <c r="Y146" i="18"/>
  <c r="Z146" i="18"/>
  <c r="AA146" i="18"/>
  <c r="AB146" i="18"/>
  <c r="AC146" i="18"/>
  <c r="AD146" i="18"/>
  <c r="AE146" i="18"/>
  <c r="AF146" i="18"/>
  <c r="AG146" i="18"/>
  <c r="AH146" i="18"/>
  <c r="AI146" i="18"/>
  <c r="AJ146" i="18"/>
  <c r="AK146" i="18"/>
  <c r="AL146" i="18"/>
  <c r="AM146" i="18"/>
  <c r="AN146" i="18"/>
  <c r="AO146" i="18"/>
  <c r="AP146" i="18"/>
  <c r="AQ146" i="18"/>
  <c r="E147" i="18"/>
  <c r="F147" i="18"/>
  <c r="G147" i="18"/>
  <c r="H147" i="18"/>
  <c r="I147" i="18"/>
  <c r="J147" i="18"/>
  <c r="K147" i="18"/>
  <c r="L147" i="18"/>
  <c r="M147" i="18"/>
  <c r="N147" i="18"/>
  <c r="O147" i="18"/>
  <c r="P147" i="18"/>
  <c r="Q147" i="18"/>
  <c r="R147" i="18"/>
  <c r="S147" i="18"/>
  <c r="T147" i="18"/>
  <c r="U147" i="18"/>
  <c r="V147" i="18"/>
  <c r="W147" i="18"/>
  <c r="X147" i="18"/>
  <c r="Y147" i="18"/>
  <c r="Z147" i="18"/>
  <c r="AA147" i="18"/>
  <c r="AB147" i="18"/>
  <c r="AC147" i="18"/>
  <c r="AD147" i="18"/>
  <c r="AE147" i="18"/>
  <c r="AF147" i="18"/>
  <c r="AG147" i="18"/>
  <c r="AH147" i="18"/>
  <c r="AI147" i="18"/>
  <c r="AJ147" i="18"/>
  <c r="AK147" i="18"/>
  <c r="AL147" i="18"/>
  <c r="AM147" i="18"/>
  <c r="AN147" i="18"/>
  <c r="AO147" i="18"/>
  <c r="AP147" i="18"/>
  <c r="AQ147" i="18"/>
  <c r="E148" i="18"/>
  <c r="F148" i="18"/>
  <c r="G148" i="18"/>
  <c r="H148" i="18"/>
  <c r="I148" i="18"/>
  <c r="J148" i="18"/>
  <c r="K148" i="18"/>
  <c r="L148" i="18"/>
  <c r="M148" i="18"/>
  <c r="N148" i="18"/>
  <c r="O148" i="18"/>
  <c r="P148" i="18"/>
  <c r="Q148" i="18"/>
  <c r="R148" i="18"/>
  <c r="S148" i="18"/>
  <c r="T148" i="18"/>
  <c r="U148" i="18"/>
  <c r="V148" i="18"/>
  <c r="W148" i="18"/>
  <c r="X148" i="18"/>
  <c r="Y148" i="18"/>
  <c r="Z148" i="18"/>
  <c r="AA148" i="18"/>
  <c r="AB148" i="18"/>
  <c r="AC148" i="18"/>
  <c r="AD148" i="18"/>
  <c r="AE148" i="18"/>
  <c r="AF148" i="18"/>
  <c r="AG148" i="18"/>
  <c r="AH148" i="18"/>
  <c r="AI148" i="18"/>
  <c r="AJ148" i="18"/>
  <c r="AK148" i="18"/>
  <c r="AL148" i="18"/>
  <c r="AM148" i="18"/>
  <c r="AN148" i="18"/>
  <c r="AO148" i="18"/>
  <c r="AP148" i="18"/>
  <c r="AQ148" i="18"/>
  <c r="E149" i="18"/>
  <c r="F149" i="18"/>
  <c r="G149" i="18"/>
  <c r="H149" i="18"/>
  <c r="I149" i="18"/>
  <c r="J149" i="18"/>
  <c r="K149" i="18"/>
  <c r="L149" i="18"/>
  <c r="M149" i="18"/>
  <c r="N149" i="18"/>
  <c r="O149" i="18"/>
  <c r="P149" i="18"/>
  <c r="Q149" i="18"/>
  <c r="R149" i="18"/>
  <c r="S149" i="18"/>
  <c r="T149" i="18"/>
  <c r="U149" i="18"/>
  <c r="V149" i="18"/>
  <c r="W149" i="18"/>
  <c r="X149" i="18"/>
  <c r="Y149" i="18"/>
  <c r="Z149" i="18"/>
  <c r="AA149" i="18"/>
  <c r="AB149" i="18"/>
  <c r="AC149" i="18"/>
  <c r="AD149" i="18"/>
  <c r="AE149" i="18"/>
  <c r="AF149" i="18"/>
  <c r="AG149" i="18"/>
  <c r="AH149" i="18"/>
  <c r="AI149" i="18"/>
  <c r="AJ149" i="18"/>
  <c r="AK149" i="18"/>
  <c r="AL149" i="18"/>
  <c r="AM149" i="18"/>
  <c r="AN149" i="18"/>
  <c r="AO149" i="18"/>
  <c r="AP149" i="18"/>
  <c r="AQ149" i="18"/>
  <c r="E150" i="18"/>
  <c r="F150" i="18"/>
  <c r="G150" i="18"/>
  <c r="H150" i="18"/>
  <c r="I150" i="18"/>
  <c r="J150" i="18"/>
  <c r="K150" i="18"/>
  <c r="L150" i="18"/>
  <c r="M150" i="18"/>
  <c r="N150" i="18"/>
  <c r="O150" i="18"/>
  <c r="P150" i="18"/>
  <c r="Q150" i="18"/>
  <c r="R150" i="18"/>
  <c r="S150" i="18"/>
  <c r="T150" i="18"/>
  <c r="U150" i="18"/>
  <c r="V150" i="18"/>
  <c r="W150" i="18"/>
  <c r="X150" i="18"/>
  <c r="Y150" i="18"/>
  <c r="Z150" i="18"/>
  <c r="AA150" i="18"/>
  <c r="AB150" i="18"/>
  <c r="AC150" i="18"/>
  <c r="AD150" i="18"/>
  <c r="AE150" i="18"/>
  <c r="AF150" i="18"/>
  <c r="AG150" i="18"/>
  <c r="AH150" i="18"/>
  <c r="AI150" i="18"/>
  <c r="AJ150" i="18"/>
  <c r="AK150" i="18"/>
  <c r="AL150" i="18"/>
  <c r="AM150" i="18"/>
  <c r="AN150" i="18"/>
  <c r="AO150" i="18"/>
  <c r="AP150" i="18"/>
  <c r="AQ150" i="18"/>
  <c r="E151" i="18"/>
  <c r="F151" i="18"/>
  <c r="G151" i="18"/>
  <c r="H151" i="18"/>
  <c r="I151" i="18"/>
  <c r="J151" i="18"/>
  <c r="K151" i="18"/>
  <c r="L151" i="18"/>
  <c r="M151" i="18"/>
  <c r="N151" i="18"/>
  <c r="O151" i="18"/>
  <c r="P151" i="18"/>
  <c r="Q151" i="18"/>
  <c r="R151" i="18"/>
  <c r="S151" i="18"/>
  <c r="T151" i="18"/>
  <c r="U151" i="18"/>
  <c r="V151" i="18"/>
  <c r="W151" i="18"/>
  <c r="X151" i="18"/>
  <c r="Y151" i="18"/>
  <c r="Z151" i="18"/>
  <c r="AA151" i="18"/>
  <c r="AB151" i="18"/>
  <c r="AC151" i="18"/>
  <c r="AD151" i="18"/>
  <c r="AE151" i="18"/>
  <c r="AF151" i="18"/>
  <c r="AG151" i="18"/>
  <c r="AH151" i="18"/>
  <c r="AI151" i="18"/>
  <c r="AJ151" i="18"/>
  <c r="AK151" i="18"/>
  <c r="AL151" i="18"/>
  <c r="AM151" i="18"/>
  <c r="AN151" i="18"/>
  <c r="AO151" i="18"/>
  <c r="AP151" i="18"/>
  <c r="AQ151" i="18"/>
  <c r="E152" i="18"/>
  <c r="F152" i="18"/>
  <c r="G152" i="18"/>
  <c r="H152" i="18"/>
  <c r="I152" i="18"/>
  <c r="J152" i="18"/>
  <c r="K152" i="18"/>
  <c r="L152" i="18"/>
  <c r="M152" i="18"/>
  <c r="N152" i="18"/>
  <c r="O152" i="18"/>
  <c r="P152" i="18"/>
  <c r="Q152" i="18"/>
  <c r="R152" i="18"/>
  <c r="S152" i="18"/>
  <c r="T152" i="18"/>
  <c r="U152" i="18"/>
  <c r="V152" i="18"/>
  <c r="W152" i="18"/>
  <c r="X152" i="18"/>
  <c r="Y152" i="18"/>
  <c r="Z152" i="18"/>
  <c r="AA152" i="18"/>
  <c r="AB152" i="18"/>
  <c r="AC152" i="18"/>
  <c r="AD152" i="18"/>
  <c r="AE152" i="18"/>
  <c r="AF152" i="18"/>
  <c r="AG152" i="18"/>
  <c r="AH152" i="18"/>
  <c r="AI152" i="18"/>
  <c r="AJ152" i="18"/>
  <c r="AK152" i="18"/>
  <c r="AL152" i="18"/>
  <c r="AM152" i="18"/>
  <c r="AN152" i="18"/>
  <c r="AO152" i="18"/>
  <c r="AP152" i="18"/>
  <c r="AQ152" i="18"/>
  <c r="E153" i="18"/>
  <c r="F153" i="18"/>
  <c r="G153" i="18"/>
  <c r="H153" i="18"/>
  <c r="I153" i="18"/>
  <c r="J153" i="18"/>
  <c r="K153" i="18"/>
  <c r="L153" i="18"/>
  <c r="M153" i="18"/>
  <c r="N153" i="18"/>
  <c r="O153" i="18"/>
  <c r="P153" i="18"/>
  <c r="Q153" i="18"/>
  <c r="R153" i="18"/>
  <c r="S153" i="18"/>
  <c r="T153" i="18"/>
  <c r="U153" i="18"/>
  <c r="V153" i="18"/>
  <c r="W153" i="18"/>
  <c r="X153" i="18"/>
  <c r="Y153" i="18"/>
  <c r="Z153" i="18"/>
  <c r="AA153" i="18"/>
  <c r="AB153" i="18"/>
  <c r="AC153" i="18"/>
  <c r="AD153" i="18"/>
  <c r="AE153" i="18"/>
  <c r="AF153" i="18"/>
  <c r="AG153" i="18"/>
  <c r="AH153" i="18"/>
  <c r="AI153" i="18"/>
  <c r="AJ153" i="18"/>
  <c r="AK153" i="18"/>
  <c r="AL153" i="18"/>
  <c r="AM153" i="18"/>
  <c r="AN153" i="18"/>
  <c r="AO153" i="18"/>
  <c r="AP153" i="18"/>
  <c r="AQ153" i="18"/>
  <c r="E154" i="18"/>
  <c r="F154" i="18"/>
  <c r="G154" i="18"/>
  <c r="H154" i="18"/>
  <c r="I154" i="18"/>
  <c r="J154" i="18"/>
  <c r="K154" i="18"/>
  <c r="L154" i="18"/>
  <c r="M154" i="18"/>
  <c r="N154" i="18"/>
  <c r="O154" i="18"/>
  <c r="P154" i="18"/>
  <c r="Q154" i="18"/>
  <c r="R154" i="18"/>
  <c r="S154" i="18"/>
  <c r="T154" i="18"/>
  <c r="U154" i="18"/>
  <c r="V154" i="18"/>
  <c r="W154" i="18"/>
  <c r="X154" i="18"/>
  <c r="Y154" i="18"/>
  <c r="Z154" i="18"/>
  <c r="AA154" i="18"/>
  <c r="AB154" i="18"/>
  <c r="AC154" i="18"/>
  <c r="AD154" i="18"/>
  <c r="AE154" i="18"/>
  <c r="AF154" i="18"/>
  <c r="AG154" i="18"/>
  <c r="AH154" i="18"/>
  <c r="AI154" i="18"/>
  <c r="AJ154" i="18"/>
  <c r="AK154" i="18"/>
  <c r="AL154" i="18"/>
  <c r="AM154" i="18"/>
  <c r="AN154" i="18"/>
  <c r="AO154" i="18"/>
  <c r="AP154" i="18"/>
  <c r="AQ154" i="18"/>
  <c r="E155" i="18"/>
  <c r="F155" i="18"/>
  <c r="G155" i="18"/>
  <c r="H155" i="18"/>
  <c r="I155" i="18"/>
  <c r="J155" i="18"/>
  <c r="K155" i="18"/>
  <c r="L155" i="18"/>
  <c r="M155" i="18"/>
  <c r="N155" i="18"/>
  <c r="O155" i="18"/>
  <c r="P155" i="18"/>
  <c r="Q155" i="18"/>
  <c r="R155" i="18"/>
  <c r="S155" i="18"/>
  <c r="T155" i="18"/>
  <c r="U155" i="18"/>
  <c r="V155" i="18"/>
  <c r="W155" i="18"/>
  <c r="X155" i="18"/>
  <c r="Y155" i="18"/>
  <c r="Z155" i="18"/>
  <c r="AA155" i="18"/>
  <c r="AB155" i="18"/>
  <c r="AC155" i="18"/>
  <c r="AD155" i="18"/>
  <c r="AE155" i="18"/>
  <c r="AF155" i="18"/>
  <c r="AG155" i="18"/>
  <c r="AH155" i="18"/>
  <c r="AI155" i="18"/>
  <c r="AJ155" i="18"/>
  <c r="AK155" i="18"/>
  <c r="AL155" i="18"/>
  <c r="AM155" i="18"/>
  <c r="AN155" i="18"/>
  <c r="AO155" i="18"/>
  <c r="AP155" i="18"/>
  <c r="AQ155" i="18"/>
  <c r="E156" i="18"/>
  <c r="F156" i="18"/>
  <c r="G156" i="18"/>
  <c r="H156" i="18"/>
  <c r="I156" i="18"/>
  <c r="J156" i="18"/>
  <c r="K156" i="18"/>
  <c r="L156" i="18"/>
  <c r="M156" i="18"/>
  <c r="N156" i="18"/>
  <c r="O156" i="18"/>
  <c r="P156" i="18"/>
  <c r="Q156" i="18"/>
  <c r="R156" i="18"/>
  <c r="S156" i="18"/>
  <c r="T156" i="18"/>
  <c r="U156" i="18"/>
  <c r="V156" i="18"/>
  <c r="W156" i="18"/>
  <c r="X156" i="18"/>
  <c r="Y156" i="18"/>
  <c r="Z156" i="18"/>
  <c r="AA156" i="18"/>
  <c r="AB156" i="18"/>
  <c r="AC156" i="18"/>
  <c r="AD156" i="18"/>
  <c r="AE156" i="18"/>
  <c r="AF156" i="18"/>
  <c r="AG156" i="18"/>
  <c r="AH156" i="18"/>
  <c r="AI156" i="18"/>
  <c r="AJ156" i="18"/>
  <c r="AK156" i="18"/>
  <c r="AL156" i="18"/>
  <c r="AM156" i="18"/>
  <c r="AN156" i="18"/>
  <c r="AO156" i="18"/>
  <c r="AP156" i="18"/>
  <c r="AQ156" i="18"/>
  <c r="E157" i="18"/>
  <c r="F157" i="18"/>
  <c r="G157" i="18"/>
  <c r="H157" i="18"/>
  <c r="I157" i="18"/>
  <c r="J157" i="18"/>
  <c r="K157" i="18"/>
  <c r="L157" i="18"/>
  <c r="M157" i="18"/>
  <c r="N157" i="18"/>
  <c r="O157" i="18"/>
  <c r="P157" i="18"/>
  <c r="Q157" i="18"/>
  <c r="R157" i="18"/>
  <c r="S157" i="18"/>
  <c r="T157" i="18"/>
  <c r="U157" i="18"/>
  <c r="V157" i="18"/>
  <c r="W157" i="18"/>
  <c r="X157" i="18"/>
  <c r="Y157" i="18"/>
  <c r="Z157" i="18"/>
  <c r="AA157" i="18"/>
  <c r="AB157" i="18"/>
  <c r="AC157" i="18"/>
  <c r="AD157" i="18"/>
  <c r="AE157" i="18"/>
  <c r="AF157" i="18"/>
  <c r="AG157" i="18"/>
  <c r="AH157" i="18"/>
  <c r="AI157" i="18"/>
  <c r="AJ157" i="18"/>
  <c r="AK157" i="18"/>
  <c r="AL157" i="18"/>
  <c r="AM157" i="18"/>
  <c r="AN157" i="18"/>
  <c r="AO157" i="18"/>
  <c r="AP157" i="18"/>
  <c r="AQ157" i="18"/>
  <c r="E158" i="18"/>
  <c r="F158" i="18"/>
  <c r="G158" i="18"/>
  <c r="H158" i="18"/>
  <c r="I158" i="18"/>
  <c r="J158" i="18"/>
  <c r="K158" i="18"/>
  <c r="L158" i="18"/>
  <c r="M158" i="18"/>
  <c r="N158" i="18"/>
  <c r="O158" i="18"/>
  <c r="P158" i="18"/>
  <c r="Q158" i="18"/>
  <c r="R158" i="18"/>
  <c r="S158" i="18"/>
  <c r="T158" i="18"/>
  <c r="U158" i="18"/>
  <c r="V158" i="18"/>
  <c r="W158" i="18"/>
  <c r="X158" i="18"/>
  <c r="Y158" i="18"/>
  <c r="Z158" i="18"/>
  <c r="AA158" i="18"/>
  <c r="AB158" i="18"/>
  <c r="AC158" i="18"/>
  <c r="AD158" i="18"/>
  <c r="AE158" i="18"/>
  <c r="AF158" i="18"/>
  <c r="AG158" i="18"/>
  <c r="AH158" i="18"/>
  <c r="AI158" i="18"/>
  <c r="AJ158" i="18"/>
  <c r="AK158" i="18"/>
  <c r="AL158" i="18"/>
  <c r="AM158" i="18"/>
  <c r="AN158" i="18"/>
  <c r="AO158" i="18"/>
  <c r="AP158" i="18"/>
  <c r="AQ158" i="18"/>
  <c r="E159" i="18"/>
  <c r="F159" i="18"/>
  <c r="G159" i="18"/>
  <c r="H159" i="18"/>
  <c r="I159" i="18"/>
  <c r="J159" i="18"/>
  <c r="K159" i="18"/>
  <c r="L159" i="18"/>
  <c r="M159" i="18"/>
  <c r="N159" i="18"/>
  <c r="O159" i="18"/>
  <c r="P159" i="18"/>
  <c r="Q159" i="18"/>
  <c r="R159" i="18"/>
  <c r="S159" i="18"/>
  <c r="T159" i="18"/>
  <c r="U159" i="18"/>
  <c r="V159" i="18"/>
  <c r="W159" i="18"/>
  <c r="X159" i="18"/>
  <c r="Y159" i="18"/>
  <c r="Z159" i="18"/>
  <c r="AA159" i="18"/>
  <c r="AB159" i="18"/>
  <c r="AC159" i="18"/>
  <c r="AD159" i="18"/>
  <c r="AE159" i="18"/>
  <c r="AF159" i="18"/>
  <c r="AG159" i="18"/>
  <c r="AH159" i="18"/>
  <c r="AI159" i="18"/>
  <c r="AJ159" i="18"/>
  <c r="AK159" i="18"/>
  <c r="AL159" i="18"/>
  <c r="AM159" i="18"/>
  <c r="AN159" i="18"/>
  <c r="AO159" i="18"/>
  <c r="AP159" i="18"/>
  <c r="AQ159" i="18"/>
  <c r="E160" i="18"/>
  <c r="F160" i="18"/>
  <c r="G160" i="18"/>
  <c r="H160" i="18"/>
  <c r="I160" i="18"/>
  <c r="J160" i="18"/>
  <c r="K160" i="18"/>
  <c r="L160" i="18"/>
  <c r="M160" i="18"/>
  <c r="N160" i="18"/>
  <c r="O160" i="18"/>
  <c r="P160" i="18"/>
  <c r="Q160" i="18"/>
  <c r="R160" i="18"/>
  <c r="S160" i="18"/>
  <c r="T160" i="18"/>
  <c r="U160" i="18"/>
  <c r="V160" i="18"/>
  <c r="W160" i="18"/>
  <c r="X160" i="18"/>
  <c r="Y160" i="18"/>
  <c r="Z160" i="18"/>
  <c r="AA160" i="18"/>
  <c r="AB160" i="18"/>
  <c r="AC160" i="18"/>
  <c r="AD160" i="18"/>
  <c r="AE160" i="18"/>
  <c r="AF160" i="18"/>
  <c r="AG160" i="18"/>
  <c r="AH160" i="18"/>
  <c r="AI160" i="18"/>
  <c r="AJ160" i="18"/>
  <c r="AK160" i="18"/>
  <c r="AL160" i="18"/>
  <c r="AM160" i="18"/>
  <c r="AN160" i="18"/>
  <c r="AO160" i="18"/>
  <c r="AP160" i="18"/>
  <c r="AQ160" i="18"/>
  <c r="E161" i="18"/>
  <c r="F161" i="18"/>
  <c r="G161" i="18"/>
  <c r="H161" i="18"/>
  <c r="I161" i="18"/>
  <c r="J161" i="18"/>
  <c r="K161" i="18"/>
  <c r="L161" i="18"/>
  <c r="M161" i="18"/>
  <c r="N161" i="18"/>
  <c r="O161" i="18"/>
  <c r="P161" i="18"/>
  <c r="Q161" i="18"/>
  <c r="R161" i="18"/>
  <c r="S161" i="18"/>
  <c r="T161" i="18"/>
  <c r="U161" i="18"/>
  <c r="V161" i="18"/>
  <c r="W161" i="18"/>
  <c r="X161" i="18"/>
  <c r="Y161" i="18"/>
  <c r="Z161" i="18"/>
  <c r="AA161" i="18"/>
  <c r="AB161" i="18"/>
  <c r="AC161" i="18"/>
  <c r="AD161" i="18"/>
  <c r="AE161" i="18"/>
  <c r="AF161" i="18"/>
  <c r="AG161" i="18"/>
  <c r="AH161" i="18"/>
  <c r="AI161" i="18"/>
  <c r="AJ161" i="18"/>
  <c r="AK161" i="18"/>
  <c r="AL161" i="18"/>
  <c r="AM161" i="18"/>
  <c r="AN161" i="18"/>
  <c r="AO161" i="18"/>
  <c r="AP161" i="18"/>
  <c r="AQ161" i="18"/>
  <c r="E162" i="18"/>
  <c r="F162" i="18"/>
  <c r="G162" i="18"/>
  <c r="H162" i="18"/>
  <c r="I162" i="18"/>
  <c r="J162" i="18"/>
  <c r="K162" i="18"/>
  <c r="L162" i="18"/>
  <c r="M162" i="18"/>
  <c r="N162" i="18"/>
  <c r="O162" i="18"/>
  <c r="P162" i="18"/>
  <c r="Q162" i="18"/>
  <c r="R162" i="18"/>
  <c r="S162" i="18"/>
  <c r="T162" i="18"/>
  <c r="U162" i="18"/>
  <c r="V162" i="18"/>
  <c r="W162" i="18"/>
  <c r="X162" i="18"/>
  <c r="Y162" i="18"/>
  <c r="Z162" i="18"/>
  <c r="AA162" i="18"/>
  <c r="AB162" i="18"/>
  <c r="AC162" i="18"/>
  <c r="AD162" i="18"/>
  <c r="AE162" i="18"/>
  <c r="AF162" i="18"/>
  <c r="AG162" i="18"/>
  <c r="AH162" i="18"/>
  <c r="AI162" i="18"/>
  <c r="AJ162" i="18"/>
  <c r="AK162" i="18"/>
  <c r="AL162" i="18"/>
  <c r="AM162" i="18"/>
  <c r="AN162" i="18"/>
  <c r="AO162" i="18"/>
  <c r="AP162" i="18"/>
  <c r="AQ162" i="18"/>
  <c r="E163" i="18"/>
  <c r="F163" i="18"/>
  <c r="G163" i="18"/>
  <c r="H163" i="18"/>
  <c r="I163" i="18"/>
  <c r="J163" i="18"/>
  <c r="K163" i="18"/>
  <c r="L163" i="18"/>
  <c r="M163" i="18"/>
  <c r="N163" i="18"/>
  <c r="O163" i="18"/>
  <c r="P163" i="18"/>
  <c r="Q163" i="18"/>
  <c r="R163" i="18"/>
  <c r="S163" i="18"/>
  <c r="T163" i="18"/>
  <c r="U163" i="18"/>
  <c r="V163" i="18"/>
  <c r="W163" i="18"/>
  <c r="X163" i="18"/>
  <c r="Y163" i="18"/>
  <c r="Z163" i="18"/>
  <c r="AA163" i="18"/>
  <c r="AB163" i="18"/>
  <c r="AC163" i="18"/>
  <c r="AD163" i="18"/>
  <c r="AE163" i="18"/>
  <c r="AF163" i="18"/>
  <c r="AG163" i="18"/>
  <c r="AH163" i="18"/>
  <c r="AI163" i="18"/>
  <c r="AJ163" i="18"/>
  <c r="AK163" i="18"/>
  <c r="AL163" i="18"/>
  <c r="AM163" i="18"/>
  <c r="AN163" i="18"/>
  <c r="AO163" i="18"/>
  <c r="AP163" i="18"/>
  <c r="AQ163" i="18"/>
  <c r="E164" i="18"/>
  <c r="F164" i="18"/>
  <c r="G164" i="18"/>
  <c r="H164" i="18"/>
  <c r="I164" i="18"/>
  <c r="J164" i="18"/>
  <c r="K164" i="18"/>
  <c r="L164" i="18"/>
  <c r="M164" i="18"/>
  <c r="N164" i="18"/>
  <c r="O164" i="18"/>
  <c r="P164" i="18"/>
  <c r="Q164" i="18"/>
  <c r="R164" i="18"/>
  <c r="S164" i="18"/>
  <c r="T164" i="18"/>
  <c r="U164" i="18"/>
  <c r="V164" i="18"/>
  <c r="W164" i="18"/>
  <c r="X164" i="18"/>
  <c r="Y164" i="18"/>
  <c r="Z164" i="18"/>
  <c r="AA164" i="18"/>
  <c r="AB164" i="18"/>
  <c r="AC164" i="18"/>
  <c r="AD164" i="18"/>
  <c r="AE164" i="18"/>
  <c r="AF164" i="18"/>
  <c r="AG164" i="18"/>
  <c r="AH164" i="18"/>
  <c r="AI164" i="18"/>
  <c r="AJ164" i="18"/>
  <c r="AK164" i="18"/>
  <c r="AL164" i="18"/>
  <c r="AM164" i="18"/>
  <c r="AN164" i="18"/>
  <c r="AO164" i="18"/>
  <c r="AP164" i="18"/>
  <c r="AQ164" i="18"/>
  <c r="E165" i="18"/>
  <c r="F165" i="18"/>
  <c r="G165" i="18"/>
  <c r="H165" i="18"/>
  <c r="I165" i="18"/>
  <c r="J165" i="18"/>
  <c r="K165" i="18"/>
  <c r="L165" i="18"/>
  <c r="M165" i="18"/>
  <c r="N165" i="18"/>
  <c r="O165" i="18"/>
  <c r="P165" i="18"/>
  <c r="Q165" i="18"/>
  <c r="R165" i="18"/>
  <c r="S165" i="18"/>
  <c r="T165" i="18"/>
  <c r="U165" i="18"/>
  <c r="V165" i="18"/>
  <c r="W165" i="18"/>
  <c r="X165" i="18"/>
  <c r="Y165" i="18"/>
  <c r="Z165" i="18"/>
  <c r="AA165" i="18"/>
  <c r="AB165" i="18"/>
  <c r="AC165" i="18"/>
  <c r="AD165" i="18"/>
  <c r="AE165" i="18"/>
  <c r="AF165" i="18"/>
  <c r="AG165" i="18"/>
  <c r="AH165" i="18"/>
  <c r="AI165" i="18"/>
  <c r="AJ165" i="18"/>
  <c r="AK165" i="18"/>
  <c r="AL165" i="18"/>
  <c r="AM165" i="18"/>
  <c r="AN165" i="18"/>
  <c r="AO165" i="18"/>
  <c r="AP165" i="18"/>
  <c r="AQ165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126" i="18"/>
  <c r="D125" i="18"/>
  <c r="E85" i="18"/>
  <c r="F85" i="18"/>
  <c r="G85" i="18"/>
  <c r="H85" i="18"/>
  <c r="I85" i="18"/>
  <c r="J85" i="18"/>
  <c r="K85" i="18"/>
  <c r="L85" i="18"/>
  <c r="M85" i="18"/>
  <c r="N85" i="18"/>
  <c r="O85" i="18"/>
  <c r="P85" i="18"/>
  <c r="Q85" i="18"/>
  <c r="R85" i="18"/>
  <c r="S85" i="18"/>
  <c r="T85" i="18"/>
  <c r="U85" i="18"/>
  <c r="V85" i="18"/>
  <c r="W85" i="18"/>
  <c r="X85" i="18"/>
  <c r="Y85" i="18"/>
  <c r="Z85" i="18"/>
  <c r="AA85" i="18"/>
  <c r="AB85" i="18"/>
  <c r="AC85" i="18"/>
  <c r="AD85" i="18"/>
  <c r="AE85" i="18"/>
  <c r="AF85" i="18"/>
  <c r="AG85" i="18"/>
  <c r="AH85" i="18"/>
  <c r="AI85" i="18"/>
  <c r="AJ85" i="18"/>
  <c r="AK85" i="18"/>
  <c r="AL85" i="18"/>
  <c r="AM85" i="18"/>
  <c r="AN85" i="18"/>
  <c r="AO85" i="18"/>
  <c r="AP85" i="18"/>
  <c r="AQ85" i="18"/>
  <c r="E86" i="18"/>
  <c r="F86" i="18"/>
  <c r="G86" i="18"/>
  <c r="H86" i="18"/>
  <c r="I86" i="18"/>
  <c r="J86" i="18"/>
  <c r="K86" i="18"/>
  <c r="L86" i="18"/>
  <c r="M86" i="18"/>
  <c r="N86" i="18"/>
  <c r="O86" i="18"/>
  <c r="P86" i="18"/>
  <c r="Q86" i="18"/>
  <c r="R86" i="18"/>
  <c r="S86" i="18"/>
  <c r="T86" i="18"/>
  <c r="U86" i="18"/>
  <c r="V86" i="18"/>
  <c r="W86" i="18"/>
  <c r="X86" i="18"/>
  <c r="Y86" i="18"/>
  <c r="Z86" i="18"/>
  <c r="AA86" i="18"/>
  <c r="AB86" i="18"/>
  <c r="AC86" i="18"/>
  <c r="AD86" i="18"/>
  <c r="AE86" i="18"/>
  <c r="AF86" i="18"/>
  <c r="AG86" i="18"/>
  <c r="AH86" i="18"/>
  <c r="AI86" i="18"/>
  <c r="AJ86" i="18"/>
  <c r="AK86" i="18"/>
  <c r="AL86" i="18"/>
  <c r="AM86" i="18"/>
  <c r="AN86" i="18"/>
  <c r="AO86" i="18"/>
  <c r="AP86" i="18"/>
  <c r="AQ86" i="18"/>
  <c r="E87" i="18"/>
  <c r="F87" i="18"/>
  <c r="G87" i="18"/>
  <c r="H87" i="18"/>
  <c r="I87" i="18"/>
  <c r="J87" i="18"/>
  <c r="K87" i="18"/>
  <c r="L87" i="18"/>
  <c r="M87" i="18"/>
  <c r="N87" i="18"/>
  <c r="O87" i="18"/>
  <c r="P87" i="18"/>
  <c r="Q87" i="18"/>
  <c r="R87" i="18"/>
  <c r="S87" i="18"/>
  <c r="T87" i="18"/>
  <c r="U87" i="18"/>
  <c r="V87" i="18"/>
  <c r="W87" i="18"/>
  <c r="X87" i="18"/>
  <c r="Y87" i="18"/>
  <c r="Z87" i="18"/>
  <c r="AA87" i="18"/>
  <c r="AB87" i="18"/>
  <c r="AC87" i="18"/>
  <c r="AD87" i="18"/>
  <c r="AE87" i="18"/>
  <c r="AF87" i="18"/>
  <c r="AG87" i="18"/>
  <c r="AH87" i="18"/>
  <c r="AI87" i="18"/>
  <c r="AJ87" i="18"/>
  <c r="AK87" i="18"/>
  <c r="AL87" i="18"/>
  <c r="AM87" i="18"/>
  <c r="AN87" i="18"/>
  <c r="AO87" i="18"/>
  <c r="AP87" i="18"/>
  <c r="AQ87" i="18"/>
  <c r="E88" i="18"/>
  <c r="F88" i="18"/>
  <c r="G88" i="18"/>
  <c r="H88" i="18"/>
  <c r="I88" i="18"/>
  <c r="J88" i="18"/>
  <c r="K88" i="18"/>
  <c r="L88" i="18"/>
  <c r="M88" i="18"/>
  <c r="N88" i="18"/>
  <c r="O88" i="18"/>
  <c r="P88" i="18"/>
  <c r="Q88" i="18"/>
  <c r="R88" i="18"/>
  <c r="S88" i="18"/>
  <c r="T88" i="18"/>
  <c r="U88" i="18"/>
  <c r="V88" i="18"/>
  <c r="W88" i="18"/>
  <c r="X88" i="18"/>
  <c r="Y88" i="18"/>
  <c r="Z88" i="18"/>
  <c r="AA88" i="18"/>
  <c r="AB88" i="18"/>
  <c r="AC88" i="18"/>
  <c r="AD88" i="18"/>
  <c r="AE88" i="18"/>
  <c r="AF88" i="18"/>
  <c r="AG88" i="18"/>
  <c r="AH88" i="18"/>
  <c r="AI88" i="18"/>
  <c r="AJ88" i="18"/>
  <c r="AK88" i="18"/>
  <c r="AL88" i="18"/>
  <c r="AM88" i="18"/>
  <c r="AN88" i="18"/>
  <c r="AO88" i="18"/>
  <c r="AP88" i="18"/>
  <c r="AQ88" i="18"/>
  <c r="E89" i="18"/>
  <c r="F89" i="18"/>
  <c r="G89" i="18"/>
  <c r="H89" i="18"/>
  <c r="I89" i="18"/>
  <c r="J89" i="18"/>
  <c r="K89" i="18"/>
  <c r="L89" i="18"/>
  <c r="M89" i="18"/>
  <c r="N89" i="18"/>
  <c r="O89" i="18"/>
  <c r="P89" i="18"/>
  <c r="Q89" i="18"/>
  <c r="R89" i="18"/>
  <c r="S89" i="18"/>
  <c r="T89" i="18"/>
  <c r="U89" i="18"/>
  <c r="V89" i="18"/>
  <c r="W89" i="18"/>
  <c r="X89" i="18"/>
  <c r="Y89" i="18"/>
  <c r="Z89" i="18"/>
  <c r="AA89" i="18"/>
  <c r="AB89" i="18"/>
  <c r="AC89" i="18"/>
  <c r="AD89" i="18"/>
  <c r="AE89" i="18"/>
  <c r="AF89" i="18"/>
  <c r="AG89" i="18"/>
  <c r="AH89" i="18"/>
  <c r="AI89" i="18"/>
  <c r="AJ89" i="18"/>
  <c r="AK89" i="18"/>
  <c r="AL89" i="18"/>
  <c r="AM89" i="18"/>
  <c r="AN89" i="18"/>
  <c r="AO89" i="18"/>
  <c r="AP89" i="18"/>
  <c r="AQ89" i="18"/>
  <c r="E90" i="18"/>
  <c r="F90" i="18"/>
  <c r="G90" i="18"/>
  <c r="H90" i="18"/>
  <c r="I90" i="18"/>
  <c r="J90" i="18"/>
  <c r="K90" i="18"/>
  <c r="L90" i="18"/>
  <c r="M90" i="18"/>
  <c r="N90" i="18"/>
  <c r="O90" i="18"/>
  <c r="P90" i="18"/>
  <c r="Q90" i="18"/>
  <c r="R90" i="18"/>
  <c r="S90" i="18"/>
  <c r="T90" i="18"/>
  <c r="U90" i="18"/>
  <c r="V90" i="18"/>
  <c r="W90" i="18"/>
  <c r="X90" i="18"/>
  <c r="Y90" i="18"/>
  <c r="Z90" i="18"/>
  <c r="AA90" i="18"/>
  <c r="AB90" i="18"/>
  <c r="AC90" i="18"/>
  <c r="AD90" i="18"/>
  <c r="AE90" i="18"/>
  <c r="AF90" i="18"/>
  <c r="AG90" i="18"/>
  <c r="AH90" i="18"/>
  <c r="AI90" i="18"/>
  <c r="AJ90" i="18"/>
  <c r="AK90" i="18"/>
  <c r="AL90" i="18"/>
  <c r="AM90" i="18"/>
  <c r="AN90" i="18"/>
  <c r="AO90" i="18"/>
  <c r="AP90" i="18"/>
  <c r="AQ90" i="18"/>
  <c r="E91" i="18"/>
  <c r="F91" i="18"/>
  <c r="G91" i="18"/>
  <c r="H91" i="18"/>
  <c r="I91" i="18"/>
  <c r="J91" i="18"/>
  <c r="K91" i="18"/>
  <c r="L91" i="18"/>
  <c r="M91" i="18"/>
  <c r="N91" i="18"/>
  <c r="O91" i="18"/>
  <c r="P91" i="18"/>
  <c r="Q91" i="18"/>
  <c r="R91" i="18"/>
  <c r="S91" i="18"/>
  <c r="T91" i="18"/>
  <c r="U91" i="18"/>
  <c r="V91" i="18"/>
  <c r="W91" i="18"/>
  <c r="X91" i="18"/>
  <c r="Y91" i="18"/>
  <c r="Z91" i="18"/>
  <c r="AA91" i="18"/>
  <c r="AB91" i="18"/>
  <c r="AC91" i="18"/>
  <c r="AD91" i="18"/>
  <c r="AE91" i="18"/>
  <c r="AF91" i="18"/>
  <c r="AG91" i="18"/>
  <c r="AH91" i="18"/>
  <c r="AI91" i="18"/>
  <c r="AJ91" i="18"/>
  <c r="AK91" i="18"/>
  <c r="AL91" i="18"/>
  <c r="AM91" i="18"/>
  <c r="AN91" i="18"/>
  <c r="AO91" i="18"/>
  <c r="AP91" i="18"/>
  <c r="AQ91" i="18"/>
  <c r="E92" i="18"/>
  <c r="F92" i="18"/>
  <c r="G92" i="18"/>
  <c r="H92" i="18"/>
  <c r="I92" i="18"/>
  <c r="J92" i="18"/>
  <c r="K92" i="18"/>
  <c r="L92" i="18"/>
  <c r="M92" i="18"/>
  <c r="N92" i="18"/>
  <c r="O92" i="18"/>
  <c r="P92" i="18"/>
  <c r="Q92" i="18"/>
  <c r="R92" i="18"/>
  <c r="S92" i="18"/>
  <c r="T92" i="18"/>
  <c r="U92" i="18"/>
  <c r="V92" i="18"/>
  <c r="W92" i="18"/>
  <c r="X92" i="18"/>
  <c r="Y92" i="18"/>
  <c r="Z92" i="18"/>
  <c r="AA92" i="18"/>
  <c r="AB92" i="18"/>
  <c r="AC92" i="18"/>
  <c r="AD92" i="18"/>
  <c r="AE92" i="18"/>
  <c r="AF92" i="18"/>
  <c r="AG92" i="18"/>
  <c r="AH92" i="18"/>
  <c r="AI92" i="18"/>
  <c r="AJ92" i="18"/>
  <c r="AK92" i="18"/>
  <c r="AL92" i="18"/>
  <c r="AM92" i="18"/>
  <c r="AN92" i="18"/>
  <c r="AO92" i="18"/>
  <c r="AP92" i="18"/>
  <c r="AQ92" i="18"/>
  <c r="E93" i="18"/>
  <c r="F93" i="18"/>
  <c r="G93" i="18"/>
  <c r="H93" i="18"/>
  <c r="I93" i="18"/>
  <c r="J93" i="18"/>
  <c r="K93" i="18"/>
  <c r="L93" i="18"/>
  <c r="M93" i="18"/>
  <c r="N93" i="18"/>
  <c r="O93" i="18"/>
  <c r="P93" i="18"/>
  <c r="Q93" i="18"/>
  <c r="R93" i="18"/>
  <c r="S93" i="18"/>
  <c r="T93" i="18"/>
  <c r="U93" i="18"/>
  <c r="V93" i="18"/>
  <c r="W93" i="18"/>
  <c r="X93" i="18"/>
  <c r="Y93" i="18"/>
  <c r="Z93" i="18"/>
  <c r="AA93" i="18"/>
  <c r="AB93" i="18"/>
  <c r="AC93" i="18"/>
  <c r="AD93" i="18"/>
  <c r="AE93" i="18"/>
  <c r="AF93" i="18"/>
  <c r="AG93" i="18"/>
  <c r="AH93" i="18"/>
  <c r="AI93" i="18"/>
  <c r="AJ93" i="18"/>
  <c r="AK93" i="18"/>
  <c r="AL93" i="18"/>
  <c r="AM93" i="18"/>
  <c r="AN93" i="18"/>
  <c r="AO93" i="18"/>
  <c r="AP93" i="18"/>
  <c r="AQ93" i="18"/>
  <c r="E94" i="18"/>
  <c r="F94" i="18"/>
  <c r="G94" i="18"/>
  <c r="H94" i="18"/>
  <c r="I94" i="18"/>
  <c r="J94" i="18"/>
  <c r="K94" i="18"/>
  <c r="L94" i="18"/>
  <c r="M94" i="18"/>
  <c r="N94" i="18"/>
  <c r="O94" i="18"/>
  <c r="P94" i="18"/>
  <c r="Q94" i="18"/>
  <c r="R94" i="18"/>
  <c r="S94" i="18"/>
  <c r="T94" i="18"/>
  <c r="U94" i="18"/>
  <c r="V94" i="18"/>
  <c r="W94" i="18"/>
  <c r="X94" i="18"/>
  <c r="Y94" i="18"/>
  <c r="Z94" i="18"/>
  <c r="AA94" i="18"/>
  <c r="AB94" i="18"/>
  <c r="AC94" i="18"/>
  <c r="AD94" i="18"/>
  <c r="AE94" i="18"/>
  <c r="AF94" i="18"/>
  <c r="AG94" i="18"/>
  <c r="AH94" i="18"/>
  <c r="AI94" i="18"/>
  <c r="AJ94" i="18"/>
  <c r="AK94" i="18"/>
  <c r="AL94" i="18"/>
  <c r="AM94" i="18"/>
  <c r="AN94" i="18"/>
  <c r="AO94" i="18"/>
  <c r="AP94" i="18"/>
  <c r="AQ94" i="18"/>
  <c r="E95" i="18"/>
  <c r="F95" i="18"/>
  <c r="G95" i="18"/>
  <c r="H95" i="18"/>
  <c r="I95" i="18"/>
  <c r="J95" i="18"/>
  <c r="K95" i="18"/>
  <c r="L95" i="18"/>
  <c r="M95" i="18"/>
  <c r="N95" i="18"/>
  <c r="O95" i="18"/>
  <c r="P95" i="18"/>
  <c r="Q95" i="18"/>
  <c r="R95" i="18"/>
  <c r="S95" i="18"/>
  <c r="T95" i="18"/>
  <c r="U95" i="18"/>
  <c r="V95" i="18"/>
  <c r="W95" i="18"/>
  <c r="X95" i="18"/>
  <c r="Y95" i="18"/>
  <c r="Z95" i="18"/>
  <c r="AA95" i="18"/>
  <c r="AB95" i="18"/>
  <c r="AC95" i="18"/>
  <c r="AD95" i="18"/>
  <c r="AE95" i="18"/>
  <c r="AF95" i="18"/>
  <c r="AG95" i="18"/>
  <c r="AH95" i="18"/>
  <c r="AI95" i="18"/>
  <c r="AJ95" i="18"/>
  <c r="AK95" i="18"/>
  <c r="AL95" i="18"/>
  <c r="AM95" i="18"/>
  <c r="AN95" i="18"/>
  <c r="AO95" i="18"/>
  <c r="AP95" i="18"/>
  <c r="AQ95" i="18"/>
  <c r="E96" i="18"/>
  <c r="F96" i="18"/>
  <c r="G96" i="18"/>
  <c r="H96" i="18"/>
  <c r="I96" i="18"/>
  <c r="J96" i="18"/>
  <c r="K96" i="18"/>
  <c r="L96" i="18"/>
  <c r="M96" i="18"/>
  <c r="N96" i="18"/>
  <c r="O96" i="18"/>
  <c r="P96" i="18"/>
  <c r="Q96" i="18"/>
  <c r="R96" i="18"/>
  <c r="S96" i="18"/>
  <c r="T96" i="18"/>
  <c r="U96" i="18"/>
  <c r="V96" i="18"/>
  <c r="W96" i="18"/>
  <c r="X96" i="18"/>
  <c r="Y96" i="18"/>
  <c r="Z96" i="18"/>
  <c r="AA96" i="18"/>
  <c r="AB96" i="18"/>
  <c r="AC96" i="18"/>
  <c r="AD96" i="18"/>
  <c r="AE96" i="18"/>
  <c r="AF96" i="18"/>
  <c r="AG96" i="18"/>
  <c r="AH96" i="18"/>
  <c r="AI96" i="18"/>
  <c r="AJ96" i="18"/>
  <c r="AK96" i="18"/>
  <c r="AL96" i="18"/>
  <c r="AM96" i="18"/>
  <c r="AN96" i="18"/>
  <c r="AO96" i="18"/>
  <c r="AP96" i="18"/>
  <c r="AQ96" i="18"/>
  <c r="E97" i="18"/>
  <c r="F97" i="18"/>
  <c r="G97" i="18"/>
  <c r="H97" i="18"/>
  <c r="I97" i="18"/>
  <c r="J97" i="18"/>
  <c r="K97" i="18"/>
  <c r="L97" i="18"/>
  <c r="M97" i="18"/>
  <c r="N97" i="18"/>
  <c r="O97" i="18"/>
  <c r="P97" i="18"/>
  <c r="Q97" i="18"/>
  <c r="R97" i="18"/>
  <c r="S97" i="18"/>
  <c r="T97" i="18"/>
  <c r="U97" i="18"/>
  <c r="V97" i="18"/>
  <c r="W97" i="18"/>
  <c r="X97" i="18"/>
  <c r="Y97" i="18"/>
  <c r="Z97" i="18"/>
  <c r="AA97" i="18"/>
  <c r="AB97" i="18"/>
  <c r="AC97" i="18"/>
  <c r="AD97" i="18"/>
  <c r="AE97" i="18"/>
  <c r="AF97" i="18"/>
  <c r="AG97" i="18"/>
  <c r="AH97" i="18"/>
  <c r="AI97" i="18"/>
  <c r="AJ97" i="18"/>
  <c r="AK97" i="18"/>
  <c r="AL97" i="18"/>
  <c r="AM97" i="18"/>
  <c r="AN97" i="18"/>
  <c r="AO97" i="18"/>
  <c r="AP97" i="18"/>
  <c r="AQ97" i="18"/>
  <c r="E98" i="18"/>
  <c r="F98" i="18"/>
  <c r="G98" i="18"/>
  <c r="H98" i="18"/>
  <c r="I98" i="18"/>
  <c r="J98" i="18"/>
  <c r="K98" i="18"/>
  <c r="L98" i="18"/>
  <c r="M98" i="18"/>
  <c r="N98" i="18"/>
  <c r="O98" i="18"/>
  <c r="P98" i="18"/>
  <c r="Q98" i="18"/>
  <c r="R98" i="18"/>
  <c r="S98" i="18"/>
  <c r="T98" i="18"/>
  <c r="U98" i="18"/>
  <c r="V98" i="18"/>
  <c r="W98" i="18"/>
  <c r="X98" i="18"/>
  <c r="Y98" i="18"/>
  <c r="Z98" i="18"/>
  <c r="AA98" i="18"/>
  <c r="AB98" i="18"/>
  <c r="AC98" i="18"/>
  <c r="AD98" i="18"/>
  <c r="AE98" i="18"/>
  <c r="AF98" i="18"/>
  <c r="AG98" i="18"/>
  <c r="AH98" i="18"/>
  <c r="AI98" i="18"/>
  <c r="AJ98" i="18"/>
  <c r="AK98" i="18"/>
  <c r="AL98" i="18"/>
  <c r="AM98" i="18"/>
  <c r="AN98" i="18"/>
  <c r="AO98" i="18"/>
  <c r="AP98" i="18"/>
  <c r="AQ98" i="18"/>
  <c r="E99" i="18"/>
  <c r="F99" i="18"/>
  <c r="G99" i="18"/>
  <c r="H99" i="18"/>
  <c r="I99" i="18"/>
  <c r="J99" i="18"/>
  <c r="K99" i="18"/>
  <c r="L99" i="18"/>
  <c r="M99" i="18"/>
  <c r="N99" i="18"/>
  <c r="O99" i="18"/>
  <c r="P99" i="18"/>
  <c r="Q99" i="18"/>
  <c r="R99" i="18"/>
  <c r="S99" i="18"/>
  <c r="T99" i="18"/>
  <c r="U99" i="18"/>
  <c r="V99" i="18"/>
  <c r="W99" i="18"/>
  <c r="X99" i="18"/>
  <c r="Y99" i="18"/>
  <c r="Z99" i="18"/>
  <c r="AA99" i="18"/>
  <c r="AB99" i="18"/>
  <c r="AC99" i="18"/>
  <c r="AD99" i="18"/>
  <c r="AE99" i="18"/>
  <c r="AF99" i="18"/>
  <c r="AG99" i="18"/>
  <c r="AH99" i="18"/>
  <c r="AI99" i="18"/>
  <c r="AJ99" i="18"/>
  <c r="AK99" i="18"/>
  <c r="AL99" i="18"/>
  <c r="AM99" i="18"/>
  <c r="AN99" i="18"/>
  <c r="AO99" i="18"/>
  <c r="AP99" i="18"/>
  <c r="AQ99" i="18"/>
  <c r="E100" i="18"/>
  <c r="F100" i="18"/>
  <c r="G100" i="18"/>
  <c r="H100" i="18"/>
  <c r="I100" i="18"/>
  <c r="J100" i="18"/>
  <c r="K100" i="18"/>
  <c r="L100" i="18"/>
  <c r="M100" i="18"/>
  <c r="N100" i="18"/>
  <c r="O100" i="18"/>
  <c r="P100" i="18"/>
  <c r="Q100" i="18"/>
  <c r="R100" i="18"/>
  <c r="S100" i="18"/>
  <c r="T100" i="18"/>
  <c r="U100" i="18"/>
  <c r="V100" i="18"/>
  <c r="W100" i="18"/>
  <c r="X100" i="18"/>
  <c r="Y100" i="18"/>
  <c r="Z100" i="18"/>
  <c r="AA100" i="18"/>
  <c r="AB100" i="18"/>
  <c r="AC100" i="18"/>
  <c r="AD100" i="18"/>
  <c r="AE100" i="18"/>
  <c r="AF100" i="18"/>
  <c r="AG100" i="18"/>
  <c r="AH100" i="18"/>
  <c r="AI100" i="18"/>
  <c r="AJ100" i="18"/>
  <c r="AK100" i="18"/>
  <c r="AL100" i="18"/>
  <c r="AM100" i="18"/>
  <c r="AN100" i="18"/>
  <c r="AO100" i="18"/>
  <c r="AP100" i="18"/>
  <c r="AQ100" i="18"/>
  <c r="E101" i="18"/>
  <c r="F101" i="18"/>
  <c r="G101" i="18"/>
  <c r="H101" i="18"/>
  <c r="I101" i="18"/>
  <c r="J101" i="18"/>
  <c r="K101" i="18"/>
  <c r="L101" i="18"/>
  <c r="M101" i="18"/>
  <c r="N101" i="18"/>
  <c r="O101" i="18"/>
  <c r="P101" i="18"/>
  <c r="Q101" i="18"/>
  <c r="R101" i="18"/>
  <c r="S101" i="18"/>
  <c r="T101" i="18"/>
  <c r="U101" i="18"/>
  <c r="V101" i="18"/>
  <c r="W101" i="18"/>
  <c r="X101" i="18"/>
  <c r="Y101" i="18"/>
  <c r="Z101" i="18"/>
  <c r="AA101" i="18"/>
  <c r="AB101" i="18"/>
  <c r="AC101" i="18"/>
  <c r="AD101" i="18"/>
  <c r="AE101" i="18"/>
  <c r="AF101" i="18"/>
  <c r="AG101" i="18"/>
  <c r="AH101" i="18"/>
  <c r="AI101" i="18"/>
  <c r="AJ101" i="18"/>
  <c r="AK101" i="18"/>
  <c r="AL101" i="18"/>
  <c r="AM101" i="18"/>
  <c r="AN101" i="18"/>
  <c r="AO101" i="18"/>
  <c r="AP101" i="18"/>
  <c r="AQ101" i="18"/>
  <c r="E102" i="18"/>
  <c r="F102" i="18"/>
  <c r="G102" i="18"/>
  <c r="H102" i="18"/>
  <c r="I102" i="18"/>
  <c r="J102" i="18"/>
  <c r="K102" i="18"/>
  <c r="L102" i="18"/>
  <c r="M102" i="18"/>
  <c r="N102" i="18"/>
  <c r="O102" i="18"/>
  <c r="P102" i="18"/>
  <c r="Q102" i="18"/>
  <c r="R102" i="18"/>
  <c r="S102" i="18"/>
  <c r="T102" i="18"/>
  <c r="U102" i="18"/>
  <c r="V102" i="18"/>
  <c r="W102" i="18"/>
  <c r="X102" i="18"/>
  <c r="Y102" i="18"/>
  <c r="Z102" i="18"/>
  <c r="AA102" i="18"/>
  <c r="AB102" i="18"/>
  <c r="AC102" i="18"/>
  <c r="AD102" i="18"/>
  <c r="AE102" i="18"/>
  <c r="AF102" i="18"/>
  <c r="AG102" i="18"/>
  <c r="AH102" i="18"/>
  <c r="AI102" i="18"/>
  <c r="AJ102" i="18"/>
  <c r="AK102" i="18"/>
  <c r="AL102" i="18"/>
  <c r="AM102" i="18"/>
  <c r="AN102" i="18"/>
  <c r="AO102" i="18"/>
  <c r="AP102" i="18"/>
  <c r="AQ102" i="18"/>
  <c r="E103" i="18"/>
  <c r="F103" i="18"/>
  <c r="G103" i="18"/>
  <c r="H103" i="18"/>
  <c r="I103" i="18"/>
  <c r="J103" i="18"/>
  <c r="K103" i="18"/>
  <c r="L103" i="18"/>
  <c r="M103" i="18"/>
  <c r="N103" i="18"/>
  <c r="O103" i="18"/>
  <c r="P103" i="18"/>
  <c r="Q103" i="18"/>
  <c r="R103" i="18"/>
  <c r="S103" i="18"/>
  <c r="T103" i="18"/>
  <c r="U103" i="18"/>
  <c r="V103" i="18"/>
  <c r="W103" i="18"/>
  <c r="X103" i="18"/>
  <c r="Y103" i="18"/>
  <c r="Z103" i="18"/>
  <c r="AA103" i="18"/>
  <c r="AB103" i="18"/>
  <c r="AC103" i="18"/>
  <c r="AD103" i="18"/>
  <c r="AE103" i="18"/>
  <c r="AF103" i="18"/>
  <c r="AG103" i="18"/>
  <c r="AH103" i="18"/>
  <c r="AI103" i="18"/>
  <c r="AJ103" i="18"/>
  <c r="AK103" i="18"/>
  <c r="AL103" i="18"/>
  <c r="AM103" i="18"/>
  <c r="AN103" i="18"/>
  <c r="AO103" i="18"/>
  <c r="AP103" i="18"/>
  <c r="AQ103" i="18"/>
  <c r="E104" i="18"/>
  <c r="F104" i="18"/>
  <c r="G104" i="18"/>
  <c r="H104" i="18"/>
  <c r="I104" i="18"/>
  <c r="J104" i="18"/>
  <c r="K104" i="18"/>
  <c r="L104" i="18"/>
  <c r="M104" i="18"/>
  <c r="N104" i="18"/>
  <c r="O104" i="18"/>
  <c r="P104" i="18"/>
  <c r="Q104" i="18"/>
  <c r="R104" i="18"/>
  <c r="S104" i="18"/>
  <c r="T104" i="18"/>
  <c r="U104" i="18"/>
  <c r="V104" i="18"/>
  <c r="W104" i="18"/>
  <c r="X104" i="18"/>
  <c r="Y104" i="18"/>
  <c r="Z104" i="18"/>
  <c r="AA104" i="18"/>
  <c r="AB104" i="18"/>
  <c r="AC104" i="18"/>
  <c r="AD104" i="18"/>
  <c r="AE104" i="18"/>
  <c r="AF104" i="18"/>
  <c r="AG104" i="18"/>
  <c r="AH104" i="18"/>
  <c r="AI104" i="18"/>
  <c r="AJ104" i="18"/>
  <c r="AK104" i="18"/>
  <c r="AL104" i="18"/>
  <c r="AM104" i="18"/>
  <c r="AN104" i="18"/>
  <c r="AO104" i="18"/>
  <c r="AP104" i="18"/>
  <c r="AQ104" i="18"/>
  <c r="E105" i="18"/>
  <c r="F105" i="18"/>
  <c r="G105" i="18"/>
  <c r="H105" i="18"/>
  <c r="I105" i="18"/>
  <c r="J105" i="18"/>
  <c r="K105" i="18"/>
  <c r="L105" i="18"/>
  <c r="M105" i="18"/>
  <c r="N105" i="18"/>
  <c r="O105" i="18"/>
  <c r="P105" i="18"/>
  <c r="Q105" i="18"/>
  <c r="R105" i="18"/>
  <c r="S105" i="18"/>
  <c r="T105" i="18"/>
  <c r="U105" i="18"/>
  <c r="V105" i="18"/>
  <c r="W105" i="18"/>
  <c r="X105" i="18"/>
  <c r="Y105" i="18"/>
  <c r="Z105" i="18"/>
  <c r="AA105" i="18"/>
  <c r="AB105" i="18"/>
  <c r="AC105" i="18"/>
  <c r="AD105" i="18"/>
  <c r="AE105" i="18"/>
  <c r="AF105" i="18"/>
  <c r="AG105" i="18"/>
  <c r="AH105" i="18"/>
  <c r="AI105" i="18"/>
  <c r="AJ105" i="18"/>
  <c r="AK105" i="18"/>
  <c r="AL105" i="18"/>
  <c r="AM105" i="18"/>
  <c r="AN105" i="18"/>
  <c r="AO105" i="18"/>
  <c r="AP105" i="18"/>
  <c r="AQ105" i="18"/>
  <c r="E106" i="18"/>
  <c r="F106" i="18"/>
  <c r="G106" i="18"/>
  <c r="H106" i="18"/>
  <c r="I106" i="18"/>
  <c r="J106" i="18"/>
  <c r="K106" i="18"/>
  <c r="L106" i="18"/>
  <c r="M106" i="18"/>
  <c r="N106" i="18"/>
  <c r="O106" i="18"/>
  <c r="P106" i="18"/>
  <c r="Q106" i="18"/>
  <c r="R106" i="18"/>
  <c r="S106" i="18"/>
  <c r="T106" i="18"/>
  <c r="U106" i="18"/>
  <c r="V106" i="18"/>
  <c r="W106" i="18"/>
  <c r="X106" i="18"/>
  <c r="Y106" i="18"/>
  <c r="Z106" i="18"/>
  <c r="AA106" i="18"/>
  <c r="AB106" i="18"/>
  <c r="AC106" i="18"/>
  <c r="AD106" i="18"/>
  <c r="AE106" i="18"/>
  <c r="AF106" i="18"/>
  <c r="AG106" i="18"/>
  <c r="AH106" i="18"/>
  <c r="AI106" i="18"/>
  <c r="AJ106" i="18"/>
  <c r="AK106" i="18"/>
  <c r="AL106" i="18"/>
  <c r="AM106" i="18"/>
  <c r="AN106" i="18"/>
  <c r="AO106" i="18"/>
  <c r="AP106" i="18"/>
  <c r="AQ106" i="18"/>
  <c r="E107" i="18"/>
  <c r="F107" i="18"/>
  <c r="G107" i="18"/>
  <c r="H107" i="18"/>
  <c r="I107" i="18"/>
  <c r="J107" i="18"/>
  <c r="K107" i="18"/>
  <c r="L107" i="18"/>
  <c r="M107" i="18"/>
  <c r="N107" i="18"/>
  <c r="O107" i="18"/>
  <c r="P107" i="18"/>
  <c r="Q107" i="18"/>
  <c r="R107" i="18"/>
  <c r="S107" i="18"/>
  <c r="T107" i="18"/>
  <c r="U107" i="18"/>
  <c r="V107" i="18"/>
  <c r="W107" i="18"/>
  <c r="X107" i="18"/>
  <c r="Y107" i="18"/>
  <c r="Z107" i="18"/>
  <c r="AA107" i="18"/>
  <c r="AB107" i="18"/>
  <c r="AC107" i="18"/>
  <c r="AD107" i="18"/>
  <c r="AE107" i="18"/>
  <c r="AF107" i="18"/>
  <c r="AG107" i="18"/>
  <c r="AH107" i="18"/>
  <c r="AI107" i="18"/>
  <c r="AJ107" i="18"/>
  <c r="AK107" i="18"/>
  <c r="AL107" i="18"/>
  <c r="AM107" i="18"/>
  <c r="AN107" i="18"/>
  <c r="AO107" i="18"/>
  <c r="AP107" i="18"/>
  <c r="AQ107" i="18"/>
  <c r="E108" i="18"/>
  <c r="F108" i="18"/>
  <c r="G108" i="18"/>
  <c r="H108" i="18"/>
  <c r="I108" i="18"/>
  <c r="J108" i="18"/>
  <c r="K108" i="18"/>
  <c r="L108" i="18"/>
  <c r="M108" i="18"/>
  <c r="N108" i="18"/>
  <c r="O108" i="18"/>
  <c r="P108" i="18"/>
  <c r="Q108" i="18"/>
  <c r="R108" i="18"/>
  <c r="S108" i="18"/>
  <c r="T108" i="18"/>
  <c r="U108" i="18"/>
  <c r="V108" i="18"/>
  <c r="W108" i="18"/>
  <c r="X108" i="18"/>
  <c r="Y108" i="18"/>
  <c r="Z108" i="18"/>
  <c r="AA108" i="18"/>
  <c r="AB108" i="18"/>
  <c r="AC108" i="18"/>
  <c r="AD108" i="18"/>
  <c r="AE108" i="18"/>
  <c r="AF108" i="18"/>
  <c r="AG108" i="18"/>
  <c r="AH108" i="18"/>
  <c r="AI108" i="18"/>
  <c r="AJ108" i="18"/>
  <c r="AK108" i="18"/>
  <c r="AL108" i="18"/>
  <c r="AM108" i="18"/>
  <c r="AN108" i="18"/>
  <c r="AO108" i="18"/>
  <c r="AP108" i="18"/>
  <c r="AQ108" i="18"/>
  <c r="E109" i="18"/>
  <c r="F109" i="18"/>
  <c r="G109" i="18"/>
  <c r="H109" i="18"/>
  <c r="I109" i="18"/>
  <c r="J109" i="18"/>
  <c r="K109" i="18"/>
  <c r="L109" i="18"/>
  <c r="M109" i="18"/>
  <c r="N109" i="18"/>
  <c r="O109" i="18"/>
  <c r="P109" i="18"/>
  <c r="Q109" i="18"/>
  <c r="R109" i="18"/>
  <c r="S109" i="18"/>
  <c r="T109" i="18"/>
  <c r="U109" i="18"/>
  <c r="V109" i="18"/>
  <c r="W109" i="18"/>
  <c r="X109" i="18"/>
  <c r="Y109" i="18"/>
  <c r="Z109" i="18"/>
  <c r="AA109" i="18"/>
  <c r="AB109" i="18"/>
  <c r="AC109" i="18"/>
  <c r="AD109" i="18"/>
  <c r="AE109" i="18"/>
  <c r="AF109" i="18"/>
  <c r="AG109" i="18"/>
  <c r="AH109" i="18"/>
  <c r="AI109" i="18"/>
  <c r="AJ109" i="18"/>
  <c r="AK109" i="18"/>
  <c r="AL109" i="18"/>
  <c r="AM109" i="18"/>
  <c r="AN109" i="18"/>
  <c r="AO109" i="18"/>
  <c r="AP109" i="18"/>
  <c r="AQ109" i="18"/>
  <c r="E110" i="18"/>
  <c r="F110" i="18"/>
  <c r="G110" i="18"/>
  <c r="H110" i="18"/>
  <c r="I110" i="18"/>
  <c r="J110" i="18"/>
  <c r="K110" i="18"/>
  <c r="L110" i="18"/>
  <c r="M110" i="18"/>
  <c r="N110" i="18"/>
  <c r="O110" i="18"/>
  <c r="P110" i="18"/>
  <c r="Q110" i="18"/>
  <c r="R110" i="18"/>
  <c r="S110" i="18"/>
  <c r="T110" i="18"/>
  <c r="U110" i="18"/>
  <c r="V110" i="18"/>
  <c r="W110" i="18"/>
  <c r="X110" i="18"/>
  <c r="Y110" i="18"/>
  <c r="Z110" i="18"/>
  <c r="AA110" i="18"/>
  <c r="AB110" i="18"/>
  <c r="AC110" i="18"/>
  <c r="AD110" i="18"/>
  <c r="AE110" i="18"/>
  <c r="AF110" i="18"/>
  <c r="AG110" i="18"/>
  <c r="AH110" i="18"/>
  <c r="AI110" i="18"/>
  <c r="AJ110" i="18"/>
  <c r="AK110" i="18"/>
  <c r="AL110" i="18"/>
  <c r="AM110" i="18"/>
  <c r="AN110" i="18"/>
  <c r="AO110" i="18"/>
  <c r="AP110" i="18"/>
  <c r="AQ110" i="18"/>
  <c r="E111" i="18"/>
  <c r="F111" i="18"/>
  <c r="G111" i="18"/>
  <c r="H111" i="18"/>
  <c r="I111" i="18"/>
  <c r="J111" i="18"/>
  <c r="K111" i="18"/>
  <c r="L111" i="18"/>
  <c r="M111" i="18"/>
  <c r="N111" i="18"/>
  <c r="O111" i="18"/>
  <c r="P111" i="18"/>
  <c r="Q111" i="18"/>
  <c r="R111" i="18"/>
  <c r="S111" i="18"/>
  <c r="T111" i="18"/>
  <c r="U111" i="18"/>
  <c r="V111" i="18"/>
  <c r="W111" i="18"/>
  <c r="X111" i="18"/>
  <c r="Y111" i="18"/>
  <c r="Z111" i="18"/>
  <c r="AA111" i="18"/>
  <c r="AB111" i="18"/>
  <c r="AC111" i="18"/>
  <c r="AD111" i="18"/>
  <c r="AE111" i="18"/>
  <c r="AF111" i="18"/>
  <c r="AG111" i="18"/>
  <c r="AH111" i="18"/>
  <c r="AI111" i="18"/>
  <c r="AJ111" i="18"/>
  <c r="AK111" i="18"/>
  <c r="AL111" i="18"/>
  <c r="AM111" i="18"/>
  <c r="AN111" i="18"/>
  <c r="AO111" i="18"/>
  <c r="AP111" i="18"/>
  <c r="AQ111" i="18"/>
  <c r="E112" i="18"/>
  <c r="F112" i="18"/>
  <c r="G112" i="18"/>
  <c r="H112" i="18"/>
  <c r="I112" i="18"/>
  <c r="J112" i="18"/>
  <c r="K112" i="18"/>
  <c r="L112" i="18"/>
  <c r="M112" i="18"/>
  <c r="N112" i="18"/>
  <c r="O112" i="18"/>
  <c r="P112" i="18"/>
  <c r="Q112" i="18"/>
  <c r="R112" i="18"/>
  <c r="S112" i="18"/>
  <c r="T112" i="18"/>
  <c r="U112" i="18"/>
  <c r="V112" i="18"/>
  <c r="W112" i="18"/>
  <c r="X112" i="18"/>
  <c r="Y112" i="18"/>
  <c r="Z112" i="18"/>
  <c r="AA112" i="18"/>
  <c r="AB112" i="18"/>
  <c r="AC112" i="18"/>
  <c r="AD112" i="18"/>
  <c r="AE112" i="18"/>
  <c r="AF112" i="18"/>
  <c r="AG112" i="18"/>
  <c r="AH112" i="18"/>
  <c r="AI112" i="18"/>
  <c r="AJ112" i="18"/>
  <c r="AK112" i="18"/>
  <c r="AL112" i="18"/>
  <c r="AM112" i="18"/>
  <c r="AN112" i="18"/>
  <c r="AO112" i="18"/>
  <c r="AP112" i="18"/>
  <c r="AQ112" i="18"/>
  <c r="E113" i="18"/>
  <c r="F113" i="18"/>
  <c r="G113" i="18"/>
  <c r="H113" i="18"/>
  <c r="I113" i="18"/>
  <c r="J113" i="18"/>
  <c r="K113" i="18"/>
  <c r="L113" i="18"/>
  <c r="M113" i="18"/>
  <c r="N113" i="18"/>
  <c r="O113" i="18"/>
  <c r="P113" i="18"/>
  <c r="Q113" i="18"/>
  <c r="R113" i="18"/>
  <c r="S113" i="18"/>
  <c r="T113" i="18"/>
  <c r="U113" i="18"/>
  <c r="V113" i="18"/>
  <c r="W113" i="18"/>
  <c r="X113" i="18"/>
  <c r="Y113" i="18"/>
  <c r="Z113" i="18"/>
  <c r="AA113" i="18"/>
  <c r="AB113" i="18"/>
  <c r="AC113" i="18"/>
  <c r="AD113" i="18"/>
  <c r="AE113" i="18"/>
  <c r="AF113" i="18"/>
  <c r="AG113" i="18"/>
  <c r="AH113" i="18"/>
  <c r="AI113" i="18"/>
  <c r="AJ113" i="18"/>
  <c r="AK113" i="18"/>
  <c r="AL113" i="18"/>
  <c r="AM113" i="18"/>
  <c r="AN113" i="18"/>
  <c r="AO113" i="18"/>
  <c r="AP113" i="18"/>
  <c r="AQ113" i="18"/>
  <c r="E114" i="18"/>
  <c r="F114" i="18"/>
  <c r="G114" i="18"/>
  <c r="H114" i="18"/>
  <c r="I114" i="18"/>
  <c r="J114" i="18"/>
  <c r="K114" i="18"/>
  <c r="L114" i="18"/>
  <c r="M114" i="18"/>
  <c r="N114" i="18"/>
  <c r="O114" i="18"/>
  <c r="P114" i="18"/>
  <c r="Q114" i="18"/>
  <c r="R114" i="18"/>
  <c r="S114" i="18"/>
  <c r="T114" i="18"/>
  <c r="U114" i="18"/>
  <c r="V114" i="18"/>
  <c r="W114" i="18"/>
  <c r="X114" i="18"/>
  <c r="Y114" i="18"/>
  <c r="Z114" i="18"/>
  <c r="AA114" i="18"/>
  <c r="AB114" i="18"/>
  <c r="AC114" i="18"/>
  <c r="AD114" i="18"/>
  <c r="AE114" i="18"/>
  <c r="AF114" i="18"/>
  <c r="AG114" i="18"/>
  <c r="AH114" i="18"/>
  <c r="AI114" i="18"/>
  <c r="AJ114" i="18"/>
  <c r="AK114" i="18"/>
  <c r="AL114" i="18"/>
  <c r="AM114" i="18"/>
  <c r="AN114" i="18"/>
  <c r="AO114" i="18"/>
  <c r="AP114" i="18"/>
  <c r="AQ114" i="18"/>
  <c r="E115" i="18"/>
  <c r="F115" i="18"/>
  <c r="G115" i="18"/>
  <c r="H115" i="18"/>
  <c r="I115" i="18"/>
  <c r="J115" i="18"/>
  <c r="K115" i="18"/>
  <c r="L115" i="18"/>
  <c r="M115" i="18"/>
  <c r="N115" i="18"/>
  <c r="O115" i="18"/>
  <c r="P115" i="18"/>
  <c r="Q115" i="18"/>
  <c r="R115" i="18"/>
  <c r="S115" i="18"/>
  <c r="T115" i="18"/>
  <c r="U115" i="18"/>
  <c r="V115" i="18"/>
  <c r="W115" i="18"/>
  <c r="X115" i="18"/>
  <c r="Y115" i="18"/>
  <c r="Z115" i="18"/>
  <c r="AA115" i="18"/>
  <c r="AB115" i="18"/>
  <c r="AC115" i="18"/>
  <c r="AD115" i="18"/>
  <c r="AE115" i="18"/>
  <c r="AF115" i="18"/>
  <c r="AG115" i="18"/>
  <c r="AH115" i="18"/>
  <c r="AI115" i="18"/>
  <c r="AJ115" i="18"/>
  <c r="AK115" i="18"/>
  <c r="AL115" i="18"/>
  <c r="AM115" i="18"/>
  <c r="AN115" i="18"/>
  <c r="AO115" i="18"/>
  <c r="AP115" i="18"/>
  <c r="AQ115" i="18"/>
  <c r="E116" i="18"/>
  <c r="F116" i="18"/>
  <c r="G116" i="18"/>
  <c r="H116" i="18"/>
  <c r="I116" i="18"/>
  <c r="J116" i="18"/>
  <c r="K116" i="18"/>
  <c r="L116" i="18"/>
  <c r="M116" i="18"/>
  <c r="N116" i="18"/>
  <c r="O116" i="18"/>
  <c r="P116" i="18"/>
  <c r="Q116" i="18"/>
  <c r="R116" i="18"/>
  <c r="S116" i="18"/>
  <c r="T116" i="18"/>
  <c r="U116" i="18"/>
  <c r="V116" i="18"/>
  <c r="W116" i="18"/>
  <c r="X116" i="18"/>
  <c r="Y116" i="18"/>
  <c r="Z116" i="18"/>
  <c r="AA116" i="18"/>
  <c r="AB116" i="18"/>
  <c r="AC116" i="18"/>
  <c r="AD116" i="18"/>
  <c r="AE116" i="18"/>
  <c r="AF116" i="18"/>
  <c r="AG116" i="18"/>
  <c r="AH116" i="18"/>
  <c r="AI116" i="18"/>
  <c r="AJ116" i="18"/>
  <c r="AK116" i="18"/>
  <c r="AL116" i="18"/>
  <c r="AM116" i="18"/>
  <c r="AN116" i="18"/>
  <c r="AO116" i="18"/>
  <c r="AP116" i="18"/>
  <c r="AQ116" i="18"/>
  <c r="E117" i="18"/>
  <c r="F117" i="18"/>
  <c r="G117" i="18"/>
  <c r="H117" i="18"/>
  <c r="I117" i="18"/>
  <c r="J117" i="18"/>
  <c r="K117" i="18"/>
  <c r="L117" i="18"/>
  <c r="M117" i="18"/>
  <c r="N117" i="18"/>
  <c r="O117" i="18"/>
  <c r="P117" i="18"/>
  <c r="Q117" i="18"/>
  <c r="R117" i="18"/>
  <c r="S117" i="18"/>
  <c r="T117" i="18"/>
  <c r="U117" i="18"/>
  <c r="V117" i="18"/>
  <c r="W117" i="18"/>
  <c r="X117" i="18"/>
  <c r="Y117" i="18"/>
  <c r="Z117" i="18"/>
  <c r="AA117" i="18"/>
  <c r="AB117" i="18"/>
  <c r="AC117" i="18"/>
  <c r="AD117" i="18"/>
  <c r="AE117" i="18"/>
  <c r="AF117" i="18"/>
  <c r="AG117" i="18"/>
  <c r="AH117" i="18"/>
  <c r="AI117" i="18"/>
  <c r="AJ117" i="18"/>
  <c r="AK117" i="18"/>
  <c r="AL117" i="18"/>
  <c r="AM117" i="18"/>
  <c r="AN117" i="18"/>
  <c r="AO117" i="18"/>
  <c r="AP117" i="18"/>
  <c r="AQ117" i="18"/>
  <c r="E118" i="18"/>
  <c r="F118" i="18"/>
  <c r="G118" i="18"/>
  <c r="H118" i="18"/>
  <c r="I118" i="18"/>
  <c r="J118" i="18"/>
  <c r="K118" i="18"/>
  <c r="L118" i="18"/>
  <c r="M118" i="18"/>
  <c r="N118" i="18"/>
  <c r="O118" i="18"/>
  <c r="P118" i="18"/>
  <c r="Q118" i="18"/>
  <c r="R118" i="18"/>
  <c r="S118" i="18"/>
  <c r="T118" i="18"/>
  <c r="U118" i="18"/>
  <c r="V118" i="18"/>
  <c r="W118" i="18"/>
  <c r="X118" i="18"/>
  <c r="Y118" i="18"/>
  <c r="Z118" i="18"/>
  <c r="AA118" i="18"/>
  <c r="AB118" i="18"/>
  <c r="AC118" i="18"/>
  <c r="AD118" i="18"/>
  <c r="AE118" i="18"/>
  <c r="AF118" i="18"/>
  <c r="AG118" i="18"/>
  <c r="AH118" i="18"/>
  <c r="AI118" i="18"/>
  <c r="AJ118" i="18"/>
  <c r="AK118" i="18"/>
  <c r="AL118" i="18"/>
  <c r="AM118" i="18"/>
  <c r="AN118" i="18"/>
  <c r="AO118" i="18"/>
  <c r="AP118" i="18"/>
  <c r="AQ118" i="18"/>
  <c r="E119" i="18"/>
  <c r="F119" i="18"/>
  <c r="G119" i="18"/>
  <c r="H119" i="18"/>
  <c r="I119" i="18"/>
  <c r="J119" i="18"/>
  <c r="K119" i="18"/>
  <c r="L119" i="18"/>
  <c r="M119" i="18"/>
  <c r="N119" i="18"/>
  <c r="O119" i="18"/>
  <c r="P119" i="18"/>
  <c r="Q119" i="18"/>
  <c r="R119" i="18"/>
  <c r="S119" i="18"/>
  <c r="T119" i="18"/>
  <c r="U119" i="18"/>
  <c r="V119" i="18"/>
  <c r="W119" i="18"/>
  <c r="X119" i="18"/>
  <c r="Y119" i="18"/>
  <c r="Z119" i="18"/>
  <c r="AA119" i="18"/>
  <c r="AB119" i="18"/>
  <c r="AC119" i="18"/>
  <c r="AD119" i="18"/>
  <c r="AE119" i="18"/>
  <c r="AF119" i="18"/>
  <c r="AG119" i="18"/>
  <c r="AH119" i="18"/>
  <c r="AI119" i="18"/>
  <c r="AJ119" i="18"/>
  <c r="AK119" i="18"/>
  <c r="AL119" i="18"/>
  <c r="AM119" i="18"/>
  <c r="AN119" i="18"/>
  <c r="AO119" i="18"/>
  <c r="AP119" i="18"/>
  <c r="AQ119" i="18"/>
  <c r="E120" i="18"/>
  <c r="F120" i="18"/>
  <c r="G120" i="18"/>
  <c r="H120" i="18"/>
  <c r="I120" i="18"/>
  <c r="J120" i="18"/>
  <c r="K120" i="18"/>
  <c r="L120" i="18"/>
  <c r="M120" i="18"/>
  <c r="N120" i="18"/>
  <c r="O120" i="18"/>
  <c r="P120" i="18"/>
  <c r="Q120" i="18"/>
  <c r="R120" i="18"/>
  <c r="S120" i="18"/>
  <c r="T120" i="18"/>
  <c r="U120" i="18"/>
  <c r="V120" i="18"/>
  <c r="W120" i="18"/>
  <c r="X120" i="18"/>
  <c r="Y120" i="18"/>
  <c r="Z120" i="18"/>
  <c r="AA120" i="18"/>
  <c r="AB120" i="18"/>
  <c r="AC120" i="18"/>
  <c r="AD120" i="18"/>
  <c r="AE120" i="18"/>
  <c r="AF120" i="18"/>
  <c r="AG120" i="18"/>
  <c r="AH120" i="18"/>
  <c r="AI120" i="18"/>
  <c r="AJ120" i="18"/>
  <c r="AK120" i="18"/>
  <c r="AL120" i="18"/>
  <c r="AM120" i="18"/>
  <c r="AN120" i="18"/>
  <c r="AO120" i="18"/>
  <c r="AP120" i="18"/>
  <c r="AQ120" i="18"/>
  <c r="E121" i="18"/>
  <c r="F121" i="18"/>
  <c r="G121" i="18"/>
  <c r="H121" i="18"/>
  <c r="I121" i="18"/>
  <c r="J121" i="18"/>
  <c r="K121" i="18"/>
  <c r="L121" i="18"/>
  <c r="M121" i="18"/>
  <c r="N121" i="18"/>
  <c r="O121" i="18"/>
  <c r="P121" i="18"/>
  <c r="Q121" i="18"/>
  <c r="R121" i="18"/>
  <c r="S121" i="18"/>
  <c r="T121" i="18"/>
  <c r="U121" i="18"/>
  <c r="V121" i="18"/>
  <c r="W121" i="18"/>
  <c r="X121" i="18"/>
  <c r="Y121" i="18"/>
  <c r="Z121" i="18"/>
  <c r="AA121" i="18"/>
  <c r="AB121" i="18"/>
  <c r="AC121" i="18"/>
  <c r="AD121" i="18"/>
  <c r="AE121" i="18"/>
  <c r="AF121" i="18"/>
  <c r="AG121" i="18"/>
  <c r="AH121" i="18"/>
  <c r="AI121" i="18"/>
  <c r="AJ121" i="18"/>
  <c r="AK121" i="18"/>
  <c r="AL121" i="18"/>
  <c r="AM121" i="18"/>
  <c r="AN121" i="18"/>
  <c r="AO121" i="18"/>
  <c r="AP121" i="18"/>
  <c r="AQ121" i="18"/>
  <c r="E122" i="18"/>
  <c r="F122" i="18"/>
  <c r="G122" i="18"/>
  <c r="H122" i="18"/>
  <c r="I122" i="18"/>
  <c r="J122" i="18"/>
  <c r="K122" i="18"/>
  <c r="L122" i="18"/>
  <c r="M122" i="18"/>
  <c r="N122" i="18"/>
  <c r="O122" i="18"/>
  <c r="P122" i="18"/>
  <c r="Q122" i="18"/>
  <c r="R122" i="18"/>
  <c r="S122" i="18"/>
  <c r="T122" i="18"/>
  <c r="U122" i="18"/>
  <c r="V122" i="18"/>
  <c r="W122" i="18"/>
  <c r="X122" i="18"/>
  <c r="Y122" i="18"/>
  <c r="Z122" i="18"/>
  <c r="AA122" i="18"/>
  <c r="AB122" i="18"/>
  <c r="AC122" i="18"/>
  <c r="AD122" i="18"/>
  <c r="AE122" i="18"/>
  <c r="AF122" i="18"/>
  <c r="AG122" i="18"/>
  <c r="AH122" i="18"/>
  <c r="AI122" i="18"/>
  <c r="AJ122" i="18"/>
  <c r="AK122" i="18"/>
  <c r="AL122" i="18"/>
  <c r="AM122" i="18"/>
  <c r="AN122" i="18"/>
  <c r="AO122" i="18"/>
  <c r="AP122" i="18"/>
  <c r="AQ122" i="18"/>
  <c r="E123" i="18"/>
  <c r="F123" i="18"/>
  <c r="G123" i="18"/>
  <c r="H123" i="18"/>
  <c r="I123" i="18"/>
  <c r="J123" i="18"/>
  <c r="K123" i="18"/>
  <c r="L123" i="18"/>
  <c r="M123" i="18"/>
  <c r="N123" i="18"/>
  <c r="O123" i="18"/>
  <c r="P123" i="18"/>
  <c r="Q123" i="18"/>
  <c r="R123" i="18"/>
  <c r="S123" i="18"/>
  <c r="T123" i="18"/>
  <c r="U123" i="18"/>
  <c r="V123" i="18"/>
  <c r="W123" i="18"/>
  <c r="X123" i="18"/>
  <c r="Y123" i="18"/>
  <c r="Z123" i="18"/>
  <c r="AA123" i="18"/>
  <c r="AB123" i="18"/>
  <c r="AC123" i="18"/>
  <c r="AD123" i="18"/>
  <c r="AE123" i="18"/>
  <c r="AF123" i="18"/>
  <c r="AG123" i="18"/>
  <c r="AH123" i="18"/>
  <c r="AI123" i="18"/>
  <c r="AJ123" i="18"/>
  <c r="AK123" i="18"/>
  <c r="AL123" i="18"/>
  <c r="AM123" i="18"/>
  <c r="AN123" i="18"/>
  <c r="AO123" i="18"/>
  <c r="AP123" i="18"/>
  <c r="AQ123" i="18"/>
  <c r="E124" i="18"/>
  <c r="F124" i="18"/>
  <c r="G124" i="18"/>
  <c r="H124" i="18"/>
  <c r="I124" i="18"/>
  <c r="J124" i="18"/>
  <c r="K124" i="18"/>
  <c r="L124" i="18"/>
  <c r="M124" i="18"/>
  <c r="N124" i="18"/>
  <c r="O124" i="18"/>
  <c r="P124" i="18"/>
  <c r="Q124" i="18"/>
  <c r="R124" i="18"/>
  <c r="S124" i="18"/>
  <c r="T124" i="18"/>
  <c r="U124" i="18"/>
  <c r="V124" i="18"/>
  <c r="W124" i="18"/>
  <c r="X124" i="18"/>
  <c r="Y124" i="18"/>
  <c r="Z124" i="18"/>
  <c r="AA124" i="18"/>
  <c r="AB124" i="18"/>
  <c r="AC124" i="18"/>
  <c r="AD124" i="18"/>
  <c r="AE124" i="18"/>
  <c r="AF124" i="18"/>
  <c r="AG124" i="18"/>
  <c r="AH124" i="18"/>
  <c r="AI124" i="18"/>
  <c r="AJ124" i="18"/>
  <c r="AK124" i="18"/>
  <c r="AL124" i="18"/>
  <c r="AM124" i="18"/>
  <c r="AN124" i="18"/>
  <c r="AO124" i="18"/>
  <c r="AP124" i="18"/>
  <c r="AQ124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85" i="18"/>
  <c r="D84" i="18"/>
  <c r="E44" i="18"/>
  <c r="F44" i="18"/>
  <c r="G44" i="18"/>
  <c r="H44" i="18"/>
  <c r="I44" i="18"/>
  <c r="J44" i="18"/>
  <c r="K44" i="18"/>
  <c r="L44" i="18"/>
  <c r="M44" i="18"/>
  <c r="N44" i="18"/>
  <c r="O44" i="18"/>
  <c r="P44" i="18"/>
  <c r="Q44" i="18"/>
  <c r="R44" i="18"/>
  <c r="S44" i="18"/>
  <c r="T44" i="18"/>
  <c r="U44" i="18"/>
  <c r="V44" i="18"/>
  <c r="W44" i="18"/>
  <c r="X44" i="18"/>
  <c r="Y44" i="18"/>
  <c r="Z44" i="18"/>
  <c r="AA44" i="18"/>
  <c r="AB44" i="18"/>
  <c r="AC44" i="18"/>
  <c r="AD44" i="18"/>
  <c r="AE44" i="18"/>
  <c r="AF44" i="18"/>
  <c r="AG44" i="18"/>
  <c r="AH44" i="18"/>
  <c r="AI44" i="18"/>
  <c r="AJ44" i="18"/>
  <c r="AK44" i="18"/>
  <c r="AL44" i="18"/>
  <c r="AM44" i="18"/>
  <c r="AN44" i="18"/>
  <c r="AO44" i="18"/>
  <c r="AP44" i="18"/>
  <c r="AQ44" i="18"/>
  <c r="E45" i="18"/>
  <c r="F45" i="18"/>
  <c r="G45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T45" i="18"/>
  <c r="U45" i="18"/>
  <c r="V45" i="18"/>
  <c r="W45" i="18"/>
  <c r="X45" i="18"/>
  <c r="Y45" i="18"/>
  <c r="Z45" i="18"/>
  <c r="AA45" i="18"/>
  <c r="AB45" i="18"/>
  <c r="AC45" i="18"/>
  <c r="AD45" i="18"/>
  <c r="AE45" i="18"/>
  <c r="AF45" i="18"/>
  <c r="AG45" i="18"/>
  <c r="AH45" i="18"/>
  <c r="AI45" i="18"/>
  <c r="AJ45" i="18"/>
  <c r="AK45" i="18"/>
  <c r="AL45" i="18"/>
  <c r="AM45" i="18"/>
  <c r="AN45" i="18"/>
  <c r="AO45" i="18"/>
  <c r="AP45" i="18"/>
  <c r="AQ45" i="18"/>
  <c r="E46" i="18"/>
  <c r="F46" i="18"/>
  <c r="G46" i="18"/>
  <c r="H46" i="18"/>
  <c r="I46" i="18"/>
  <c r="J46" i="18"/>
  <c r="K46" i="18"/>
  <c r="L46" i="18"/>
  <c r="M46" i="18"/>
  <c r="N46" i="18"/>
  <c r="O46" i="18"/>
  <c r="P46" i="18"/>
  <c r="Q46" i="18"/>
  <c r="R46" i="18"/>
  <c r="S46" i="18"/>
  <c r="T46" i="18"/>
  <c r="U46" i="18"/>
  <c r="V46" i="18"/>
  <c r="W46" i="18"/>
  <c r="X46" i="18"/>
  <c r="Y46" i="18"/>
  <c r="Z46" i="18"/>
  <c r="AA46" i="18"/>
  <c r="AB46" i="18"/>
  <c r="AC46" i="18"/>
  <c r="AD46" i="18"/>
  <c r="AE46" i="18"/>
  <c r="AF46" i="18"/>
  <c r="AG46" i="18"/>
  <c r="AH46" i="18"/>
  <c r="AI46" i="18"/>
  <c r="AJ46" i="18"/>
  <c r="AK46" i="18"/>
  <c r="AL46" i="18"/>
  <c r="AM46" i="18"/>
  <c r="AN46" i="18"/>
  <c r="AO46" i="18"/>
  <c r="AP46" i="18"/>
  <c r="AQ46" i="18"/>
  <c r="E47" i="18"/>
  <c r="F47" i="18"/>
  <c r="G47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T47" i="18"/>
  <c r="U47" i="18"/>
  <c r="V47" i="18"/>
  <c r="W47" i="18"/>
  <c r="X47" i="18"/>
  <c r="Y47" i="18"/>
  <c r="Z47" i="18"/>
  <c r="AA47" i="18"/>
  <c r="AB47" i="18"/>
  <c r="AC47" i="18"/>
  <c r="AD47" i="18"/>
  <c r="AE47" i="18"/>
  <c r="AF47" i="18"/>
  <c r="AG47" i="18"/>
  <c r="AH47" i="18"/>
  <c r="AI47" i="18"/>
  <c r="AJ47" i="18"/>
  <c r="AK47" i="18"/>
  <c r="AL47" i="18"/>
  <c r="AM47" i="18"/>
  <c r="AN47" i="18"/>
  <c r="AO47" i="18"/>
  <c r="AP47" i="18"/>
  <c r="AQ47" i="18"/>
  <c r="E48" i="18"/>
  <c r="F48" i="18"/>
  <c r="G48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T48" i="18"/>
  <c r="U48" i="18"/>
  <c r="V48" i="18"/>
  <c r="W48" i="18"/>
  <c r="X48" i="18"/>
  <c r="Y48" i="18"/>
  <c r="Z48" i="18"/>
  <c r="AA48" i="18"/>
  <c r="AB48" i="18"/>
  <c r="AC48" i="18"/>
  <c r="AD48" i="18"/>
  <c r="AE48" i="18"/>
  <c r="AF48" i="18"/>
  <c r="AG48" i="18"/>
  <c r="AH48" i="18"/>
  <c r="AI48" i="18"/>
  <c r="AJ48" i="18"/>
  <c r="AK48" i="18"/>
  <c r="AL48" i="18"/>
  <c r="AM48" i="18"/>
  <c r="AN48" i="18"/>
  <c r="AO48" i="18"/>
  <c r="AP48" i="18"/>
  <c r="AQ48" i="18"/>
  <c r="E49" i="18"/>
  <c r="F49" i="18"/>
  <c r="G49" i="18"/>
  <c r="H49" i="18"/>
  <c r="I49" i="18"/>
  <c r="J49" i="18"/>
  <c r="K49" i="18"/>
  <c r="L49" i="18"/>
  <c r="M49" i="18"/>
  <c r="N49" i="18"/>
  <c r="O49" i="18"/>
  <c r="P49" i="18"/>
  <c r="Q49" i="18"/>
  <c r="R49" i="18"/>
  <c r="S49" i="18"/>
  <c r="T49" i="18"/>
  <c r="U49" i="18"/>
  <c r="V49" i="18"/>
  <c r="W49" i="18"/>
  <c r="X49" i="18"/>
  <c r="Y49" i="18"/>
  <c r="Z49" i="18"/>
  <c r="AA49" i="18"/>
  <c r="AB49" i="18"/>
  <c r="AC49" i="18"/>
  <c r="AD49" i="18"/>
  <c r="AE49" i="18"/>
  <c r="AF49" i="18"/>
  <c r="AG49" i="18"/>
  <c r="AH49" i="18"/>
  <c r="AI49" i="18"/>
  <c r="AJ49" i="18"/>
  <c r="AK49" i="18"/>
  <c r="AL49" i="18"/>
  <c r="AM49" i="18"/>
  <c r="AN49" i="18"/>
  <c r="AO49" i="18"/>
  <c r="AP49" i="18"/>
  <c r="AQ49" i="18"/>
  <c r="E50" i="18"/>
  <c r="F50" i="18"/>
  <c r="G50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T50" i="18"/>
  <c r="U50" i="18"/>
  <c r="V50" i="18"/>
  <c r="W50" i="18"/>
  <c r="X50" i="18"/>
  <c r="Y50" i="18"/>
  <c r="Z50" i="18"/>
  <c r="AA50" i="18"/>
  <c r="AB50" i="18"/>
  <c r="AC50" i="18"/>
  <c r="AD50" i="18"/>
  <c r="AE50" i="18"/>
  <c r="AF50" i="18"/>
  <c r="AG50" i="18"/>
  <c r="AH50" i="18"/>
  <c r="AI50" i="18"/>
  <c r="AJ50" i="18"/>
  <c r="AK50" i="18"/>
  <c r="AL50" i="18"/>
  <c r="AM50" i="18"/>
  <c r="AN50" i="18"/>
  <c r="AO50" i="18"/>
  <c r="AP50" i="18"/>
  <c r="AQ50" i="18"/>
  <c r="E51" i="18"/>
  <c r="F51" i="18"/>
  <c r="G51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T51" i="18"/>
  <c r="U51" i="18"/>
  <c r="V51" i="18"/>
  <c r="W51" i="18"/>
  <c r="X51" i="18"/>
  <c r="Y51" i="18"/>
  <c r="Z51" i="18"/>
  <c r="AA51" i="18"/>
  <c r="AB51" i="18"/>
  <c r="AC51" i="18"/>
  <c r="AD51" i="18"/>
  <c r="AE51" i="18"/>
  <c r="AF51" i="18"/>
  <c r="AG51" i="18"/>
  <c r="AH51" i="18"/>
  <c r="AI51" i="18"/>
  <c r="AJ51" i="18"/>
  <c r="AK51" i="18"/>
  <c r="AL51" i="18"/>
  <c r="AM51" i="18"/>
  <c r="AN51" i="18"/>
  <c r="AO51" i="18"/>
  <c r="AP51" i="18"/>
  <c r="AQ51" i="18"/>
  <c r="E52" i="18"/>
  <c r="F52" i="18"/>
  <c r="G52" i="18"/>
  <c r="H52" i="18"/>
  <c r="I52" i="18"/>
  <c r="J52" i="18"/>
  <c r="K52" i="18"/>
  <c r="L52" i="18"/>
  <c r="M52" i="18"/>
  <c r="N52" i="18"/>
  <c r="O52" i="18"/>
  <c r="P52" i="18"/>
  <c r="Q52" i="18"/>
  <c r="R52" i="18"/>
  <c r="S52" i="18"/>
  <c r="T52" i="18"/>
  <c r="U52" i="18"/>
  <c r="V52" i="18"/>
  <c r="W52" i="18"/>
  <c r="X52" i="18"/>
  <c r="Y52" i="18"/>
  <c r="Z52" i="18"/>
  <c r="AA52" i="18"/>
  <c r="AB52" i="18"/>
  <c r="AC52" i="18"/>
  <c r="AD52" i="18"/>
  <c r="AE52" i="18"/>
  <c r="AF52" i="18"/>
  <c r="AG52" i="18"/>
  <c r="AH52" i="18"/>
  <c r="AI52" i="18"/>
  <c r="AJ52" i="18"/>
  <c r="AK52" i="18"/>
  <c r="AL52" i="18"/>
  <c r="AM52" i="18"/>
  <c r="AN52" i="18"/>
  <c r="AO52" i="18"/>
  <c r="AP52" i="18"/>
  <c r="AQ52" i="18"/>
  <c r="E53" i="18"/>
  <c r="F53" i="18"/>
  <c r="G53" i="18"/>
  <c r="H53" i="18"/>
  <c r="I53" i="18"/>
  <c r="J53" i="18"/>
  <c r="K53" i="18"/>
  <c r="L53" i="18"/>
  <c r="M53" i="18"/>
  <c r="N53" i="18"/>
  <c r="O53" i="18"/>
  <c r="P53" i="18"/>
  <c r="Q53" i="18"/>
  <c r="R53" i="18"/>
  <c r="S53" i="18"/>
  <c r="T53" i="18"/>
  <c r="U53" i="18"/>
  <c r="V53" i="18"/>
  <c r="W53" i="18"/>
  <c r="X53" i="18"/>
  <c r="Y53" i="18"/>
  <c r="Z53" i="18"/>
  <c r="AA53" i="18"/>
  <c r="AB53" i="18"/>
  <c r="AC53" i="18"/>
  <c r="AD53" i="18"/>
  <c r="AE53" i="18"/>
  <c r="AF53" i="18"/>
  <c r="AG53" i="18"/>
  <c r="AH53" i="18"/>
  <c r="AI53" i="18"/>
  <c r="AJ53" i="18"/>
  <c r="AK53" i="18"/>
  <c r="AL53" i="18"/>
  <c r="AM53" i="18"/>
  <c r="AN53" i="18"/>
  <c r="AO53" i="18"/>
  <c r="AP53" i="18"/>
  <c r="AQ53" i="18"/>
  <c r="E54" i="18"/>
  <c r="F54" i="18"/>
  <c r="G54" i="18"/>
  <c r="H54" i="18"/>
  <c r="I54" i="18"/>
  <c r="J54" i="18"/>
  <c r="K54" i="18"/>
  <c r="L54" i="18"/>
  <c r="M54" i="18"/>
  <c r="N54" i="18"/>
  <c r="O54" i="18"/>
  <c r="P54" i="18"/>
  <c r="Q54" i="18"/>
  <c r="R54" i="18"/>
  <c r="S54" i="18"/>
  <c r="T54" i="18"/>
  <c r="U54" i="18"/>
  <c r="V54" i="18"/>
  <c r="W54" i="18"/>
  <c r="X54" i="18"/>
  <c r="Y54" i="18"/>
  <c r="Z54" i="18"/>
  <c r="AA54" i="18"/>
  <c r="AB54" i="18"/>
  <c r="AC54" i="18"/>
  <c r="AD54" i="18"/>
  <c r="AE54" i="18"/>
  <c r="AF54" i="18"/>
  <c r="AG54" i="18"/>
  <c r="AH54" i="18"/>
  <c r="AI54" i="18"/>
  <c r="AJ54" i="18"/>
  <c r="AK54" i="18"/>
  <c r="AL54" i="18"/>
  <c r="AM54" i="18"/>
  <c r="AN54" i="18"/>
  <c r="AO54" i="18"/>
  <c r="AP54" i="18"/>
  <c r="AQ54" i="18"/>
  <c r="E55" i="18"/>
  <c r="F55" i="18"/>
  <c r="G55" i="18"/>
  <c r="H55" i="18"/>
  <c r="I55" i="18"/>
  <c r="J55" i="18"/>
  <c r="K55" i="18"/>
  <c r="L55" i="18"/>
  <c r="M55" i="18"/>
  <c r="N55" i="18"/>
  <c r="O55" i="18"/>
  <c r="P55" i="18"/>
  <c r="Q55" i="18"/>
  <c r="R55" i="18"/>
  <c r="S55" i="18"/>
  <c r="T55" i="18"/>
  <c r="U55" i="18"/>
  <c r="V55" i="18"/>
  <c r="W55" i="18"/>
  <c r="X55" i="18"/>
  <c r="Y55" i="18"/>
  <c r="Z55" i="18"/>
  <c r="AA55" i="18"/>
  <c r="AB55" i="18"/>
  <c r="AC55" i="18"/>
  <c r="AD55" i="18"/>
  <c r="AE55" i="18"/>
  <c r="AF55" i="18"/>
  <c r="AG55" i="18"/>
  <c r="AH55" i="18"/>
  <c r="AI55" i="18"/>
  <c r="AJ55" i="18"/>
  <c r="AK55" i="18"/>
  <c r="AL55" i="18"/>
  <c r="AM55" i="18"/>
  <c r="AN55" i="18"/>
  <c r="AO55" i="18"/>
  <c r="AP55" i="18"/>
  <c r="AQ55" i="18"/>
  <c r="E56" i="18"/>
  <c r="F56" i="18"/>
  <c r="G56" i="18"/>
  <c r="H56" i="18"/>
  <c r="I56" i="18"/>
  <c r="J56" i="18"/>
  <c r="K56" i="18"/>
  <c r="L56" i="18"/>
  <c r="M56" i="18"/>
  <c r="N56" i="18"/>
  <c r="O56" i="18"/>
  <c r="P56" i="18"/>
  <c r="Q56" i="18"/>
  <c r="R56" i="18"/>
  <c r="S56" i="18"/>
  <c r="T56" i="18"/>
  <c r="U56" i="18"/>
  <c r="V56" i="18"/>
  <c r="W56" i="18"/>
  <c r="X56" i="18"/>
  <c r="Y56" i="18"/>
  <c r="Z56" i="18"/>
  <c r="AA56" i="18"/>
  <c r="AB56" i="18"/>
  <c r="AC56" i="18"/>
  <c r="AD56" i="18"/>
  <c r="AE56" i="18"/>
  <c r="AF56" i="18"/>
  <c r="AG56" i="18"/>
  <c r="AH56" i="18"/>
  <c r="AI56" i="18"/>
  <c r="AJ56" i="18"/>
  <c r="AK56" i="18"/>
  <c r="AL56" i="18"/>
  <c r="AM56" i="18"/>
  <c r="AN56" i="18"/>
  <c r="AO56" i="18"/>
  <c r="AP56" i="18"/>
  <c r="AQ56" i="18"/>
  <c r="E57" i="18"/>
  <c r="F57" i="18"/>
  <c r="G57" i="18"/>
  <c r="H57" i="18"/>
  <c r="I57" i="18"/>
  <c r="J57" i="18"/>
  <c r="K57" i="18"/>
  <c r="L57" i="18"/>
  <c r="M57" i="18"/>
  <c r="N57" i="18"/>
  <c r="O57" i="18"/>
  <c r="P57" i="18"/>
  <c r="Q57" i="18"/>
  <c r="R57" i="18"/>
  <c r="S57" i="18"/>
  <c r="T57" i="18"/>
  <c r="U57" i="18"/>
  <c r="V57" i="18"/>
  <c r="W57" i="18"/>
  <c r="X57" i="18"/>
  <c r="Y57" i="18"/>
  <c r="Z57" i="18"/>
  <c r="AA57" i="18"/>
  <c r="AB57" i="18"/>
  <c r="AC57" i="18"/>
  <c r="AD57" i="18"/>
  <c r="AE57" i="18"/>
  <c r="AF57" i="18"/>
  <c r="AG57" i="18"/>
  <c r="AH57" i="18"/>
  <c r="AI57" i="18"/>
  <c r="AJ57" i="18"/>
  <c r="AK57" i="18"/>
  <c r="AL57" i="18"/>
  <c r="AM57" i="18"/>
  <c r="AN57" i="18"/>
  <c r="AO57" i="18"/>
  <c r="AP57" i="18"/>
  <c r="AQ57" i="18"/>
  <c r="E58" i="18"/>
  <c r="F58" i="18"/>
  <c r="G58" i="18"/>
  <c r="H58" i="18"/>
  <c r="I58" i="18"/>
  <c r="J58" i="18"/>
  <c r="K58" i="18"/>
  <c r="L58" i="18"/>
  <c r="M58" i="18"/>
  <c r="N58" i="18"/>
  <c r="O58" i="18"/>
  <c r="P58" i="18"/>
  <c r="Q58" i="18"/>
  <c r="R58" i="18"/>
  <c r="S58" i="18"/>
  <c r="T58" i="18"/>
  <c r="U58" i="18"/>
  <c r="V58" i="18"/>
  <c r="W58" i="18"/>
  <c r="X58" i="18"/>
  <c r="Y58" i="18"/>
  <c r="Z58" i="18"/>
  <c r="AA58" i="18"/>
  <c r="AB58" i="18"/>
  <c r="AC58" i="18"/>
  <c r="AD58" i="18"/>
  <c r="AE58" i="18"/>
  <c r="AF58" i="18"/>
  <c r="AG58" i="18"/>
  <c r="AH58" i="18"/>
  <c r="AI58" i="18"/>
  <c r="AJ58" i="18"/>
  <c r="AK58" i="18"/>
  <c r="AL58" i="18"/>
  <c r="AM58" i="18"/>
  <c r="AN58" i="18"/>
  <c r="AO58" i="18"/>
  <c r="AP58" i="18"/>
  <c r="AQ58" i="18"/>
  <c r="E59" i="18"/>
  <c r="F59" i="18"/>
  <c r="G59" i="18"/>
  <c r="H59" i="18"/>
  <c r="I59" i="18"/>
  <c r="J59" i="18"/>
  <c r="K59" i="18"/>
  <c r="L59" i="18"/>
  <c r="M59" i="18"/>
  <c r="N59" i="18"/>
  <c r="O59" i="18"/>
  <c r="P59" i="18"/>
  <c r="Q59" i="18"/>
  <c r="R59" i="18"/>
  <c r="S59" i="18"/>
  <c r="T59" i="18"/>
  <c r="U59" i="18"/>
  <c r="V59" i="18"/>
  <c r="W59" i="18"/>
  <c r="X59" i="18"/>
  <c r="Y59" i="18"/>
  <c r="Z59" i="18"/>
  <c r="AA59" i="18"/>
  <c r="AB59" i="18"/>
  <c r="AC59" i="18"/>
  <c r="AD59" i="18"/>
  <c r="AE59" i="18"/>
  <c r="AF59" i="18"/>
  <c r="AG59" i="18"/>
  <c r="AH59" i="18"/>
  <c r="AI59" i="18"/>
  <c r="AJ59" i="18"/>
  <c r="AK59" i="18"/>
  <c r="AL59" i="18"/>
  <c r="AM59" i="18"/>
  <c r="AN59" i="18"/>
  <c r="AO59" i="18"/>
  <c r="AP59" i="18"/>
  <c r="AQ59" i="18"/>
  <c r="E60" i="18"/>
  <c r="F60" i="18"/>
  <c r="G60" i="18"/>
  <c r="H60" i="18"/>
  <c r="I60" i="18"/>
  <c r="J60" i="18"/>
  <c r="K60" i="18"/>
  <c r="L60" i="18"/>
  <c r="M60" i="18"/>
  <c r="N60" i="18"/>
  <c r="O60" i="18"/>
  <c r="P60" i="18"/>
  <c r="Q60" i="18"/>
  <c r="R60" i="18"/>
  <c r="S60" i="18"/>
  <c r="T60" i="18"/>
  <c r="U60" i="18"/>
  <c r="V60" i="18"/>
  <c r="W60" i="18"/>
  <c r="X60" i="18"/>
  <c r="Y60" i="18"/>
  <c r="Z60" i="18"/>
  <c r="AA60" i="18"/>
  <c r="AB60" i="18"/>
  <c r="AC60" i="18"/>
  <c r="AD60" i="18"/>
  <c r="AE60" i="18"/>
  <c r="AF60" i="18"/>
  <c r="AG60" i="18"/>
  <c r="AH60" i="18"/>
  <c r="AI60" i="18"/>
  <c r="AJ60" i="18"/>
  <c r="AK60" i="18"/>
  <c r="AL60" i="18"/>
  <c r="AM60" i="18"/>
  <c r="AN60" i="18"/>
  <c r="AO60" i="18"/>
  <c r="AP60" i="18"/>
  <c r="AQ60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E68" i="18"/>
  <c r="F68" i="18"/>
  <c r="G68" i="18"/>
  <c r="H68" i="18"/>
  <c r="I68" i="18"/>
  <c r="J68" i="18"/>
  <c r="K68" i="18"/>
  <c r="L68" i="18"/>
  <c r="M68" i="18"/>
  <c r="N68" i="18"/>
  <c r="O68" i="18"/>
  <c r="P68" i="18"/>
  <c r="Q68" i="18"/>
  <c r="R68" i="18"/>
  <c r="S68" i="18"/>
  <c r="T68" i="18"/>
  <c r="U68" i="18"/>
  <c r="V68" i="18"/>
  <c r="W68" i="18"/>
  <c r="X68" i="18"/>
  <c r="Y68" i="18"/>
  <c r="Z68" i="18"/>
  <c r="AA68" i="18"/>
  <c r="AB68" i="18"/>
  <c r="AC68" i="18"/>
  <c r="AD68" i="18"/>
  <c r="AE68" i="18"/>
  <c r="AF68" i="18"/>
  <c r="AG68" i="18"/>
  <c r="AH68" i="18"/>
  <c r="AI68" i="18"/>
  <c r="AJ68" i="18"/>
  <c r="AK68" i="18"/>
  <c r="AL68" i="18"/>
  <c r="AM68" i="18"/>
  <c r="AN68" i="18"/>
  <c r="AO68" i="18"/>
  <c r="AP68" i="18"/>
  <c r="AQ68" i="18"/>
  <c r="E69" i="18"/>
  <c r="F69" i="18"/>
  <c r="G69" i="18"/>
  <c r="H69" i="18"/>
  <c r="I69" i="18"/>
  <c r="J69" i="18"/>
  <c r="K69" i="18"/>
  <c r="L69" i="18"/>
  <c r="M69" i="18"/>
  <c r="N69" i="18"/>
  <c r="O69" i="18"/>
  <c r="P69" i="18"/>
  <c r="Q69" i="18"/>
  <c r="R69" i="18"/>
  <c r="S69" i="18"/>
  <c r="T69" i="18"/>
  <c r="U69" i="18"/>
  <c r="V69" i="18"/>
  <c r="W69" i="18"/>
  <c r="X69" i="18"/>
  <c r="Y69" i="18"/>
  <c r="Z69" i="18"/>
  <c r="AA69" i="18"/>
  <c r="AB69" i="18"/>
  <c r="AC69" i="18"/>
  <c r="AD69" i="18"/>
  <c r="AE69" i="18"/>
  <c r="AF69" i="18"/>
  <c r="AG69" i="18"/>
  <c r="AH69" i="18"/>
  <c r="AI69" i="18"/>
  <c r="AJ69" i="18"/>
  <c r="AK69" i="18"/>
  <c r="AL69" i="18"/>
  <c r="AM69" i="18"/>
  <c r="AN69" i="18"/>
  <c r="AO69" i="18"/>
  <c r="AP69" i="18"/>
  <c r="AQ69" i="18"/>
  <c r="E70" i="18"/>
  <c r="F70" i="18"/>
  <c r="G70" i="18"/>
  <c r="H70" i="18"/>
  <c r="I70" i="18"/>
  <c r="J70" i="18"/>
  <c r="K70" i="18"/>
  <c r="L70" i="18"/>
  <c r="M70" i="18"/>
  <c r="N70" i="18"/>
  <c r="O70" i="18"/>
  <c r="P70" i="18"/>
  <c r="Q70" i="18"/>
  <c r="R70" i="18"/>
  <c r="S70" i="18"/>
  <c r="T70" i="18"/>
  <c r="U70" i="18"/>
  <c r="V70" i="18"/>
  <c r="W70" i="18"/>
  <c r="X70" i="18"/>
  <c r="Y70" i="18"/>
  <c r="Z70" i="18"/>
  <c r="AA70" i="18"/>
  <c r="AB70" i="18"/>
  <c r="AC70" i="18"/>
  <c r="AD70" i="18"/>
  <c r="AE70" i="18"/>
  <c r="AF70" i="18"/>
  <c r="AG70" i="18"/>
  <c r="AH70" i="18"/>
  <c r="AI70" i="18"/>
  <c r="AJ70" i="18"/>
  <c r="AK70" i="18"/>
  <c r="AL70" i="18"/>
  <c r="AM70" i="18"/>
  <c r="AN70" i="18"/>
  <c r="AO70" i="18"/>
  <c r="AP70" i="18"/>
  <c r="AQ70" i="18"/>
  <c r="E71" i="18"/>
  <c r="F71" i="18"/>
  <c r="G71" i="18"/>
  <c r="H71" i="18"/>
  <c r="I71" i="18"/>
  <c r="J71" i="18"/>
  <c r="K71" i="18"/>
  <c r="L71" i="18"/>
  <c r="M71" i="18"/>
  <c r="N71" i="18"/>
  <c r="O71" i="18"/>
  <c r="P71" i="18"/>
  <c r="Q71" i="18"/>
  <c r="R71" i="18"/>
  <c r="S71" i="18"/>
  <c r="T71" i="18"/>
  <c r="U71" i="18"/>
  <c r="V71" i="18"/>
  <c r="W71" i="18"/>
  <c r="X71" i="18"/>
  <c r="Y71" i="18"/>
  <c r="Z71" i="18"/>
  <c r="AA71" i="18"/>
  <c r="AB71" i="18"/>
  <c r="AC71" i="18"/>
  <c r="AD71" i="18"/>
  <c r="AE71" i="18"/>
  <c r="AF71" i="18"/>
  <c r="AG71" i="18"/>
  <c r="AH71" i="18"/>
  <c r="AI71" i="18"/>
  <c r="AJ71" i="18"/>
  <c r="AK71" i="18"/>
  <c r="AL71" i="18"/>
  <c r="AM71" i="18"/>
  <c r="AN71" i="18"/>
  <c r="AO71" i="18"/>
  <c r="AP71" i="18"/>
  <c r="AQ71" i="18"/>
  <c r="E72" i="18"/>
  <c r="F72" i="18"/>
  <c r="G72" i="18"/>
  <c r="H72" i="18"/>
  <c r="I72" i="18"/>
  <c r="J72" i="18"/>
  <c r="K72" i="18"/>
  <c r="L72" i="18"/>
  <c r="M72" i="18"/>
  <c r="N72" i="18"/>
  <c r="O72" i="18"/>
  <c r="P72" i="18"/>
  <c r="Q72" i="18"/>
  <c r="R72" i="18"/>
  <c r="S72" i="18"/>
  <c r="T72" i="18"/>
  <c r="U72" i="18"/>
  <c r="V72" i="18"/>
  <c r="W72" i="18"/>
  <c r="X72" i="18"/>
  <c r="Y72" i="18"/>
  <c r="Z72" i="18"/>
  <c r="AA72" i="18"/>
  <c r="AB72" i="18"/>
  <c r="AC72" i="18"/>
  <c r="AD72" i="18"/>
  <c r="AE72" i="18"/>
  <c r="AF72" i="18"/>
  <c r="AG72" i="18"/>
  <c r="AH72" i="18"/>
  <c r="AI72" i="18"/>
  <c r="AJ72" i="18"/>
  <c r="AK72" i="18"/>
  <c r="AL72" i="18"/>
  <c r="AM72" i="18"/>
  <c r="AN72" i="18"/>
  <c r="AO72" i="18"/>
  <c r="AP72" i="18"/>
  <c r="AQ72" i="18"/>
  <c r="E73" i="18"/>
  <c r="F73" i="18"/>
  <c r="G73" i="18"/>
  <c r="H73" i="18"/>
  <c r="I73" i="18"/>
  <c r="J73" i="18"/>
  <c r="K73" i="18"/>
  <c r="L73" i="18"/>
  <c r="M73" i="18"/>
  <c r="N73" i="18"/>
  <c r="O73" i="18"/>
  <c r="P73" i="18"/>
  <c r="Q73" i="18"/>
  <c r="R73" i="18"/>
  <c r="S73" i="18"/>
  <c r="T73" i="18"/>
  <c r="U73" i="18"/>
  <c r="V73" i="18"/>
  <c r="W73" i="18"/>
  <c r="X73" i="18"/>
  <c r="Y73" i="18"/>
  <c r="Z73" i="18"/>
  <c r="AA73" i="18"/>
  <c r="AB73" i="18"/>
  <c r="AC73" i="18"/>
  <c r="AD73" i="18"/>
  <c r="AE73" i="18"/>
  <c r="AF73" i="18"/>
  <c r="AG73" i="18"/>
  <c r="AH73" i="18"/>
  <c r="AI73" i="18"/>
  <c r="AJ73" i="18"/>
  <c r="AK73" i="18"/>
  <c r="AL73" i="18"/>
  <c r="AM73" i="18"/>
  <c r="AN73" i="18"/>
  <c r="AO73" i="18"/>
  <c r="AP73" i="18"/>
  <c r="AQ73" i="18"/>
  <c r="E74" i="18"/>
  <c r="F74" i="18"/>
  <c r="G74" i="18"/>
  <c r="H74" i="18"/>
  <c r="I74" i="18"/>
  <c r="J74" i="18"/>
  <c r="K74" i="18"/>
  <c r="L74" i="18"/>
  <c r="M74" i="18"/>
  <c r="N74" i="18"/>
  <c r="O74" i="18"/>
  <c r="P74" i="18"/>
  <c r="Q74" i="18"/>
  <c r="R74" i="18"/>
  <c r="S74" i="18"/>
  <c r="T74" i="18"/>
  <c r="U74" i="18"/>
  <c r="V74" i="18"/>
  <c r="W74" i="18"/>
  <c r="X74" i="18"/>
  <c r="Y74" i="18"/>
  <c r="Z74" i="18"/>
  <c r="AA74" i="18"/>
  <c r="AB74" i="18"/>
  <c r="AC74" i="18"/>
  <c r="AD74" i="18"/>
  <c r="AE74" i="18"/>
  <c r="AF74" i="18"/>
  <c r="AG74" i="18"/>
  <c r="AH74" i="18"/>
  <c r="AI74" i="18"/>
  <c r="AJ74" i="18"/>
  <c r="AK74" i="18"/>
  <c r="AL74" i="18"/>
  <c r="AM74" i="18"/>
  <c r="AN74" i="18"/>
  <c r="AO74" i="18"/>
  <c r="AP74" i="18"/>
  <c r="AQ74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Q75" i="18"/>
  <c r="R75" i="18"/>
  <c r="S75" i="18"/>
  <c r="T75" i="18"/>
  <c r="U75" i="18"/>
  <c r="V75" i="18"/>
  <c r="W75" i="18"/>
  <c r="X75" i="18"/>
  <c r="Y75" i="18"/>
  <c r="Z75" i="18"/>
  <c r="AA75" i="18"/>
  <c r="AB75" i="18"/>
  <c r="AC75" i="18"/>
  <c r="AD75" i="18"/>
  <c r="AE75" i="18"/>
  <c r="AF75" i="18"/>
  <c r="AG75" i="18"/>
  <c r="AH75" i="18"/>
  <c r="AI75" i="18"/>
  <c r="AJ75" i="18"/>
  <c r="AK75" i="18"/>
  <c r="AL75" i="18"/>
  <c r="AM75" i="18"/>
  <c r="AN75" i="18"/>
  <c r="AO75" i="18"/>
  <c r="AP75" i="18"/>
  <c r="AQ75" i="18"/>
  <c r="E76" i="18"/>
  <c r="F76" i="18"/>
  <c r="G76" i="18"/>
  <c r="H76" i="18"/>
  <c r="I76" i="18"/>
  <c r="J76" i="18"/>
  <c r="K76" i="18"/>
  <c r="L76" i="18"/>
  <c r="M76" i="18"/>
  <c r="N76" i="18"/>
  <c r="O76" i="18"/>
  <c r="P76" i="18"/>
  <c r="Q76" i="18"/>
  <c r="R76" i="18"/>
  <c r="S76" i="18"/>
  <c r="T76" i="18"/>
  <c r="U76" i="18"/>
  <c r="V76" i="18"/>
  <c r="W76" i="18"/>
  <c r="X76" i="18"/>
  <c r="Y76" i="18"/>
  <c r="Z76" i="18"/>
  <c r="AA76" i="18"/>
  <c r="AB76" i="18"/>
  <c r="AC76" i="18"/>
  <c r="AD76" i="18"/>
  <c r="AE76" i="18"/>
  <c r="AF76" i="18"/>
  <c r="AG76" i="18"/>
  <c r="AH76" i="18"/>
  <c r="AI76" i="18"/>
  <c r="AJ76" i="18"/>
  <c r="AK76" i="18"/>
  <c r="AL76" i="18"/>
  <c r="AM76" i="18"/>
  <c r="AN76" i="18"/>
  <c r="AO76" i="18"/>
  <c r="AP76" i="18"/>
  <c r="AQ76" i="18"/>
  <c r="E77" i="18"/>
  <c r="F77" i="18"/>
  <c r="G77" i="18"/>
  <c r="H77" i="18"/>
  <c r="I77" i="18"/>
  <c r="J77" i="18"/>
  <c r="K77" i="18"/>
  <c r="L77" i="18"/>
  <c r="M77" i="18"/>
  <c r="N77" i="18"/>
  <c r="O77" i="18"/>
  <c r="P77" i="18"/>
  <c r="Q77" i="18"/>
  <c r="R77" i="18"/>
  <c r="S77" i="18"/>
  <c r="T77" i="18"/>
  <c r="U77" i="18"/>
  <c r="V77" i="18"/>
  <c r="W77" i="18"/>
  <c r="X77" i="18"/>
  <c r="Y77" i="18"/>
  <c r="Z77" i="18"/>
  <c r="AA77" i="18"/>
  <c r="AB77" i="18"/>
  <c r="AC77" i="18"/>
  <c r="AD77" i="18"/>
  <c r="AE77" i="18"/>
  <c r="AF77" i="18"/>
  <c r="AG77" i="18"/>
  <c r="AH77" i="18"/>
  <c r="AI77" i="18"/>
  <c r="AJ77" i="18"/>
  <c r="AK77" i="18"/>
  <c r="AL77" i="18"/>
  <c r="AM77" i="18"/>
  <c r="AN77" i="18"/>
  <c r="AO77" i="18"/>
  <c r="AP77" i="18"/>
  <c r="AQ77" i="18"/>
  <c r="E78" i="18"/>
  <c r="F78" i="18"/>
  <c r="G78" i="18"/>
  <c r="H78" i="18"/>
  <c r="I78" i="18"/>
  <c r="J78" i="18"/>
  <c r="K78" i="18"/>
  <c r="L78" i="18"/>
  <c r="M78" i="18"/>
  <c r="N78" i="18"/>
  <c r="O78" i="18"/>
  <c r="P78" i="18"/>
  <c r="Q78" i="18"/>
  <c r="R78" i="18"/>
  <c r="S78" i="18"/>
  <c r="T78" i="18"/>
  <c r="U78" i="18"/>
  <c r="V78" i="18"/>
  <c r="W78" i="18"/>
  <c r="X78" i="18"/>
  <c r="Y78" i="18"/>
  <c r="Z78" i="18"/>
  <c r="AA78" i="18"/>
  <c r="AB78" i="18"/>
  <c r="AC78" i="18"/>
  <c r="AD78" i="18"/>
  <c r="AE78" i="18"/>
  <c r="AF78" i="18"/>
  <c r="AG78" i="18"/>
  <c r="AH78" i="18"/>
  <c r="AI78" i="18"/>
  <c r="AJ78" i="18"/>
  <c r="AK78" i="18"/>
  <c r="AL78" i="18"/>
  <c r="AM78" i="18"/>
  <c r="AN78" i="18"/>
  <c r="AO78" i="18"/>
  <c r="AP78" i="18"/>
  <c r="AQ78" i="18"/>
  <c r="E79" i="18"/>
  <c r="F79" i="18"/>
  <c r="G79" i="18"/>
  <c r="H79" i="18"/>
  <c r="I79" i="18"/>
  <c r="J79" i="18"/>
  <c r="K79" i="18"/>
  <c r="L79" i="18"/>
  <c r="M79" i="18"/>
  <c r="N79" i="18"/>
  <c r="O79" i="18"/>
  <c r="P79" i="18"/>
  <c r="Q79" i="18"/>
  <c r="R79" i="18"/>
  <c r="S79" i="18"/>
  <c r="T79" i="18"/>
  <c r="U79" i="18"/>
  <c r="V79" i="18"/>
  <c r="W79" i="18"/>
  <c r="X79" i="18"/>
  <c r="Y79" i="18"/>
  <c r="Z79" i="18"/>
  <c r="AA79" i="18"/>
  <c r="AB79" i="18"/>
  <c r="AC79" i="18"/>
  <c r="AD79" i="18"/>
  <c r="AE79" i="18"/>
  <c r="AF79" i="18"/>
  <c r="AG79" i="18"/>
  <c r="AH79" i="18"/>
  <c r="AI79" i="18"/>
  <c r="AJ79" i="18"/>
  <c r="AK79" i="18"/>
  <c r="AL79" i="18"/>
  <c r="AM79" i="18"/>
  <c r="AN79" i="18"/>
  <c r="AO79" i="18"/>
  <c r="AP79" i="18"/>
  <c r="AQ79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Q80" i="18"/>
  <c r="R80" i="18"/>
  <c r="S80" i="18"/>
  <c r="T80" i="18"/>
  <c r="U80" i="18"/>
  <c r="V80" i="18"/>
  <c r="W80" i="18"/>
  <c r="X80" i="18"/>
  <c r="Y80" i="18"/>
  <c r="Z80" i="18"/>
  <c r="AA80" i="18"/>
  <c r="AB80" i="18"/>
  <c r="AC80" i="18"/>
  <c r="AD80" i="18"/>
  <c r="AE80" i="18"/>
  <c r="AF80" i="18"/>
  <c r="AG80" i="18"/>
  <c r="AH80" i="18"/>
  <c r="AI80" i="18"/>
  <c r="AJ80" i="18"/>
  <c r="AK80" i="18"/>
  <c r="AL80" i="18"/>
  <c r="AM80" i="18"/>
  <c r="AN80" i="18"/>
  <c r="AO80" i="18"/>
  <c r="AP80" i="18"/>
  <c r="AQ80" i="18"/>
  <c r="E81" i="18"/>
  <c r="F81" i="18"/>
  <c r="G81" i="18"/>
  <c r="H81" i="18"/>
  <c r="I81" i="18"/>
  <c r="J81" i="18"/>
  <c r="K81" i="18"/>
  <c r="L81" i="18"/>
  <c r="M81" i="18"/>
  <c r="N81" i="18"/>
  <c r="O81" i="18"/>
  <c r="P81" i="18"/>
  <c r="Q81" i="18"/>
  <c r="R81" i="18"/>
  <c r="S81" i="18"/>
  <c r="T81" i="18"/>
  <c r="U81" i="18"/>
  <c r="V81" i="18"/>
  <c r="W81" i="18"/>
  <c r="X81" i="18"/>
  <c r="Y81" i="18"/>
  <c r="Z81" i="18"/>
  <c r="AA81" i="18"/>
  <c r="AB81" i="18"/>
  <c r="AC81" i="18"/>
  <c r="AD81" i="18"/>
  <c r="AE81" i="18"/>
  <c r="AF81" i="18"/>
  <c r="AG81" i="18"/>
  <c r="AH81" i="18"/>
  <c r="AI81" i="18"/>
  <c r="AJ81" i="18"/>
  <c r="AK81" i="18"/>
  <c r="AL81" i="18"/>
  <c r="AM81" i="18"/>
  <c r="AN81" i="18"/>
  <c r="AO81" i="18"/>
  <c r="AP81" i="18"/>
  <c r="AQ81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Q82" i="18"/>
  <c r="R82" i="18"/>
  <c r="S82" i="18"/>
  <c r="T82" i="18"/>
  <c r="U82" i="18"/>
  <c r="V82" i="18"/>
  <c r="W82" i="18"/>
  <c r="X82" i="18"/>
  <c r="Y82" i="18"/>
  <c r="Z82" i="18"/>
  <c r="AA82" i="18"/>
  <c r="AB82" i="18"/>
  <c r="AC82" i="18"/>
  <c r="AD82" i="18"/>
  <c r="AE82" i="18"/>
  <c r="AF82" i="18"/>
  <c r="AG82" i="18"/>
  <c r="AH82" i="18"/>
  <c r="AI82" i="18"/>
  <c r="AJ82" i="18"/>
  <c r="AK82" i="18"/>
  <c r="AL82" i="18"/>
  <c r="AM82" i="18"/>
  <c r="AN82" i="18"/>
  <c r="AO82" i="18"/>
  <c r="AP82" i="18"/>
  <c r="AQ82" i="18"/>
  <c r="E83" i="18"/>
  <c r="F83" i="18"/>
  <c r="G83" i="18"/>
  <c r="H83" i="18"/>
  <c r="I83" i="18"/>
  <c r="J83" i="18"/>
  <c r="K83" i="18"/>
  <c r="L83" i="18"/>
  <c r="M83" i="18"/>
  <c r="N83" i="18"/>
  <c r="O83" i="18"/>
  <c r="P83" i="18"/>
  <c r="Q83" i="18"/>
  <c r="R83" i="18"/>
  <c r="S83" i="18"/>
  <c r="T83" i="18"/>
  <c r="U83" i="18"/>
  <c r="V83" i="18"/>
  <c r="W83" i="18"/>
  <c r="X83" i="18"/>
  <c r="Y83" i="18"/>
  <c r="Z83" i="18"/>
  <c r="AA83" i="18"/>
  <c r="AB83" i="18"/>
  <c r="AC83" i="18"/>
  <c r="AD83" i="18"/>
  <c r="AE83" i="18"/>
  <c r="AF83" i="18"/>
  <c r="AG83" i="18"/>
  <c r="AH83" i="18"/>
  <c r="AI83" i="18"/>
  <c r="AJ83" i="18"/>
  <c r="AK83" i="18"/>
  <c r="AL83" i="18"/>
  <c r="AM83" i="18"/>
  <c r="AN83" i="18"/>
  <c r="AO83" i="18"/>
  <c r="AP83" i="18"/>
  <c r="AQ83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44" i="18"/>
  <c r="E3" i="18"/>
  <c r="F3" i="18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3" i="18"/>
  <c r="AK3" i="18"/>
  <c r="AL3" i="18"/>
  <c r="AM3" i="18"/>
  <c r="AN3" i="18"/>
  <c r="AO3" i="18"/>
  <c r="AP3" i="18"/>
  <c r="AQ3" i="18"/>
  <c r="E4" i="18"/>
  <c r="F4" i="18"/>
  <c r="G4" i="18"/>
  <c r="H4" i="18"/>
  <c r="I4" i="18"/>
  <c r="J4" i="18"/>
  <c r="K4" i="18"/>
  <c r="L4" i="18"/>
  <c r="M4" i="18"/>
  <c r="N4" i="18"/>
  <c r="O4" i="18"/>
  <c r="P4" i="18"/>
  <c r="Q4" i="18"/>
  <c r="R4" i="18"/>
  <c r="S4" i="18"/>
  <c r="T4" i="18"/>
  <c r="U4" i="18"/>
  <c r="V4" i="18"/>
  <c r="W4" i="18"/>
  <c r="X4" i="18"/>
  <c r="Y4" i="18"/>
  <c r="Z4" i="18"/>
  <c r="AA4" i="18"/>
  <c r="AB4" i="18"/>
  <c r="AC4" i="18"/>
  <c r="AD4" i="18"/>
  <c r="AE4" i="18"/>
  <c r="AF4" i="18"/>
  <c r="AG4" i="18"/>
  <c r="AH4" i="18"/>
  <c r="AI4" i="18"/>
  <c r="AJ4" i="18"/>
  <c r="AK4" i="18"/>
  <c r="AL4" i="18"/>
  <c r="AM4" i="18"/>
  <c r="AN4" i="18"/>
  <c r="AO4" i="18"/>
  <c r="AP4" i="18"/>
  <c r="AQ4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AC5" i="18"/>
  <c r="AD5" i="18"/>
  <c r="AE5" i="18"/>
  <c r="AF5" i="18"/>
  <c r="AG5" i="18"/>
  <c r="AH5" i="18"/>
  <c r="AI5" i="18"/>
  <c r="AJ5" i="18"/>
  <c r="AK5" i="18"/>
  <c r="AL5" i="18"/>
  <c r="AM5" i="18"/>
  <c r="AN5" i="18"/>
  <c r="AO5" i="18"/>
  <c r="AP5" i="18"/>
  <c r="AQ5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AC6" i="18"/>
  <c r="AD6" i="18"/>
  <c r="AE6" i="18"/>
  <c r="AF6" i="18"/>
  <c r="AG6" i="18"/>
  <c r="AH6" i="18"/>
  <c r="AI6" i="18"/>
  <c r="AJ6" i="18"/>
  <c r="AK6" i="18"/>
  <c r="AL6" i="18"/>
  <c r="AM6" i="18"/>
  <c r="AN6" i="18"/>
  <c r="AO6" i="18"/>
  <c r="AP6" i="18"/>
  <c r="AQ6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AG7" i="18"/>
  <c r="AH7" i="18"/>
  <c r="AI7" i="18"/>
  <c r="AJ7" i="18"/>
  <c r="AK7" i="18"/>
  <c r="AL7" i="18"/>
  <c r="AM7" i="18"/>
  <c r="AN7" i="18"/>
  <c r="AO7" i="18"/>
  <c r="AP7" i="18"/>
  <c r="AQ7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AE8" i="18"/>
  <c r="AF8" i="18"/>
  <c r="AG8" i="18"/>
  <c r="AH8" i="18"/>
  <c r="AI8" i="18"/>
  <c r="AJ8" i="18"/>
  <c r="AK8" i="18"/>
  <c r="AL8" i="18"/>
  <c r="AM8" i="18"/>
  <c r="AN8" i="18"/>
  <c r="AO8" i="18"/>
  <c r="AP8" i="18"/>
  <c r="AQ8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K9" i="18"/>
  <c r="AL9" i="18"/>
  <c r="AM9" i="18"/>
  <c r="AN9" i="18"/>
  <c r="AO9" i="18"/>
  <c r="AP9" i="18"/>
  <c r="AQ9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AM10" i="18"/>
  <c r="AN10" i="18"/>
  <c r="AO10" i="18"/>
  <c r="AP10" i="18"/>
  <c r="AQ10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AH11" i="18"/>
  <c r="AI11" i="18"/>
  <c r="AJ11" i="18"/>
  <c r="AK11" i="18"/>
  <c r="AL11" i="18"/>
  <c r="AM11" i="18"/>
  <c r="AN11" i="18"/>
  <c r="AO11" i="18"/>
  <c r="AP11" i="18"/>
  <c r="AQ11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AB12" i="18"/>
  <c r="AC12" i="18"/>
  <c r="AD12" i="18"/>
  <c r="AE12" i="18"/>
  <c r="AF12" i="18"/>
  <c r="AG12" i="18"/>
  <c r="AH12" i="18"/>
  <c r="AI12" i="18"/>
  <c r="AJ12" i="18"/>
  <c r="AK12" i="18"/>
  <c r="AL12" i="18"/>
  <c r="AM12" i="18"/>
  <c r="AN12" i="18"/>
  <c r="AO12" i="18"/>
  <c r="AP12" i="18"/>
  <c r="AQ12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AG13" i="18"/>
  <c r="AH13" i="18"/>
  <c r="AI13" i="18"/>
  <c r="AJ13" i="18"/>
  <c r="AK13" i="18"/>
  <c r="AL13" i="18"/>
  <c r="AM13" i="18"/>
  <c r="AN13" i="18"/>
  <c r="AO13" i="18"/>
  <c r="AP13" i="18"/>
  <c r="AQ13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AD14" i="18"/>
  <c r="AE14" i="18"/>
  <c r="AF14" i="18"/>
  <c r="AG14" i="18"/>
  <c r="AH14" i="18"/>
  <c r="AI14" i="18"/>
  <c r="AJ14" i="18"/>
  <c r="AK14" i="18"/>
  <c r="AL14" i="18"/>
  <c r="AM14" i="18"/>
  <c r="AN14" i="18"/>
  <c r="AO14" i="18"/>
  <c r="AP14" i="18"/>
  <c r="AQ14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AF15" i="18"/>
  <c r="AG15" i="18"/>
  <c r="AH15" i="18"/>
  <c r="AI15" i="18"/>
  <c r="AJ15" i="18"/>
  <c r="AK15" i="18"/>
  <c r="AL15" i="18"/>
  <c r="AM15" i="18"/>
  <c r="AN15" i="18"/>
  <c r="AO15" i="18"/>
  <c r="AP15" i="18"/>
  <c r="AQ15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AJ16" i="18"/>
  <c r="AK16" i="18"/>
  <c r="AL16" i="18"/>
  <c r="AM16" i="18"/>
  <c r="AN16" i="18"/>
  <c r="AO16" i="18"/>
  <c r="AP16" i="18"/>
  <c r="AQ16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AG17" i="18"/>
  <c r="AH17" i="18"/>
  <c r="AI17" i="18"/>
  <c r="AJ17" i="18"/>
  <c r="AK17" i="18"/>
  <c r="AL17" i="18"/>
  <c r="AM17" i="18"/>
  <c r="AN17" i="18"/>
  <c r="AO17" i="18"/>
  <c r="AP17" i="18"/>
  <c r="AQ17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AC18" i="18"/>
  <c r="AD18" i="18"/>
  <c r="AE18" i="18"/>
  <c r="AF18" i="18"/>
  <c r="AG18" i="18"/>
  <c r="AH18" i="18"/>
  <c r="AI18" i="18"/>
  <c r="AJ18" i="18"/>
  <c r="AK18" i="18"/>
  <c r="AL18" i="18"/>
  <c r="AM18" i="18"/>
  <c r="AN18" i="18"/>
  <c r="AO18" i="18"/>
  <c r="AP18" i="18"/>
  <c r="AQ18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AH19" i="18"/>
  <c r="AI19" i="18"/>
  <c r="AJ19" i="18"/>
  <c r="AK19" i="18"/>
  <c r="AL19" i="18"/>
  <c r="AM19" i="18"/>
  <c r="AN19" i="18"/>
  <c r="AO19" i="18"/>
  <c r="AP19" i="18"/>
  <c r="AQ19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AG20" i="18"/>
  <c r="AH20" i="18"/>
  <c r="AI20" i="18"/>
  <c r="AJ20" i="18"/>
  <c r="AK20" i="18"/>
  <c r="AL20" i="18"/>
  <c r="AM20" i="18"/>
  <c r="AN20" i="18"/>
  <c r="AO20" i="18"/>
  <c r="AP20" i="18"/>
  <c r="AQ20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AI21" i="18"/>
  <c r="AJ21" i="18"/>
  <c r="AK21" i="18"/>
  <c r="AL21" i="18"/>
  <c r="AM21" i="18"/>
  <c r="AN21" i="18"/>
  <c r="AO21" i="18"/>
  <c r="AP21" i="18"/>
  <c r="AQ21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AH22" i="18"/>
  <c r="AI22" i="18"/>
  <c r="AJ22" i="18"/>
  <c r="AK22" i="18"/>
  <c r="AL22" i="18"/>
  <c r="AM22" i="18"/>
  <c r="AN22" i="18"/>
  <c r="AO22" i="18"/>
  <c r="AP22" i="18"/>
  <c r="AQ22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AF23" i="18"/>
  <c r="AG23" i="18"/>
  <c r="AH23" i="18"/>
  <c r="AI23" i="18"/>
  <c r="AJ23" i="18"/>
  <c r="AK23" i="18"/>
  <c r="AL23" i="18"/>
  <c r="AM23" i="18"/>
  <c r="AN23" i="18"/>
  <c r="AO23" i="18"/>
  <c r="AP23" i="18"/>
  <c r="AQ23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AD24" i="18"/>
  <c r="AE24" i="18"/>
  <c r="AF24" i="18"/>
  <c r="AG24" i="18"/>
  <c r="AH24" i="18"/>
  <c r="AI24" i="18"/>
  <c r="AJ24" i="18"/>
  <c r="AK24" i="18"/>
  <c r="AL24" i="18"/>
  <c r="AM24" i="18"/>
  <c r="AN24" i="18"/>
  <c r="AO24" i="18"/>
  <c r="AP24" i="18"/>
  <c r="AQ24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AF25" i="18"/>
  <c r="AG25" i="18"/>
  <c r="AH25" i="18"/>
  <c r="AI25" i="18"/>
  <c r="AJ25" i="18"/>
  <c r="AK25" i="18"/>
  <c r="AL25" i="18"/>
  <c r="AM25" i="18"/>
  <c r="AN25" i="18"/>
  <c r="AO25" i="18"/>
  <c r="AP25" i="18"/>
  <c r="AQ25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AE26" i="18"/>
  <c r="AF26" i="18"/>
  <c r="AG26" i="18"/>
  <c r="AH26" i="18"/>
  <c r="AI26" i="18"/>
  <c r="AJ26" i="18"/>
  <c r="AK26" i="18"/>
  <c r="AL26" i="18"/>
  <c r="AM26" i="18"/>
  <c r="AN26" i="18"/>
  <c r="AO26" i="18"/>
  <c r="AP26" i="18"/>
  <c r="AQ26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AE27" i="18"/>
  <c r="AF27" i="18"/>
  <c r="AG27" i="18"/>
  <c r="AH27" i="18"/>
  <c r="AI27" i="18"/>
  <c r="AJ27" i="18"/>
  <c r="AK27" i="18"/>
  <c r="AL27" i="18"/>
  <c r="AM27" i="18"/>
  <c r="AN27" i="18"/>
  <c r="AO27" i="18"/>
  <c r="AP27" i="18"/>
  <c r="AQ27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AH28" i="18"/>
  <c r="AI28" i="18"/>
  <c r="AJ28" i="18"/>
  <c r="AK28" i="18"/>
  <c r="AL28" i="18"/>
  <c r="AM28" i="18"/>
  <c r="AN28" i="18"/>
  <c r="AO28" i="18"/>
  <c r="AP28" i="18"/>
  <c r="AQ28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AA29" i="18"/>
  <c r="AB29" i="18"/>
  <c r="AC29" i="18"/>
  <c r="AD29" i="18"/>
  <c r="AE29" i="18"/>
  <c r="AF29" i="18"/>
  <c r="AG29" i="18"/>
  <c r="AH29" i="18"/>
  <c r="AI29" i="18"/>
  <c r="AJ29" i="18"/>
  <c r="AK29" i="18"/>
  <c r="AL29" i="18"/>
  <c r="AM29" i="18"/>
  <c r="AN29" i="18"/>
  <c r="AO29" i="18"/>
  <c r="AP29" i="18"/>
  <c r="AQ29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AA30" i="18"/>
  <c r="AB30" i="18"/>
  <c r="AC30" i="18"/>
  <c r="AD30" i="18"/>
  <c r="AE30" i="18"/>
  <c r="AF30" i="18"/>
  <c r="AG30" i="18"/>
  <c r="AH30" i="18"/>
  <c r="AI30" i="18"/>
  <c r="AJ30" i="18"/>
  <c r="AK30" i="18"/>
  <c r="AL30" i="18"/>
  <c r="AM30" i="18"/>
  <c r="AN30" i="18"/>
  <c r="AO30" i="18"/>
  <c r="AP30" i="18"/>
  <c r="AQ30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AA31" i="18"/>
  <c r="AB31" i="18"/>
  <c r="AC31" i="18"/>
  <c r="AD31" i="18"/>
  <c r="AE31" i="18"/>
  <c r="AF31" i="18"/>
  <c r="AG31" i="18"/>
  <c r="AH31" i="18"/>
  <c r="AI31" i="18"/>
  <c r="AJ31" i="18"/>
  <c r="AK31" i="18"/>
  <c r="AL31" i="18"/>
  <c r="AM31" i="18"/>
  <c r="AN31" i="18"/>
  <c r="AO31" i="18"/>
  <c r="AP31" i="18"/>
  <c r="AQ31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AA32" i="18"/>
  <c r="AB32" i="18"/>
  <c r="AC32" i="18"/>
  <c r="AD32" i="18"/>
  <c r="AE32" i="18"/>
  <c r="AF32" i="18"/>
  <c r="AG32" i="18"/>
  <c r="AH32" i="18"/>
  <c r="AI32" i="18"/>
  <c r="AJ32" i="18"/>
  <c r="AK32" i="18"/>
  <c r="AL32" i="18"/>
  <c r="AM32" i="18"/>
  <c r="AN32" i="18"/>
  <c r="AO32" i="18"/>
  <c r="AP32" i="18"/>
  <c r="AQ32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AA33" i="18"/>
  <c r="AB33" i="18"/>
  <c r="AC33" i="18"/>
  <c r="AD33" i="18"/>
  <c r="AE33" i="18"/>
  <c r="AF33" i="18"/>
  <c r="AG33" i="18"/>
  <c r="AH33" i="18"/>
  <c r="AI33" i="18"/>
  <c r="AJ33" i="18"/>
  <c r="AK33" i="18"/>
  <c r="AL33" i="18"/>
  <c r="AM33" i="18"/>
  <c r="AN33" i="18"/>
  <c r="AO33" i="18"/>
  <c r="AP33" i="18"/>
  <c r="AQ33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AA34" i="18"/>
  <c r="AB34" i="18"/>
  <c r="AC34" i="18"/>
  <c r="AD34" i="18"/>
  <c r="AE34" i="18"/>
  <c r="AF34" i="18"/>
  <c r="AG34" i="18"/>
  <c r="AH34" i="18"/>
  <c r="AI34" i="18"/>
  <c r="AJ34" i="18"/>
  <c r="AK34" i="18"/>
  <c r="AL34" i="18"/>
  <c r="AM34" i="18"/>
  <c r="AN34" i="18"/>
  <c r="AO34" i="18"/>
  <c r="AP34" i="18"/>
  <c r="AQ34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AB35" i="18"/>
  <c r="AC35" i="18"/>
  <c r="AD35" i="18"/>
  <c r="AE35" i="18"/>
  <c r="AF35" i="18"/>
  <c r="AG35" i="18"/>
  <c r="AH35" i="18"/>
  <c r="AI35" i="18"/>
  <c r="AJ35" i="18"/>
  <c r="AK35" i="18"/>
  <c r="AL35" i="18"/>
  <c r="AM35" i="18"/>
  <c r="AN35" i="18"/>
  <c r="AO35" i="18"/>
  <c r="AP35" i="18"/>
  <c r="AQ35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AA36" i="18"/>
  <c r="AB36" i="18"/>
  <c r="AC36" i="18"/>
  <c r="AD36" i="18"/>
  <c r="AE36" i="18"/>
  <c r="AF36" i="18"/>
  <c r="AG36" i="18"/>
  <c r="AH36" i="18"/>
  <c r="AI36" i="18"/>
  <c r="AJ36" i="18"/>
  <c r="AK36" i="18"/>
  <c r="AL36" i="18"/>
  <c r="AM36" i="18"/>
  <c r="AN36" i="18"/>
  <c r="AO36" i="18"/>
  <c r="AP36" i="18"/>
  <c r="AQ36" i="18"/>
  <c r="E37" i="18"/>
  <c r="F37" i="18"/>
  <c r="G37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T37" i="18"/>
  <c r="U37" i="18"/>
  <c r="V37" i="18"/>
  <c r="W37" i="18"/>
  <c r="X37" i="18"/>
  <c r="Y37" i="18"/>
  <c r="Z37" i="18"/>
  <c r="AA37" i="18"/>
  <c r="AB37" i="18"/>
  <c r="AC37" i="18"/>
  <c r="AD37" i="18"/>
  <c r="AE37" i="18"/>
  <c r="AF37" i="18"/>
  <c r="AG37" i="18"/>
  <c r="AH37" i="18"/>
  <c r="AI37" i="18"/>
  <c r="AJ37" i="18"/>
  <c r="AK37" i="18"/>
  <c r="AL37" i="18"/>
  <c r="AM37" i="18"/>
  <c r="AN37" i="18"/>
  <c r="AO37" i="18"/>
  <c r="AP37" i="18"/>
  <c r="AQ37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AA38" i="18"/>
  <c r="AB38" i="18"/>
  <c r="AC38" i="18"/>
  <c r="AD38" i="18"/>
  <c r="AE38" i="18"/>
  <c r="AF38" i="18"/>
  <c r="AG38" i="18"/>
  <c r="AH38" i="18"/>
  <c r="AI38" i="18"/>
  <c r="AJ38" i="18"/>
  <c r="AK38" i="18"/>
  <c r="AL38" i="18"/>
  <c r="AM38" i="18"/>
  <c r="AN38" i="18"/>
  <c r="AO38" i="18"/>
  <c r="AP38" i="18"/>
  <c r="AQ38" i="18"/>
  <c r="E39" i="18"/>
  <c r="F39" i="18"/>
  <c r="G39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T39" i="18"/>
  <c r="U39" i="18"/>
  <c r="V39" i="18"/>
  <c r="W39" i="18"/>
  <c r="X39" i="18"/>
  <c r="Y39" i="18"/>
  <c r="Z39" i="18"/>
  <c r="AA39" i="18"/>
  <c r="AB39" i="18"/>
  <c r="AC39" i="18"/>
  <c r="AD39" i="18"/>
  <c r="AE39" i="18"/>
  <c r="AF39" i="18"/>
  <c r="AG39" i="18"/>
  <c r="AH39" i="18"/>
  <c r="AI39" i="18"/>
  <c r="AJ39" i="18"/>
  <c r="AK39" i="18"/>
  <c r="AL39" i="18"/>
  <c r="AM39" i="18"/>
  <c r="AN39" i="18"/>
  <c r="AO39" i="18"/>
  <c r="AP39" i="18"/>
  <c r="AQ39" i="18"/>
  <c r="E40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T40" i="18"/>
  <c r="U40" i="18"/>
  <c r="V40" i="18"/>
  <c r="W40" i="18"/>
  <c r="X40" i="18"/>
  <c r="Y40" i="18"/>
  <c r="Z40" i="18"/>
  <c r="AA40" i="18"/>
  <c r="AB40" i="18"/>
  <c r="AC40" i="18"/>
  <c r="AD40" i="18"/>
  <c r="AE40" i="18"/>
  <c r="AF40" i="18"/>
  <c r="AG40" i="18"/>
  <c r="AH40" i="18"/>
  <c r="AI40" i="18"/>
  <c r="AJ40" i="18"/>
  <c r="AK40" i="18"/>
  <c r="AL40" i="18"/>
  <c r="AM40" i="18"/>
  <c r="AN40" i="18"/>
  <c r="AO40" i="18"/>
  <c r="AP40" i="18"/>
  <c r="AQ40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AB41" i="18"/>
  <c r="AC41" i="18"/>
  <c r="AD41" i="18"/>
  <c r="AE41" i="18"/>
  <c r="AF41" i="18"/>
  <c r="AG41" i="18"/>
  <c r="AH41" i="18"/>
  <c r="AI41" i="18"/>
  <c r="AJ41" i="18"/>
  <c r="AK41" i="18"/>
  <c r="AL41" i="18"/>
  <c r="AM41" i="18"/>
  <c r="AN41" i="18"/>
  <c r="AO41" i="18"/>
  <c r="AP41" i="18"/>
  <c r="AQ41" i="18"/>
  <c r="E42" i="18"/>
  <c r="F42" i="18"/>
  <c r="G42" i="18"/>
  <c r="H42" i="18"/>
  <c r="I42" i="18"/>
  <c r="J42" i="18"/>
  <c r="K42" i="18"/>
  <c r="L42" i="18"/>
  <c r="M42" i="18"/>
  <c r="N42" i="18"/>
  <c r="O42" i="18"/>
  <c r="P42" i="18"/>
  <c r="Q42" i="18"/>
  <c r="R42" i="18"/>
  <c r="S42" i="18"/>
  <c r="T42" i="18"/>
  <c r="U42" i="18"/>
  <c r="V42" i="18"/>
  <c r="W42" i="18"/>
  <c r="X42" i="18"/>
  <c r="Y42" i="18"/>
  <c r="Z42" i="18"/>
  <c r="AA42" i="18"/>
  <c r="AB42" i="18"/>
  <c r="AC42" i="18"/>
  <c r="AD42" i="18"/>
  <c r="AE42" i="18"/>
  <c r="AF42" i="18"/>
  <c r="AG42" i="18"/>
  <c r="AH42" i="18"/>
  <c r="AI42" i="18"/>
  <c r="AJ42" i="18"/>
  <c r="AK42" i="18"/>
  <c r="AL42" i="18"/>
  <c r="AM42" i="18"/>
  <c r="AN42" i="18"/>
  <c r="AO42" i="18"/>
  <c r="AP42" i="18"/>
  <c r="AQ42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3" i="18"/>
  <c r="D3" i="17"/>
  <c r="E3" i="17"/>
  <c r="F3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AJ3" i="17"/>
  <c r="AK3" i="17"/>
  <c r="AL3" i="17"/>
  <c r="AM3" i="17"/>
  <c r="AN3" i="17"/>
  <c r="AO3" i="17"/>
  <c r="AP3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AE4" i="17"/>
  <c r="AF4" i="17"/>
  <c r="AG4" i="17"/>
  <c r="AH4" i="17"/>
  <c r="AI4" i="17"/>
  <c r="AJ4" i="17"/>
  <c r="AK4" i="17"/>
  <c r="AL4" i="17"/>
  <c r="AM4" i="17"/>
  <c r="AN4" i="17"/>
  <c r="AO4" i="17"/>
  <c r="AP4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AE5" i="17"/>
  <c r="AF5" i="17"/>
  <c r="AG5" i="17"/>
  <c r="AH5" i="17"/>
  <c r="AI5" i="17"/>
  <c r="AJ5" i="17"/>
  <c r="AK5" i="17"/>
  <c r="AL5" i="17"/>
  <c r="AM5" i="17"/>
  <c r="AN5" i="17"/>
  <c r="AO5" i="17"/>
  <c r="AP5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Y6" i="17"/>
  <c r="Z6" i="17"/>
  <c r="AA6" i="17"/>
  <c r="AB6" i="17"/>
  <c r="AC6" i="17"/>
  <c r="AD6" i="17"/>
  <c r="AE6" i="17"/>
  <c r="AF6" i="17"/>
  <c r="AG6" i="17"/>
  <c r="AH6" i="17"/>
  <c r="AI6" i="17"/>
  <c r="AJ6" i="17"/>
  <c r="AK6" i="17"/>
  <c r="AL6" i="17"/>
  <c r="AM6" i="17"/>
  <c r="AN6" i="17"/>
  <c r="AO6" i="17"/>
  <c r="AP6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AH7" i="17"/>
  <c r="AI7" i="17"/>
  <c r="AJ7" i="17"/>
  <c r="AK7" i="17"/>
  <c r="AL7" i="17"/>
  <c r="AM7" i="17"/>
  <c r="AN7" i="17"/>
  <c r="AO7" i="17"/>
  <c r="AP7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Y12" i="17"/>
  <c r="Z12" i="17"/>
  <c r="AA12" i="17"/>
  <c r="AB12" i="17"/>
  <c r="AC12" i="17"/>
  <c r="AD12" i="17"/>
  <c r="AE12" i="17"/>
  <c r="AF12" i="17"/>
  <c r="AG12" i="17"/>
  <c r="AH12" i="17"/>
  <c r="AI12" i="17"/>
  <c r="AJ12" i="17"/>
  <c r="AK12" i="17"/>
  <c r="AL12" i="17"/>
  <c r="AM12" i="17"/>
  <c r="AN12" i="17"/>
  <c r="AO12" i="17"/>
  <c r="AP12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AG13" i="17"/>
  <c r="AH13" i="17"/>
  <c r="AI13" i="17"/>
  <c r="AJ13" i="17"/>
  <c r="AK13" i="17"/>
  <c r="AL13" i="17"/>
  <c r="AM13" i="17"/>
  <c r="AN13" i="17"/>
  <c r="AO13" i="17"/>
  <c r="AP13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AD15" i="17"/>
  <c r="AE15" i="17"/>
  <c r="AF15" i="17"/>
  <c r="AG15" i="17"/>
  <c r="AH15" i="17"/>
  <c r="AI15" i="17"/>
  <c r="AJ15" i="17"/>
  <c r="AK15" i="17"/>
  <c r="AL15" i="17"/>
  <c r="AM15" i="17"/>
  <c r="AN15" i="17"/>
  <c r="AO15" i="17"/>
  <c r="AP15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AG16" i="17"/>
  <c r="AH16" i="17"/>
  <c r="AI16" i="17"/>
  <c r="AJ16" i="17"/>
  <c r="AK16" i="17"/>
  <c r="AL16" i="17"/>
  <c r="AM16" i="17"/>
  <c r="AN16" i="17"/>
  <c r="AO16" i="17"/>
  <c r="AP16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Y17" i="17"/>
  <c r="Z17" i="17"/>
  <c r="AA17" i="17"/>
  <c r="AB17" i="17"/>
  <c r="AC17" i="17"/>
  <c r="AD17" i="17"/>
  <c r="AE17" i="17"/>
  <c r="AF17" i="17"/>
  <c r="AG17" i="17"/>
  <c r="AH17" i="17"/>
  <c r="AI17" i="17"/>
  <c r="AJ17" i="17"/>
  <c r="AK17" i="17"/>
  <c r="AL17" i="17"/>
  <c r="AM17" i="17"/>
  <c r="AN17" i="17"/>
  <c r="AO17" i="17"/>
  <c r="AP17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17"/>
  <c r="AM19" i="17"/>
  <c r="AN19" i="17"/>
  <c r="AO19" i="17"/>
  <c r="AP19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AJ21" i="17"/>
  <c r="AK21" i="17"/>
  <c r="AL21" i="17"/>
  <c r="AM21" i="17"/>
  <c r="AN21" i="17"/>
  <c r="AO21" i="17"/>
  <c r="AP21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AJ23" i="17"/>
  <c r="AK23" i="17"/>
  <c r="AL23" i="17"/>
  <c r="AM23" i="17"/>
  <c r="AN23" i="17"/>
  <c r="AO23" i="17"/>
  <c r="AP23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Y24" i="17"/>
  <c r="Z24" i="17"/>
  <c r="AA24" i="17"/>
  <c r="AB24" i="17"/>
  <c r="AC24" i="17"/>
  <c r="AD24" i="17"/>
  <c r="AE24" i="17"/>
  <c r="AF24" i="17"/>
  <c r="AG24" i="17"/>
  <c r="AH24" i="17"/>
  <c r="AI24" i="17"/>
  <c r="AJ24" i="17"/>
  <c r="AK24" i="17"/>
  <c r="AL24" i="17"/>
  <c r="AM24" i="17"/>
  <c r="AN24" i="17"/>
  <c r="AO24" i="17"/>
  <c r="AP24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AG25" i="17"/>
  <c r="AH25" i="17"/>
  <c r="AI25" i="17"/>
  <c r="AJ25" i="17"/>
  <c r="AK25" i="17"/>
  <c r="AL25" i="17"/>
  <c r="AM25" i="17"/>
  <c r="AN25" i="17"/>
  <c r="AO25" i="17"/>
  <c r="AP25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Y26" i="17"/>
  <c r="Z26" i="17"/>
  <c r="AA26" i="17"/>
  <c r="AB26" i="17"/>
  <c r="AC26" i="17"/>
  <c r="AD26" i="17"/>
  <c r="AE26" i="17"/>
  <c r="AF26" i="17"/>
  <c r="AG26" i="17"/>
  <c r="AH26" i="17"/>
  <c r="AI26" i="17"/>
  <c r="AJ26" i="17"/>
  <c r="AK26" i="17"/>
  <c r="AL26" i="17"/>
  <c r="AM26" i="17"/>
  <c r="AN26" i="17"/>
  <c r="AO26" i="17"/>
  <c r="AP26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Y27" i="17"/>
  <c r="Z27" i="17"/>
  <c r="AA27" i="17"/>
  <c r="AB27" i="17"/>
  <c r="AC27" i="17"/>
  <c r="AD27" i="17"/>
  <c r="AE27" i="17"/>
  <c r="AF27" i="17"/>
  <c r="AG27" i="17"/>
  <c r="AH27" i="17"/>
  <c r="AI27" i="17"/>
  <c r="AJ27" i="17"/>
  <c r="AK27" i="17"/>
  <c r="AL27" i="17"/>
  <c r="AM27" i="17"/>
  <c r="AN27" i="17"/>
  <c r="AO27" i="17"/>
  <c r="AP27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AD28" i="17"/>
  <c r="AE28" i="17"/>
  <c r="AF28" i="17"/>
  <c r="AG28" i="17"/>
  <c r="AH28" i="17"/>
  <c r="AI28" i="17"/>
  <c r="AJ28" i="17"/>
  <c r="AK28" i="17"/>
  <c r="AL28" i="17"/>
  <c r="AM28" i="17"/>
  <c r="AN28" i="17"/>
  <c r="AO28" i="17"/>
  <c r="AP28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Y29" i="17"/>
  <c r="Z29" i="17"/>
  <c r="AA29" i="17"/>
  <c r="AB29" i="17"/>
  <c r="AC29" i="17"/>
  <c r="AD29" i="17"/>
  <c r="AE29" i="17"/>
  <c r="AF29" i="17"/>
  <c r="AG29" i="17"/>
  <c r="AH29" i="17"/>
  <c r="AI29" i="17"/>
  <c r="AJ29" i="17"/>
  <c r="AK29" i="17"/>
  <c r="AL29" i="17"/>
  <c r="AM29" i="17"/>
  <c r="AN29" i="17"/>
  <c r="AO29" i="17"/>
  <c r="AP29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Y30" i="17"/>
  <c r="Z30" i="17"/>
  <c r="AA30" i="17"/>
  <c r="AB30" i="17"/>
  <c r="AC30" i="17"/>
  <c r="AD30" i="17"/>
  <c r="AE30" i="17"/>
  <c r="AF30" i="17"/>
  <c r="AG30" i="17"/>
  <c r="AH30" i="17"/>
  <c r="AI30" i="17"/>
  <c r="AJ30" i="17"/>
  <c r="AK30" i="17"/>
  <c r="AL30" i="17"/>
  <c r="AM30" i="17"/>
  <c r="AN30" i="17"/>
  <c r="AO30" i="17"/>
  <c r="AP30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Y31" i="17"/>
  <c r="Z31" i="17"/>
  <c r="AA31" i="17"/>
  <c r="AB31" i="17"/>
  <c r="AC31" i="17"/>
  <c r="AD31" i="17"/>
  <c r="AE31" i="17"/>
  <c r="AF31" i="17"/>
  <c r="AG31" i="17"/>
  <c r="AH31" i="17"/>
  <c r="AI31" i="17"/>
  <c r="AJ31" i="17"/>
  <c r="AK31" i="17"/>
  <c r="AL31" i="17"/>
  <c r="AM31" i="17"/>
  <c r="AN31" i="17"/>
  <c r="AO31" i="17"/>
  <c r="AP31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Y32" i="17"/>
  <c r="Z32" i="17"/>
  <c r="AA32" i="17"/>
  <c r="AB32" i="17"/>
  <c r="AC32" i="17"/>
  <c r="AD32" i="17"/>
  <c r="AE32" i="17"/>
  <c r="AF32" i="17"/>
  <c r="AG32" i="17"/>
  <c r="AH32" i="17"/>
  <c r="AI32" i="17"/>
  <c r="AJ32" i="17"/>
  <c r="AK32" i="17"/>
  <c r="AL32" i="17"/>
  <c r="AM32" i="17"/>
  <c r="AN32" i="17"/>
  <c r="AO32" i="17"/>
  <c r="AP32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Y33" i="17"/>
  <c r="Z33" i="17"/>
  <c r="AA33" i="17"/>
  <c r="AB33" i="17"/>
  <c r="AC33" i="17"/>
  <c r="AD33" i="17"/>
  <c r="AE33" i="17"/>
  <c r="AF33" i="17"/>
  <c r="AG33" i="17"/>
  <c r="AH33" i="17"/>
  <c r="AI33" i="17"/>
  <c r="AJ33" i="17"/>
  <c r="AK33" i="17"/>
  <c r="AL33" i="17"/>
  <c r="AM33" i="17"/>
  <c r="AN33" i="17"/>
  <c r="AO33" i="17"/>
  <c r="AP33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AD34" i="17"/>
  <c r="AE34" i="17"/>
  <c r="AF34" i="17"/>
  <c r="AG34" i="17"/>
  <c r="AH34" i="17"/>
  <c r="AI34" i="17"/>
  <c r="AJ34" i="17"/>
  <c r="AK34" i="17"/>
  <c r="AL34" i="17"/>
  <c r="AM34" i="17"/>
  <c r="AN34" i="17"/>
  <c r="AO34" i="17"/>
  <c r="AP34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Y35" i="17"/>
  <c r="Z35" i="17"/>
  <c r="AA35" i="17"/>
  <c r="AB35" i="17"/>
  <c r="AC35" i="17"/>
  <c r="AD35" i="17"/>
  <c r="AE35" i="17"/>
  <c r="AF35" i="17"/>
  <c r="AG35" i="17"/>
  <c r="AH35" i="17"/>
  <c r="AI35" i="17"/>
  <c r="AJ35" i="17"/>
  <c r="AK35" i="17"/>
  <c r="AL35" i="17"/>
  <c r="AM35" i="17"/>
  <c r="AN35" i="17"/>
  <c r="AO35" i="17"/>
  <c r="AP35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Y36" i="17"/>
  <c r="Z36" i="17"/>
  <c r="AA36" i="17"/>
  <c r="AB36" i="17"/>
  <c r="AC36" i="17"/>
  <c r="AD36" i="17"/>
  <c r="AE36" i="17"/>
  <c r="AF36" i="17"/>
  <c r="AG36" i="17"/>
  <c r="AH36" i="17"/>
  <c r="AI36" i="17"/>
  <c r="AJ36" i="17"/>
  <c r="AK36" i="17"/>
  <c r="AL36" i="17"/>
  <c r="AM36" i="17"/>
  <c r="AN36" i="17"/>
  <c r="AO36" i="17"/>
  <c r="AP36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AD37" i="17"/>
  <c r="AE37" i="17"/>
  <c r="AF37" i="17"/>
  <c r="AG37" i="17"/>
  <c r="AH37" i="17"/>
  <c r="AI37" i="17"/>
  <c r="AJ37" i="17"/>
  <c r="AK37" i="17"/>
  <c r="AL37" i="17"/>
  <c r="AM37" i="17"/>
  <c r="AN37" i="17"/>
  <c r="AO37" i="17"/>
  <c r="AP37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7"/>
  <c r="AF38" i="17"/>
  <c r="AG38" i="17"/>
  <c r="AH38" i="17"/>
  <c r="AI38" i="17"/>
  <c r="AJ38" i="17"/>
  <c r="AK38" i="17"/>
  <c r="AL38" i="17"/>
  <c r="AM38" i="17"/>
  <c r="AN38" i="17"/>
  <c r="AO38" i="17"/>
  <c r="AP38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I39" i="17"/>
  <c r="AJ39" i="17"/>
  <c r="AK39" i="17"/>
  <c r="AL39" i="17"/>
  <c r="AM39" i="17"/>
  <c r="AN39" i="17"/>
  <c r="AO39" i="17"/>
  <c r="AP39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Y40" i="17"/>
  <c r="Z40" i="17"/>
  <c r="AA40" i="17"/>
  <c r="AB40" i="17"/>
  <c r="AC40" i="17"/>
  <c r="AD40" i="17"/>
  <c r="AE40" i="17"/>
  <c r="AF40" i="17"/>
  <c r="AG40" i="17"/>
  <c r="AH40" i="17"/>
  <c r="AI40" i="17"/>
  <c r="AJ40" i="17"/>
  <c r="AK40" i="17"/>
  <c r="AL40" i="17"/>
  <c r="AM40" i="17"/>
  <c r="AN40" i="17"/>
  <c r="AO40" i="17"/>
  <c r="AP40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AA41" i="17"/>
  <c r="AB41" i="17"/>
  <c r="AC41" i="17"/>
  <c r="AD41" i="17"/>
  <c r="AE41" i="17"/>
  <c r="AF41" i="17"/>
  <c r="AG41" i="17"/>
  <c r="AH41" i="17"/>
  <c r="AI41" i="17"/>
  <c r="AJ41" i="17"/>
  <c r="AK41" i="17"/>
  <c r="AL41" i="17"/>
  <c r="AM41" i="17"/>
  <c r="AN41" i="17"/>
  <c r="AO41" i="17"/>
  <c r="AP41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Y42" i="17"/>
  <c r="Z42" i="17"/>
  <c r="AA42" i="17"/>
  <c r="AB42" i="17"/>
  <c r="AC42" i="17"/>
  <c r="AD42" i="17"/>
  <c r="AE42" i="17"/>
  <c r="AF42" i="17"/>
  <c r="AG42" i="17"/>
  <c r="AH42" i="17"/>
  <c r="AI42" i="17"/>
  <c r="AJ42" i="17"/>
  <c r="AK42" i="17"/>
  <c r="AL42" i="17"/>
  <c r="AM42" i="17"/>
  <c r="AN42" i="17"/>
  <c r="AO42" i="17"/>
  <c r="AP42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3" i="17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F3" i="16"/>
  <c r="AG3" i="16"/>
  <c r="AH3" i="16"/>
  <c r="AI3" i="16"/>
  <c r="AJ3" i="16"/>
  <c r="AK3" i="16"/>
  <c r="AL3" i="16"/>
  <c r="AM3" i="16"/>
  <c r="AN3" i="16"/>
  <c r="AO3" i="16"/>
  <c r="AP3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AE4" i="16"/>
  <c r="AF4" i="16"/>
  <c r="AG4" i="16"/>
  <c r="AH4" i="16"/>
  <c r="AI4" i="16"/>
  <c r="AJ4" i="16"/>
  <c r="AK4" i="16"/>
  <c r="AL4" i="16"/>
  <c r="AM4" i="16"/>
  <c r="AN4" i="16"/>
  <c r="AO4" i="16"/>
  <c r="AP4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AN5" i="16"/>
  <c r="AO5" i="16"/>
  <c r="AP5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AG7" i="16"/>
  <c r="AH7" i="16"/>
  <c r="AI7" i="16"/>
  <c r="AJ7" i="16"/>
  <c r="AK7" i="16"/>
  <c r="AL7" i="16"/>
  <c r="AM7" i="16"/>
  <c r="AN7" i="16"/>
  <c r="AO7" i="16"/>
  <c r="AP7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AK11" i="16"/>
  <c r="AL11" i="16"/>
  <c r="AM11" i="16"/>
  <c r="AN11" i="16"/>
  <c r="AO11" i="16"/>
  <c r="AP11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AG12" i="16"/>
  <c r="AH12" i="16"/>
  <c r="AI12" i="16"/>
  <c r="AJ12" i="16"/>
  <c r="AK12" i="16"/>
  <c r="AL12" i="16"/>
  <c r="AM12" i="16"/>
  <c r="AN12" i="16"/>
  <c r="AO12" i="16"/>
  <c r="AP12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AG14" i="16"/>
  <c r="AH14" i="16"/>
  <c r="AI14" i="16"/>
  <c r="AJ14" i="16"/>
  <c r="AK14" i="16"/>
  <c r="AL14" i="16"/>
  <c r="AM14" i="16"/>
  <c r="AN14" i="16"/>
  <c r="AO14" i="16"/>
  <c r="AP14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AG15" i="16"/>
  <c r="AH15" i="16"/>
  <c r="AI15" i="16"/>
  <c r="AJ15" i="16"/>
  <c r="AK15" i="16"/>
  <c r="AL15" i="16"/>
  <c r="AM15" i="16"/>
  <c r="AN15" i="16"/>
  <c r="AO15" i="16"/>
  <c r="AP15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AM16" i="16"/>
  <c r="AN16" i="16"/>
  <c r="AO16" i="16"/>
  <c r="AP16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P18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P19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AP20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P22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AG23" i="16"/>
  <c r="AH23" i="16"/>
  <c r="AI23" i="16"/>
  <c r="AJ23" i="16"/>
  <c r="AK23" i="16"/>
  <c r="AL23" i="16"/>
  <c r="AM23" i="16"/>
  <c r="AN23" i="16"/>
  <c r="AO23" i="16"/>
  <c r="AP23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AF24" i="16"/>
  <c r="AG24" i="16"/>
  <c r="AH24" i="16"/>
  <c r="AI24" i="16"/>
  <c r="AJ24" i="16"/>
  <c r="AK24" i="16"/>
  <c r="AL24" i="16"/>
  <c r="AM24" i="16"/>
  <c r="AN24" i="16"/>
  <c r="AO24" i="16"/>
  <c r="AP24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AK26" i="16"/>
  <c r="AL26" i="16"/>
  <c r="AM26" i="16"/>
  <c r="AN26" i="16"/>
  <c r="AO26" i="16"/>
  <c r="AP26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AJ27" i="16"/>
  <c r="AK27" i="16"/>
  <c r="AL27" i="16"/>
  <c r="AM27" i="16"/>
  <c r="AN27" i="16"/>
  <c r="AO27" i="16"/>
  <c r="AP27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D31" i="16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D32" i="16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AG34" i="16"/>
  <c r="AH34" i="16"/>
  <c r="AI34" i="16"/>
  <c r="AJ34" i="16"/>
  <c r="AK34" i="16"/>
  <c r="AL34" i="16"/>
  <c r="AM34" i="16"/>
  <c r="AN34" i="16"/>
  <c r="AO34" i="16"/>
  <c r="AP34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D38" i="16"/>
  <c r="E38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D39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I39" i="16"/>
  <c r="AJ39" i="16"/>
  <c r="AK39" i="16"/>
  <c r="AL39" i="16"/>
  <c r="AM39" i="16"/>
  <c r="AN39" i="16"/>
  <c r="AO39" i="16"/>
  <c r="AP39" i="16"/>
  <c r="D40" i="16"/>
  <c r="E40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AD40" i="16"/>
  <c r="AE40" i="16"/>
  <c r="AF40" i="16"/>
  <c r="AG40" i="16"/>
  <c r="AH40" i="16"/>
  <c r="AI40" i="16"/>
  <c r="AJ40" i="16"/>
  <c r="AK40" i="16"/>
  <c r="AL40" i="16"/>
  <c r="AM40" i="16"/>
  <c r="AN40" i="16"/>
  <c r="AO40" i="16"/>
  <c r="AP40" i="16"/>
  <c r="D41" i="16"/>
  <c r="E41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AG41" i="16"/>
  <c r="AH41" i="16"/>
  <c r="AI41" i="16"/>
  <c r="AJ41" i="16"/>
  <c r="AK41" i="16"/>
  <c r="AL41" i="16"/>
  <c r="AM41" i="16"/>
  <c r="AN41" i="16"/>
  <c r="AO41" i="16"/>
  <c r="AP41" i="16"/>
  <c r="D42" i="16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AD42" i="16"/>
  <c r="AE42" i="16"/>
  <c r="AF42" i="16"/>
  <c r="AG42" i="16"/>
  <c r="AH42" i="16"/>
  <c r="AI42" i="16"/>
  <c r="AJ42" i="16"/>
  <c r="AK42" i="16"/>
  <c r="AL42" i="16"/>
  <c r="AM42" i="16"/>
  <c r="AN42" i="16"/>
  <c r="AO42" i="16"/>
  <c r="AP42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3" i="16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Z6" i="8"/>
  <c r="Z7" i="8"/>
  <c r="Z8" i="8"/>
  <c r="Z10" i="8"/>
  <c r="Z12" i="8"/>
  <c r="Z13" i="8"/>
  <c r="Z14" i="8"/>
  <c r="Z15" i="8"/>
  <c r="Z17" i="8"/>
  <c r="S17" i="15"/>
  <c r="S18" i="15"/>
  <c r="S19" i="15"/>
  <c r="S20" i="15" s="1"/>
  <c r="S21" i="15" s="1"/>
  <c r="S22" i="15" s="1"/>
  <c r="S23" i="15" s="1"/>
  <c r="S24" i="15" s="1"/>
  <c r="S25" i="15" s="1"/>
  <c r="S26" i="15" s="1"/>
  <c r="S27" i="15" s="1"/>
  <c r="S28" i="15" s="1"/>
  <c r="S29" i="15" s="1"/>
  <c r="S30" i="15" s="1"/>
  <c r="S31" i="15" s="1"/>
  <c r="S10" i="15"/>
  <c r="S11" i="15" s="1"/>
  <c r="S12" i="15" s="1"/>
  <c r="S13" i="15" s="1"/>
  <c r="S14" i="15" s="1"/>
  <c r="S15" i="15" s="1"/>
  <c r="S16" i="15" s="1"/>
  <c r="F42" i="15" l="1"/>
  <c r="E42" i="15"/>
  <c r="F41" i="15"/>
  <c r="E41" i="15"/>
  <c r="F40" i="15"/>
  <c r="E40" i="15"/>
  <c r="F39" i="15"/>
  <c r="E39" i="15"/>
  <c r="F38" i="15"/>
  <c r="E38" i="15"/>
  <c r="F37" i="15"/>
  <c r="E37" i="15"/>
  <c r="F36" i="15"/>
  <c r="E36" i="15"/>
  <c r="F35" i="15"/>
  <c r="E35" i="15"/>
  <c r="F34" i="15"/>
  <c r="E34" i="15"/>
  <c r="F33" i="15"/>
  <c r="E33" i="15"/>
  <c r="F32" i="15"/>
  <c r="E32" i="15"/>
  <c r="F31" i="15"/>
  <c r="E31" i="15"/>
  <c r="F30" i="15"/>
  <c r="E30" i="15"/>
  <c r="F29" i="15"/>
  <c r="E29" i="15"/>
  <c r="F28" i="15"/>
  <c r="E28" i="15"/>
  <c r="F27" i="15"/>
  <c r="E27" i="15"/>
  <c r="F22" i="15"/>
  <c r="E22" i="15"/>
  <c r="F21" i="15"/>
  <c r="E21" i="15"/>
  <c r="F20" i="15"/>
  <c r="E20" i="15"/>
  <c r="F19" i="15"/>
  <c r="E19" i="15"/>
  <c r="M66" i="15" l="1"/>
  <c r="G66" i="15"/>
  <c r="O64" i="15"/>
  <c r="G64" i="15"/>
  <c r="AF39" i="15"/>
  <c r="M62" i="15"/>
  <c r="G62" i="15"/>
  <c r="M60" i="15"/>
  <c r="G60" i="15"/>
  <c r="M58" i="15"/>
  <c r="G58" i="15"/>
  <c r="N56" i="15"/>
  <c r="G56" i="15"/>
  <c r="O54" i="15"/>
  <c r="G54" i="15"/>
  <c r="N52" i="15"/>
  <c r="A52" i="15"/>
  <c r="I26" i="15"/>
  <c r="H26" i="15"/>
  <c r="G26" i="15"/>
  <c r="I25" i="15"/>
  <c r="H25" i="15"/>
  <c r="G25" i="15"/>
  <c r="I24" i="15"/>
  <c r="H24" i="15"/>
  <c r="G24" i="15"/>
  <c r="I23" i="15"/>
  <c r="H23" i="15"/>
  <c r="G23" i="15"/>
  <c r="I18" i="15"/>
  <c r="H18" i="15"/>
  <c r="G18" i="15"/>
  <c r="I17" i="15"/>
  <c r="H17" i="15"/>
  <c r="G17" i="15"/>
  <c r="I16" i="15"/>
  <c r="H16" i="15"/>
  <c r="G16" i="15"/>
  <c r="I15" i="15"/>
  <c r="H15" i="15"/>
  <c r="G15" i="15"/>
  <c r="I14" i="15"/>
  <c r="H14" i="15"/>
  <c r="G14" i="15"/>
  <c r="I10" i="15"/>
  <c r="H10" i="15"/>
  <c r="G10" i="15"/>
  <c r="I9" i="15"/>
  <c r="H9" i="15"/>
  <c r="G9" i="15"/>
  <c r="I8" i="15"/>
  <c r="H8" i="15"/>
  <c r="G8" i="15"/>
  <c r="I7" i="15"/>
  <c r="H7" i="15"/>
  <c r="G7" i="15"/>
  <c r="I6" i="15"/>
  <c r="H6" i="15"/>
  <c r="G6" i="15"/>
  <c r="I5" i="15"/>
  <c r="AF38" i="15" s="1"/>
  <c r="H5" i="15"/>
  <c r="G5" i="15"/>
  <c r="S4" i="15"/>
  <c r="S5" i="15" s="1"/>
  <c r="S6" i="15" s="1"/>
  <c r="S7" i="15" s="1"/>
  <c r="S8" i="15" s="1"/>
  <c r="S9" i="15" s="1"/>
  <c r="S32" i="15" s="1"/>
  <c r="S33" i="15" s="1"/>
  <c r="S34" i="15" s="1"/>
  <c r="S35" i="15" s="1"/>
  <c r="S36" i="15" s="1"/>
  <c r="S37" i="15" s="1"/>
  <c r="S38" i="15" s="1"/>
  <c r="S39" i="15" s="1"/>
  <c r="S40" i="15" s="1"/>
  <c r="S41" i="15" s="1"/>
  <c r="S42" i="15" s="1"/>
  <c r="S43" i="15" s="1"/>
  <c r="S44" i="15" s="1"/>
  <c r="S45" i="15" s="1"/>
  <c r="S46" i="15" s="1"/>
  <c r="N4" i="15"/>
  <c r="I4" i="15"/>
  <c r="H4" i="15"/>
  <c r="G4" i="15"/>
  <c r="I3" i="15"/>
  <c r="H3" i="15"/>
  <c r="G3" i="15"/>
  <c r="AB4" i="2"/>
  <c r="AB5" i="2" s="1"/>
  <c r="AB6" i="2" s="1"/>
  <c r="AB7" i="2" s="1"/>
  <c r="AB8" i="2" s="1"/>
  <c r="AB9" i="2" s="1"/>
  <c r="AB10" i="2" s="1"/>
  <c r="AB11" i="2" s="1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3" i="2"/>
  <c r="S8" i="1"/>
  <c r="S9" i="1"/>
  <c r="S10" i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F101" i="14"/>
  <c r="F100" i="14"/>
  <c r="M46" i="1"/>
  <c r="O44" i="1"/>
  <c r="M42" i="1"/>
  <c r="M40" i="1"/>
  <c r="M38" i="1"/>
  <c r="N36" i="1"/>
  <c r="O34" i="1"/>
  <c r="N32" i="1"/>
  <c r="F26" i="3"/>
  <c r="D26" i="3"/>
  <c r="D25" i="3"/>
  <c r="D24" i="3"/>
  <c r="S4" i="1"/>
  <c r="S5" i="1" s="1"/>
  <c r="S6" i="1" s="1"/>
  <c r="S7" i="1" s="1"/>
  <c r="H62" i="15" l="1"/>
  <c r="A53" i="15"/>
  <c r="E96" i="13"/>
  <c r="F96" i="13"/>
  <c r="G96" i="13"/>
  <c r="H96" i="13"/>
  <c r="I96" i="13"/>
  <c r="J96" i="13"/>
  <c r="K96" i="13"/>
  <c r="L96" i="13"/>
  <c r="M96" i="13"/>
  <c r="N96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E97" i="13"/>
  <c r="F97" i="13"/>
  <c r="G97" i="13"/>
  <c r="H97" i="13"/>
  <c r="I97" i="13"/>
  <c r="J97" i="13"/>
  <c r="K97" i="13"/>
  <c r="L97" i="13"/>
  <c r="M97" i="13"/>
  <c r="N97" i="13"/>
  <c r="O97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E98" i="13"/>
  <c r="F98" i="13"/>
  <c r="G98" i="13"/>
  <c r="H98" i="13"/>
  <c r="I98" i="13"/>
  <c r="J98" i="13"/>
  <c r="K98" i="13"/>
  <c r="L98" i="13"/>
  <c r="M98" i="13"/>
  <c r="N98" i="13"/>
  <c r="O98" i="13"/>
  <c r="P98" i="13"/>
  <c r="Q98" i="13"/>
  <c r="R98" i="13"/>
  <c r="S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E99" i="13"/>
  <c r="F99" i="13"/>
  <c r="G99" i="13"/>
  <c r="H99" i="13"/>
  <c r="I99" i="13"/>
  <c r="J99" i="13"/>
  <c r="K99" i="13"/>
  <c r="L99" i="13"/>
  <c r="M99" i="13"/>
  <c r="N99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AA99" i="13"/>
  <c r="AB99" i="13"/>
  <c r="AC99" i="13"/>
  <c r="AD99" i="13"/>
  <c r="AE99" i="13"/>
  <c r="AF99" i="13"/>
  <c r="AG99" i="13"/>
  <c r="E100" i="13"/>
  <c r="F100" i="13"/>
  <c r="G100" i="13"/>
  <c r="H100" i="13"/>
  <c r="I100" i="13"/>
  <c r="J100" i="13"/>
  <c r="K100" i="13"/>
  <c r="L100" i="13"/>
  <c r="M100" i="13"/>
  <c r="N100" i="13"/>
  <c r="O100" i="13"/>
  <c r="P100" i="13"/>
  <c r="Q100" i="13"/>
  <c r="R100" i="13"/>
  <c r="S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E101" i="13"/>
  <c r="F101" i="13"/>
  <c r="G101" i="13"/>
  <c r="H101" i="13"/>
  <c r="I101" i="13"/>
  <c r="J101" i="13"/>
  <c r="K101" i="13"/>
  <c r="L101" i="13"/>
  <c r="M101" i="13"/>
  <c r="N101" i="13"/>
  <c r="O101" i="13"/>
  <c r="P101" i="13"/>
  <c r="Q101" i="13"/>
  <c r="R101" i="13"/>
  <c r="S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E102" i="13"/>
  <c r="F102" i="13"/>
  <c r="G102" i="13"/>
  <c r="H102" i="13"/>
  <c r="I102" i="13"/>
  <c r="J102" i="13"/>
  <c r="K102" i="13"/>
  <c r="L102" i="13"/>
  <c r="M102" i="13"/>
  <c r="N102" i="13"/>
  <c r="O102" i="13"/>
  <c r="P102" i="13"/>
  <c r="Q102" i="13"/>
  <c r="R102" i="13"/>
  <c r="S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E103" i="13"/>
  <c r="F103" i="13"/>
  <c r="G103" i="13"/>
  <c r="H103" i="13"/>
  <c r="I103" i="13"/>
  <c r="J103" i="13"/>
  <c r="K103" i="13"/>
  <c r="L103" i="13"/>
  <c r="M103" i="13"/>
  <c r="N103" i="13"/>
  <c r="O103" i="13"/>
  <c r="P103" i="13"/>
  <c r="Q103" i="13"/>
  <c r="R103" i="13"/>
  <c r="S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E104" i="13"/>
  <c r="F104" i="13"/>
  <c r="G104" i="13"/>
  <c r="H104" i="13"/>
  <c r="I104" i="13"/>
  <c r="J104" i="13"/>
  <c r="K104" i="13"/>
  <c r="L104" i="13"/>
  <c r="M104" i="13"/>
  <c r="N104" i="13"/>
  <c r="O104" i="13"/>
  <c r="P104" i="13"/>
  <c r="Q104" i="13"/>
  <c r="R104" i="13"/>
  <c r="S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E105" i="13"/>
  <c r="F105" i="13"/>
  <c r="G105" i="13"/>
  <c r="H105" i="13"/>
  <c r="I105" i="13"/>
  <c r="J105" i="13"/>
  <c r="K105" i="13"/>
  <c r="L105" i="13"/>
  <c r="M105" i="13"/>
  <c r="N105" i="13"/>
  <c r="O105" i="13"/>
  <c r="P105" i="13"/>
  <c r="Q105" i="13"/>
  <c r="R105" i="13"/>
  <c r="S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E106" i="13"/>
  <c r="F106" i="13"/>
  <c r="G106" i="13"/>
  <c r="H106" i="13"/>
  <c r="I106" i="13"/>
  <c r="J106" i="13"/>
  <c r="K106" i="13"/>
  <c r="L106" i="13"/>
  <c r="M106" i="13"/>
  <c r="N106" i="13"/>
  <c r="O106" i="13"/>
  <c r="P106" i="13"/>
  <c r="Q106" i="13"/>
  <c r="R106" i="13"/>
  <c r="S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C107" i="13"/>
  <c r="AD107" i="13"/>
  <c r="AE107" i="13"/>
  <c r="AF107" i="13"/>
  <c r="AG107" i="13"/>
  <c r="E108" i="13"/>
  <c r="F108" i="13"/>
  <c r="G108" i="13"/>
  <c r="H108" i="13"/>
  <c r="I108" i="13"/>
  <c r="J108" i="13"/>
  <c r="K108" i="13"/>
  <c r="L108" i="13"/>
  <c r="M108" i="13"/>
  <c r="N108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E109" i="13"/>
  <c r="F109" i="13"/>
  <c r="G109" i="13"/>
  <c r="H109" i="13"/>
  <c r="I109" i="13"/>
  <c r="J109" i="13"/>
  <c r="K109" i="13"/>
  <c r="L109" i="13"/>
  <c r="M109" i="13"/>
  <c r="N109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E110" i="13"/>
  <c r="F110" i="13"/>
  <c r="G110" i="13"/>
  <c r="H110" i="13"/>
  <c r="I110" i="13"/>
  <c r="J110" i="13"/>
  <c r="K110" i="13"/>
  <c r="L110" i="13"/>
  <c r="M110" i="13"/>
  <c r="N110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E111" i="13"/>
  <c r="F111" i="13"/>
  <c r="G111" i="13"/>
  <c r="H111" i="13"/>
  <c r="I111" i="13"/>
  <c r="J111" i="13"/>
  <c r="K111" i="13"/>
  <c r="L111" i="13"/>
  <c r="M111" i="13"/>
  <c r="N111" i="13"/>
  <c r="O111" i="13"/>
  <c r="P111" i="13"/>
  <c r="Q111" i="13"/>
  <c r="R111" i="13"/>
  <c r="S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E112" i="13"/>
  <c r="F112" i="13"/>
  <c r="G112" i="13"/>
  <c r="H112" i="13"/>
  <c r="I112" i="13"/>
  <c r="J112" i="13"/>
  <c r="K112" i="13"/>
  <c r="L112" i="13"/>
  <c r="M112" i="13"/>
  <c r="N112" i="13"/>
  <c r="O112" i="13"/>
  <c r="P112" i="13"/>
  <c r="Q112" i="13"/>
  <c r="R112" i="13"/>
  <c r="S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E113" i="13"/>
  <c r="F113" i="13"/>
  <c r="G113" i="13"/>
  <c r="H113" i="13"/>
  <c r="I113" i="13"/>
  <c r="J113" i="13"/>
  <c r="K113" i="13"/>
  <c r="L113" i="13"/>
  <c r="M113" i="13"/>
  <c r="N113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E114" i="13"/>
  <c r="F114" i="13"/>
  <c r="G114" i="13"/>
  <c r="H114" i="13"/>
  <c r="I114" i="13"/>
  <c r="J114" i="13"/>
  <c r="K114" i="13"/>
  <c r="L114" i="13"/>
  <c r="M114" i="13"/>
  <c r="N114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E115" i="13"/>
  <c r="F115" i="13"/>
  <c r="G115" i="13"/>
  <c r="H115" i="13"/>
  <c r="I115" i="13"/>
  <c r="J115" i="13"/>
  <c r="K115" i="13"/>
  <c r="L115" i="13"/>
  <c r="M115" i="13"/>
  <c r="N115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AB115" i="13"/>
  <c r="AC115" i="13"/>
  <c r="AD115" i="13"/>
  <c r="AE115" i="13"/>
  <c r="AF115" i="13"/>
  <c r="AG115" i="13"/>
  <c r="E116" i="13"/>
  <c r="F116" i="13"/>
  <c r="G116" i="13"/>
  <c r="H116" i="13"/>
  <c r="I116" i="13"/>
  <c r="J116" i="13"/>
  <c r="K116" i="13"/>
  <c r="L116" i="13"/>
  <c r="M116" i="13"/>
  <c r="N116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E117" i="13"/>
  <c r="F117" i="13"/>
  <c r="G117" i="13"/>
  <c r="H117" i="13"/>
  <c r="I117" i="13"/>
  <c r="J117" i="13"/>
  <c r="K117" i="13"/>
  <c r="L117" i="13"/>
  <c r="M117" i="13"/>
  <c r="N117" i="13"/>
  <c r="O117" i="13"/>
  <c r="P117" i="13"/>
  <c r="Q117" i="13"/>
  <c r="R117" i="13"/>
  <c r="S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E118" i="13"/>
  <c r="F118" i="13"/>
  <c r="G118" i="13"/>
  <c r="H118" i="13"/>
  <c r="I118" i="13"/>
  <c r="J118" i="13"/>
  <c r="K118" i="13"/>
  <c r="L118" i="13"/>
  <c r="M118" i="13"/>
  <c r="N118" i="13"/>
  <c r="O118" i="13"/>
  <c r="P118" i="13"/>
  <c r="Q118" i="13"/>
  <c r="R118" i="13"/>
  <c r="S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E119" i="13"/>
  <c r="F119" i="13"/>
  <c r="G119" i="13"/>
  <c r="H119" i="13"/>
  <c r="I119" i="13"/>
  <c r="J119" i="13"/>
  <c r="K119" i="13"/>
  <c r="L119" i="13"/>
  <c r="M119" i="13"/>
  <c r="N119" i="13"/>
  <c r="O119" i="13"/>
  <c r="P119" i="13"/>
  <c r="Q119" i="13"/>
  <c r="R119" i="13"/>
  <c r="S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E120" i="13"/>
  <c r="F120" i="13"/>
  <c r="G120" i="13"/>
  <c r="H120" i="13"/>
  <c r="I120" i="13"/>
  <c r="J120" i="13"/>
  <c r="K120" i="13"/>
  <c r="L120" i="13"/>
  <c r="M120" i="13"/>
  <c r="N120" i="13"/>
  <c r="O120" i="13"/>
  <c r="P120" i="13"/>
  <c r="Q120" i="13"/>
  <c r="R120" i="13"/>
  <c r="S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E121" i="13"/>
  <c r="F121" i="13"/>
  <c r="G121" i="13"/>
  <c r="H121" i="13"/>
  <c r="I121" i="13"/>
  <c r="J121" i="13"/>
  <c r="K121" i="13"/>
  <c r="L121" i="13"/>
  <c r="M121" i="13"/>
  <c r="N121" i="13"/>
  <c r="O121" i="13"/>
  <c r="P121" i="13"/>
  <c r="Q121" i="13"/>
  <c r="R121" i="13"/>
  <c r="S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E122" i="13"/>
  <c r="F122" i="13"/>
  <c r="G122" i="13"/>
  <c r="H122" i="13"/>
  <c r="I122" i="13"/>
  <c r="J122" i="13"/>
  <c r="K122" i="13"/>
  <c r="L122" i="13"/>
  <c r="M122" i="13"/>
  <c r="N122" i="13"/>
  <c r="O122" i="13"/>
  <c r="P122" i="13"/>
  <c r="Q122" i="13"/>
  <c r="R122" i="13"/>
  <c r="S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E123" i="13"/>
  <c r="F123" i="13"/>
  <c r="G123" i="13"/>
  <c r="H123" i="13"/>
  <c r="I123" i="13"/>
  <c r="J123" i="13"/>
  <c r="K123" i="13"/>
  <c r="L123" i="13"/>
  <c r="M123" i="13"/>
  <c r="N123" i="13"/>
  <c r="O123" i="13"/>
  <c r="P123" i="13"/>
  <c r="Q123" i="13"/>
  <c r="R123" i="13"/>
  <c r="S123" i="13"/>
  <c r="T123" i="13"/>
  <c r="U123" i="13"/>
  <c r="V123" i="13"/>
  <c r="W123" i="13"/>
  <c r="X123" i="13"/>
  <c r="Y123" i="13"/>
  <c r="Z123" i="13"/>
  <c r="AA123" i="13"/>
  <c r="AB123" i="13"/>
  <c r="AC123" i="13"/>
  <c r="AD123" i="13"/>
  <c r="AE123" i="13"/>
  <c r="AF123" i="13"/>
  <c r="AG123" i="13"/>
  <c r="E124" i="13"/>
  <c r="F124" i="13"/>
  <c r="G124" i="13"/>
  <c r="H124" i="13"/>
  <c r="I124" i="13"/>
  <c r="J124" i="13"/>
  <c r="K124" i="13"/>
  <c r="L124" i="13"/>
  <c r="M124" i="13"/>
  <c r="N124" i="13"/>
  <c r="O124" i="13"/>
  <c r="P124" i="13"/>
  <c r="Q124" i="13"/>
  <c r="R124" i="13"/>
  <c r="S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E125" i="13"/>
  <c r="F125" i="13"/>
  <c r="G125" i="13"/>
  <c r="H125" i="13"/>
  <c r="I125" i="13"/>
  <c r="J125" i="13"/>
  <c r="K125" i="13"/>
  <c r="L125" i="13"/>
  <c r="M125" i="13"/>
  <c r="N125" i="13"/>
  <c r="O125" i="13"/>
  <c r="P125" i="13"/>
  <c r="Q125" i="13"/>
  <c r="R125" i="13"/>
  <c r="S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96" i="13"/>
  <c r="E127" i="13"/>
  <c r="F127" i="13"/>
  <c r="G127" i="13"/>
  <c r="H127" i="13"/>
  <c r="I127" i="13"/>
  <c r="J127" i="13"/>
  <c r="K127" i="13"/>
  <c r="L127" i="13"/>
  <c r="M127" i="13"/>
  <c r="N127" i="13"/>
  <c r="O127" i="13"/>
  <c r="P127" i="13"/>
  <c r="Q127" i="13"/>
  <c r="R127" i="13"/>
  <c r="S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E128" i="13"/>
  <c r="F128" i="13"/>
  <c r="G128" i="13"/>
  <c r="H128" i="13"/>
  <c r="I128" i="13"/>
  <c r="J128" i="13"/>
  <c r="K128" i="13"/>
  <c r="L128" i="13"/>
  <c r="M128" i="13"/>
  <c r="N128" i="13"/>
  <c r="O128" i="13"/>
  <c r="P128" i="13"/>
  <c r="Q128" i="13"/>
  <c r="R128" i="13"/>
  <c r="S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E129" i="13"/>
  <c r="F129" i="13"/>
  <c r="G129" i="13"/>
  <c r="H129" i="13"/>
  <c r="I129" i="13"/>
  <c r="J129" i="13"/>
  <c r="K129" i="13"/>
  <c r="L129" i="13"/>
  <c r="M129" i="13"/>
  <c r="N129" i="13"/>
  <c r="O129" i="13"/>
  <c r="P129" i="13"/>
  <c r="Q129" i="13"/>
  <c r="R129" i="13"/>
  <c r="S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E130" i="13"/>
  <c r="F130" i="13"/>
  <c r="G130" i="13"/>
  <c r="H130" i="13"/>
  <c r="I130" i="13"/>
  <c r="J130" i="13"/>
  <c r="K130" i="13"/>
  <c r="L130" i="13"/>
  <c r="M130" i="13"/>
  <c r="N130" i="13"/>
  <c r="O130" i="13"/>
  <c r="P130" i="13"/>
  <c r="Q130" i="13"/>
  <c r="R130" i="13"/>
  <c r="S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E131" i="13"/>
  <c r="F131" i="13"/>
  <c r="G131" i="13"/>
  <c r="H131" i="13"/>
  <c r="I131" i="13"/>
  <c r="J131" i="13"/>
  <c r="K131" i="13"/>
  <c r="L131" i="13"/>
  <c r="M131" i="13"/>
  <c r="N131" i="13"/>
  <c r="O131" i="13"/>
  <c r="P131" i="13"/>
  <c r="Q131" i="13"/>
  <c r="R131" i="13"/>
  <c r="S131" i="13"/>
  <c r="T131" i="13"/>
  <c r="U131" i="13"/>
  <c r="V131" i="13"/>
  <c r="W131" i="13"/>
  <c r="X131" i="13"/>
  <c r="Y131" i="13"/>
  <c r="Z131" i="13"/>
  <c r="AA131" i="13"/>
  <c r="AB131" i="13"/>
  <c r="AC131" i="13"/>
  <c r="AD131" i="13"/>
  <c r="AE131" i="13"/>
  <c r="AF131" i="13"/>
  <c r="AG131" i="13"/>
  <c r="E132" i="13"/>
  <c r="F132" i="13"/>
  <c r="G132" i="13"/>
  <c r="H132" i="13"/>
  <c r="I132" i="13"/>
  <c r="J132" i="13"/>
  <c r="K132" i="13"/>
  <c r="L132" i="13"/>
  <c r="M132" i="13"/>
  <c r="N132" i="13"/>
  <c r="O132" i="13"/>
  <c r="P132" i="13"/>
  <c r="Q132" i="13"/>
  <c r="R132" i="13"/>
  <c r="S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E133" i="13"/>
  <c r="F133" i="13"/>
  <c r="G133" i="13"/>
  <c r="H133" i="13"/>
  <c r="I133" i="13"/>
  <c r="J133" i="13"/>
  <c r="K133" i="13"/>
  <c r="L133" i="13"/>
  <c r="M133" i="13"/>
  <c r="N133" i="13"/>
  <c r="O133" i="13"/>
  <c r="P133" i="13"/>
  <c r="Q133" i="13"/>
  <c r="R133" i="13"/>
  <c r="S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E134" i="13"/>
  <c r="F134" i="13"/>
  <c r="G134" i="13"/>
  <c r="H134" i="13"/>
  <c r="I134" i="13"/>
  <c r="J134" i="13"/>
  <c r="K134" i="13"/>
  <c r="L134" i="13"/>
  <c r="M134" i="13"/>
  <c r="N134" i="13"/>
  <c r="O134" i="13"/>
  <c r="P134" i="13"/>
  <c r="Q134" i="13"/>
  <c r="R134" i="13"/>
  <c r="S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E135" i="13"/>
  <c r="F135" i="13"/>
  <c r="G135" i="13"/>
  <c r="H135" i="13"/>
  <c r="I135" i="13"/>
  <c r="J135" i="13"/>
  <c r="K135" i="13"/>
  <c r="L135" i="13"/>
  <c r="M135" i="13"/>
  <c r="N135" i="13"/>
  <c r="O135" i="13"/>
  <c r="P135" i="13"/>
  <c r="Q135" i="13"/>
  <c r="R135" i="13"/>
  <c r="S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E136" i="13"/>
  <c r="F136" i="13"/>
  <c r="G136" i="13"/>
  <c r="H136" i="13"/>
  <c r="I136" i="13"/>
  <c r="J136" i="13"/>
  <c r="K136" i="13"/>
  <c r="L136" i="13"/>
  <c r="M136" i="13"/>
  <c r="N136" i="13"/>
  <c r="O136" i="13"/>
  <c r="P136" i="13"/>
  <c r="Q136" i="13"/>
  <c r="R136" i="13"/>
  <c r="S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E137" i="13"/>
  <c r="F137" i="13"/>
  <c r="G137" i="13"/>
  <c r="H137" i="13"/>
  <c r="I137" i="13"/>
  <c r="J137" i="13"/>
  <c r="K137" i="13"/>
  <c r="L137" i="13"/>
  <c r="M137" i="13"/>
  <c r="N137" i="13"/>
  <c r="O137" i="13"/>
  <c r="P137" i="13"/>
  <c r="Q137" i="13"/>
  <c r="R137" i="13"/>
  <c r="S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E138" i="13"/>
  <c r="F138" i="13"/>
  <c r="G138" i="13"/>
  <c r="H138" i="13"/>
  <c r="I138" i="13"/>
  <c r="J138" i="13"/>
  <c r="K138" i="13"/>
  <c r="L138" i="13"/>
  <c r="M138" i="13"/>
  <c r="N138" i="13"/>
  <c r="O138" i="13"/>
  <c r="P138" i="13"/>
  <c r="Q138" i="13"/>
  <c r="R138" i="13"/>
  <c r="S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E139" i="13"/>
  <c r="F139" i="13"/>
  <c r="G139" i="13"/>
  <c r="H139" i="13"/>
  <c r="I139" i="13"/>
  <c r="J139" i="13"/>
  <c r="K139" i="13"/>
  <c r="L139" i="13"/>
  <c r="M139" i="13"/>
  <c r="N139" i="13"/>
  <c r="O139" i="13"/>
  <c r="P139" i="13"/>
  <c r="Q139" i="13"/>
  <c r="R139" i="13"/>
  <c r="S139" i="13"/>
  <c r="T139" i="13"/>
  <c r="U139" i="13"/>
  <c r="V139" i="13"/>
  <c r="W139" i="13"/>
  <c r="X139" i="13"/>
  <c r="Y139" i="13"/>
  <c r="Z139" i="13"/>
  <c r="AA139" i="13"/>
  <c r="AB139" i="13"/>
  <c r="AC139" i="13"/>
  <c r="AD139" i="13"/>
  <c r="AE139" i="13"/>
  <c r="AF139" i="13"/>
  <c r="AG139" i="13"/>
  <c r="E140" i="13"/>
  <c r="F140" i="13"/>
  <c r="G140" i="13"/>
  <c r="H140" i="13"/>
  <c r="I140" i="13"/>
  <c r="J140" i="13"/>
  <c r="K140" i="13"/>
  <c r="L140" i="13"/>
  <c r="M140" i="13"/>
  <c r="N140" i="13"/>
  <c r="O140" i="13"/>
  <c r="P140" i="13"/>
  <c r="Q140" i="13"/>
  <c r="R140" i="13"/>
  <c r="S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E141" i="13"/>
  <c r="F141" i="13"/>
  <c r="G141" i="13"/>
  <c r="H141" i="13"/>
  <c r="I141" i="13"/>
  <c r="J141" i="13"/>
  <c r="K141" i="13"/>
  <c r="L141" i="13"/>
  <c r="M141" i="13"/>
  <c r="N141" i="13"/>
  <c r="O141" i="13"/>
  <c r="P141" i="13"/>
  <c r="Q141" i="13"/>
  <c r="R141" i="13"/>
  <c r="S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E143" i="13"/>
  <c r="F143" i="13"/>
  <c r="G143" i="13"/>
  <c r="H143" i="13"/>
  <c r="I143" i="13"/>
  <c r="J143" i="13"/>
  <c r="K143" i="13"/>
  <c r="L143" i="13"/>
  <c r="M143" i="13"/>
  <c r="N143" i="13"/>
  <c r="O143" i="13"/>
  <c r="P143" i="13"/>
  <c r="Q143" i="13"/>
  <c r="R143" i="13"/>
  <c r="S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E144" i="13"/>
  <c r="F144" i="13"/>
  <c r="G144" i="13"/>
  <c r="H144" i="13"/>
  <c r="I144" i="13"/>
  <c r="J144" i="13"/>
  <c r="K144" i="13"/>
  <c r="L144" i="13"/>
  <c r="M144" i="13"/>
  <c r="N144" i="13"/>
  <c r="O144" i="13"/>
  <c r="P144" i="13"/>
  <c r="Q144" i="13"/>
  <c r="R144" i="13"/>
  <c r="S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E145" i="13"/>
  <c r="F145" i="13"/>
  <c r="G145" i="13"/>
  <c r="H145" i="13"/>
  <c r="I145" i="13"/>
  <c r="J145" i="13"/>
  <c r="K145" i="13"/>
  <c r="L145" i="13"/>
  <c r="M145" i="13"/>
  <c r="N145" i="13"/>
  <c r="O145" i="13"/>
  <c r="P145" i="13"/>
  <c r="Q145" i="13"/>
  <c r="R145" i="13"/>
  <c r="S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E146" i="13"/>
  <c r="F146" i="13"/>
  <c r="G146" i="13"/>
  <c r="H146" i="13"/>
  <c r="I146" i="13"/>
  <c r="J146" i="13"/>
  <c r="K146" i="13"/>
  <c r="L146" i="13"/>
  <c r="M146" i="13"/>
  <c r="N146" i="13"/>
  <c r="O146" i="13"/>
  <c r="P146" i="13"/>
  <c r="Q146" i="13"/>
  <c r="R146" i="13"/>
  <c r="S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E147" i="13"/>
  <c r="F147" i="13"/>
  <c r="G147" i="13"/>
  <c r="H147" i="13"/>
  <c r="I147" i="13"/>
  <c r="J147" i="13"/>
  <c r="K147" i="13"/>
  <c r="L147" i="13"/>
  <c r="M147" i="13"/>
  <c r="N147" i="13"/>
  <c r="O147" i="13"/>
  <c r="P147" i="13"/>
  <c r="Q147" i="13"/>
  <c r="R147" i="13"/>
  <c r="S147" i="13"/>
  <c r="T147" i="13"/>
  <c r="U147" i="13"/>
  <c r="V147" i="13"/>
  <c r="W147" i="13"/>
  <c r="X147" i="13"/>
  <c r="Y147" i="13"/>
  <c r="Z147" i="13"/>
  <c r="AA147" i="13"/>
  <c r="AB147" i="13"/>
  <c r="AC147" i="13"/>
  <c r="AD147" i="13"/>
  <c r="AE147" i="13"/>
  <c r="AF147" i="13"/>
  <c r="AG147" i="13"/>
  <c r="E148" i="13"/>
  <c r="F148" i="13"/>
  <c r="G148" i="13"/>
  <c r="H148" i="13"/>
  <c r="I148" i="13"/>
  <c r="J148" i="13"/>
  <c r="K148" i="13"/>
  <c r="L148" i="13"/>
  <c r="M148" i="13"/>
  <c r="N148" i="13"/>
  <c r="O148" i="13"/>
  <c r="P148" i="13"/>
  <c r="Q148" i="13"/>
  <c r="R148" i="13"/>
  <c r="S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E149" i="13"/>
  <c r="F149" i="13"/>
  <c r="G149" i="13"/>
  <c r="H149" i="13"/>
  <c r="I149" i="13"/>
  <c r="J149" i="13"/>
  <c r="K149" i="13"/>
  <c r="L149" i="13"/>
  <c r="M149" i="13"/>
  <c r="N149" i="13"/>
  <c r="O149" i="13"/>
  <c r="P149" i="13"/>
  <c r="Q149" i="13"/>
  <c r="R149" i="13"/>
  <c r="S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E150" i="13"/>
  <c r="F150" i="13"/>
  <c r="G150" i="13"/>
  <c r="H150" i="13"/>
  <c r="I150" i="13"/>
  <c r="J150" i="13"/>
  <c r="K150" i="13"/>
  <c r="L150" i="13"/>
  <c r="M150" i="13"/>
  <c r="N150" i="13"/>
  <c r="O150" i="13"/>
  <c r="P150" i="13"/>
  <c r="Q150" i="13"/>
  <c r="R150" i="13"/>
  <c r="S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E151" i="13"/>
  <c r="F151" i="13"/>
  <c r="G151" i="13"/>
  <c r="H151" i="13"/>
  <c r="I151" i="13"/>
  <c r="J151" i="13"/>
  <c r="K151" i="13"/>
  <c r="L151" i="13"/>
  <c r="M151" i="13"/>
  <c r="N151" i="13"/>
  <c r="O151" i="13"/>
  <c r="P151" i="13"/>
  <c r="Q151" i="13"/>
  <c r="R151" i="13"/>
  <c r="S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E152" i="13"/>
  <c r="F152" i="13"/>
  <c r="G152" i="13"/>
  <c r="H152" i="13"/>
  <c r="I152" i="13"/>
  <c r="J152" i="13"/>
  <c r="K152" i="13"/>
  <c r="L152" i="13"/>
  <c r="M152" i="13"/>
  <c r="N152" i="13"/>
  <c r="O152" i="13"/>
  <c r="P152" i="13"/>
  <c r="Q152" i="13"/>
  <c r="R152" i="13"/>
  <c r="S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E153" i="13"/>
  <c r="F153" i="13"/>
  <c r="G153" i="13"/>
  <c r="H153" i="13"/>
  <c r="I153" i="13"/>
  <c r="J153" i="13"/>
  <c r="K153" i="13"/>
  <c r="L153" i="13"/>
  <c r="M153" i="13"/>
  <c r="N153" i="13"/>
  <c r="O153" i="13"/>
  <c r="P153" i="13"/>
  <c r="Q153" i="13"/>
  <c r="R153" i="13"/>
  <c r="S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E154" i="13"/>
  <c r="F154" i="13"/>
  <c r="G154" i="13"/>
  <c r="H154" i="13"/>
  <c r="I154" i="13"/>
  <c r="J154" i="13"/>
  <c r="K154" i="13"/>
  <c r="L154" i="13"/>
  <c r="M154" i="13"/>
  <c r="N154" i="13"/>
  <c r="O154" i="13"/>
  <c r="P154" i="13"/>
  <c r="Q154" i="13"/>
  <c r="R154" i="13"/>
  <c r="S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E155" i="13"/>
  <c r="F155" i="13"/>
  <c r="G155" i="13"/>
  <c r="H155" i="13"/>
  <c r="I155" i="13"/>
  <c r="J155" i="13"/>
  <c r="K155" i="13"/>
  <c r="L155" i="13"/>
  <c r="M155" i="13"/>
  <c r="N155" i="13"/>
  <c r="O155" i="13"/>
  <c r="P155" i="13"/>
  <c r="Q155" i="13"/>
  <c r="R155" i="13"/>
  <c r="S155" i="13"/>
  <c r="T155" i="13"/>
  <c r="U155" i="13"/>
  <c r="V155" i="13"/>
  <c r="W155" i="13"/>
  <c r="X155" i="13"/>
  <c r="Y155" i="13"/>
  <c r="Z155" i="13"/>
  <c r="AA155" i="13"/>
  <c r="AB155" i="13"/>
  <c r="AC155" i="13"/>
  <c r="AD155" i="13"/>
  <c r="AE155" i="13"/>
  <c r="AF155" i="13"/>
  <c r="AG155" i="13"/>
  <c r="E156" i="13"/>
  <c r="F156" i="13"/>
  <c r="G156" i="13"/>
  <c r="H156" i="13"/>
  <c r="I156" i="13"/>
  <c r="J156" i="13"/>
  <c r="K156" i="13"/>
  <c r="L156" i="13"/>
  <c r="M156" i="13"/>
  <c r="N156" i="13"/>
  <c r="O156" i="13"/>
  <c r="P156" i="13"/>
  <c r="Q156" i="13"/>
  <c r="R156" i="13"/>
  <c r="S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27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E69" i="13"/>
  <c r="F69" i="13"/>
  <c r="G69" i="13"/>
  <c r="H69" i="13"/>
  <c r="I69" i="13"/>
  <c r="J69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E70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E79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E81" i="13"/>
  <c r="F81" i="13"/>
  <c r="G81" i="13"/>
  <c r="H81" i="13"/>
  <c r="I81" i="13"/>
  <c r="J81" i="13"/>
  <c r="K81" i="13"/>
  <c r="L81" i="13"/>
  <c r="M81" i="13"/>
  <c r="N81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E82" i="13"/>
  <c r="F82" i="13"/>
  <c r="G82" i="13"/>
  <c r="H82" i="13"/>
  <c r="I82" i="13"/>
  <c r="J82" i="13"/>
  <c r="K82" i="13"/>
  <c r="L82" i="13"/>
  <c r="M82" i="13"/>
  <c r="N82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E83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E84" i="13"/>
  <c r="F84" i="13"/>
  <c r="G84" i="13"/>
  <c r="H84" i="13"/>
  <c r="I84" i="13"/>
  <c r="J84" i="13"/>
  <c r="K84" i="13"/>
  <c r="L84" i="13"/>
  <c r="M84" i="13"/>
  <c r="N84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E87" i="13"/>
  <c r="F87" i="13"/>
  <c r="G87" i="13"/>
  <c r="H87" i="13"/>
  <c r="I87" i="13"/>
  <c r="J87" i="13"/>
  <c r="K87" i="13"/>
  <c r="L87" i="13"/>
  <c r="M87" i="13"/>
  <c r="N87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E88" i="13"/>
  <c r="F88" i="13"/>
  <c r="G88" i="13"/>
  <c r="H88" i="13"/>
  <c r="I88" i="13"/>
  <c r="J88" i="13"/>
  <c r="K88" i="13"/>
  <c r="L88" i="13"/>
  <c r="M88" i="13"/>
  <c r="N88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E89" i="13"/>
  <c r="F89" i="13"/>
  <c r="G89" i="13"/>
  <c r="H89" i="13"/>
  <c r="I89" i="13"/>
  <c r="J89" i="13"/>
  <c r="K89" i="13"/>
  <c r="L89" i="13"/>
  <c r="M89" i="13"/>
  <c r="N89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E90" i="13"/>
  <c r="F90" i="13"/>
  <c r="G90" i="13"/>
  <c r="H90" i="13"/>
  <c r="I90" i="13"/>
  <c r="J90" i="13"/>
  <c r="K90" i="13"/>
  <c r="L90" i="13"/>
  <c r="M90" i="13"/>
  <c r="N90" i="13"/>
  <c r="O90" i="13"/>
  <c r="P90" i="13"/>
  <c r="Q90" i="13"/>
  <c r="R90" i="13"/>
  <c r="S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E91" i="13"/>
  <c r="F91" i="13"/>
  <c r="G91" i="13"/>
  <c r="H91" i="13"/>
  <c r="I91" i="13"/>
  <c r="J91" i="13"/>
  <c r="K91" i="13"/>
  <c r="L91" i="13"/>
  <c r="M91" i="13"/>
  <c r="N91" i="13"/>
  <c r="O91" i="13"/>
  <c r="P91" i="13"/>
  <c r="Q91" i="13"/>
  <c r="R91" i="13"/>
  <c r="S91" i="13"/>
  <c r="T91" i="13"/>
  <c r="U91" i="13"/>
  <c r="V91" i="13"/>
  <c r="W91" i="13"/>
  <c r="X91" i="13"/>
  <c r="Y91" i="13"/>
  <c r="Z91" i="13"/>
  <c r="AA91" i="13"/>
  <c r="AB91" i="13"/>
  <c r="AC91" i="13"/>
  <c r="AD91" i="13"/>
  <c r="AE91" i="13"/>
  <c r="AF91" i="13"/>
  <c r="AG91" i="13"/>
  <c r="E92" i="13"/>
  <c r="F92" i="13"/>
  <c r="G92" i="13"/>
  <c r="H92" i="13"/>
  <c r="I92" i="13"/>
  <c r="J92" i="13"/>
  <c r="K92" i="13"/>
  <c r="L92" i="13"/>
  <c r="M92" i="13"/>
  <c r="N92" i="13"/>
  <c r="O92" i="13"/>
  <c r="P92" i="13"/>
  <c r="Q92" i="13"/>
  <c r="R92" i="13"/>
  <c r="S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E93" i="13"/>
  <c r="F93" i="13"/>
  <c r="G93" i="13"/>
  <c r="H93" i="13"/>
  <c r="I93" i="13"/>
  <c r="J93" i="13"/>
  <c r="K93" i="13"/>
  <c r="L93" i="13"/>
  <c r="M93" i="13"/>
  <c r="N93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E94" i="13"/>
  <c r="F94" i="13"/>
  <c r="G94" i="13"/>
  <c r="H94" i="13"/>
  <c r="I94" i="13"/>
  <c r="J94" i="13"/>
  <c r="K94" i="13"/>
  <c r="L94" i="13"/>
  <c r="M94" i="13"/>
  <c r="N94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65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34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AG7" i="13"/>
  <c r="AF7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AG5" i="13"/>
  <c r="AF5" i="13"/>
  <c r="AE5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A54" i="15" l="1"/>
  <c r="I56" i="15" s="1"/>
  <c r="J58" i="15"/>
  <c r="L62" i="15" l="1"/>
  <c r="A55" i="15"/>
  <c r="N4" i="1"/>
  <c r="A56" i="15" l="1"/>
  <c r="K56" i="15" s="1"/>
  <c r="L58" i="15"/>
  <c r="A57" i="15" l="1"/>
  <c r="D30" i="2"/>
  <c r="D31" i="2"/>
  <c r="E96" i="8"/>
  <c r="E95" i="8"/>
  <c r="E94" i="8"/>
  <c r="A58" i="15" l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I3" i="1"/>
  <c r="I4" i="1"/>
  <c r="I5" i="1"/>
  <c r="AF42" i="1" s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AC30" i="1"/>
  <c r="M56" i="15" l="1"/>
  <c r="H66" i="15"/>
  <c r="J64" i="15"/>
  <c r="K54" i="15"/>
  <c r="J66" i="15"/>
  <c r="L60" i="15"/>
  <c r="I64" i="15"/>
  <c r="H52" i="15"/>
  <c r="L66" i="15"/>
  <c r="I62" i="15"/>
  <c r="L54" i="15"/>
  <c r="H56" i="15"/>
  <c r="J60" i="15"/>
  <c r="K66" i="15"/>
  <c r="H54" i="15"/>
  <c r="J62" i="15"/>
  <c r="K52" i="15"/>
  <c r="L64" i="15"/>
  <c r="I52" i="15"/>
  <c r="M52" i="15"/>
  <c r="N64" i="15"/>
  <c r="J54" i="15"/>
  <c r="M64" i="15"/>
  <c r="H64" i="15"/>
  <c r="N54" i="15"/>
  <c r="J52" i="15"/>
  <c r="I60" i="15"/>
  <c r="H60" i="15"/>
  <c r="A83" i="15"/>
  <c r="H58" i="15"/>
  <c r="I54" i="15"/>
  <c r="I25" i="3"/>
  <c r="AF43" i="1"/>
  <c r="D9" i="14"/>
  <c r="D10" i="14"/>
  <c r="D18" i="14"/>
  <c r="D11" i="14"/>
  <c r="D19" i="14"/>
  <c r="D12" i="14"/>
  <c r="D20" i="14"/>
  <c r="D4" i="14"/>
  <c r="D21" i="14"/>
  <c r="D5" i="14"/>
  <c r="D13" i="14"/>
  <c r="D22" i="14"/>
  <c r="D7" i="14"/>
  <c r="D15" i="14"/>
  <c r="D6" i="14"/>
  <c r="D8" i="14"/>
  <c r="D14" i="14"/>
  <c r="C14" i="3"/>
  <c r="D16" i="14"/>
  <c r="D17" i="14"/>
  <c r="D3" i="14"/>
  <c r="C4" i="3"/>
  <c r="C16" i="3"/>
  <c r="C12" i="3"/>
  <c r="C18" i="3"/>
  <c r="C20" i="3"/>
  <c r="C9" i="3"/>
  <c r="C17" i="3"/>
  <c r="C3" i="3"/>
  <c r="C6" i="3"/>
  <c r="C7" i="3"/>
  <c r="C10" i="3"/>
  <c r="C15" i="3"/>
  <c r="C8" i="3"/>
  <c r="C13" i="3"/>
  <c r="C11" i="3"/>
  <c r="C5" i="3"/>
  <c r="C22" i="3"/>
  <c r="C19" i="3"/>
  <c r="C21" i="3"/>
  <c r="J8" i="14"/>
  <c r="J4" i="14"/>
  <c r="J21" i="14"/>
  <c r="J17" i="14"/>
  <c r="J11" i="14"/>
  <c r="J19" i="14"/>
  <c r="J7" i="14"/>
  <c r="J15" i="14"/>
  <c r="J9" i="14"/>
  <c r="J5" i="14"/>
  <c r="J13" i="14"/>
  <c r="J22" i="14"/>
  <c r="J16" i="14"/>
  <c r="J10" i="14"/>
  <c r="J18" i="14"/>
  <c r="J3" i="14"/>
  <c r="I3" i="3"/>
  <c r="I4" i="3"/>
  <c r="I12" i="3"/>
  <c r="I20" i="3"/>
  <c r="J14" i="14"/>
  <c r="I7" i="3"/>
  <c r="I16" i="3"/>
  <c r="J6" i="14"/>
  <c r="I14" i="3"/>
  <c r="I8" i="3"/>
  <c r="I21" i="3"/>
  <c r="I17" i="3"/>
  <c r="I6" i="3"/>
  <c r="I11" i="3"/>
  <c r="I19" i="3"/>
  <c r="I9" i="3"/>
  <c r="J12" i="14"/>
  <c r="I13" i="3"/>
  <c r="I22" i="3"/>
  <c r="I10" i="3"/>
  <c r="I15" i="3"/>
  <c r="I5" i="3"/>
  <c r="J20" i="14"/>
  <c r="I18" i="3"/>
  <c r="I4" i="14"/>
  <c r="I21" i="14"/>
  <c r="H4" i="3"/>
  <c r="I17" i="14"/>
  <c r="I11" i="14"/>
  <c r="I19" i="14"/>
  <c r="I7" i="14"/>
  <c r="I15" i="14"/>
  <c r="I9" i="14"/>
  <c r="I5" i="14"/>
  <c r="I13" i="14"/>
  <c r="I22" i="14"/>
  <c r="I3" i="14"/>
  <c r="I12" i="14"/>
  <c r="I20" i="14"/>
  <c r="H3" i="3"/>
  <c r="I10" i="14"/>
  <c r="I18" i="14"/>
  <c r="I6" i="14"/>
  <c r="I14" i="14"/>
  <c r="H7" i="3"/>
  <c r="H16" i="3"/>
  <c r="H5" i="3"/>
  <c r="H10" i="3"/>
  <c r="H18" i="3"/>
  <c r="I8" i="14"/>
  <c r="H8" i="3"/>
  <c r="H21" i="3"/>
  <c r="H17" i="3"/>
  <c r="H6" i="3"/>
  <c r="H11" i="3"/>
  <c r="H19" i="3"/>
  <c r="H15" i="3"/>
  <c r="H13" i="3"/>
  <c r="H22" i="3"/>
  <c r="I16" i="14"/>
  <c r="H12" i="3"/>
  <c r="H20" i="3"/>
  <c r="H14" i="3"/>
  <c r="H9" i="3"/>
  <c r="E100" i="8"/>
  <c r="R11" i="14"/>
  <c r="R19" i="14"/>
  <c r="R7" i="14"/>
  <c r="R15" i="14"/>
  <c r="R9" i="14"/>
  <c r="R5" i="14"/>
  <c r="R13" i="14"/>
  <c r="R22" i="14"/>
  <c r="Q5" i="3"/>
  <c r="R3" i="14"/>
  <c r="R12" i="14"/>
  <c r="R20" i="14"/>
  <c r="Q3" i="3"/>
  <c r="R16" i="14"/>
  <c r="R10" i="14"/>
  <c r="R18" i="14"/>
  <c r="R8" i="14"/>
  <c r="R4" i="14"/>
  <c r="R21" i="14"/>
  <c r="Q14" i="3"/>
  <c r="Q8" i="3"/>
  <c r="R14" i="14"/>
  <c r="Q17" i="3"/>
  <c r="R6" i="14"/>
  <c r="Q4" i="3"/>
  <c r="Q11" i="3"/>
  <c r="Q19" i="3"/>
  <c r="R17" i="14"/>
  <c r="Q15" i="3"/>
  <c r="Q9" i="3"/>
  <c r="Q13" i="3"/>
  <c r="Q22" i="3"/>
  <c r="Q7" i="3"/>
  <c r="Q12" i="3"/>
  <c r="Q20" i="3"/>
  <c r="Q16" i="3"/>
  <c r="Q6" i="3"/>
  <c r="Q10" i="3"/>
  <c r="Q18" i="3"/>
  <c r="Q21" i="3"/>
  <c r="W3" i="14"/>
  <c r="W12" i="14"/>
  <c r="W20" i="14"/>
  <c r="W16" i="14"/>
  <c r="W10" i="14"/>
  <c r="W18" i="14"/>
  <c r="W6" i="14"/>
  <c r="W14" i="14"/>
  <c r="V6" i="3"/>
  <c r="W8" i="14"/>
  <c r="W4" i="14"/>
  <c r="W21" i="14"/>
  <c r="W17" i="14"/>
  <c r="W7" i="14"/>
  <c r="W15" i="14"/>
  <c r="W9" i="14"/>
  <c r="V5" i="3"/>
  <c r="V11" i="3"/>
  <c r="V19" i="3"/>
  <c r="W5" i="14"/>
  <c r="V15" i="3"/>
  <c r="V7" i="3"/>
  <c r="V13" i="3"/>
  <c r="V22" i="3"/>
  <c r="V12" i="3"/>
  <c r="V20" i="3"/>
  <c r="W19" i="14"/>
  <c r="V16" i="3"/>
  <c r="V3" i="3"/>
  <c r="V10" i="3"/>
  <c r="V18" i="3"/>
  <c r="W22" i="14"/>
  <c r="V8" i="3"/>
  <c r="V21" i="3"/>
  <c r="W13" i="14"/>
  <c r="V4" i="3"/>
  <c r="W11" i="14"/>
  <c r="V17" i="3"/>
  <c r="V9" i="3"/>
  <c r="V14" i="3"/>
  <c r="N3" i="14"/>
  <c r="N12" i="14"/>
  <c r="N20" i="14"/>
  <c r="N16" i="14"/>
  <c r="N10" i="14"/>
  <c r="N18" i="14"/>
  <c r="N6" i="14"/>
  <c r="N14" i="14"/>
  <c r="M6" i="3"/>
  <c r="N8" i="14"/>
  <c r="N4" i="14"/>
  <c r="N21" i="14"/>
  <c r="N17" i="14"/>
  <c r="N7" i="14"/>
  <c r="N15" i="14"/>
  <c r="N9" i="14"/>
  <c r="M11" i="3"/>
  <c r="M19" i="3"/>
  <c r="M15" i="3"/>
  <c r="M4" i="3"/>
  <c r="M3" i="3"/>
  <c r="M13" i="3"/>
  <c r="M22" i="3"/>
  <c r="N19" i="14"/>
  <c r="M5" i="3"/>
  <c r="M7" i="3"/>
  <c r="M12" i="3"/>
  <c r="M20" i="3"/>
  <c r="N11" i="14"/>
  <c r="M16" i="3"/>
  <c r="N22" i="14"/>
  <c r="M10" i="3"/>
  <c r="M18" i="3"/>
  <c r="N13" i="14"/>
  <c r="M8" i="3"/>
  <c r="M21" i="3"/>
  <c r="N5" i="14"/>
  <c r="M17" i="3"/>
  <c r="M9" i="3"/>
  <c r="M14" i="3"/>
  <c r="F3" i="14"/>
  <c r="F12" i="14"/>
  <c r="F20" i="14"/>
  <c r="F16" i="14"/>
  <c r="F10" i="14"/>
  <c r="F18" i="14"/>
  <c r="F6" i="14"/>
  <c r="F14" i="14"/>
  <c r="E6" i="3"/>
  <c r="F8" i="14"/>
  <c r="F4" i="14"/>
  <c r="F21" i="14"/>
  <c r="F17" i="14"/>
  <c r="F7" i="14"/>
  <c r="F15" i="14"/>
  <c r="F9" i="14"/>
  <c r="E11" i="3"/>
  <c r="E19" i="3"/>
  <c r="E15" i="3"/>
  <c r="F19" i="14"/>
  <c r="E13" i="3"/>
  <c r="E22" i="3"/>
  <c r="F11" i="14"/>
  <c r="F22" i="14"/>
  <c r="E12" i="3"/>
  <c r="E20" i="3"/>
  <c r="E16" i="3"/>
  <c r="F13" i="14"/>
  <c r="E7" i="3"/>
  <c r="E10" i="3"/>
  <c r="E18" i="3"/>
  <c r="F5" i="14"/>
  <c r="E8" i="3"/>
  <c r="E21" i="3"/>
  <c r="E3" i="3"/>
  <c r="E5" i="3"/>
  <c r="E4" i="3"/>
  <c r="E17" i="3"/>
  <c r="E14" i="3"/>
  <c r="E9" i="3"/>
  <c r="Q7" i="14"/>
  <c r="Q15" i="14"/>
  <c r="Q9" i="14"/>
  <c r="Q5" i="14"/>
  <c r="Q13" i="14"/>
  <c r="Q22" i="14"/>
  <c r="P5" i="3"/>
  <c r="Q3" i="14"/>
  <c r="Q12" i="14"/>
  <c r="Q20" i="14"/>
  <c r="P3" i="3"/>
  <c r="Q16" i="14"/>
  <c r="Q10" i="14"/>
  <c r="Q18" i="14"/>
  <c r="Q6" i="14"/>
  <c r="Q14" i="14"/>
  <c r="P6" i="3"/>
  <c r="Q4" i="14"/>
  <c r="Q21" i="14"/>
  <c r="P4" i="3"/>
  <c r="Q17" i="14"/>
  <c r="P8" i="3"/>
  <c r="P21" i="3"/>
  <c r="P11" i="3"/>
  <c r="P19" i="3"/>
  <c r="Q8" i="14"/>
  <c r="P15" i="3"/>
  <c r="Q19" i="14"/>
  <c r="P9" i="3"/>
  <c r="P13" i="3"/>
  <c r="P22" i="3"/>
  <c r="Q11" i="14"/>
  <c r="P16" i="3"/>
  <c r="P10" i="3"/>
  <c r="P18" i="3"/>
  <c r="P12" i="3"/>
  <c r="P20" i="3"/>
  <c r="P17" i="3"/>
  <c r="P14" i="3"/>
  <c r="P7" i="3"/>
  <c r="P9" i="14"/>
  <c r="P5" i="14"/>
  <c r="P13" i="14"/>
  <c r="P22" i="14"/>
  <c r="P3" i="14"/>
  <c r="P12" i="14"/>
  <c r="P20" i="14"/>
  <c r="O3" i="3"/>
  <c r="P16" i="14"/>
  <c r="P10" i="14"/>
  <c r="P18" i="14"/>
  <c r="P6" i="14"/>
  <c r="P14" i="14"/>
  <c r="P8" i="14"/>
  <c r="P17" i="14"/>
  <c r="P11" i="14"/>
  <c r="P19" i="14"/>
  <c r="O21" i="3"/>
  <c r="O17" i="3"/>
  <c r="P21" i="14"/>
  <c r="O4" i="3"/>
  <c r="O15" i="3"/>
  <c r="O9" i="3"/>
  <c r="O13" i="3"/>
  <c r="P4" i="14"/>
  <c r="O5" i="3"/>
  <c r="P15" i="14"/>
  <c r="O7" i="3"/>
  <c r="O12" i="3"/>
  <c r="O20" i="3"/>
  <c r="P7" i="14"/>
  <c r="O10" i="3"/>
  <c r="O18" i="3"/>
  <c r="O6" i="3"/>
  <c r="O14" i="3"/>
  <c r="O8" i="3"/>
  <c r="O22" i="3"/>
  <c r="O11" i="3"/>
  <c r="O19" i="3"/>
  <c r="O16" i="3"/>
  <c r="H9" i="14"/>
  <c r="H5" i="14"/>
  <c r="H13" i="14"/>
  <c r="H22" i="14"/>
  <c r="H3" i="14"/>
  <c r="H12" i="14"/>
  <c r="H20" i="14"/>
  <c r="G3" i="3"/>
  <c r="H16" i="14"/>
  <c r="H10" i="14"/>
  <c r="H18" i="14"/>
  <c r="H6" i="14"/>
  <c r="H14" i="14"/>
  <c r="H8" i="14"/>
  <c r="H17" i="14"/>
  <c r="H11" i="14"/>
  <c r="H19" i="14"/>
  <c r="H21" i="14"/>
  <c r="G5" i="3"/>
  <c r="G21" i="3"/>
  <c r="G17" i="3"/>
  <c r="G6" i="3"/>
  <c r="G15" i="3"/>
  <c r="H4" i="14"/>
  <c r="G9" i="3"/>
  <c r="H15" i="14"/>
  <c r="G13" i="3"/>
  <c r="H7" i="14"/>
  <c r="G12" i="3"/>
  <c r="G20" i="3"/>
  <c r="G4" i="3"/>
  <c r="G7" i="3"/>
  <c r="G10" i="3"/>
  <c r="G18" i="3"/>
  <c r="G14" i="3"/>
  <c r="G8" i="3"/>
  <c r="G22" i="3"/>
  <c r="G19" i="3"/>
  <c r="F24" i="3"/>
  <c r="G11" i="3"/>
  <c r="F25" i="3"/>
  <c r="G16" i="3"/>
  <c r="O5" i="14"/>
  <c r="O13" i="14"/>
  <c r="O22" i="14"/>
  <c r="N5" i="3"/>
  <c r="O3" i="14"/>
  <c r="O12" i="14"/>
  <c r="O20" i="14"/>
  <c r="N3" i="3"/>
  <c r="O16" i="14"/>
  <c r="O10" i="14"/>
  <c r="O18" i="14"/>
  <c r="O6" i="14"/>
  <c r="O14" i="14"/>
  <c r="O8" i="14"/>
  <c r="O4" i="14"/>
  <c r="O21" i="14"/>
  <c r="N4" i="3"/>
  <c r="O11" i="14"/>
  <c r="O19" i="14"/>
  <c r="O7" i="14"/>
  <c r="O15" i="14"/>
  <c r="N17" i="3"/>
  <c r="N11" i="3"/>
  <c r="N19" i="3"/>
  <c r="N9" i="3"/>
  <c r="O17" i="14"/>
  <c r="N13" i="3"/>
  <c r="N22" i="3"/>
  <c r="N7" i="3"/>
  <c r="N12" i="3"/>
  <c r="N20" i="3"/>
  <c r="N16" i="3"/>
  <c r="O9" i="14"/>
  <c r="N6" i="3"/>
  <c r="N14" i="3"/>
  <c r="N8" i="3"/>
  <c r="N10" i="3"/>
  <c r="N15" i="3"/>
  <c r="N21" i="3"/>
  <c r="N18" i="3"/>
  <c r="G5" i="14"/>
  <c r="G13" i="14"/>
  <c r="G22" i="14"/>
  <c r="F5" i="3"/>
  <c r="G3" i="14"/>
  <c r="G12" i="14"/>
  <c r="G20" i="14"/>
  <c r="F3" i="3"/>
  <c r="G16" i="14"/>
  <c r="G10" i="14"/>
  <c r="G18" i="14"/>
  <c r="G6" i="14"/>
  <c r="G14" i="14"/>
  <c r="G8" i="14"/>
  <c r="G4" i="14"/>
  <c r="G21" i="14"/>
  <c r="F4" i="3"/>
  <c r="G11" i="14"/>
  <c r="G19" i="14"/>
  <c r="G7" i="14"/>
  <c r="G15" i="14"/>
  <c r="F17" i="3"/>
  <c r="F11" i="3"/>
  <c r="F19" i="3"/>
  <c r="G17" i="14"/>
  <c r="F9" i="3"/>
  <c r="F13" i="3"/>
  <c r="F22" i="3"/>
  <c r="F12" i="3"/>
  <c r="F20" i="3"/>
  <c r="G9" i="14"/>
  <c r="F16" i="3"/>
  <c r="F14" i="3"/>
  <c r="F8" i="3"/>
  <c r="F10" i="3"/>
  <c r="F15" i="3"/>
  <c r="F6" i="3"/>
  <c r="F21" i="3"/>
  <c r="F7" i="3"/>
  <c r="F18" i="3"/>
  <c r="V3" i="14"/>
  <c r="V12" i="14"/>
  <c r="V20" i="14"/>
  <c r="U3" i="3"/>
  <c r="V16" i="14"/>
  <c r="V10" i="14"/>
  <c r="V18" i="14"/>
  <c r="V6" i="14"/>
  <c r="V14" i="14"/>
  <c r="U6" i="3"/>
  <c r="V8" i="14"/>
  <c r="V4" i="14"/>
  <c r="V21" i="14"/>
  <c r="V17" i="14"/>
  <c r="V11" i="14"/>
  <c r="V19" i="14"/>
  <c r="V9" i="14"/>
  <c r="V5" i="14"/>
  <c r="V13" i="14"/>
  <c r="V22" i="14"/>
  <c r="U15" i="3"/>
  <c r="U9" i="3"/>
  <c r="U12" i="3"/>
  <c r="U20" i="3"/>
  <c r="U16" i="3"/>
  <c r="U10" i="3"/>
  <c r="U18" i="3"/>
  <c r="U4" i="3"/>
  <c r="U14" i="3"/>
  <c r="U21" i="3"/>
  <c r="V7" i="14"/>
  <c r="U17" i="3"/>
  <c r="U5" i="3"/>
  <c r="U11" i="3"/>
  <c r="U13" i="3"/>
  <c r="V15" i="14"/>
  <c r="U8" i="3"/>
  <c r="U19" i="3"/>
  <c r="U7" i="3"/>
  <c r="U22" i="3"/>
  <c r="E3" i="14"/>
  <c r="E12" i="14"/>
  <c r="E20" i="14"/>
  <c r="D3" i="3"/>
  <c r="E16" i="14"/>
  <c r="E10" i="14"/>
  <c r="E18" i="14"/>
  <c r="E6" i="14"/>
  <c r="E14" i="14"/>
  <c r="D6" i="3"/>
  <c r="E8" i="14"/>
  <c r="E4" i="14"/>
  <c r="E21" i="14"/>
  <c r="D4" i="3"/>
  <c r="E17" i="14"/>
  <c r="E11" i="14"/>
  <c r="E19" i="14"/>
  <c r="E9" i="14"/>
  <c r="E5" i="14"/>
  <c r="E13" i="14"/>
  <c r="E22" i="14"/>
  <c r="D15" i="3"/>
  <c r="D9" i="3"/>
  <c r="E15" i="14"/>
  <c r="D12" i="3"/>
  <c r="D20" i="3"/>
  <c r="D16" i="3"/>
  <c r="E7" i="14"/>
  <c r="D7" i="3"/>
  <c r="D10" i="3"/>
  <c r="D18" i="3"/>
  <c r="D14" i="3"/>
  <c r="D21" i="3"/>
  <c r="D5" i="3"/>
  <c r="D17" i="3"/>
  <c r="D11" i="3"/>
  <c r="D22" i="3"/>
  <c r="D8" i="3"/>
  <c r="D19" i="3"/>
  <c r="D13" i="3"/>
  <c r="E99" i="8"/>
  <c r="E98" i="8"/>
  <c r="T10" i="14"/>
  <c r="T18" i="14"/>
  <c r="T6" i="14"/>
  <c r="T14" i="14"/>
  <c r="T8" i="14"/>
  <c r="T4" i="14"/>
  <c r="T21" i="14"/>
  <c r="S4" i="3"/>
  <c r="T17" i="14"/>
  <c r="T11" i="14"/>
  <c r="T19" i="14"/>
  <c r="T7" i="14"/>
  <c r="T15" i="14"/>
  <c r="T9" i="14"/>
  <c r="T3" i="14"/>
  <c r="T12" i="14"/>
  <c r="T20" i="14"/>
  <c r="T5" i="14"/>
  <c r="S13" i="3"/>
  <c r="T16" i="14"/>
  <c r="S7" i="3"/>
  <c r="S6" i="3"/>
  <c r="S16" i="3"/>
  <c r="S10" i="3"/>
  <c r="S18" i="3"/>
  <c r="S3" i="3"/>
  <c r="S14" i="3"/>
  <c r="S8" i="3"/>
  <c r="S21" i="3"/>
  <c r="S5" i="3"/>
  <c r="S11" i="3"/>
  <c r="S19" i="3"/>
  <c r="T13" i="14"/>
  <c r="S15" i="3"/>
  <c r="S9" i="3"/>
  <c r="S12" i="3"/>
  <c r="S20" i="3"/>
  <c r="S22" i="3"/>
  <c r="T22" i="14"/>
  <c r="S17" i="3"/>
  <c r="U16" i="14"/>
  <c r="U10" i="14"/>
  <c r="U18" i="14"/>
  <c r="U6" i="14"/>
  <c r="U14" i="14"/>
  <c r="T6" i="3"/>
  <c r="U8" i="14"/>
  <c r="U4" i="14"/>
  <c r="U21" i="14"/>
  <c r="T4" i="3"/>
  <c r="U17" i="14"/>
  <c r="U11" i="14"/>
  <c r="U19" i="14"/>
  <c r="U7" i="14"/>
  <c r="U15" i="14"/>
  <c r="T7" i="3"/>
  <c r="U5" i="14"/>
  <c r="U13" i="14"/>
  <c r="U22" i="14"/>
  <c r="T9" i="3"/>
  <c r="U12" i="14"/>
  <c r="T13" i="3"/>
  <c r="U3" i="14"/>
  <c r="T12" i="3"/>
  <c r="T20" i="3"/>
  <c r="T16" i="3"/>
  <c r="T10" i="3"/>
  <c r="T18" i="3"/>
  <c r="T3" i="3"/>
  <c r="T14" i="3"/>
  <c r="T8" i="3"/>
  <c r="T17" i="3"/>
  <c r="U9" i="14"/>
  <c r="T5" i="3"/>
  <c r="T11" i="3"/>
  <c r="T19" i="3"/>
  <c r="U20" i="14"/>
  <c r="T15" i="3"/>
  <c r="T22" i="3"/>
  <c r="T21" i="3"/>
  <c r="M16" i="14"/>
  <c r="M10" i="14"/>
  <c r="M18" i="14"/>
  <c r="M6" i="14"/>
  <c r="M14" i="14"/>
  <c r="L6" i="3"/>
  <c r="M8" i="14"/>
  <c r="M4" i="14"/>
  <c r="M21" i="14"/>
  <c r="L4" i="3"/>
  <c r="M17" i="14"/>
  <c r="M11" i="14"/>
  <c r="M19" i="14"/>
  <c r="M7" i="14"/>
  <c r="M15" i="14"/>
  <c r="L7" i="3"/>
  <c r="M5" i="14"/>
  <c r="M13" i="14"/>
  <c r="M22" i="14"/>
  <c r="L5" i="3"/>
  <c r="L9" i="3"/>
  <c r="M3" i="14"/>
  <c r="L13" i="3"/>
  <c r="L22" i="3"/>
  <c r="L3" i="3"/>
  <c r="L12" i="3"/>
  <c r="L20" i="3"/>
  <c r="L16" i="3"/>
  <c r="L10" i="3"/>
  <c r="L18" i="3"/>
  <c r="L14" i="3"/>
  <c r="L8" i="3"/>
  <c r="M20" i="14"/>
  <c r="L17" i="3"/>
  <c r="L11" i="3"/>
  <c r="L19" i="3"/>
  <c r="M12" i="14"/>
  <c r="M9" i="14"/>
  <c r="L15" i="3"/>
  <c r="L21" i="3"/>
  <c r="L10" i="14"/>
  <c r="L18" i="14"/>
  <c r="L6" i="14"/>
  <c r="L14" i="14"/>
  <c r="L8" i="14"/>
  <c r="L4" i="14"/>
  <c r="L21" i="14"/>
  <c r="K4" i="3"/>
  <c r="L17" i="14"/>
  <c r="L11" i="14"/>
  <c r="L19" i="14"/>
  <c r="L7" i="14"/>
  <c r="L15" i="14"/>
  <c r="L9" i="14"/>
  <c r="L3" i="14"/>
  <c r="L12" i="14"/>
  <c r="L20" i="14"/>
  <c r="K13" i="3"/>
  <c r="K22" i="3"/>
  <c r="K3" i="3"/>
  <c r="K5" i="3"/>
  <c r="K7" i="3"/>
  <c r="K16" i="3"/>
  <c r="K10" i="3"/>
  <c r="K18" i="3"/>
  <c r="K14" i="3"/>
  <c r="L22" i="14"/>
  <c r="K8" i="3"/>
  <c r="K21" i="3"/>
  <c r="K11" i="3"/>
  <c r="K19" i="3"/>
  <c r="L5" i="14"/>
  <c r="K15" i="3"/>
  <c r="L16" i="14"/>
  <c r="K9" i="3"/>
  <c r="K20" i="3"/>
  <c r="L13" i="14"/>
  <c r="K17" i="3"/>
  <c r="K6" i="3"/>
  <c r="K12" i="3"/>
  <c r="S6" i="14"/>
  <c r="S14" i="14"/>
  <c r="R6" i="3"/>
  <c r="S8" i="14"/>
  <c r="S4" i="14"/>
  <c r="S21" i="14"/>
  <c r="R4" i="3"/>
  <c r="S17" i="14"/>
  <c r="S11" i="14"/>
  <c r="S19" i="14"/>
  <c r="S7" i="14"/>
  <c r="S15" i="14"/>
  <c r="S9" i="14"/>
  <c r="S5" i="14"/>
  <c r="S13" i="14"/>
  <c r="S22" i="14"/>
  <c r="R5" i="3"/>
  <c r="S3" i="14"/>
  <c r="S12" i="14"/>
  <c r="S20" i="14"/>
  <c r="R3" i="3"/>
  <c r="S16" i="14"/>
  <c r="R7" i="3"/>
  <c r="S18" i="14"/>
  <c r="R12" i="3"/>
  <c r="R20" i="3"/>
  <c r="S10" i="14"/>
  <c r="R10" i="3"/>
  <c r="R18" i="3"/>
  <c r="R14" i="3"/>
  <c r="R8" i="3"/>
  <c r="R21" i="3"/>
  <c r="R17" i="3"/>
  <c r="R15" i="3"/>
  <c r="R9" i="3"/>
  <c r="R16" i="3"/>
  <c r="R13" i="3"/>
  <c r="R22" i="3"/>
  <c r="R11" i="3"/>
  <c r="R19" i="3"/>
  <c r="K6" i="14"/>
  <c r="K14" i="14"/>
  <c r="J6" i="3"/>
  <c r="K8" i="14"/>
  <c r="K4" i="14"/>
  <c r="K21" i="14"/>
  <c r="J4" i="3"/>
  <c r="K17" i="14"/>
  <c r="K11" i="14"/>
  <c r="K19" i="14"/>
  <c r="K7" i="14"/>
  <c r="K15" i="14"/>
  <c r="K9" i="14"/>
  <c r="K5" i="14"/>
  <c r="K13" i="14"/>
  <c r="K22" i="14"/>
  <c r="J5" i="3"/>
  <c r="K3" i="14"/>
  <c r="K12" i="14"/>
  <c r="K20" i="14"/>
  <c r="J3" i="3"/>
  <c r="K16" i="14"/>
  <c r="K10" i="14"/>
  <c r="J12" i="3"/>
  <c r="J20" i="3"/>
  <c r="J10" i="3"/>
  <c r="J18" i="3"/>
  <c r="J14" i="3"/>
  <c r="J8" i="3"/>
  <c r="J21" i="3"/>
  <c r="J17" i="3"/>
  <c r="J15" i="3"/>
  <c r="J9" i="3"/>
  <c r="K18" i="14"/>
  <c r="J13" i="3"/>
  <c r="J22" i="3"/>
  <c r="J19" i="3"/>
  <c r="J11" i="3"/>
  <c r="J7" i="3"/>
  <c r="J16" i="3"/>
  <c r="A84" i="15" l="1"/>
  <c r="M54" i="15" s="1"/>
  <c r="I58" i="15"/>
  <c r="I66" i="15"/>
  <c r="J56" i="15"/>
  <c r="K60" i="15"/>
  <c r="K76" i="14"/>
  <c r="K71" i="14"/>
  <c r="K69" i="14"/>
  <c r="S72" i="14"/>
  <c r="S81" i="14"/>
  <c r="S69" i="14"/>
  <c r="L72" i="14"/>
  <c r="U81" i="14"/>
  <c r="T72" i="14"/>
  <c r="T77" i="14"/>
  <c r="E76" i="14"/>
  <c r="E75" i="14"/>
  <c r="V85" i="14"/>
  <c r="G73" i="14"/>
  <c r="G68" i="14"/>
  <c r="O71" i="14"/>
  <c r="O68" i="14"/>
  <c r="H83" i="14"/>
  <c r="H69" i="14"/>
  <c r="P82" i="14"/>
  <c r="P83" i="14"/>
  <c r="F72" i="14"/>
  <c r="W77" i="14"/>
  <c r="R83" i="14"/>
  <c r="R67" i="14"/>
  <c r="I80" i="14"/>
  <c r="J77" i="14"/>
  <c r="K66" i="14"/>
  <c r="S73" i="14"/>
  <c r="S66" i="14"/>
  <c r="L77" i="14"/>
  <c r="L85" i="14"/>
  <c r="M82" i="14"/>
  <c r="M79" i="14"/>
  <c r="M68" i="14"/>
  <c r="M67" i="14"/>
  <c r="U73" i="14"/>
  <c r="U67" i="14"/>
  <c r="T66" i="14"/>
  <c r="T76" i="14"/>
  <c r="V80" i="14"/>
  <c r="V83" i="14"/>
  <c r="G85" i="14"/>
  <c r="H75" i="14"/>
  <c r="P74" i="14"/>
  <c r="P75" i="14"/>
  <c r="Q77" i="14"/>
  <c r="Q84" i="14"/>
  <c r="Q68" i="14"/>
  <c r="F77" i="14"/>
  <c r="F71" i="14"/>
  <c r="N81" i="14"/>
  <c r="W72" i="14"/>
  <c r="W71" i="14"/>
  <c r="W85" i="14"/>
  <c r="R84" i="14"/>
  <c r="R75" i="14"/>
  <c r="R68" i="14"/>
  <c r="I83" i="14"/>
  <c r="I70" i="14"/>
  <c r="J72" i="14"/>
  <c r="D84" i="14"/>
  <c r="D75" i="14"/>
  <c r="K77" i="14"/>
  <c r="L81" i="14"/>
  <c r="L76" i="14"/>
  <c r="M74" i="14"/>
  <c r="U82" i="14"/>
  <c r="T81" i="14"/>
  <c r="V70" i="14"/>
  <c r="V75" i="14"/>
  <c r="G76" i="14"/>
  <c r="O77" i="14"/>
  <c r="O85" i="14"/>
  <c r="H82" i="14"/>
  <c r="P85" i="14"/>
  <c r="P70" i="14"/>
  <c r="P78" i="14"/>
  <c r="Q80" i="14"/>
  <c r="Q85" i="14"/>
  <c r="F80" i="14"/>
  <c r="F85" i="14"/>
  <c r="N72" i="14"/>
  <c r="N73" i="14"/>
  <c r="N85" i="14"/>
  <c r="W80" i="14"/>
  <c r="W76" i="14"/>
  <c r="R70" i="14"/>
  <c r="R80" i="14"/>
  <c r="I75" i="14"/>
  <c r="I84" i="14"/>
  <c r="I67" i="14"/>
  <c r="J68" i="14"/>
  <c r="J82" i="14"/>
  <c r="J79" i="14"/>
  <c r="D82" i="14"/>
  <c r="D78" i="14"/>
  <c r="K72" i="14"/>
  <c r="K81" i="14"/>
  <c r="S78" i="14"/>
  <c r="S83" i="14"/>
  <c r="L78" i="14"/>
  <c r="L73" i="14"/>
  <c r="M80" i="14"/>
  <c r="M83" i="14"/>
  <c r="U74" i="14"/>
  <c r="U79" i="14"/>
  <c r="T78" i="14"/>
  <c r="T73" i="14"/>
  <c r="E82" i="14"/>
  <c r="E77" i="14"/>
  <c r="G71" i="14"/>
  <c r="O69" i="14"/>
  <c r="O76" i="14"/>
  <c r="H85" i="14"/>
  <c r="H80" i="14"/>
  <c r="P67" i="14"/>
  <c r="Q76" i="14"/>
  <c r="Q71" i="14"/>
  <c r="F81" i="14"/>
  <c r="F76" i="14"/>
  <c r="N80" i="14"/>
  <c r="N76" i="14"/>
  <c r="W81" i="14"/>
  <c r="W70" i="14"/>
  <c r="R85" i="14"/>
  <c r="J78" i="14"/>
  <c r="J74" i="14"/>
  <c r="D73" i="14"/>
  <c r="D79" i="14"/>
  <c r="K73" i="14"/>
  <c r="S82" i="14"/>
  <c r="S80" i="14"/>
  <c r="S75" i="14"/>
  <c r="L75" i="14"/>
  <c r="M84" i="14"/>
  <c r="M75" i="14"/>
  <c r="U68" i="14"/>
  <c r="T80" i="14"/>
  <c r="E71" i="14"/>
  <c r="V82" i="14"/>
  <c r="V84" i="14"/>
  <c r="G81" i="14"/>
  <c r="G67" i="14"/>
  <c r="O67" i="14"/>
  <c r="H71" i="14"/>
  <c r="Q83" i="14"/>
  <c r="F73" i="14"/>
  <c r="N79" i="14"/>
  <c r="N66" i="14"/>
  <c r="W73" i="14"/>
  <c r="W78" i="14"/>
  <c r="R76" i="14"/>
  <c r="J73" i="14"/>
  <c r="J69" i="14"/>
  <c r="J70" i="14"/>
  <c r="D85" i="14"/>
  <c r="D70" i="14"/>
  <c r="K79" i="14"/>
  <c r="K83" i="14"/>
  <c r="K68" i="14"/>
  <c r="S74" i="14"/>
  <c r="S68" i="14"/>
  <c r="L82" i="14"/>
  <c r="L79" i="14"/>
  <c r="L67" i="14"/>
  <c r="M66" i="14"/>
  <c r="M70" i="14"/>
  <c r="U83" i="14"/>
  <c r="U70" i="14"/>
  <c r="T82" i="14"/>
  <c r="T79" i="14"/>
  <c r="T67" i="14"/>
  <c r="E67" i="14"/>
  <c r="V71" i="14"/>
  <c r="G77" i="14"/>
  <c r="G72" i="14"/>
  <c r="O81" i="14"/>
  <c r="O79" i="14"/>
  <c r="H76" i="14"/>
  <c r="H84" i="14"/>
  <c r="P71" i="14"/>
  <c r="P80" i="14"/>
  <c r="Q75" i="14"/>
  <c r="Q72" i="14"/>
  <c r="F70" i="14"/>
  <c r="F78" i="14"/>
  <c r="N67" i="14"/>
  <c r="W66" i="14"/>
  <c r="R81" i="14"/>
  <c r="I71" i="14"/>
  <c r="J80" i="14"/>
  <c r="D68" i="14"/>
  <c r="D69" i="14"/>
  <c r="D67" i="14"/>
  <c r="K70" i="14"/>
  <c r="K78" i="14"/>
  <c r="K75" i="14"/>
  <c r="K67" i="14"/>
  <c r="S85" i="14"/>
  <c r="S84" i="14"/>
  <c r="S67" i="14"/>
  <c r="L74" i="14"/>
  <c r="M85" i="14"/>
  <c r="U84" i="14"/>
  <c r="U80" i="14"/>
  <c r="U75" i="14"/>
  <c r="T74" i="14"/>
  <c r="E85" i="14"/>
  <c r="E81" i="14"/>
  <c r="E72" i="14"/>
  <c r="V77" i="14"/>
  <c r="V72" i="14"/>
  <c r="G70" i="14"/>
  <c r="G79" i="14"/>
  <c r="G66" i="14"/>
  <c r="O84" i="14"/>
  <c r="O72" i="14"/>
  <c r="O66" i="14"/>
  <c r="H77" i="14"/>
  <c r="P68" i="14"/>
  <c r="Q81" i="14"/>
  <c r="Q67" i="14"/>
  <c r="F67" i="14"/>
  <c r="F82" i="14"/>
  <c r="N78" i="14"/>
  <c r="W79" i="14"/>
  <c r="W82" i="14"/>
  <c r="R71" i="14"/>
  <c r="I72" i="14"/>
  <c r="I85" i="14"/>
  <c r="J83" i="14"/>
  <c r="D74" i="14"/>
  <c r="D66" i="14"/>
  <c r="K80" i="14"/>
  <c r="L69" i="14"/>
  <c r="L70" i="14"/>
  <c r="M71" i="14"/>
  <c r="M76" i="14"/>
  <c r="M69" i="14"/>
  <c r="U85" i="14"/>
  <c r="U69" i="14"/>
  <c r="T85" i="14"/>
  <c r="T68" i="14"/>
  <c r="T69" i="14"/>
  <c r="E74" i="14"/>
  <c r="E73" i="14"/>
  <c r="E78" i="14"/>
  <c r="V67" i="14"/>
  <c r="G84" i="14"/>
  <c r="G82" i="14"/>
  <c r="O82" i="14"/>
  <c r="H81" i="14"/>
  <c r="H68" i="14"/>
  <c r="P77" i="14"/>
  <c r="P84" i="14"/>
  <c r="Q73" i="14"/>
  <c r="Q66" i="14"/>
  <c r="F79" i="14"/>
  <c r="F74" i="14"/>
  <c r="N83" i="14"/>
  <c r="N82" i="14"/>
  <c r="W67" i="14"/>
  <c r="W74" i="14"/>
  <c r="R73" i="14"/>
  <c r="R72" i="14"/>
  <c r="R77" i="14"/>
  <c r="R66" i="14"/>
  <c r="I76" i="14"/>
  <c r="I81" i="14"/>
  <c r="J84" i="14"/>
  <c r="J75" i="14"/>
  <c r="K74" i="14"/>
  <c r="S76" i="14"/>
  <c r="S70" i="14"/>
  <c r="L80" i="14"/>
  <c r="L84" i="14"/>
  <c r="L68" i="14"/>
  <c r="M78" i="14"/>
  <c r="M77" i="14"/>
  <c r="U76" i="14"/>
  <c r="T84" i="14"/>
  <c r="E80" i="14"/>
  <c r="E70" i="14"/>
  <c r="E66" i="14"/>
  <c r="V76" i="14"/>
  <c r="V81" i="14"/>
  <c r="V78" i="14"/>
  <c r="V66" i="14"/>
  <c r="G69" i="14"/>
  <c r="G83" i="14"/>
  <c r="G74" i="14"/>
  <c r="O83" i="14"/>
  <c r="O74" i="14"/>
  <c r="H79" i="14"/>
  <c r="H73" i="14"/>
  <c r="H72" i="14"/>
  <c r="P69" i="14"/>
  <c r="P76" i="14"/>
  <c r="Q78" i="14"/>
  <c r="F68" i="14"/>
  <c r="F83" i="14"/>
  <c r="F69" i="14"/>
  <c r="N84" i="14"/>
  <c r="N75" i="14"/>
  <c r="N74" i="14"/>
  <c r="W68" i="14"/>
  <c r="R69" i="14"/>
  <c r="R78" i="14"/>
  <c r="I78" i="14"/>
  <c r="I73" i="14"/>
  <c r="I66" i="14"/>
  <c r="J67" i="14"/>
  <c r="D80" i="14"/>
  <c r="K82" i="14"/>
  <c r="K84" i="14"/>
  <c r="S71" i="14"/>
  <c r="U78" i="14"/>
  <c r="U71" i="14"/>
  <c r="T83" i="14"/>
  <c r="V73" i="14"/>
  <c r="G75" i="14"/>
  <c r="G80" i="14"/>
  <c r="O78" i="14"/>
  <c r="O75" i="14"/>
  <c r="O80" i="14"/>
  <c r="P81" i="14"/>
  <c r="Q79" i="14"/>
  <c r="F66" i="14"/>
  <c r="F75" i="14"/>
  <c r="N70" i="14"/>
  <c r="N69" i="14"/>
  <c r="W83" i="14"/>
  <c r="W69" i="14"/>
  <c r="I77" i="14"/>
  <c r="I82" i="14"/>
  <c r="I68" i="14"/>
  <c r="J85" i="14"/>
  <c r="J66" i="14"/>
  <c r="D76" i="14"/>
  <c r="D72" i="14"/>
  <c r="K85" i="14"/>
  <c r="S79" i="14"/>
  <c r="M81" i="14"/>
  <c r="M72" i="14"/>
  <c r="U77" i="14"/>
  <c r="E68" i="14"/>
  <c r="E79" i="14"/>
  <c r="V74" i="14"/>
  <c r="O73" i="14"/>
  <c r="O70" i="14"/>
  <c r="H70" i="14"/>
  <c r="P79" i="14"/>
  <c r="P73" i="14"/>
  <c r="Q82" i="14"/>
  <c r="Q69" i="14"/>
  <c r="F84" i="14"/>
  <c r="N68" i="14"/>
  <c r="W84" i="14"/>
  <c r="W75" i="14"/>
  <c r="R79" i="14"/>
  <c r="R82" i="14"/>
  <c r="I74" i="14"/>
  <c r="J76" i="14"/>
  <c r="J71" i="14"/>
  <c r="D71" i="14"/>
  <c r="D83" i="14"/>
  <c r="F99" i="14"/>
  <c r="S77" i="14"/>
  <c r="L83" i="14"/>
  <c r="L71" i="14"/>
  <c r="L66" i="14"/>
  <c r="M73" i="14"/>
  <c r="U66" i="14"/>
  <c r="U72" i="14"/>
  <c r="T75" i="14"/>
  <c r="T71" i="14"/>
  <c r="T70" i="14"/>
  <c r="E84" i="14"/>
  <c r="E83" i="14"/>
  <c r="E69" i="14"/>
  <c r="V68" i="14"/>
  <c r="V79" i="14"/>
  <c r="V69" i="14"/>
  <c r="G78" i="14"/>
  <c r="H74" i="14"/>
  <c r="H67" i="14"/>
  <c r="H78" i="14"/>
  <c r="H66" i="14"/>
  <c r="P72" i="14"/>
  <c r="P66" i="14"/>
  <c r="Q70" i="14"/>
  <c r="Q74" i="14"/>
  <c r="N77" i="14"/>
  <c r="N71" i="14"/>
  <c r="R74" i="14"/>
  <c r="I69" i="14"/>
  <c r="I79" i="14"/>
  <c r="J81" i="14"/>
  <c r="D81" i="14"/>
  <c r="D77" i="14"/>
  <c r="R14" i="2"/>
  <c r="K20" i="2"/>
  <c r="K8" i="2"/>
  <c r="K3" i="2"/>
  <c r="L10" i="2"/>
  <c r="T3" i="2"/>
  <c r="T9" i="2"/>
  <c r="S12" i="2"/>
  <c r="S8" i="2"/>
  <c r="S7" i="2"/>
  <c r="D21" i="2"/>
  <c r="D20" i="2"/>
  <c r="D6" i="2"/>
  <c r="U5" i="2"/>
  <c r="U16" i="2"/>
  <c r="U6" i="2"/>
  <c r="F15" i="2"/>
  <c r="G11" i="2"/>
  <c r="G4" i="2"/>
  <c r="G15" i="2"/>
  <c r="G3" i="2"/>
  <c r="O9" i="2"/>
  <c r="O3" i="2"/>
  <c r="P7" i="2"/>
  <c r="P11" i="2"/>
  <c r="P6" i="2"/>
  <c r="E21" i="2"/>
  <c r="M5" i="2"/>
  <c r="V21" i="2"/>
  <c r="V12" i="2"/>
  <c r="Q16" i="2"/>
  <c r="Q19" i="2"/>
  <c r="H11" i="2"/>
  <c r="I13" i="2"/>
  <c r="I8" i="2"/>
  <c r="C8" i="2"/>
  <c r="C20" i="2"/>
  <c r="J13" i="2"/>
  <c r="J8" i="2"/>
  <c r="J6" i="2"/>
  <c r="R9" i="2"/>
  <c r="R18" i="2"/>
  <c r="R6" i="2"/>
  <c r="K9" i="2"/>
  <c r="T18" i="2"/>
  <c r="S9" i="2"/>
  <c r="S14" i="2"/>
  <c r="D13" i="2"/>
  <c r="D12" i="2"/>
  <c r="U22" i="2"/>
  <c r="F10" i="2"/>
  <c r="F5" i="2"/>
  <c r="N8" i="2"/>
  <c r="N5" i="2"/>
  <c r="G20" i="2"/>
  <c r="G6" i="2"/>
  <c r="O19" i="2"/>
  <c r="O20" i="2"/>
  <c r="M14" i="2"/>
  <c r="M8" i="2"/>
  <c r="Q11" i="2"/>
  <c r="H6" i="2"/>
  <c r="H16" i="2"/>
  <c r="I18" i="2"/>
  <c r="C18" i="2"/>
  <c r="C14" i="2"/>
  <c r="S18" i="2"/>
  <c r="J3" i="2"/>
  <c r="R10" i="2"/>
  <c r="R3" i="2"/>
  <c r="K14" i="2"/>
  <c r="K22" i="2"/>
  <c r="L19" i="2"/>
  <c r="L16" i="2"/>
  <c r="L5" i="2"/>
  <c r="L4" i="2"/>
  <c r="T10" i="2"/>
  <c r="T4" i="2"/>
  <c r="S3" i="2"/>
  <c r="S13" i="2"/>
  <c r="U17" i="2"/>
  <c r="U20" i="2"/>
  <c r="F22" i="2"/>
  <c r="G12" i="2"/>
  <c r="O11" i="2"/>
  <c r="O12" i="2"/>
  <c r="P14" i="2"/>
  <c r="P21" i="2"/>
  <c r="E9" i="2"/>
  <c r="V14" i="2"/>
  <c r="Q20" i="2"/>
  <c r="Q4" i="2"/>
  <c r="H17" i="2"/>
  <c r="I14" i="2"/>
  <c r="Q12" i="2"/>
  <c r="H20" i="2"/>
  <c r="C21" i="2"/>
  <c r="J9" i="2"/>
  <c r="J18" i="2"/>
  <c r="R15" i="2"/>
  <c r="R20" i="2"/>
  <c r="K15" i="2"/>
  <c r="K10" i="2"/>
  <c r="L17" i="2"/>
  <c r="L20" i="2"/>
  <c r="T11" i="2"/>
  <c r="T16" i="2"/>
  <c r="S15" i="2"/>
  <c r="S10" i="2"/>
  <c r="D19" i="2"/>
  <c r="D14" i="2"/>
  <c r="F8" i="2"/>
  <c r="N6" i="2"/>
  <c r="N13" i="2"/>
  <c r="G22" i="2"/>
  <c r="G17" i="2"/>
  <c r="O4" i="2"/>
  <c r="P13" i="2"/>
  <c r="E17" i="2"/>
  <c r="E22" i="2"/>
  <c r="M9" i="2"/>
  <c r="M10" i="2"/>
  <c r="M22" i="2"/>
  <c r="V17" i="2"/>
  <c r="V13" i="2"/>
  <c r="Q7" i="2"/>
  <c r="Q17" i="2"/>
  <c r="H12" i="2"/>
  <c r="H21" i="2"/>
  <c r="H4" i="2"/>
  <c r="I5" i="2"/>
  <c r="I19" i="2"/>
  <c r="I16" i="2"/>
  <c r="C19" i="2"/>
  <c r="C15" i="2"/>
  <c r="K18" i="2"/>
  <c r="O15" i="2"/>
  <c r="E14" i="2"/>
  <c r="V22" i="2"/>
  <c r="Q5" i="2"/>
  <c r="I9" i="2"/>
  <c r="J10" i="2"/>
  <c r="R19" i="2"/>
  <c r="R17" i="2"/>
  <c r="R12" i="2"/>
  <c r="K12" i="2"/>
  <c r="L21" i="2"/>
  <c r="L12" i="2"/>
  <c r="T5" i="2"/>
  <c r="S17" i="2"/>
  <c r="D8" i="2"/>
  <c r="U19" i="2"/>
  <c r="U21" i="2"/>
  <c r="F18" i="2"/>
  <c r="F4" i="2"/>
  <c r="N4" i="2"/>
  <c r="G8" i="2"/>
  <c r="P20" i="2"/>
  <c r="P8" i="2"/>
  <c r="E18" i="2"/>
  <c r="E13" i="2"/>
  <c r="M17" i="2"/>
  <c r="M13" i="2"/>
  <c r="V18" i="2"/>
  <c r="V7" i="2"/>
  <c r="Q22" i="2"/>
  <c r="I15" i="2"/>
  <c r="I11" i="2"/>
  <c r="C10" i="2"/>
  <c r="C16" i="2"/>
  <c r="U12" i="2"/>
  <c r="P22" i="2"/>
  <c r="M18" i="2"/>
  <c r="C12" i="2"/>
  <c r="J16" i="2"/>
  <c r="J20" i="2"/>
  <c r="J5" i="2"/>
  <c r="R11" i="2"/>
  <c r="R5" i="2"/>
  <c r="K19" i="2"/>
  <c r="K16" i="2"/>
  <c r="K4" i="2"/>
  <c r="L3" i="2"/>
  <c r="L7" i="2"/>
  <c r="T20" i="2"/>
  <c r="T7" i="2"/>
  <c r="S19" i="2"/>
  <c r="S16" i="2"/>
  <c r="S4" i="2"/>
  <c r="D4" i="2"/>
  <c r="U8" i="2"/>
  <c r="F14" i="2"/>
  <c r="F9" i="2"/>
  <c r="N18" i="2"/>
  <c r="N16" i="2"/>
  <c r="G13" i="2"/>
  <c r="G21" i="2"/>
  <c r="O8" i="2"/>
  <c r="O17" i="2"/>
  <c r="P12" i="2"/>
  <c r="P9" i="2"/>
  <c r="E10" i="2"/>
  <c r="M16" i="2"/>
  <c r="M3" i="2"/>
  <c r="V10" i="2"/>
  <c r="V15" i="2"/>
  <c r="Q13" i="2"/>
  <c r="I10" i="2"/>
  <c r="I6" i="2"/>
  <c r="I7" i="2"/>
  <c r="C22" i="2"/>
  <c r="C7" i="2"/>
  <c r="O22" i="2"/>
  <c r="P17" i="2"/>
  <c r="E8" i="2"/>
  <c r="Q21" i="2"/>
  <c r="J7" i="2"/>
  <c r="J15" i="2"/>
  <c r="J12" i="2"/>
  <c r="J4" i="2"/>
  <c r="R22" i="2"/>
  <c r="R21" i="2"/>
  <c r="R4" i="2"/>
  <c r="K11" i="2"/>
  <c r="L22" i="2"/>
  <c r="T21" i="2"/>
  <c r="T17" i="2"/>
  <c r="T12" i="2"/>
  <c r="S11" i="2"/>
  <c r="D22" i="2"/>
  <c r="D18" i="2"/>
  <c r="D9" i="2"/>
  <c r="U14" i="2"/>
  <c r="U9" i="2"/>
  <c r="F7" i="2"/>
  <c r="F16" i="2"/>
  <c r="F3" i="2"/>
  <c r="N21" i="2"/>
  <c r="N9" i="2"/>
  <c r="N3" i="2"/>
  <c r="G14" i="2"/>
  <c r="O5" i="2"/>
  <c r="P18" i="2"/>
  <c r="E7" i="2"/>
  <c r="E15" i="2"/>
  <c r="M4" i="2"/>
  <c r="V3" i="2"/>
  <c r="Q18" i="2"/>
  <c r="H8" i="2"/>
  <c r="I17" i="2"/>
  <c r="C5" i="2"/>
  <c r="C6" i="2"/>
  <c r="C4" i="2"/>
  <c r="U7" i="2"/>
  <c r="F13" i="2"/>
  <c r="P5" i="2"/>
  <c r="H7" i="2"/>
  <c r="J17" i="2"/>
  <c r="K6" i="2"/>
  <c r="K7" i="2"/>
  <c r="L8" i="2"/>
  <c r="L13" i="2"/>
  <c r="L6" i="2"/>
  <c r="T22" i="2"/>
  <c r="T6" i="2"/>
  <c r="S22" i="2"/>
  <c r="S5" i="2"/>
  <c r="S6" i="2"/>
  <c r="D11" i="2"/>
  <c r="D10" i="2"/>
  <c r="D15" i="2"/>
  <c r="U4" i="2"/>
  <c r="F21" i="2"/>
  <c r="F19" i="2"/>
  <c r="N19" i="2"/>
  <c r="G18" i="2"/>
  <c r="G5" i="2"/>
  <c r="O14" i="2"/>
  <c r="O21" i="2"/>
  <c r="P10" i="2"/>
  <c r="P4" i="2"/>
  <c r="E4" i="2"/>
  <c r="E19" i="2"/>
  <c r="M15" i="2"/>
  <c r="V16" i="2"/>
  <c r="V19" i="2"/>
  <c r="Q8" i="2"/>
  <c r="H9" i="2"/>
  <c r="H22" i="2"/>
  <c r="I20" i="2"/>
  <c r="C11" i="2"/>
  <c r="C3" i="2"/>
  <c r="J14" i="2"/>
  <c r="K13" i="2"/>
  <c r="N22" i="2"/>
  <c r="O7" i="2"/>
  <c r="V9" i="2"/>
  <c r="J11" i="2"/>
  <c r="R13" i="2"/>
  <c r="R7" i="2"/>
  <c r="K17" i="2"/>
  <c r="K21" i="2"/>
  <c r="K5" i="2"/>
  <c r="L15" i="2"/>
  <c r="L14" i="2"/>
  <c r="T13" i="2"/>
  <c r="S21" i="2"/>
  <c r="D17" i="2"/>
  <c r="D7" i="2"/>
  <c r="E97" i="8"/>
  <c r="D3" i="2"/>
  <c r="U13" i="2"/>
  <c r="U18" i="2"/>
  <c r="U15" i="2"/>
  <c r="U3" i="2"/>
  <c r="F6" i="2"/>
  <c r="F20" i="2"/>
  <c r="F11" i="2"/>
  <c r="N20" i="2"/>
  <c r="N11" i="2"/>
  <c r="G16" i="2"/>
  <c r="G10" i="2"/>
  <c r="G9" i="2"/>
  <c r="O6" i="2"/>
  <c r="O13" i="2"/>
  <c r="P15" i="2"/>
  <c r="P3" i="2"/>
  <c r="E16" i="2"/>
  <c r="E11" i="2"/>
  <c r="M20" i="2"/>
  <c r="M19" i="2"/>
  <c r="V4" i="2"/>
  <c r="V11" i="2"/>
  <c r="Q10" i="2"/>
  <c r="Q9" i="2"/>
  <c r="Q14" i="2"/>
  <c r="Q3" i="2"/>
  <c r="H13" i="2"/>
  <c r="H18" i="2"/>
  <c r="I21" i="2"/>
  <c r="I12" i="2"/>
  <c r="T19" i="2"/>
  <c r="V8" i="2"/>
  <c r="J19" i="2"/>
  <c r="J21" i="2"/>
  <c r="R8" i="2"/>
  <c r="T15" i="2"/>
  <c r="T8" i="2"/>
  <c r="S20" i="2"/>
  <c r="U10" i="2"/>
  <c r="F12" i="2"/>
  <c r="F17" i="2"/>
  <c r="N15" i="2"/>
  <c r="N12" i="2"/>
  <c r="N17" i="2"/>
  <c r="O18" i="2"/>
  <c r="P16" i="2"/>
  <c r="E5" i="2"/>
  <c r="E20" i="2"/>
  <c r="E6" i="2"/>
  <c r="M21" i="2"/>
  <c r="M12" i="2"/>
  <c r="M11" i="2"/>
  <c r="V5" i="2"/>
  <c r="Q6" i="2"/>
  <c r="Q15" i="2"/>
  <c r="H15" i="2"/>
  <c r="H10" i="2"/>
  <c r="H3" i="2"/>
  <c r="I4" i="2"/>
  <c r="C17" i="2"/>
  <c r="L11" i="2"/>
  <c r="N14" i="2"/>
  <c r="G19" i="2"/>
  <c r="J22" i="2"/>
  <c r="R16" i="2"/>
  <c r="L18" i="2"/>
  <c r="L9" i="2"/>
  <c r="T14" i="2"/>
  <c r="D5" i="2"/>
  <c r="D16" i="2"/>
  <c r="U11" i="2"/>
  <c r="N10" i="2"/>
  <c r="N7" i="2"/>
  <c r="G7" i="2"/>
  <c r="O16" i="2"/>
  <c r="O10" i="2"/>
  <c r="P19" i="2"/>
  <c r="E3" i="2"/>
  <c r="E12" i="2"/>
  <c r="M7" i="2"/>
  <c r="M6" i="2"/>
  <c r="V20" i="2"/>
  <c r="V6" i="2"/>
  <c r="H14" i="2"/>
  <c r="H19" i="2"/>
  <c r="H5" i="2"/>
  <c r="I22" i="2"/>
  <c r="I3" i="2"/>
  <c r="C13" i="2"/>
  <c r="C9" i="2"/>
  <c r="G46" i="1"/>
  <c r="G44" i="1"/>
  <c r="H42" i="1"/>
  <c r="G42" i="1"/>
  <c r="G40" i="1"/>
  <c r="G38" i="1"/>
  <c r="G36" i="1"/>
  <c r="G34" i="1"/>
  <c r="A32" i="1"/>
  <c r="K58" i="15" l="1"/>
  <c r="K62" i="15"/>
  <c r="L56" i="15"/>
  <c r="K64" i="15"/>
  <c r="L52" i="15"/>
  <c r="A33" i="1"/>
  <c r="J38" i="1" s="1"/>
  <c r="G18" i="1"/>
  <c r="G8" i="1"/>
  <c r="G9" i="1"/>
  <c r="G10" i="1"/>
  <c r="G11" i="1"/>
  <c r="G12" i="1"/>
  <c r="G19" i="1"/>
  <c r="G20" i="1"/>
  <c r="G4" i="1"/>
  <c r="G5" i="1"/>
  <c r="G6" i="1"/>
  <c r="G7" i="1"/>
  <c r="G13" i="1"/>
  <c r="G14" i="1"/>
  <c r="G15" i="1"/>
  <c r="G16" i="1"/>
  <c r="G17" i="1"/>
  <c r="G21" i="1"/>
  <c r="G22" i="1"/>
  <c r="G3" i="1"/>
  <c r="A34" i="1" l="1"/>
  <c r="A35" i="1" l="1"/>
  <c r="I36" i="1"/>
  <c r="L42" i="1"/>
  <c r="L38" i="1" l="1"/>
  <c r="A36" i="1"/>
  <c r="K36" i="1" s="1"/>
  <c r="A37" i="1" l="1"/>
  <c r="A38" i="1" l="1"/>
  <c r="A39" i="1" l="1"/>
  <c r="J44" i="1"/>
  <c r="A40" i="1" l="1"/>
  <c r="A41" i="1" l="1"/>
  <c r="A42" i="1" l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H32" i="1"/>
  <c r="A63" i="1" l="1"/>
  <c r="A64" i="1" s="1"/>
  <c r="J42" i="1"/>
  <c r="K32" i="1"/>
  <c r="M44" i="1"/>
  <c r="L46" i="1"/>
  <c r="L40" i="1"/>
  <c r="I32" i="1"/>
  <c r="M36" i="1"/>
  <c r="N44" i="1"/>
  <c r="J32" i="1"/>
  <c r="N34" i="1"/>
  <c r="H36" i="1"/>
  <c r="L44" i="1"/>
  <c r="L34" i="1"/>
  <c r="I34" i="1"/>
  <c r="J34" i="1"/>
  <c r="H40" i="1"/>
  <c r="M32" i="1"/>
  <c r="K34" i="1"/>
  <c r="H46" i="1"/>
  <c r="K46" i="1"/>
  <c r="I44" i="1"/>
  <c r="H34" i="1"/>
  <c r="J40" i="1"/>
  <c r="I42" i="1"/>
  <c r="H38" i="1"/>
  <c r="I40" i="1"/>
  <c r="H44" i="1"/>
  <c r="J46" i="1"/>
  <c r="K40" i="1" l="1"/>
  <c r="K38" i="1"/>
  <c r="I38" i="1"/>
  <c r="K42" i="1"/>
  <c r="I46" i="1"/>
  <c r="L36" i="1"/>
  <c r="K44" i="1"/>
  <c r="L32" i="1"/>
  <c r="M34" i="1"/>
  <c r="J36" i="1"/>
</calcChain>
</file>

<file path=xl/sharedStrings.xml><?xml version="1.0" encoding="utf-8"?>
<sst xmlns="http://schemas.openxmlformats.org/spreadsheetml/2006/main" count="1850" uniqueCount="92">
  <si>
    <t>trip_id</t>
  </si>
  <si>
    <t>duration</t>
  </si>
  <si>
    <t>dep_terminal</t>
  </si>
  <si>
    <t>arr_terminal</t>
  </si>
  <si>
    <t>dep_time</t>
  </si>
  <si>
    <t>arr_time</t>
  </si>
  <si>
    <t>AB1</t>
  </si>
  <si>
    <t>Terminal A</t>
  </si>
  <si>
    <t>Terminal B</t>
  </si>
  <si>
    <t>AB2</t>
  </si>
  <si>
    <t>AB3</t>
  </si>
  <si>
    <t>AB4</t>
  </si>
  <si>
    <t>AB5</t>
  </si>
  <si>
    <t>AB6</t>
  </si>
  <si>
    <t>AB7</t>
  </si>
  <si>
    <t>AB8</t>
  </si>
  <si>
    <t>Terminal</t>
  </si>
  <si>
    <t>Min_Layover</t>
  </si>
  <si>
    <t>AC1</t>
  </si>
  <si>
    <t>Terminal C</t>
  </si>
  <si>
    <t>AC2</t>
  </si>
  <si>
    <t>AC3</t>
  </si>
  <si>
    <t>AC4</t>
  </si>
  <si>
    <t>AC5</t>
  </si>
  <si>
    <t>AD1</t>
  </si>
  <si>
    <t>Terminal D</t>
  </si>
  <si>
    <t>BA1</t>
  </si>
  <si>
    <t>BA2</t>
  </si>
  <si>
    <t>BA3</t>
  </si>
  <si>
    <t>BA4</t>
  </si>
  <si>
    <t>BA5</t>
  </si>
  <si>
    <t>BA6</t>
  </si>
  <si>
    <t>BA7</t>
  </si>
  <si>
    <t>BA8</t>
  </si>
  <si>
    <t>CA1</t>
  </si>
  <si>
    <t>CA2</t>
  </si>
  <si>
    <t>CA3</t>
  </si>
  <si>
    <t>CA4</t>
  </si>
  <si>
    <t>CA5</t>
  </si>
  <si>
    <t>CD1</t>
  </si>
  <si>
    <t>DA1</t>
  </si>
  <si>
    <t>DC1</t>
  </si>
  <si>
    <t>CS</t>
  </si>
  <si>
    <t>(MAX_DURATION == 500, time to recharge = 100 seconds)</t>
  </si>
  <si>
    <t>MAX_DURATION</t>
  </si>
  <si>
    <t>cost_to_cs</t>
  </si>
  <si>
    <t>DEPOT</t>
  </si>
  <si>
    <t>-</t>
  </si>
  <si>
    <t>CS1</t>
  </si>
  <si>
    <t>Solution</t>
  </si>
  <si>
    <t>CPLEX</t>
  </si>
  <si>
    <t>ID</t>
  </si>
  <si>
    <t>Trips</t>
  </si>
  <si>
    <t>RESULTS</t>
  </si>
  <si>
    <t>phi</t>
  </si>
  <si>
    <t>TMAX</t>
  </si>
  <si>
    <t>dep_min</t>
  </si>
  <si>
    <t>arr_min</t>
  </si>
  <si>
    <t>(VLOOKUP(AE$1,test!$A$3:$F$32,8,FALSE))-(VLOOKUP($A3,test!$A$3:$F$32,9,FALSE))</t>
  </si>
  <si>
    <t>IF(AND(SUM(VLOOKUP($A3,test!$A$3:$F$32,2,FALSE),VLOOKUP(D$1,test!$A$3:$F$32,2,FALSE))&lt;test!$K$16,$A3&lt;&gt;D$1,feasible_mat!D3=1),(VLOOKUP(D$1,test!$A$3:$I$32,8,FALSE))-(VLOOKUP($A3,test!$A$3:$I$32,9,FALSE)),0)</t>
  </si>
  <si>
    <t>IF(AND(SUM(VLOOKUP($A30,test!$A$3:$F$32,2,FALSE),VLOOKUP(D$1,test!$A$3:$F$32,2,FALSE))&lt;test!$K$16,$A30&lt;&gt;B$1,feasible_mat!B30=1),SUM(VLOOKUP($A30,test!$A$3:$F$32,2,FALSE)),0)</t>
  </si>
  <si>
    <t>IF(AND(SUM(VLOOKUP($A11,test!$A$3:$F$32,2,FALSE),VLOOKUP(AE$1,test!$A$3:$F$32,2,FALSE))&lt;=test!$K$16,$A11&lt;&gt;AE$1,feasible_mat!AE11=1),(VLOOKUP(AE$1,test!$A$3:$I$32,8,FALSE))-(VLOOKUP($A11,test!$A$3:$I$32,9,FALSE)),0)</t>
  </si>
  <si>
    <t>CS1a</t>
  </si>
  <si>
    <t>Duration to CS1a</t>
  </si>
  <si>
    <t>Duration to CS1</t>
  </si>
  <si>
    <t>Duration to CS2b</t>
  </si>
  <si>
    <t>Duration to CS3c</t>
  </si>
  <si>
    <t>CS2b</t>
  </si>
  <si>
    <t>CS3c</t>
  </si>
  <si>
    <t>CS4d</t>
  </si>
  <si>
    <t>Duration to CS4d</t>
  </si>
  <si>
    <t>IF(AND(feasible_mat!T16=1, VLOOKUP(Recharged_Feasible_matv3!$A77,test!$A$34:$G$37, 3,FALSE)=VLOOKUP(U$1,test!$A$3:$I$32,3,FALSE)),1,0)</t>
  </si>
  <si>
    <t>IF(AND(VLOOKUP(T$1,test!$A$3:$I$32,8,FALSE)-VLOOKUP($A16,test!$A$3:$I$32,9,FALSE)&gt;=VLOOKUP(VLOOKUP(T$1, test!$A$3:$I$32,3,FALSE), test!$J$11:$K$14, 2, FALSE)),1,0)</t>
  </si>
  <si>
    <t>AD2</t>
  </si>
  <si>
    <t>AD3</t>
  </si>
  <si>
    <t>BC1</t>
  </si>
  <si>
    <t>BC2</t>
  </si>
  <si>
    <t>BC3</t>
  </si>
  <si>
    <t>BC4</t>
  </si>
  <si>
    <t>CB1</t>
  </si>
  <si>
    <t>CB2</t>
  </si>
  <si>
    <t>CB3</t>
  </si>
  <si>
    <t>CB4</t>
  </si>
  <si>
    <t>CD2</t>
  </si>
  <si>
    <t>CD3</t>
  </si>
  <si>
    <t>CD4</t>
  </si>
  <si>
    <t>DA2</t>
  </si>
  <si>
    <t>DA3</t>
  </si>
  <si>
    <t>DA4</t>
  </si>
  <si>
    <t>DC2</t>
  </si>
  <si>
    <t>DC3</t>
  </si>
  <si>
    <t>DC4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</si>
</sst>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20" fontId="0" fillId="0" borderId="0" xfId="0" applyNumberFormat="1"/>
    <xf numFmtId="0" fontId="0" fillId="0" borderId="0" xfId="0" quotePrefix="1"/>
    <xf numFmtId="0" fontId="7" fillId="3" borderId="0" xfId="7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4"/>
  <sheetViews>
    <sheetView zoomScale="85" zoomScaleNormal="85" workbookViewId="0">
      <selection activeCell="AC38" sqref="AC38"/>
    </sheetView>
  </sheetViews>
  <sheetFormatPr defaultRowHeight="15" x14ac:dyDescent="0.25"/>
  <cols>
    <col min="3" max="3" width="13.140625" bestFit="1" customWidth="1"/>
    <col min="4" max="4" width="12" bestFit="1" customWidth="1"/>
    <col min="9" max="9" width="10.5703125" bestFit="1" customWidth="1"/>
    <col min="11" max="11" width="10.7109375" bestFit="1" customWidth="1"/>
    <col min="12" max="12" width="16.5703125" customWidth="1"/>
    <col min="13" max="14" width="16.42578125" bestFit="1" customWidth="1"/>
    <col min="15" max="15" width="16.140625" bestFit="1" customWidth="1"/>
    <col min="16" max="44" width="5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</v>
      </c>
      <c r="H1" t="s">
        <v>56</v>
      </c>
      <c r="I1" t="s">
        <v>57</v>
      </c>
    </row>
    <row r="2" spans="1:19" x14ac:dyDescent="0.25">
      <c r="A2" t="s">
        <v>46</v>
      </c>
      <c r="B2">
        <v>0</v>
      </c>
      <c r="C2" t="s">
        <v>47</v>
      </c>
      <c r="D2" t="s">
        <v>47</v>
      </c>
      <c r="E2" t="s">
        <v>47</v>
      </c>
      <c r="F2" t="s">
        <v>47</v>
      </c>
      <c r="G2">
        <v>20</v>
      </c>
      <c r="H2" t="s">
        <v>47</v>
      </c>
      <c r="I2" t="s">
        <v>47</v>
      </c>
    </row>
    <row r="3" spans="1:19" x14ac:dyDescent="0.25">
      <c r="A3" t="s">
        <v>6</v>
      </c>
      <c r="B3">
        <v>135</v>
      </c>
      <c r="C3" t="s">
        <v>7</v>
      </c>
      <c r="D3" t="s">
        <v>8</v>
      </c>
      <c r="E3" s="1">
        <v>0.3888888888888889</v>
      </c>
      <c r="F3" s="1">
        <v>0.4826388888888889</v>
      </c>
      <c r="G3">
        <f t="shared" ref="G3:G22" si="0">VLOOKUP(D3,$AB$33:$AD$36,3,FALSE)</f>
        <v>30</v>
      </c>
      <c r="H3">
        <f>ROUND(E3*1440,0)</f>
        <v>560</v>
      </c>
      <c r="I3">
        <f>ROUND(F3*1440,0)</f>
        <v>695</v>
      </c>
      <c r="S3">
        <v>1</v>
      </c>
    </row>
    <row r="4" spans="1:19" x14ac:dyDescent="0.25">
      <c r="A4" t="s">
        <v>9</v>
      </c>
      <c r="B4">
        <v>135</v>
      </c>
      <c r="C4" t="s">
        <v>7</v>
      </c>
      <c r="D4" t="s">
        <v>8</v>
      </c>
      <c r="E4" s="1">
        <v>0.51388888888888895</v>
      </c>
      <c r="F4" s="1">
        <v>0.60763888888888895</v>
      </c>
      <c r="G4">
        <f t="shared" si="0"/>
        <v>30</v>
      </c>
      <c r="H4">
        <f t="shared" ref="H4:I22" si="1">ROUND(E4*1440,0)</f>
        <v>740</v>
      </c>
      <c r="I4">
        <f t="shared" si="1"/>
        <v>875</v>
      </c>
      <c r="N4" t="e">
        <f>'20Trips'!$B$24+VLOOKUP(VLOOKUP(#REF!,'20Trips'!$A$2:$I$22,4,FALSE),'20Trips'!$AB$32:$AH$36,4,FALSE)</f>
        <v>#REF!</v>
      </c>
      <c r="S4">
        <f>S3+1</f>
        <v>2</v>
      </c>
    </row>
    <row r="5" spans="1:19" x14ac:dyDescent="0.25">
      <c r="A5" t="s">
        <v>10</v>
      </c>
      <c r="B5">
        <v>135</v>
      </c>
      <c r="C5" t="s">
        <v>7</v>
      </c>
      <c r="D5" t="s">
        <v>8</v>
      </c>
      <c r="E5" s="1">
        <v>0.57638888888888895</v>
      </c>
      <c r="F5" s="1">
        <v>0.67013888888888884</v>
      </c>
      <c r="G5">
        <f t="shared" si="0"/>
        <v>30</v>
      </c>
      <c r="H5">
        <f t="shared" si="1"/>
        <v>830</v>
      </c>
      <c r="I5">
        <f t="shared" si="1"/>
        <v>965</v>
      </c>
      <c r="S5">
        <f t="shared" ref="S5:S25" si="2">S4+1</f>
        <v>3</v>
      </c>
    </row>
    <row r="6" spans="1:19" x14ac:dyDescent="0.25">
      <c r="A6" t="s">
        <v>11</v>
      </c>
      <c r="B6">
        <v>135</v>
      </c>
      <c r="C6" t="s">
        <v>7</v>
      </c>
      <c r="D6" t="s">
        <v>8</v>
      </c>
      <c r="E6" s="1">
        <v>0.63888888888888895</v>
      </c>
      <c r="F6" s="1">
        <v>0.73263888888888884</v>
      </c>
      <c r="G6">
        <f t="shared" si="0"/>
        <v>30</v>
      </c>
      <c r="H6">
        <f t="shared" si="1"/>
        <v>920</v>
      </c>
      <c r="I6">
        <f t="shared" si="1"/>
        <v>1055</v>
      </c>
      <c r="S6">
        <f t="shared" si="2"/>
        <v>4</v>
      </c>
    </row>
    <row r="7" spans="1:19" x14ac:dyDescent="0.25">
      <c r="A7" t="s">
        <v>12</v>
      </c>
      <c r="B7">
        <v>135</v>
      </c>
      <c r="C7" t="s">
        <v>7</v>
      </c>
      <c r="D7" t="s">
        <v>8</v>
      </c>
      <c r="E7" s="1">
        <v>0.68055555555555547</v>
      </c>
      <c r="F7" s="1">
        <v>0.77430555555555547</v>
      </c>
      <c r="G7">
        <f t="shared" si="0"/>
        <v>30</v>
      </c>
      <c r="H7">
        <f t="shared" si="1"/>
        <v>980</v>
      </c>
      <c r="I7">
        <f t="shared" si="1"/>
        <v>1115</v>
      </c>
      <c r="S7">
        <f t="shared" si="2"/>
        <v>5</v>
      </c>
    </row>
    <row r="8" spans="1:19" x14ac:dyDescent="0.25">
      <c r="A8" t="s">
        <v>18</v>
      </c>
      <c r="B8">
        <v>140</v>
      </c>
      <c r="C8" t="s">
        <v>7</v>
      </c>
      <c r="D8" t="s">
        <v>19</v>
      </c>
      <c r="E8" s="1">
        <v>0.38541666666666669</v>
      </c>
      <c r="F8" s="1">
        <v>0.4826388888888889</v>
      </c>
      <c r="G8">
        <f t="shared" si="0"/>
        <v>30</v>
      </c>
      <c r="H8">
        <f t="shared" si="1"/>
        <v>555</v>
      </c>
      <c r="I8">
        <f t="shared" si="1"/>
        <v>695</v>
      </c>
      <c r="S8">
        <f t="shared" si="2"/>
        <v>6</v>
      </c>
    </row>
    <row r="9" spans="1:19" x14ac:dyDescent="0.25">
      <c r="A9" t="s">
        <v>20</v>
      </c>
      <c r="B9">
        <v>140</v>
      </c>
      <c r="C9" t="s">
        <v>7</v>
      </c>
      <c r="D9" t="s">
        <v>19</v>
      </c>
      <c r="E9" s="1">
        <v>0.46875</v>
      </c>
      <c r="F9" s="1">
        <v>0.56597222222222221</v>
      </c>
      <c r="G9">
        <f t="shared" si="0"/>
        <v>30</v>
      </c>
      <c r="H9">
        <f t="shared" si="1"/>
        <v>675</v>
      </c>
      <c r="I9">
        <f t="shared" si="1"/>
        <v>815</v>
      </c>
      <c r="S9">
        <f t="shared" si="2"/>
        <v>7</v>
      </c>
    </row>
    <row r="10" spans="1:19" x14ac:dyDescent="0.25">
      <c r="A10" t="s">
        <v>21</v>
      </c>
      <c r="B10">
        <v>140</v>
      </c>
      <c r="C10" t="s">
        <v>7</v>
      </c>
      <c r="D10" t="s">
        <v>19</v>
      </c>
      <c r="E10" s="1">
        <v>0.55208333333333337</v>
      </c>
      <c r="F10" s="1">
        <v>0.64930555555555558</v>
      </c>
      <c r="G10">
        <f t="shared" si="0"/>
        <v>30</v>
      </c>
      <c r="H10">
        <f t="shared" si="1"/>
        <v>795</v>
      </c>
      <c r="I10">
        <f t="shared" si="1"/>
        <v>935</v>
      </c>
      <c r="S10">
        <f t="shared" si="2"/>
        <v>8</v>
      </c>
    </row>
    <row r="11" spans="1:19" x14ac:dyDescent="0.25">
      <c r="A11" t="s">
        <v>22</v>
      </c>
      <c r="B11">
        <v>140</v>
      </c>
      <c r="C11" t="s">
        <v>7</v>
      </c>
      <c r="D11" t="s">
        <v>19</v>
      </c>
      <c r="E11" s="1">
        <v>0.80208333333333337</v>
      </c>
      <c r="F11" s="1">
        <v>0.89930555555555547</v>
      </c>
      <c r="G11">
        <f t="shared" si="0"/>
        <v>30</v>
      </c>
      <c r="H11">
        <f t="shared" si="1"/>
        <v>1155</v>
      </c>
      <c r="I11">
        <f t="shared" si="1"/>
        <v>1295</v>
      </c>
      <c r="S11">
        <f t="shared" si="2"/>
        <v>9</v>
      </c>
    </row>
    <row r="12" spans="1:19" x14ac:dyDescent="0.25">
      <c r="A12" t="s">
        <v>23</v>
      </c>
      <c r="B12">
        <v>140</v>
      </c>
      <c r="C12" t="s">
        <v>7</v>
      </c>
      <c r="D12" t="s">
        <v>19</v>
      </c>
      <c r="E12" s="1">
        <v>0.84375</v>
      </c>
      <c r="F12" s="1">
        <v>0.94097222222222221</v>
      </c>
      <c r="G12">
        <f t="shared" si="0"/>
        <v>30</v>
      </c>
      <c r="H12">
        <f t="shared" si="1"/>
        <v>1215</v>
      </c>
      <c r="I12">
        <f t="shared" si="1"/>
        <v>1355</v>
      </c>
      <c r="S12">
        <f t="shared" si="2"/>
        <v>10</v>
      </c>
    </row>
    <row r="13" spans="1:19" x14ac:dyDescent="0.25">
      <c r="A13" t="s">
        <v>26</v>
      </c>
      <c r="B13">
        <v>135</v>
      </c>
      <c r="C13" t="s">
        <v>8</v>
      </c>
      <c r="D13" t="s">
        <v>7</v>
      </c>
      <c r="E13" s="1">
        <v>0.375</v>
      </c>
      <c r="F13" s="1">
        <v>0.46875</v>
      </c>
      <c r="G13">
        <f t="shared" si="0"/>
        <v>30</v>
      </c>
      <c r="H13">
        <f t="shared" si="1"/>
        <v>540</v>
      </c>
      <c r="I13">
        <f t="shared" si="1"/>
        <v>675</v>
      </c>
      <c r="S13">
        <f t="shared" si="2"/>
        <v>11</v>
      </c>
    </row>
    <row r="14" spans="1:19" x14ac:dyDescent="0.25">
      <c r="A14" t="s">
        <v>27</v>
      </c>
      <c r="B14">
        <v>135</v>
      </c>
      <c r="C14" t="s">
        <v>8</v>
      </c>
      <c r="D14" t="s">
        <v>7</v>
      </c>
      <c r="E14" s="1">
        <v>0.4375</v>
      </c>
      <c r="F14" s="1">
        <v>0.53125</v>
      </c>
      <c r="G14">
        <f t="shared" si="0"/>
        <v>30</v>
      </c>
      <c r="H14">
        <f t="shared" si="1"/>
        <v>630</v>
      </c>
      <c r="I14">
        <f t="shared" si="1"/>
        <v>765</v>
      </c>
      <c r="S14">
        <f t="shared" si="2"/>
        <v>12</v>
      </c>
    </row>
    <row r="15" spans="1:19" x14ac:dyDescent="0.25">
      <c r="A15" t="s">
        <v>28</v>
      </c>
      <c r="B15">
        <v>135</v>
      </c>
      <c r="C15" t="s">
        <v>8</v>
      </c>
      <c r="D15" t="s">
        <v>7</v>
      </c>
      <c r="E15" s="1">
        <v>0.5</v>
      </c>
      <c r="F15" s="1">
        <v>0.59375</v>
      </c>
      <c r="G15">
        <f t="shared" si="0"/>
        <v>30</v>
      </c>
      <c r="H15">
        <f t="shared" si="1"/>
        <v>720</v>
      </c>
      <c r="I15">
        <f t="shared" si="1"/>
        <v>855</v>
      </c>
      <c r="S15">
        <f t="shared" si="2"/>
        <v>13</v>
      </c>
    </row>
    <row r="16" spans="1:19" x14ac:dyDescent="0.25">
      <c r="A16" t="s">
        <v>29</v>
      </c>
      <c r="B16">
        <v>135</v>
      </c>
      <c r="C16" t="s">
        <v>8</v>
      </c>
      <c r="D16" t="s">
        <v>7</v>
      </c>
      <c r="E16" s="1">
        <v>0.5625</v>
      </c>
      <c r="F16" s="1">
        <v>0.65625</v>
      </c>
      <c r="G16">
        <f t="shared" si="0"/>
        <v>30</v>
      </c>
      <c r="H16">
        <f t="shared" si="1"/>
        <v>810</v>
      </c>
      <c r="I16">
        <f t="shared" si="1"/>
        <v>945</v>
      </c>
      <c r="S16">
        <f t="shared" si="2"/>
        <v>14</v>
      </c>
    </row>
    <row r="17" spans="1:34" x14ac:dyDescent="0.25">
      <c r="A17" t="s">
        <v>30</v>
      </c>
      <c r="B17">
        <v>135</v>
      </c>
      <c r="C17" t="s">
        <v>8</v>
      </c>
      <c r="D17" t="s">
        <v>7</v>
      </c>
      <c r="E17" s="1">
        <v>0.625</v>
      </c>
      <c r="F17" s="1">
        <v>0.71875</v>
      </c>
      <c r="G17">
        <f t="shared" si="0"/>
        <v>30</v>
      </c>
      <c r="H17">
        <f t="shared" si="1"/>
        <v>900</v>
      </c>
      <c r="I17">
        <f t="shared" si="1"/>
        <v>1035</v>
      </c>
      <c r="S17">
        <f t="shared" si="2"/>
        <v>15</v>
      </c>
    </row>
    <row r="18" spans="1:34" x14ac:dyDescent="0.25">
      <c r="A18" t="s">
        <v>34</v>
      </c>
      <c r="B18">
        <v>140</v>
      </c>
      <c r="C18" t="s">
        <v>19</v>
      </c>
      <c r="D18" t="s">
        <v>7</v>
      </c>
      <c r="E18" s="1">
        <v>0.39583333333333331</v>
      </c>
      <c r="F18" s="1">
        <v>0.49305555555555558</v>
      </c>
      <c r="G18">
        <f t="shared" si="0"/>
        <v>30</v>
      </c>
      <c r="H18">
        <f t="shared" si="1"/>
        <v>570</v>
      </c>
      <c r="I18">
        <f t="shared" si="1"/>
        <v>710</v>
      </c>
      <c r="S18">
        <f t="shared" si="2"/>
        <v>16</v>
      </c>
    </row>
    <row r="19" spans="1:34" x14ac:dyDescent="0.25">
      <c r="A19" t="s">
        <v>35</v>
      </c>
      <c r="B19">
        <v>140</v>
      </c>
      <c r="C19" t="s">
        <v>19</v>
      </c>
      <c r="D19" t="s">
        <v>7</v>
      </c>
      <c r="E19" s="1">
        <v>0.51388888888888895</v>
      </c>
      <c r="F19" s="1">
        <v>0.61111111111111105</v>
      </c>
      <c r="G19">
        <f t="shared" si="0"/>
        <v>30</v>
      </c>
      <c r="H19">
        <f t="shared" si="1"/>
        <v>740</v>
      </c>
      <c r="I19">
        <f t="shared" si="1"/>
        <v>880</v>
      </c>
      <c r="S19">
        <f t="shared" si="2"/>
        <v>17</v>
      </c>
    </row>
    <row r="20" spans="1:34" x14ac:dyDescent="0.25">
      <c r="A20" t="s">
        <v>36</v>
      </c>
      <c r="B20">
        <v>140</v>
      </c>
      <c r="C20" t="s">
        <v>19</v>
      </c>
      <c r="D20" t="s">
        <v>7</v>
      </c>
      <c r="E20" s="1">
        <v>0.59722222222222221</v>
      </c>
      <c r="F20" s="1">
        <v>0.69444444444444453</v>
      </c>
      <c r="G20">
        <f t="shared" si="0"/>
        <v>30</v>
      </c>
      <c r="H20">
        <f t="shared" si="1"/>
        <v>860</v>
      </c>
      <c r="I20">
        <f t="shared" si="1"/>
        <v>1000</v>
      </c>
      <c r="S20">
        <f t="shared" si="2"/>
        <v>18</v>
      </c>
    </row>
    <row r="21" spans="1:34" x14ac:dyDescent="0.25">
      <c r="A21" t="s">
        <v>37</v>
      </c>
      <c r="B21">
        <v>140</v>
      </c>
      <c r="C21" t="s">
        <v>19</v>
      </c>
      <c r="D21" t="s">
        <v>7</v>
      </c>
      <c r="E21" s="1">
        <v>0.63888888888888895</v>
      </c>
      <c r="F21" s="1">
        <v>0.73611111111111116</v>
      </c>
      <c r="G21">
        <f t="shared" si="0"/>
        <v>30</v>
      </c>
      <c r="H21">
        <f t="shared" si="1"/>
        <v>920</v>
      </c>
      <c r="I21">
        <f t="shared" si="1"/>
        <v>1060</v>
      </c>
      <c r="S21">
        <f t="shared" si="2"/>
        <v>19</v>
      </c>
    </row>
    <row r="22" spans="1:34" x14ac:dyDescent="0.25">
      <c r="A22" t="s">
        <v>38</v>
      </c>
      <c r="B22">
        <v>140</v>
      </c>
      <c r="C22" t="s">
        <v>19</v>
      </c>
      <c r="D22" t="s">
        <v>7</v>
      </c>
      <c r="E22" s="1">
        <v>0.72222222222222221</v>
      </c>
      <c r="F22" s="1">
        <v>0.81944444444444453</v>
      </c>
      <c r="G22">
        <f t="shared" si="0"/>
        <v>30</v>
      </c>
      <c r="H22">
        <f t="shared" si="1"/>
        <v>1040</v>
      </c>
      <c r="I22">
        <f t="shared" si="1"/>
        <v>1180</v>
      </c>
      <c r="S22">
        <f t="shared" si="2"/>
        <v>20</v>
      </c>
    </row>
    <row r="23" spans="1:34" x14ac:dyDescent="0.25">
      <c r="A23" t="s">
        <v>48</v>
      </c>
      <c r="B23">
        <v>50</v>
      </c>
      <c r="C23" t="s">
        <v>47</v>
      </c>
      <c r="D23" t="s">
        <v>47</v>
      </c>
      <c r="E23" t="s">
        <v>47</v>
      </c>
      <c r="F23" t="s">
        <v>47</v>
      </c>
      <c r="G23">
        <v>0</v>
      </c>
      <c r="S23">
        <f t="shared" si="2"/>
        <v>21</v>
      </c>
    </row>
    <row r="24" spans="1:34" x14ac:dyDescent="0.25">
      <c r="A24" t="s">
        <v>62</v>
      </c>
      <c r="B24">
        <v>50</v>
      </c>
      <c r="C24" t="s">
        <v>7</v>
      </c>
      <c r="D24" t="s">
        <v>7</v>
      </c>
      <c r="E24" t="s">
        <v>47</v>
      </c>
      <c r="F24" t="s">
        <v>47</v>
      </c>
      <c r="G24">
        <v>0</v>
      </c>
      <c r="S24">
        <f t="shared" si="2"/>
        <v>22</v>
      </c>
    </row>
    <row r="25" spans="1:34" x14ac:dyDescent="0.25">
      <c r="A25" t="s">
        <v>67</v>
      </c>
      <c r="B25">
        <v>50</v>
      </c>
      <c r="C25" t="s">
        <v>8</v>
      </c>
      <c r="D25" t="s">
        <v>8</v>
      </c>
      <c r="E25" t="s">
        <v>47</v>
      </c>
      <c r="F25" t="s">
        <v>47</v>
      </c>
      <c r="G25">
        <v>0</v>
      </c>
      <c r="S25">
        <f t="shared" si="2"/>
        <v>23</v>
      </c>
    </row>
    <row r="26" spans="1:34" x14ac:dyDescent="0.25">
      <c r="A26" t="s">
        <v>68</v>
      </c>
      <c r="B26">
        <v>50</v>
      </c>
      <c r="C26" t="s">
        <v>19</v>
      </c>
      <c r="D26" t="s">
        <v>19</v>
      </c>
      <c r="E26" t="s">
        <v>47</v>
      </c>
      <c r="F26" t="s">
        <v>47</v>
      </c>
      <c r="G26">
        <v>0</v>
      </c>
    </row>
    <row r="29" spans="1:34" x14ac:dyDescent="0.25">
      <c r="A29" t="s">
        <v>53</v>
      </c>
    </row>
    <row r="30" spans="1:34" x14ac:dyDescent="0.25">
      <c r="A30" t="s">
        <v>51</v>
      </c>
      <c r="B30" t="s">
        <v>52</v>
      </c>
      <c r="F30" t="s">
        <v>50</v>
      </c>
      <c r="G30" t="s">
        <v>49</v>
      </c>
      <c r="AB30" t="s">
        <v>55</v>
      </c>
      <c r="AC30" s="16">
        <f>MAX(F3:F22)*1440</f>
        <v>1355</v>
      </c>
    </row>
    <row r="31" spans="1:34" x14ac:dyDescent="0.25">
      <c r="A31">
        <v>0</v>
      </c>
      <c r="B31" t="s">
        <v>46</v>
      </c>
      <c r="F31" s="5"/>
      <c r="G31">
        <v>0</v>
      </c>
      <c r="H31">
        <v>14</v>
      </c>
      <c r="I31">
        <v>29</v>
      </c>
      <c r="J31">
        <v>31</v>
      </c>
      <c r="K31">
        <v>13</v>
      </c>
      <c r="L31">
        <v>33</v>
      </c>
      <c r="M31">
        <v>18</v>
      </c>
      <c r="N31">
        <v>0</v>
      </c>
    </row>
    <row r="32" spans="1:34" x14ac:dyDescent="0.25">
      <c r="A32">
        <f>A31+1</f>
        <v>1</v>
      </c>
      <c r="B32" t="s">
        <v>6</v>
      </c>
      <c r="F32" s="5"/>
      <c r="G32" t="s">
        <v>46</v>
      </c>
      <c r="H32" t="str">
        <f>VLOOKUP(H31,$A$31:$B$62,2,FALSE)</f>
        <v>AD1</v>
      </c>
      <c r="I32" t="str">
        <f t="shared" ref="I32:N32" si="3">VLOOKUP(I31,$A$31:$B$62,2,FALSE)</f>
        <v>DA1</v>
      </c>
      <c r="J32" t="str">
        <f t="shared" si="3"/>
        <v>CS1</v>
      </c>
      <c r="K32" t="str">
        <f t="shared" si="3"/>
        <v>AC5</v>
      </c>
      <c r="L32" t="str">
        <f>VLOOKUP(L31,$A$31:$B$64,2,FALSE)</f>
        <v>CS2b</v>
      </c>
      <c r="M32" t="str">
        <f t="shared" si="3"/>
        <v>BA4</v>
      </c>
      <c r="N32" t="str">
        <f t="shared" si="3"/>
        <v>DEPOT</v>
      </c>
      <c r="AB32" t="s">
        <v>16</v>
      </c>
      <c r="AC32" t="s">
        <v>17</v>
      </c>
      <c r="AD32" t="s">
        <v>64</v>
      </c>
      <c r="AE32" t="s">
        <v>63</v>
      </c>
      <c r="AF32" t="s">
        <v>65</v>
      </c>
      <c r="AG32" t="s">
        <v>66</v>
      </c>
      <c r="AH32" t="s">
        <v>70</v>
      </c>
    </row>
    <row r="33" spans="1:34" x14ac:dyDescent="0.25">
      <c r="A33">
        <f t="shared" ref="A33:A64" si="4">A32+1</f>
        <v>2</v>
      </c>
      <c r="B33" t="s">
        <v>9</v>
      </c>
      <c r="F33" s="6"/>
      <c r="G33">
        <v>0</v>
      </c>
      <c r="H33">
        <v>28</v>
      </c>
      <c r="I33">
        <v>24</v>
      </c>
      <c r="J33">
        <v>31</v>
      </c>
      <c r="K33">
        <v>20</v>
      </c>
      <c r="L33">
        <v>22</v>
      </c>
      <c r="M33">
        <v>33</v>
      </c>
      <c r="N33">
        <v>19</v>
      </c>
      <c r="O33">
        <v>0</v>
      </c>
      <c r="AB33" t="s">
        <v>7</v>
      </c>
      <c r="AC33">
        <v>15</v>
      </c>
      <c r="AD33">
        <v>30</v>
      </c>
      <c r="AE33">
        <v>10</v>
      </c>
      <c r="AF33">
        <v>145</v>
      </c>
      <c r="AG33">
        <v>150</v>
      </c>
      <c r="AH33">
        <v>220</v>
      </c>
    </row>
    <row r="34" spans="1:34" x14ac:dyDescent="0.25">
      <c r="A34">
        <f t="shared" si="4"/>
        <v>3</v>
      </c>
      <c r="B34" s="4" t="s">
        <v>10</v>
      </c>
      <c r="F34" s="6"/>
      <c r="G34" t="str">
        <f>VLOOKUP(G33,$A$31:$B$62,2,FALSE)</f>
        <v>DEPOT</v>
      </c>
      <c r="H34" t="str">
        <f t="shared" ref="H34:O34" si="5">VLOOKUP(H33,$A$31:$B$62,2,FALSE)</f>
        <v>CD1</v>
      </c>
      <c r="I34" t="str">
        <f t="shared" si="5"/>
        <v>CA2</v>
      </c>
      <c r="J34" t="str">
        <f t="shared" si="5"/>
        <v>CS1</v>
      </c>
      <c r="K34" t="str">
        <f t="shared" si="5"/>
        <v>BA6</v>
      </c>
      <c r="L34" t="str">
        <f t="shared" si="5"/>
        <v>BA8</v>
      </c>
      <c r="M34" t="str">
        <f>VLOOKUP(M33,$A$31:$B$64,2,FALSE)</f>
        <v>CS2b</v>
      </c>
      <c r="N34" t="str">
        <f t="shared" si="5"/>
        <v>BA5</v>
      </c>
      <c r="O34" t="str">
        <f t="shared" si="5"/>
        <v>DEPOT</v>
      </c>
      <c r="AB34" t="s">
        <v>8</v>
      </c>
      <c r="AC34">
        <v>15</v>
      </c>
      <c r="AD34">
        <v>30</v>
      </c>
      <c r="AE34">
        <v>145</v>
      </c>
      <c r="AF34">
        <v>10</v>
      </c>
      <c r="AG34">
        <v>155</v>
      </c>
      <c r="AH34">
        <v>160</v>
      </c>
    </row>
    <row r="35" spans="1:34" x14ac:dyDescent="0.25">
      <c r="A35">
        <f t="shared" si="4"/>
        <v>4</v>
      </c>
      <c r="B35" t="s">
        <v>11</v>
      </c>
      <c r="F35" s="7"/>
      <c r="G35">
        <v>0</v>
      </c>
      <c r="H35">
        <v>10</v>
      </c>
      <c r="I35">
        <v>3</v>
      </c>
      <c r="J35">
        <v>32</v>
      </c>
      <c r="K35">
        <v>5</v>
      </c>
      <c r="L35">
        <v>32</v>
      </c>
      <c r="M35">
        <v>12</v>
      </c>
      <c r="N35">
        <v>0</v>
      </c>
      <c r="AB35" t="s">
        <v>19</v>
      </c>
      <c r="AC35">
        <v>15</v>
      </c>
      <c r="AD35">
        <v>30</v>
      </c>
      <c r="AE35">
        <v>150</v>
      </c>
      <c r="AF35">
        <v>155</v>
      </c>
      <c r="AG35">
        <v>10</v>
      </c>
      <c r="AH35">
        <v>280</v>
      </c>
    </row>
    <row r="36" spans="1:34" x14ac:dyDescent="0.25">
      <c r="A36">
        <f t="shared" si="4"/>
        <v>5</v>
      </c>
      <c r="B36" t="s">
        <v>12</v>
      </c>
      <c r="F36" s="7"/>
      <c r="G36" t="str">
        <f>VLOOKUP(G35,$A$31:$B$62,2,FALSE)</f>
        <v>DEPOT</v>
      </c>
      <c r="H36" t="str">
        <f t="shared" ref="H36:N36" si="6">VLOOKUP(H35,$A$31:$B$62,2,FALSE)</f>
        <v>AC2</v>
      </c>
      <c r="I36" t="str">
        <f t="shared" si="6"/>
        <v>AB3</v>
      </c>
      <c r="J36" t="str">
        <f>VLOOKUP(J35,$A$31:$B$64,2,FALSE)</f>
        <v>CS1a</v>
      </c>
      <c r="K36" t="str">
        <f t="shared" si="6"/>
        <v>AB5</v>
      </c>
      <c r="L36" t="str">
        <f>VLOOKUP(L35,$A$31:$B$64,2,FALSE)</f>
        <v>CS1a</v>
      </c>
      <c r="M36" t="str">
        <f t="shared" si="6"/>
        <v>AC4</v>
      </c>
      <c r="N36" t="str">
        <f t="shared" si="6"/>
        <v>DEPOT</v>
      </c>
      <c r="AB36" t="s">
        <v>25</v>
      </c>
      <c r="AC36">
        <v>15</v>
      </c>
      <c r="AD36">
        <v>30</v>
      </c>
      <c r="AE36">
        <v>220</v>
      </c>
      <c r="AF36">
        <v>160</v>
      </c>
      <c r="AG36">
        <v>280</v>
      </c>
      <c r="AH36">
        <v>10</v>
      </c>
    </row>
    <row r="37" spans="1:34" x14ac:dyDescent="0.25">
      <c r="A37">
        <f t="shared" si="4"/>
        <v>6</v>
      </c>
      <c r="B37" t="s">
        <v>13</v>
      </c>
      <c r="F37" s="8"/>
      <c r="G37">
        <v>0</v>
      </c>
      <c r="H37">
        <v>23</v>
      </c>
      <c r="I37">
        <v>32</v>
      </c>
      <c r="J37">
        <v>2</v>
      </c>
      <c r="K37">
        <v>32</v>
      </c>
      <c r="L37">
        <v>4</v>
      </c>
      <c r="M37">
        <v>0</v>
      </c>
      <c r="AB37" t="s">
        <v>42</v>
      </c>
      <c r="AC37">
        <v>100</v>
      </c>
      <c r="AD37" t="s">
        <v>43</v>
      </c>
    </row>
    <row r="38" spans="1:34" x14ac:dyDescent="0.25">
      <c r="A38">
        <f t="shared" si="4"/>
        <v>7</v>
      </c>
      <c r="B38" t="s">
        <v>14</v>
      </c>
      <c r="F38" s="8"/>
      <c r="G38" t="str">
        <f>VLOOKUP(G37,$A$31:$B$62,2,FALSE)</f>
        <v>DEPOT</v>
      </c>
      <c r="H38" t="str">
        <f t="shared" ref="H38:M38" si="7">VLOOKUP(H37,$A$31:$B$62,2,FALSE)</f>
        <v>CA1</v>
      </c>
      <c r="I38" t="str">
        <f>VLOOKUP(I37,$A$31:$B$64,2,FALSE)</f>
        <v>CS1a</v>
      </c>
      <c r="J38" t="str">
        <f t="shared" si="7"/>
        <v>AB2</v>
      </c>
      <c r="K38" t="str">
        <f>VLOOKUP(K37,$A$31:$B$64,2,FALSE)</f>
        <v>CS1a</v>
      </c>
      <c r="L38" t="str">
        <f t="shared" si="7"/>
        <v>AB4</v>
      </c>
      <c r="M38" t="str">
        <f t="shared" si="7"/>
        <v>DEPOT</v>
      </c>
      <c r="AB38" t="s">
        <v>44</v>
      </c>
      <c r="AC38">
        <v>350</v>
      </c>
    </row>
    <row r="39" spans="1:34" x14ac:dyDescent="0.25">
      <c r="A39">
        <f t="shared" si="4"/>
        <v>8</v>
      </c>
      <c r="B39" t="s">
        <v>15</v>
      </c>
      <c r="F39" s="9"/>
      <c r="G39">
        <v>0</v>
      </c>
      <c r="H39">
        <v>16</v>
      </c>
      <c r="I39">
        <v>31</v>
      </c>
      <c r="J39">
        <v>26</v>
      </c>
      <c r="K39">
        <v>32</v>
      </c>
      <c r="L39">
        <v>7</v>
      </c>
      <c r="M39">
        <v>0</v>
      </c>
    </row>
    <row r="40" spans="1:34" x14ac:dyDescent="0.25">
      <c r="A40">
        <f t="shared" si="4"/>
        <v>9</v>
      </c>
      <c r="B40" t="s">
        <v>18</v>
      </c>
      <c r="F40" s="9"/>
      <c r="G40" t="str">
        <f>VLOOKUP(G39,$A$31:$B$62,2,FALSE)</f>
        <v>DEPOT</v>
      </c>
      <c r="H40" t="str">
        <f t="shared" ref="H40:M40" si="8">VLOOKUP(H39,$A$31:$B$62,2,FALSE)</f>
        <v>BA2</v>
      </c>
      <c r="I40" t="str">
        <f t="shared" si="8"/>
        <v>CS1</v>
      </c>
      <c r="J40" t="str">
        <f t="shared" si="8"/>
        <v>CA4</v>
      </c>
      <c r="K40" t="str">
        <f>VLOOKUP(K39,$A$31:$B$64,2,FALSE)</f>
        <v>CS1a</v>
      </c>
      <c r="L40" t="str">
        <f t="shared" si="8"/>
        <v>AB7</v>
      </c>
      <c r="M40" t="str">
        <f t="shared" si="8"/>
        <v>DEPOT</v>
      </c>
    </row>
    <row r="41" spans="1:34" x14ac:dyDescent="0.25">
      <c r="A41">
        <f t="shared" si="4"/>
        <v>10</v>
      </c>
      <c r="B41" t="s">
        <v>20</v>
      </c>
      <c r="F41" s="10"/>
      <c r="G41">
        <v>0</v>
      </c>
      <c r="H41">
        <v>1</v>
      </c>
      <c r="I41">
        <v>31</v>
      </c>
      <c r="J41">
        <v>25</v>
      </c>
      <c r="K41">
        <v>32</v>
      </c>
      <c r="L41">
        <v>3</v>
      </c>
      <c r="M41">
        <v>0</v>
      </c>
    </row>
    <row r="42" spans="1:34" x14ac:dyDescent="0.25">
      <c r="A42">
        <f t="shared" si="4"/>
        <v>11</v>
      </c>
      <c r="B42" t="s">
        <v>21</v>
      </c>
      <c r="F42" s="10"/>
      <c r="G42" t="str">
        <f>VLOOKUP(G41,$A$31:$B$62,2,FALSE)</f>
        <v>DEPOT</v>
      </c>
      <c r="H42" t="str">
        <f t="shared" ref="H42:M42" si="9">VLOOKUP(H41,$A$31:$B$62,2,FALSE)</f>
        <v>AB1</v>
      </c>
      <c r="I42" t="str">
        <f t="shared" si="9"/>
        <v>CS1</v>
      </c>
      <c r="J42" t="str">
        <f t="shared" si="9"/>
        <v>CA3</v>
      </c>
      <c r="K42" t="str">
        <f>VLOOKUP(K41,$A$31:$B$64,2,FALSE)</f>
        <v>CS1a</v>
      </c>
      <c r="L42" t="str">
        <f t="shared" si="9"/>
        <v>AB3</v>
      </c>
      <c r="M42" t="str">
        <f t="shared" si="9"/>
        <v>DEPOT</v>
      </c>
      <c r="AF42">
        <f>VLOOKUP($A5,'20Trips'!$A$3:$I$22,9,FALSE)</f>
        <v>965</v>
      </c>
    </row>
    <row r="43" spans="1:34" x14ac:dyDescent="0.25">
      <c r="A43">
        <f t="shared" si="4"/>
        <v>12</v>
      </c>
      <c r="B43" t="s">
        <v>22</v>
      </c>
      <c r="F43" s="11"/>
      <c r="G43">
        <v>0</v>
      </c>
      <c r="H43">
        <v>15</v>
      </c>
      <c r="I43">
        <v>30</v>
      </c>
      <c r="J43">
        <v>8</v>
      </c>
      <c r="K43">
        <v>33</v>
      </c>
      <c r="L43">
        <v>17</v>
      </c>
      <c r="M43">
        <v>31</v>
      </c>
      <c r="N43">
        <v>21</v>
      </c>
      <c r="O43">
        <v>0</v>
      </c>
      <c r="AF43" t="e">
        <f>VLOOKUP("BA6",'20Trips'!$A$3:$I$22,8,FALSE)</f>
        <v>#N/A</v>
      </c>
    </row>
    <row r="44" spans="1:34" x14ac:dyDescent="0.25">
      <c r="A44">
        <f t="shared" si="4"/>
        <v>13</v>
      </c>
      <c r="B44" t="s">
        <v>23</v>
      </c>
      <c r="F44" s="11"/>
      <c r="G44" t="str">
        <f>VLOOKUP(G43,$A$31:$B$62,2,FALSE)</f>
        <v>DEPOT</v>
      </c>
      <c r="H44" t="str">
        <f t="shared" ref="H44:O44" si="10">VLOOKUP(H43,$A$31:$B$62,2,FALSE)</f>
        <v>BA1</v>
      </c>
      <c r="I44" t="str">
        <f t="shared" si="10"/>
        <v>DC1</v>
      </c>
      <c r="J44" t="str">
        <f t="shared" si="10"/>
        <v>AB8</v>
      </c>
      <c r="K44" t="str">
        <f>VLOOKUP(K43,$A$31:$B$64,2,FALSE)</f>
        <v>CS2b</v>
      </c>
      <c r="L44" t="str">
        <f t="shared" si="10"/>
        <v>BA3</v>
      </c>
      <c r="M44" t="str">
        <f t="shared" si="10"/>
        <v>CS1</v>
      </c>
      <c r="N44" t="str">
        <f t="shared" si="10"/>
        <v>BA7</v>
      </c>
      <c r="O44" t="str">
        <f t="shared" si="10"/>
        <v>DEPOT</v>
      </c>
    </row>
    <row r="45" spans="1:34" x14ac:dyDescent="0.25">
      <c r="A45">
        <f t="shared" si="4"/>
        <v>14</v>
      </c>
      <c r="B45" t="s">
        <v>24</v>
      </c>
      <c r="F45" s="12"/>
      <c r="G45">
        <v>0</v>
      </c>
      <c r="H45">
        <v>9</v>
      </c>
      <c r="I45">
        <v>32</v>
      </c>
      <c r="J45">
        <v>11</v>
      </c>
      <c r="K45">
        <v>31</v>
      </c>
      <c r="L45">
        <v>27</v>
      </c>
      <c r="M45">
        <v>0</v>
      </c>
    </row>
    <row r="46" spans="1:34" x14ac:dyDescent="0.25">
      <c r="A46">
        <f t="shared" si="4"/>
        <v>15</v>
      </c>
      <c r="B46" s="4" t="s">
        <v>26</v>
      </c>
      <c r="F46" s="12"/>
      <c r="G46" t="str">
        <f>VLOOKUP(G45,$A$31:$B$62,2,FALSE)</f>
        <v>DEPOT</v>
      </c>
      <c r="H46" t="str">
        <f t="shared" ref="H46:M46" si="11">VLOOKUP(H45,$A$31:$B$62,2,FALSE)</f>
        <v>AC1</v>
      </c>
      <c r="I46" t="str">
        <f>VLOOKUP(I45,$A$31:$B$64,2,FALSE)</f>
        <v>CS1a</v>
      </c>
      <c r="J46" t="str">
        <f t="shared" si="11"/>
        <v>AC3</v>
      </c>
      <c r="K46" t="str">
        <f t="shared" si="11"/>
        <v>CS1</v>
      </c>
      <c r="L46" t="str">
        <f t="shared" si="11"/>
        <v>CA5</v>
      </c>
      <c r="M46" t="str">
        <f t="shared" si="11"/>
        <v>DEPOT</v>
      </c>
      <c r="AB46" t="s">
        <v>16</v>
      </c>
      <c r="AC46" t="s">
        <v>17</v>
      </c>
      <c r="AD46" t="s">
        <v>64</v>
      </c>
      <c r="AE46" t="s">
        <v>63</v>
      </c>
      <c r="AF46" t="s">
        <v>65</v>
      </c>
      <c r="AG46" t="s">
        <v>66</v>
      </c>
      <c r="AH46" t="s">
        <v>70</v>
      </c>
    </row>
    <row r="47" spans="1:34" x14ac:dyDescent="0.25">
      <c r="A47">
        <f t="shared" si="4"/>
        <v>16</v>
      </c>
      <c r="B47" t="s">
        <v>27</v>
      </c>
      <c r="F47" s="13"/>
      <c r="AB47" t="s">
        <v>7</v>
      </c>
      <c r="AC47">
        <v>15</v>
      </c>
      <c r="AD47">
        <v>30</v>
      </c>
      <c r="AE47">
        <v>10</v>
      </c>
      <c r="AF47">
        <v>75</v>
      </c>
      <c r="AG47">
        <v>85</v>
      </c>
      <c r="AH47">
        <v>95</v>
      </c>
    </row>
    <row r="48" spans="1:34" x14ac:dyDescent="0.25">
      <c r="A48">
        <f t="shared" si="4"/>
        <v>17</v>
      </c>
      <c r="B48" t="s">
        <v>28</v>
      </c>
      <c r="F48" s="13"/>
      <c r="AB48" t="s">
        <v>8</v>
      </c>
      <c r="AC48">
        <v>15</v>
      </c>
      <c r="AD48">
        <v>30</v>
      </c>
      <c r="AE48">
        <v>75</v>
      </c>
      <c r="AF48">
        <v>10</v>
      </c>
      <c r="AG48">
        <v>60</v>
      </c>
      <c r="AH48">
        <v>65</v>
      </c>
    </row>
    <row r="49" spans="1:34" x14ac:dyDescent="0.25">
      <c r="A49">
        <f t="shared" si="4"/>
        <v>18</v>
      </c>
      <c r="B49" t="s">
        <v>29</v>
      </c>
      <c r="F49" s="4"/>
      <c r="AB49" t="s">
        <v>19</v>
      </c>
      <c r="AC49">
        <v>15</v>
      </c>
      <c r="AD49">
        <v>30</v>
      </c>
      <c r="AE49">
        <v>85</v>
      </c>
      <c r="AF49">
        <v>60</v>
      </c>
      <c r="AG49">
        <v>10</v>
      </c>
      <c r="AH49">
        <v>50</v>
      </c>
    </row>
    <row r="50" spans="1:34" x14ac:dyDescent="0.25">
      <c r="A50">
        <f t="shared" si="4"/>
        <v>19</v>
      </c>
      <c r="B50" t="s">
        <v>30</v>
      </c>
      <c r="F50" s="4"/>
      <c r="AB50" t="s">
        <v>25</v>
      </c>
      <c r="AC50">
        <v>15</v>
      </c>
      <c r="AD50">
        <v>30</v>
      </c>
      <c r="AE50">
        <v>95</v>
      </c>
      <c r="AF50">
        <v>65</v>
      </c>
      <c r="AG50">
        <v>50</v>
      </c>
      <c r="AH50">
        <v>10</v>
      </c>
    </row>
    <row r="51" spans="1:34" x14ac:dyDescent="0.25">
      <c r="A51">
        <f t="shared" si="4"/>
        <v>20</v>
      </c>
      <c r="B51" t="s">
        <v>31</v>
      </c>
      <c r="F51" s="14"/>
    </row>
    <row r="52" spans="1:34" x14ac:dyDescent="0.25">
      <c r="A52">
        <f t="shared" si="4"/>
        <v>21</v>
      </c>
      <c r="B52" t="s">
        <v>32</v>
      </c>
      <c r="F52" s="14"/>
    </row>
    <row r="53" spans="1:34" x14ac:dyDescent="0.25">
      <c r="A53">
        <f t="shared" si="4"/>
        <v>22</v>
      </c>
      <c r="B53" t="s">
        <v>33</v>
      </c>
      <c r="F53" s="15"/>
      <c r="AB53" t="s">
        <v>16</v>
      </c>
      <c r="AC53" t="s">
        <v>17</v>
      </c>
      <c r="AD53" t="s">
        <v>64</v>
      </c>
      <c r="AE53" t="s">
        <v>63</v>
      </c>
      <c r="AF53" t="s">
        <v>65</v>
      </c>
      <c r="AG53" t="s">
        <v>66</v>
      </c>
      <c r="AH53" t="s">
        <v>70</v>
      </c>
    </row>
    <row r="54" spans="1:34" x14ac:dyDescent="0.25">
      <c r="A54">
        <f t="shared" si="4"/>
        <v>23</v>
      </c>
      <c r="B54" t="s">
        <v>34</v>
      </c>
      <c r="F54" s="15"/>
      <c r="AB54" t="s">
        <v>7</v>
      </c>
      <c r="AC54">
        <v>15</v>
      </c>
      <c r="AD54">
        <v>30</v>
      </c>
      <c r="AE54">
        <v>10</v>
      </c>
      <c r="AF54">
        <v>75</v>
      </c>
      <c r="AG54">
        <v>75</v>
      </c>
      <c r="AH54">
        <v>75</v>
      </c>
    </row>
    <row r="55" spans="1:34" x14ac:dyDescent="0.25">
      <c r="A55">
        <f t="shared" si="4"/>
        <v>24</v>
      </c>
      <c r="B55" t="s">
        <v>35</v>
      </c>
      <c r="AB55" t="s">
        <v>8</v>
      </c>
      <c r="AC55">
        <v>15</v>
      </c>
      <c r="AD55">
        <v>30</v>
      </c>
      <c r="AE55">
        <v>75</v>
      </c>
      <c r="AF55">
        <v>10</v>
      </c>
      <c r="AG55">
        <v>75</v>
      </c>
      <c r="AH55">
        <v>75</v>
      </c>
    </row>
    <row r="56" spans="1:34" x14ac:dyDescent="0.25">
      <c r="A56">
        <f t="shared" si="4"/>
        <v>25</v>
      </c>
      <c r="B56" t="s">
        <v>36</v>
      </c>
      <c r="AB56" t="s">
        <v>19</v>
      </c>
      <c r="AC56">
        <v>15</v>
      </c>
      <c r="AD56">
        <v>30</v>
      </c>
      <c r="AE56">
        <v>75</v>
      </c>
      <c r="AF56">
        <v>75</v>
      </c>
      <c r="AG56">
        <v>10</v>
      </c>
      <c r="AH56">
        <v>75</v>
      </c>
    </row>
    <row r="57" spans="1:34" x14ac:dyDescent="0.25">
      <c r="A57">
        <f t="shared" si="4"/>
        <v>26</v>
      </c>
      <c r="B57" t="s">
        <v>37</v>
      </c>
      <c r="AB57" t="s">
        <v>25</v>
      </c>
      <c r="AC57">
        <v>15</v>
      </c>
      <c r="AD57">
        <v>30</v>
      </c>
      <c r="AE57">
        <v>75</v>
      </c>
      <c r="AF57">
        <v>75</v>
      </c>
      <c r="AG57">
        <v>75</v>
      </c>
      <c r="AH57">
        <v>10</v>
      </c>
    </row>
    <row r="58" spans="1:34" x14ac:dyDescent="0.25">
      <c r="A58">
        <f t="shared" si="4"/>
        <v>27</v>
      </c>
      <c r="B58" t="s">
        <v>38</v>
      </c>
    </row>
    <row r="59" spans="1:34" x14ac:dyDescent="0.25">
      <c r="A59">
        <f t="shared" si="4"/>
        <v>28</v>
      </c>
      <c r="B59" t="s">
        <v>39</v>
      </c>
    </row>
    <row r="60" spans="1:34" x14ac:dyDescent="0.25">
      <c r="A60">
        <f t="shared" si="4"/>
        <v>29</v>
      </c>
      <c r="B60" t="s">
        <v>40</v>
      </c>
    </row>
    <row r="61" spans="1:34" x14ac:dyDescent="0.25">
      <c r="A61">
        <f t="shared" si="4"/>
        <v>30</v>
      </c>
      <c r="B61" t="s">
        <v>41</v>
      </c>
    </row>
    <row r="62" spans="1:34" x14ac:dyDescent="0.25">
      <c r="A62">
        <f t="shared" si="4"/>
        <v>31</v>
      </c>
      <c r="B62" t="s">
        <v>48</v>
      </c>
    </row>
    <row r="63" spans="1:34" x14ac:dyDescent="0.25">
      <c r="A63">
        <f t="shared" si="4"/>
        <v>32</v>
      </c>
      <c r="B63" t="s">
        <v>62</v>
      </c>
    </row>
    <row r="64" spans="1:34" x14ac:dyDescent="0.25">
      <c r="A64">
        <f t="shared" si="4"/>
        <v>33</v>
      </c>
      <c r="B64" t="s">
        <v>67</v>
      </c>
    </row>
  </sheetData>
  <conditionalFormatting sqref="G33:L35 G31:N32 M35:N35 M33:O34 G36:N36 G43:L54 G37:M42 M43:O44 M45:M46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C6F9-D3C6-4C35-84CE-77AE2DCA964C}">
  <dimension ref="A1:V26"/>
  <sheetViews>
    <sheetView workbookViewId="0">
      <selection activeCell="V22" sqref="V22"/>
    </sheetView>
  </sheetViews>
  <sheetFormatPr defaultRowHeight="15" x14ac:dyDescent="0.25"/>
  <sheetData>
    <row r="1" spans="1:22" x14ac:dyDescent="0.25">
      <c r="B1" t="s">
        <v>46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18</v>
      </c>
      <c r="I1" t="s">
        <v>20</v>
      </c>
      <c r="J1" t="s">
        <v>21</v>
      </c>
      <c r="K1" t="s">
        <v>22</v>
      </c>
      <c r="L1" t="s">
        <v>23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</row>
    <row r="2" spans="1:22" x14ac:dyDescent="0.25">
      <c r="A2" t="s">
        <v>46</v>
      </c>
      <c r="B2">
        <v>0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</row>
    <row r="3" spans="1:22" x14ac:dyDescent="0.25">
      <c r="A3" t="s">
        <v>6</v>
      </c>
      <c r="B3" s="3">
        <v>1</v>
      </c>
      <c r="C3" s="2">
        <f>IF(AND(VLOOKUP(C$1,'20Trips'!$A$3:$I$22,8,FALSE)-VLOOKUP($A3,'20Trips'!$A$3:$I$22,9,FALSE)&gt;=VLOOKUP(VLOOKUP(C$1, '20Trips'!$A$3:$I$22,3,FALSE), '20Trips'!$AB$33:$AC$36, 2, FALSE)),1,0)</f>
        <v>0</v>
      </c>
      <c r="D3" s="2">
        <f>IF(AND(VLOOKUP(D$1,'20Trips'!$A$3:$I$22,8,FALSE)-VLOOKUP($A3,'20Trips'!$A$3:$I$22,9,FALSE)&gt;=VLOOKUP(VLOOKUP(D$1, '20Trips'!$A$3:$I$22,3,FALSE), '20Trips'!$AB$33:$AC$36, 2, FALSE)),1,0)</f>
        <v>1</v>
      </c>
      <c r="E3" s="2">
        <f>IF(AND(VLOOKUP(E$1,'20Trips'!$A$3:$I$22,8,FALSE)-VLOOKUP($A3,'20Trips'!$A$3:$I$22,9,FALSE)&gt;=VLOOKUP(VLOOKUP(E$1, '20Trips'!$A$3:$I$22,3,FALSE), '20Trips'!$AB$33:$AC$36, 2, FALSE)),1,0)</f>
        <v>1</v>
      </c>
      <c r="F3" s="2">
        <f>IF(AND(VLOOKUP(F$1,'20Trips'!$A$3:$I$22,8,FALSE)-VLOOKUP($A3,'20Trips'!$A$3:$I$22,9,FALSE)&gt;=VLOOKUP(VLOOKUP(F$1, '20Trips'!$A$3:$I$22,3,FALSE), '20Trips'!$AB$33:$AC$36, 2, FALSE)),1,0)</f>
        <v>1</v>
      </c>
      <c r="G3" s="2">
        <f>IF(AND(VLOOKUP(G$1,'20Trips'!$A$3:$I$22,8,FALSE)-VLOOKUP($A3,'20Trips'!$A$3:$I$22,9,FALSE)&gt;=VLOOKUP(VLOOKUP(G$1, '20Trips'!$A$3:$I$22,3,FALSE), '20Trips'!$AB$33:$AC$36, 2, FALSE)),1,0)</f>
        <v>1</v>
      </c>
      <c r="H3" s="2">
        <f>IF(AND(VLOOKUP(H$1,'20Trips'!$A$3:$I$22,8,FALSE)-VLOOKUP($A3,'20Trips'!$A$3:$I$22,9,FALSE)&gt;=VLOOKUP(VLOOKUP(H$1, '20Trips'!$A$3:$I$22,3,FALSE), '20Trips'!$AB$33:$AC$36, 2, FALSE)),1,0)</f>
        <v>0</v>
      </c>
      <c r="I3" s="2">
        <f>IF(AND(VLOOKUP(I$1,'20Trips'!$A$3:$I$22,8,FALSE)-VLOOKUP($A3,'20Trips'!$A$3:$I$22,9,FALSE)&gt;=VLOOKUP(VLOOKUP(I$1, '20Trips'!$A$3:$I$22,3,FALSE), '20Trips'!$AB$33:$AC$36, 2, FALSE)),1,0)</f>
        <v>0</v>
      </c>
      <c r="J3" s="2">
        <f>IF(AND(VLOOKUP(J$1,'20Trips'!$A$3:$I$22,8,FALSE)-VLOOKUP($A3,'20Trips'!$A$3:$I$22,9,FALSE)&gt;=VLOOKUP(VLOOKUP(J$1, '20Trips'!$A$3:$I$22,3,FALSE), '20Trips'!$AB$33:$AC$36, 2, FALSE)),1,0)</f>
        <v>1</v>
      </c>
      <c r="K3" s="2">
        <f>IF(AND(VLOOKUP(K$1,'20Trips'!$A$3:$I$22,8,FALSE)-VLOOKUP($A3,'20Trips'!$A$3:$I$22,9,FALSE)&gt;=VLOOKUP(VLOOKUP(K$1, '20Trips'!$A$3:$I$22,3,FALSE), '20Trips'!$AB$33:$AC$36, 2, FALSE)),1,0)</f>
        <v>1</v>
      </c>
      <c r="L3" s="2">
        <f>IF(AND(VLOOKUP(L$1,'20Trips'!$A$3:$I$22,8,FALSE)-VLOOKUP($A3,'20Trips'!$A$3:$I$22,9,FALSE)&gt;=VLOOKUP(VLOOKUP(L$1, '20Trips'!$A$3:$I$22,3,FALSE), '20Trips'!$AB$33:$AC$36, 2, FALSE)),1,0)</f>
        <v>1</v>
      </c>
      <c r="M3" s="2">
        <f>IF(AND(VLOOKUP(M$1,'20Trips'!$A$3:$I$22,8,FALSE)-VLOOKUP($A3,'20Trips'!$A$3:$I$22,9,FALSE)&gt;=VLOOKUP(VLOOKUP(M$1, '20Trips'!$A$3:$I$22,3,FALSE), '20Trips'!$AB$33:$AC$36, 2, FALSE)),1,0)</f>
        <v>0</v>
      </c>
      <c r="N3" s="2">
        <f>IF(AND(VLOOKUP(N$1,'20Trips'!$A$3:$I$22,8,FALSE)-VLOOKUP($A3,'20Trips'!$A$3:$I$22,9,FALSE)&gt;=VLOOKUP(VLOOKUP(N$1, '20Trips'!$A$3:$I$22,3,FALSE), '20Trips'!$AB$33:$AC$36, 2, FALSE)),1,0)</f>
        <v>0</v>
      </c>
      <c r="O3" s="2">
        <f>IF(AND(VLOOKUP(O$1,'20Trips'!$A$3:$I$22,8,FALSE)-VLOOKUP($A3,'20Trips'!$A$3:$I$22,9,FALSE)&gt;=VLOOKUP(VLOOKUP(O$1, '20Trips'!$A$3:$I$22,3,FALSE), '20Trips'!$AB$33:$AC$36, 2, FALSE)),1,0)</f>
        <v>1</v>
      </c>
      <c r="P3" s="2">
        <f>IF(AND(VLOOKUP(P$1,'20Trips'!$A$3:$I$22,8,FALSE)-VLOOKUP($A3,'20Trips'!$A$3:$I$22,9,FALSE)&gt;=VLOOKUP(VLOOKUP(P$1, '20Trips'!$A$3:$I$22,3,FALSE), '20Trips'!$AB$33:$AC$36, 2, FALSE)),1,0)</f>
        <v>1</v>
      </c>
      <c r="Q3" s="2">
        <f>IF(AND(VLOOKUP(Q$1,'20Trips'!$A$3:$I$22,8,FALSE)-VLOOKUP($A3,'20Trips'!$A$3:$I$22,9,FALSE)&gt;=VLOOKUP(VLOOKUP(Q$1, '20Trips'!$A$3:$I$22,3,FALSE), '20Trips'!$AB$33:$AC$36, 2, FALSE)),1,0)</f>
        <v>1</v>
      </c>
      <c r="R3" s="2">
        <f>IF(AND(VLOOKUP(R$1,'20Trips'!$A$3:$I$22,8,FALSE)-VLOOKUP($A3,'20Trips'!$A$3:$I$22,9,FALSE)&gt;=VLOOKUP(VLOOKUP(R$1, '20Trips'!$A$3:$I$22,3,FALSE), '20Trips'!$AB$33:$AC$36, 2, FALSE)),1,0)</f>
        <v>0</v>
      </c>
      <c r="S3" s="2">
        <f>IF(AND(VLOOKUP(S$1,'20Trips'!$A$3:$I$22,8,FALSE)-VLOOKUP($A3,'20Trips'!$A$3:$I$22,9,FALSE)&gt;=VLOOKUP(VLOOKUP(S$1, '20Trips'!$A$3:$I$22,3,FALSE), '20Trips'!$AB$33:$AC$36, 2, FALSE)),1,0)</f>
        <v>1</v>
      </c>
      <c r="T3" s="2">
        <f>IF(AND(VLOOKUP(T$1,'20Trips'!$A$3:$I$22,8,FALSE)-VLOOKUP($A3,'20Trips'!$A$3:$I$22,9,FALSE)&gt;=VLOOKUP(VLOOKUP(T$1, '20Trips'!$A$3:$I$22,3,FALSE), '20Trips'!$AB$33:$AC$36, 2, FALSE)),1,0)</f>
        <v>1</v>
      </c>
      <c r="U3" s="2">
        <f>IF(AND(VLOOKUP(U$1,'20Trips'!$A$3:$I$22,8,FALSE)-VLOOKUP($A3,'20Trips'!$A$3:$I$22,9,FALSE)&gt;=VLOOKUP(VLOOKUP(U$1, '20Trips'!$A$3:$I$22,3,FALSE), '20Trips'!$AB$33:$AC$36, 2, FALSE)),1,0)</f>
        <v>1</v>
      </c>
      <c r="V3" s="2">
        <f>IF(AND(VLOOKUP(V$1,'20Trips'!$A$3:$I$22,8,FALSE)-VLOOKUP($A3,'20Trips'!$A$3:$I$22,9,FALSE)&gt;=VLOOKUP(VLOOKUP(V$1, '20Trips'!$A$3:$I$22,3,FALSE), '20Trips'!$AB$33:$AC$36, 2, FALSE)),1,0)</f>
        <v>1</v>
      </c>
    </row>
    <row r="4" spans="1:22" x14ac:dyDescent="0.25">
      <c r="A4" t="s">
        <v>9</v>
      </c>
      <c r="B4" s="3">
        <v>1</v>
      </c>
      <c r="C4" s="2">
        <f>IF(AND(VLOOKUP(C$1,'20Trips'!$A$3:$I$22,8,FALSE)-VLOOKUP($A4,'20Trips'!$A$3:$I$22,9,FALSE)&gt;=VLOOKUP(VLOOKUP(C$1, '20Trips'!$A$3:$I$22,3,FALSE), '20Trips'!$AB$33:$AC$36, 2, FALSE)),1,0)</f>
        <v>0</v>
      </c>
      <c r="D4" s="2">
        <f>IF(AND(VLOOKUP(D$1,'20Trips'!$A$3:$I$22,8,FALSE)-VLOOKUP($A4,'20Trips'!$A$3:$I$22,9,FALSE)&gt;=VLOOKUP(VLOOKUP(D$1, '20Trips'!$A$3:$I$22,3,FALSE), '20Trips'!$AB$33:$AC$36, 2, FALSE)),1,0)</f>
        <v>0</v>
      </c>
      <c r="E4" s="2">
        <f>IF(AND(VLOOKUP(E$1,'20Trips'!$A$3:$I$22,8,FALSE)-VLOOKUP($A4,'20Trips'!$A$3:$I$22,9,FALSE)&gt;=VLOOKUP(VLOOKUP(E$1, '20Trips'!$A$3:$I$22,3,FALSE), '20Trips'!$AB$33:$AC$36, 2, FALSE)),1,0)</f>
        <v>0</v>
      </c>
      <c r="F4" s="2">
        <f>IF(AND(VLOOKUP(F$1,'20Trips'!$A$3:$I$22,8,FALSE)-VLOOKUP($A4,'20Trips'!$A$3:$I$22,9,FALSE)&gt;=VLOOKUP(VLOOKUP(F$1, '20Trips'!$A$3:$I$22,3,FALSE), '20Trips'!$AB$33:$AC$36, 2, FALSE)),1,0)</f>
        <v>1</v>
      </c>
      <c r="G4" s="2">
        <f>IF(AND(VLOOKUP(G$1,'20Trips'!$A$3:$I$22,8,FALSE)-VLOOKUP($A4,'20Trips'!$A$3:$I$22,9,FALSE)&gt;=VLOOKUP(VLOOKUP(G$1, '20Trips'!$A$3:$I$22,3,FALSE), '20Trips'!$AB$33:$AC$36, 2, FALSE)),1,0)</f>
        <v>1</v>
      </c>
      <c r="H4" s="2">
        <f>IF(AND(VLOOKUP(H$1,'20Trips'!$A$3:$I$22,8,FALSE)-VLOOKUP($A4,'20Trips'!$A$3:$I$22,9,FALSE)&gt;=VLOOKUP(VLOOKUP(H$1, '20Trips'!$A$3:$I$22,3,FALSE), '20Trips'!$AB$33:$AC$36, 2, FALSE)),1,0)</f>
        <v>0</v>
      </c>
      <c r="I4" s="2">
        <f>IF(AND(VLOOKUP(I$1,'20Trips'!$A$3:$I$22,8,FALSE)-VLOOKUP($A4,'20Trips'!$A$3:$I$22,9,FALSE)&gt;=VLOOKUP(VLOOKUP(I$1, '20Trips'!$A$3:$I$22,3,FALSE), '20Trips'!$AB$33:$AC$36, 2, FALSE)),1,0)</f>
        <v>0</v>
      </c>
      <c r="J4" s="2">
        <f>IF(AND(VLOOKUP(J$1,'20Trips'!$A$3:$I$22,8,FALSE)-VLOOKUP($A4,'20Trips'!$A$3:$I$22,9,FALSE)&gt;=VLOOKUP(VLOOKUP(J$1, '20Trips'!$A$3:$I$22,3,FALSE), '20Trips'!$AB$33:$AC$36, 2, FALSE)),1,0)</f>
        <v>0</v>
      </c>
      <c r="K4" s="2">
        <f>IF(AND(VLOOKUP(K$1,'20Trips'!$A$3:$I$22,8,FALSE)-VLOOKUP($A4,'20Trips'!$A$3:$I$22,9,FALSE)&gt;=VLOOKUP(VLOOKUP(K$1, '20Trips'!$A$3:$I$22,3,FALSE), '20Trips'!$AB$33:$AC$36, 2, FALSE)),1,0)</f>
        <v>1</v>
      </c>
      <c r="L4" s="2">
        <f>IF(AND(VLOOKUP(L$1,'20Trips'!$A$3:$I$22,8,FALSE)-VLOOKUP($A4,'20Trips'!$A$3:$I$22,9,FALSE)&gt;=VLOOKUP(VLOOKUP(L$1, '20Trips'!$A$3:$I$22,3,FALSE), '20Trips'!$AB$33:$AC$36, 2, FALSE)),1,0)</f>
        <v>1</v>
      </c>
      <c r="M4" s="2">
        <f>IF(AND(VLOOKUP(M$1,'20Trips'!$A$3:$I$22,8,FALSE)-VLOOKUP($A4,'20Trips'!$A$3:$I$22,9,FALSE)&gt;=VLOOKUP(VLOOKUP(M$1, '20Trips'!$A$3:$I$22,3,FALSE), '20Trips'!$AB$33:$AC$36, 2, FALSE)),1,0)</f>
        <v>0</v>
      </c>
      <c r="N4" s="2">
        <f>IF(AND(VLOOKUP(N$1,'20Trips'!$A$3:$I$22,8,FALSE)-VLOOKUP($A4,'20Trips'!$A$3:$I$22,9,FALSE)&gt;=VLOOKUP(VLOOKUP(N$1, '20Trips'!$A$3:$I$22,3,FALSE), '20Trips'!$AB$33:$AC$36, 2, FALSE)),1,0)</f>
        <v>0</v>
      </c>
      <c r="O4" s="2">
        <f>IF(AND(VLOOKUP(O$1,'20Trips'!$A$3:$I$22,8,FALSE)-VLOOKUP($A4,'20Trips'!$A$3:$I$22,9,FALSE)&gt;=VLOOKUP(VLOOKUP(O$1, '20Trips'!$A$3:$I$22,3,FALSE), '20Trips'!$AB$33:$AC$36, 2, FALSE)),1,0)</f>
        <v>0</v>
      </c>
      <c r="P4" s="2">
        <f>IF(AND(VLOOKUP(P$1,'20Trips'!$A$3:$I$22,8,FALSE)-VLOOKUP($A4,'20Trips'!$A$3:$I$22,9,FALSE)&gt;=VLOOKUP(VLOOKUP(P$1, '20Trips'!$A$3:$I$22,3,FALSE), '20Trips'!$AB$33:$AC$36, 2, FALSE)),1,0)</f>
        <v>0</v>
      </c>
      <c r="Q4" s="2">
        <f>IF(AND(VLOOKUP(Q$1,'20Trips'!$A$3:$I$22,8,FALSE)-VLOOKUP($A4,'20Trips'!$A$3:$I$22,9,FALSE)&gt;=VLOOKUP(VLOOKUP(Q$1, '20Trips'!$A$3:$I$22,3,FALSE), '20Trips'!$AB$33:$AC$36, 2, FALSE)),1,0)</f>
        <v>1</v>
      </c>
      <c r="R4" s="2">
        <f>IF(AND(VLOOKUP(R$1,'20Trips'!$A$3:$I$22,8,FALSE)-VLOOKUP($A4,'20Trips'!$A$3:$I$22,9,FALSE)&gt;=VLOOKUP(VLOOKUP(R$1, '20Trips'!$A$3:$I$22,3,FALSE), '20Trips'!$AB$33:$AC$36, 2, FALSE)),1,0)</f>
        <v>0</v>
      </c>
      <c r="S4" s="2">
        <f>IF(AND(VLOOKUP(S$1,'20Trips'!$A$3:$I$22,8,FALSE)-VLOOKUP($A4,'20Trips'!$A$3:$I$22,9,FALSE)&gt;=VLOOKUP(VLOOKUP(S$1, '20Trips'!$A$3:$I$22,3,FALSE), '20Trips'!$AB$33:$AC$36, 2, FALSE)),1,0)</f>
        <v>0</v>
      </c>
      <c r="T4" s="2">
        <f>IF(AND(VLOOKUP(T$1,'20Trips'!$A$3:$I$22,8,FALSE)-VLOOKUP($A4,'20Trips'!$A$3:$I$22,9,FALSE)&gt;=VLOOKUP(VLOOKUP(T$1, '20Trips'!$A$3:$I$22,3,FALSE), '20Trips'!$AB$33:$AC$36, 2, FALSE)),1,0)</f>
        <v>0</v>
      </c>
      <c r="U4" s="2">
        <f>IF(AND(VLOOKUP(U$1,'20Trips'!$A$3:$I$22,8,FALSE)-VLOOKUP($A4,'20Trips'!$A$3:$I$22,9,FALSE)&gt;=VLOOKUP(VLOOKUP(U$1, '20Trips'!$A$3:$I$22,3,FALSE), '20Trips'!$AB$33:$AC$36, 2, FALSE)),1,0)</f>
        <v>1</v>
      </c>
      <c r="V4" s="2">
        <f>IF(AND(VLOOKUP(V$1,'20Trips'!$A$3:$I$22,8,FALSE)-VLOOKUP($A4,'20Trips'!$A$3:$I$22,9,FALSE)&gt;=VLOOKUP(VLOOKUP(V$1, '20Trips'!$A$3:$I$22,3,FALSE), '20Trips'!$AB$33:$AC$36, 2, FALSE)),1,0)</f>
        <v>1</v>
      </c>
    </row>
    <row r="5" spans="1:22" x14ac:dyDescent="0.25">
      <c r="A5" t="s">
        <v>10</v>
      </c>
      <c r="B5" s="3">
        <v>1</v>
      </c>
      <c r="C5" s="2">
        <f>IF(AND(VLOOKUP(C$1,'20Trips'!$A$3:$I$22,8,FALSE)-VLOOKUP($A5,'20Trips'!$A$3:$I$22,9,FALSE)&gt;=VLOOKUP(VLOOKUP(C$1, '20Trips'!$A$3:$I$22,3,FALSE), '20Trips'!$AB$33:$AC$36, 2, FALSE)),1,0)</f>
        <v>0</v>
      </c>
      <c r="D5" s="2">
        <f>IF(AND(VLOOKUP(D$1,'20Trips'!$A$3:$I$22,8,FALSE)-VLOOKUP($A5,'20Trips'!$A$3:$I$22,9,FALSE)&gt;=VLOOKUP(VLOOKUP(D$1, '20Trips'!$A$3:$I$22,3,FALSE), '20Trips'!$AB$33:$AC$36, 2, FALSE)),1,0)</f>
        <v>0</v>
      </c>
      <c r="E5" s="2">
        <f>IF(AND(VLOOKUP(E$1,'20Trips'!$A$3:$I$22,8,FALSE)-VLOOKUP($A5,'20Trips'!$A$3:$I$22,9,FALSE)&gt;=VLOOKUP(VLOOKUP(E$1, '20Trips'!$A$3:$I$22,3,FALSE), '20Trips'!$AB$33:$AC$36, 2, FALSE)),1,0)</f>
        <v>0</v>
      </c>
      <c r="F5" s="2">
        <f>IF(AND(VLOOKUP(F$1,'20Trips'!$A$3:$I$22,8,FALSE)-VLOOKUP($A5,'20Trips'!$A$3:$I$22,9,FALSE)&gt;=VLOOKUP(VLOOKUP(F$1, '20Trips'!$A$3:$I$22,3,FALSE), '20Trips'!$AB$33:$AC$36, 2, FALSE)),1,0)</f>
        <v>0</v>
      </c>
      <c r="G5" s="2">
        <f>IF(AND(VLOOKUP(G$1,'20Trips'!$A$3:$I$22,8,FALSE)-VLOOKUP($A5,'20Trips'!$A$3:$I$22,9,FALSE)&gt;=VLOOKUP(VLOOKUP(G$1, '20Trips'!$A$3:$I$22,3,FALSE), '20Trips'!$AB$33:$AC$36, 2, FALSE)),1,0)</f>
        <v>1</v>
      </c>
      <c r="H5" s="2">
        <f>IF(AND(VLOOKUP(H$1,'20Trips'!$A$3:$I$22,8,FALSE)-VLOOKUP($A5,'20Trips'!$A$3:$I$22,9,FALSE)&gt;=VLOOKUP(VLOOKUP(H$1, '20Trips'!$A$3:$I$22,3,FALSE), '20Trips'!$AB$33:$AC$36, 2, FALSE)),1,0)</f>
        <v>0</v>
      </c>
      <c r="I5" s="2">
        <f>IF(AND(VLOOKUP(I$1,'20Trips'!$A$3:$I$22,8,FALSE)-VLOOKUP($A5,'20Trips'!$A$3:$I$22,9,FALSE)&gt;=VLOOKUP(VLOOKUP(I$1, '20Trips'!$A$3:$I$22,3,FALSE), '20Trips'!$AB$33:$AC$36, 2, FALSE)),1,0)</f>
        <v>0</v>
      </c>
      <c r="J5" s="2">
        <f>IF(AND(VLOOKUP(J$1,'20Trips'!$A$3:$I$22,8,FALSE)-VLOOKUP($A5,'20Trips'!$A$3:$I$22,9,FALSE)&gt;=VLOOKUP(VLOOKUP(J$1, '20Trips'!$A$3:$I$22,3,FALSE), '20Trips'!$AB$33:$AC$36, 2, FALSE)),1,0)</f>
        <v>0</v>
      </c>
      <c r="K5" s="2">
        <f>IF(AND(VLOOKUP(K$1,'20Trips'!$A$3:$I$22,8,FALSE)-VLOOKUP($A5,'20Trips'!$A$3:$I$22,9,FALSE)&gt;=VLOOKUP(VLOOKUP(K$1, '20Trips'!$A$3:$I$22,3,FALSE), '20Trips'!$AB$33:$AC$36, 2, FALSE)),1,0)</f>
        <v>1</v>
      </c>
      <c r="L5" s="2">
        <f>IF(AND(VLOOKUP(L$1,'20Trips'!$A$3:$I$22,8,FALSE)-VLOOKUP($A5,'20Trips'!$A$3:$I$22,9,FALSE)&gt;=VLOOKUP(VLOOKUP(L$1, '20Trips'!$A$3:$I$22,3,FALSE), '20Trips'!$AB$33:$AC$36, 2, FALSE)),1,0)</f>
        <v>1</v>
      </c>
      <c r="M5" s="2">
        <f>IF(AND(VLOOKUP(M$1,'20Trips'!$A$3:$I$22,8,FALSE)-VLOOKUP($A5,'20Trips'!$A$3:$I$22,9,FALSE)&gt;=VLOOKUP(VLOOKUP(M$1, '20Trips'!$A$3:$I$22,3,FALSE), '20Trips'!$AB$33:$AC$36, 2, FALSE)),1,0)</f>
        <v>0</v>
      </c>
      <c r="N5" s="2">
        <f>IF(AND(VLOOKUP(N$1,'20Trips'!$A$3:$I$22,8,FALSE)-VLOOKUP($A5,'20Trips'!$A$3:$I$22,9,FALSE)&gt;=VLOOKUP(VLOOKUP(N$1, '20Trips'!$A$3:$I$22,3,FALSE), '20Trips'!$AB$33:$AC$36, 2, FALSE)),1,0)</f>
        <v>0</v>
      </c>
      <c r="O5" s="2">
        <f>IF(AND(VLOOKUP(O$1,'20Trips'!$A$3:$I$22,8,FALSE)-VLOOKUP($A5,'20Trips'!$A$3:$I$22,9,FALSE)&gt;=VLOOKUP(VLOOKUP(O$1, '20Trips'!$A$3:$I$22,3,FALSE), '20Trips'!$AB$33:$AC$36, 2, FALSE)),1,0)</f>
        <v>0</v>
      </c>
      <c r="P5" s="2">
        <f>IF(AND(VLOOKUP(P$1,'20Trips'!$A$3:$I$22,8,FALSE)-VLOOKUP($A5,'20Trips'!$A$3:$I$22,9,FALSE)&gt;=VLOOKUP(VLOOKUP(P$1, '20Trips'!$A$3:$I$22,3,FALSE), '20Trips'!$AB$33:$AC$36, 2, FALSE)),1,0)</f>
        <v>0</v>
      </c>
      <c r="Q5" s="2">
        <f>IF(AND(VLOOKUP(Q$1,'20Trips'!$A$3:$I$22,8,FALSE)-VLOOKUP($A5,'20Trips'!$A$3:$I$22,9,FALSE)&gt;=VLOOKUP(VLOOKUP(Q$1, '20Trips'!$A$3:$I$22,3,FALSE), '20Trips'!$AB$33:$AC$36, 2, FALSE)),1,0)</f>
        <v>0</v>
      </c>
      <c r="R5" s="2">
        <f>IF(AND(VLOOKUP(R$1,'20Trips'!$A$3:$I$22,8,FALSE)-VLOOKUP($A5,'20Trips'!$A$3:$I$22,9,FALSE)&gt;=VLOOKUP(VLOOKUP(R$1, '20Trips'!$A$3:$I$22,3,FALSE), '20Trips'!$AB$33:$AC$36, 2, FALSE)),1,0)</f>
        <v>0</v>
      </c>
      <c r="S5" s="2">
        <f>IF(AND(VLOOKUP(S$1,'20Trips'!$A$3:$I$22,8,FALSE)-VLOOKUP($A5,'20Trips'!$A$3:$I$22,9,FALSE)&gt;=VLOOKUP(VLOOKUP(S$1, '20Trips'!$A$3:$I$22,3,FALSE), '20Trips'!$AB$33:$AC$36, 2, FALSE)),1,0)</f>
        <v>0</v>
      </c>
      <c r="T5" s="2">
        <f>IF(AND(VLOOKUP(T$1,'20Trips'!$A$3:$I$22,8,FALSE)-VLOOKUP($A5,'20Trips'!$A$3:$I$22,9,FALSE)&gt;=VLOOKUP(VLOOKUP(T$1, '20Trips'!$A$3:$I$22,3,FALSE), '20Trips'!$AB$33:$AC$36, 2, FALSE)),1,0)</f>
        <v>0</v>
      </c>
      <c r="U5" s="2">
        <f>IF(AND(VLOOKUP(U$1,'20Trips'!$A$3:$I$22,8,FALSE)-VLOOKUP($A5,'20Trips'!$A$3:$I$22,9,FALSE)&gt;=VLOOKUP(VLOOKUP(U$1, '20Trips'!$A$3:$I$22,3,FALSE), '20Trips'!$AB$33:$AC$36, 2, FALSE)),1,0)</f>
        <v>0</v>
      </c>
      <c r="V5" s="2">
        <f>IF(AND(VLOOKUP(V$1,'20Trips'!$A$3:$I$22,8,FALSE)-VLOOKUP($A5,'20Trips'!$A$3:$I$22,9,FALSE)&gt;=VLOOKUP(VLOOKUP(V$1, '20Trips'!$A$3:$I$22,3,FALSE), '20Trips'!$AB$33:$AC$36, 2, FALSE)),1,0)</f>
        <v>1</v>
      </c>
    </row>
    <row r="6" spans="1:22" x14ac:dyDescent="0.25">
      <c r="A6" t="s">
        <v>11</v>
      </c>
      <c r="B6" s="3">
        <v>1</v>
      </c>
      <c r="C6" s="2">
        <f>IF(AND(VLOOKUP(C$1,'20Trips'!$A$3:$I$22,8,FALSE)-VLOOKUP($A6,'20Trips'!$A$3:$I$22,9,FALSE)&gt;=VLOOKUP(VLOOKUP(C$1, '20Trips'!$A$3:$I$22,3,FALSE), '20Trips'!$AB$33:$AC$36, 2, FALSE)),1,0)</f>
        <v>0</v>
      </c>
      <c r="D6" s="2">
        <f>IF(AND(VLOOKUP(D$1,'20Trips'!$A$3:$I$22,8,FALSE)-VLOOKUP($A6,'20Trips'!$A$3:$I$22,9,FALSE)&gt;=VLOOKUP(VLOOKUP(D$1, '20Trips'!$A$3:$I$22,3,FALSE), '20Trips'!$AB$33:$AC$36, 2, FALSE)),1,0)</f>
        <v>0</v>
      </c>
      <c r="E6" s="2">
        <f>IF(AND(VLOOKUP(E$1,'20Trips'!$A$3:$I$22,8,FALSE)-VLOOKUP($A6,'20Trips'!$A$3:$I$22,9,FALSE)&gt;=VLOOKUP(VLOOKUP(E$1, '20Trips'!$A$3:$I$22,3,FALSE), '20Trips'!$AB$33:$AC$36, 2, FALSE)),1,0)</f>
        <v>0</v>
      </c>
      <c r="F6" s="2">
        <f>IF(AND(VLOOKUP(F$1,'20Trips'!$A$3:$I$22,8,FALSE)-VLOOKUP($A6,'20Trips'!$A$3:$I$22,9,FALSE)&gt;=VLOOKUP(VLOOKUP(F$1, '20Trips'!$A$3:$I$22,3,FALSE), '20Trips'!$AB$33:$AC$36, 2, FALSE)),1,0)</f>
        <v>0</v>
      </c>
      <c r="G6" s="2">
        <f>IF(AND(VLOOKUP(G$1,'20Trips'!$A$3:$I$22,8,FALSE)-VLOOKUP($A6,'20Trips'!$A$3:$I$22,9,FALSE)&gt;=VLOOKUP(VLOOKUP(G$1, '20Trips'!$A$3:$I$22,3,FALSE), '20Trips'!$AB$33:$AC$36, 2, FALSE)),1,0)</f>
        <v>0</v>
      </c>
      <c r="H6" s="2">
        <f>IF(AND(VLOOKUP(H$1,'20Trips'!$A$3:$I$22,8,FALSE)-VLOOKUP($A6,'20Trips'!$A$3:$I$22,9,FALSE)&gt;=VLOOKUP(VLOOKUP(H$1, '20Trips'!$A$3:$I$22,3,FALSE), '20Trips'!$AB$33:$AC$36, 2, FALSE)),1,0)</f>
        <v>0</v>
      </c>
      <c r="I6" s="2">
        <f>IF(AND(VLOOKUP(I$1,'20Trips'!$A$3:$I$22,8,FALSE)-VLOOKUP($A6,'20Trips'!$A$3:$I$22,9,FALSE)&gt;=VLOOKUP(VLOOKUP(I$1, '20Trips'!$A$3:$I$22,3,FALSE), '20Trips'!$AB$33:$AC$36, 2, FALSE)),1,0)</f>
        <v>0</v>
      </c>
      <c r="J6" s="2">
        <f>IF(AND(VLOOKUP(J$1,'20Trips'!$A$3:$I$22,8,FALSE)-VLOOKUP($A6,'20Trips'!$A$3:$I$22,9,FALSE)&gt;=VLOOKUP(VLOOKUP(J$1, '20Trips'!$A$3:$I$22,3,FALSE), '20Trips'!$AB$33:$AC$36, 2, FALSE)),1,0)</f>
        <v>0</v>
      </c>
      <c r="K6" s="2">
        <f>IF(AND(VLOOKUP(K$1,'20Trips'!$A$3:$I$22,8,FALSE)-VLOOKUP($A6,'20Trips'!$A$3:$I$22,9,FALSE)&gt;=VLOOKUP(VLOOKUP(K$1, '20Trips'!$A$3:$I$22,3,FALSE), '20Trips'!$AB$33:$AC$36, 2, FALSE)),1,0)</f>
        <v>1</v>
      </c>
      <c r="L6" s="2">
        <f>IF(AND(VLOOKUP(L$1,'20Trips'!$A$3:$I$22,8,FALSE)-VLOOKUP($A6,'20Trips'!$A$3:$I$22,9,FALSE)&gt;=VLOOKUP(VLOOKUP(L$1, '20Trips'!$A$3:$I$22,3,FALSE), '20Trips'!$AB$33:$AC$36, 2, FALSE)),1,0)</f>
        <v>1</v>
      </c>
      <c r="M6" s="2">
        <f>IF(AND(VLOOKUP(M$1,'20Trips'!$A$3:$I$22,8,FALSE)-VLOOKUP($A6,'20Trips'!$A$3:$I$22,9,FALSE)&gt;=VLOOKUP(VLOOKUP(M$1, '20Trips'!$A$3:$I$22,3,FALSE), '20Trips'!$AB$33:$AC$36, 2, FALSE)),1,0)</f>
        <v>0</v>
      </c>
      <c r="N6" s="2">
        <f>IF(AND(VLOOKUP(N$1,'20Trips'!$A$3:$I$22,8,FALSE)-VLOOKUP($A6,'20Trips'!$A$3:$I$22,9,FALSE)&gt;=VLOOKUP(VLOOKUP(N$1, '20Trips'!$A$3:$I$22,3,FALSE), '20Trips'!$AB$33:$AC$36, 2, FALSE)),1,0)</f>
        <v>0</v>
      </c>
      <c r="O6" s="2">
        <f>IF(AND(VLOOKUP(O$1,'20Trips'!$A$3:$I$22,8,FALSE)-VLOOKUP($A6,'20Trips'!$A$3:$I$22,9,FALSE)&gt;=VLOOKUP(VLOOKUP(O$1, '20Trips'!$A$3:$I$22,3,FALSE), '20Trips'!$AB$33:$AC$36, 2, FALSE)),1,0)</f>
        <v>0</v>
      </c>
      <c r="P6" s="2">
        <f>IF(AND(VLOOKUP(P$1,'20Trips'!$A$3:$I$22,8,FALSE)-VLOOKUP($A6,'20Trips'!$A$3:$I$22,9,FALSE)&gt;=VLOOKUP(VLOOKUP(P$1, '20Trips'!$A$3:$I$22,3,FALSE), '20Trips'!$AB$33:$AC$36, 2, FALSE)),1,0)</f>
        <v>0</v>
      </c>
      <c r="Q6" s="2">
        <f>IF(AND(VLOOKUP(Q$1,'20Trips'!$A$3:$I$22,8,FALSE)-VLOOKUP($A6,'20Trips'!$A$3:$I$22,9,FALSE)&gt;=VLOOKUP(VLOOKUP(Q$1, '20Trips'!$A$3:$I$22,3,FALSE), '20Trips'!$AB$33:$AC$36, 2, FALSE)),1,0)</f>
        <v>0</v>
      </c>
      <c r="R6" s="2">
        <f>IF(AND(VLOOKUP(R$1,'20Trips'!$A$3:$I$22,8,FALSE)-VLOOKUP($A6,'20Trips'!$A$3:$I$22,9,FALSE)&gt;=VLOOKUP(VLOOKUP(R$1, '20Trips'!$A$3:$I$22,3,FALSE), '20Trips'!$AB$33:$AC$36, 2, FALSE)),1,0)</f>
        <v>0</v>
      </c>
      <c r="S6" s="2">
        <f>IF(AND(VLOOKUP(S$1,'20Trips'!$A$3:$I$22,8,FALSE)-VLOOKUP($A6,'20Trips'!$A$3:$I$22,9,FALSE)&gt;=VLOOKUP(VLOOKUP(S$1, '20Trips'!$A$3:$I$22,3,FALSE), '20Trips'!$AB$33:$AC$36, 2, FALSE)),1,0)</f>
        <v>0</v>
      </c>
      <c r="T6" s="2">
        <f>IF(AND(VLOOKUP(T$1,'20Trips'!$A$3:$I$22,8,FALSE)-VLOOKUP($A6,'20Trips'!$A$3:$I$22,9,FALSE)&gt;=VLOOKUP(VLOOKUP(T$1, '20Trips'!$A$3:$I$22,3,FALSE), '20Trips'!$AB$33:$AC$36, 2, FALSE)),1,0)</f>
        <v>0</v>
      </c>
      <c r="U6" s="2">
        <f>IF(AND(VLOOKUP(U$1,'20Trips'!$A$3:$I$22,8,FALSE)-VLOOKUP($A6,'20Trips'!$A$3:$I$22,9,FALSE)&gt;=VLOOKUP(VLOOKUP(U$1, '20Trips'!$A$3:$I$22,3,FALSE), '20Trips'!$AB$33:$AC$36, 2, FALSE)),1,0)</f>
        <v>0</v>
      </c>
      <c r="V6" s="2">
        <f>IF(AND(VLOOKUP(V$1,'20Trips'!$A$3:$I$22,8,FALSE)-VLOOKUP($A6,'20Trips'!$A$3:$I$22,9,FALSE)&gt;=VLOOKUP(VLOOKUP(V$1, '20Trips'!$A$3:$I$22,3,FALSE), '20Trips'!$AB$33:$AC$36, 2, FALSE)),1,0)</f>
        <v>0</v>
      </c>
    </row>
    <row r="7" spans="1:22" x14ac:dyDescent="0.25">
      <c r="A7" t="s">
        <v>12</v>
      </c>
      <c r="B7" s="3">
        <v>1</v>
      </c>
      <c r="C7" s="2">
        <f>IF(AND(VLOOKUP(C$1,'20Trips'!$A$3:$I$22,8,FALSE)-VLOOKUP($A7,'20Trips'!$A$3:$I$22,9,FALSE)&gt;=VLOOKUP(VLOOKUP(C$1, '20Trips'!$A$3:$I$22,3,FALSE), '20Trips'!$AB$33:$AC$36, 2, FALSE)),1,0)</f>
        <v>0</v>
      </c>
      <c r="D7" s="2">
        <f>IF(AND(VLOOKUP(D$1,'20Trips'!$A$3:$I$22,8,FALSE)-VLOOKUP($A7,'20Trips'!$A$3:$I$22,9,FALSE)&gt;=VLOOKUP(VLOOKUP(D$1, '20Trips'!$A$3:$I$22,3,FALSE), '20Trips'!$AB$33:$AC$36, 2, FALSE)),1,0)</f>
        <v>0</v>
      </c>
      <c r="E7" s="2">
        <f>IF(AND(VLOOKUP(E$1,'20Trips'!$A$3:$I$22,8,FALSE)-VLOOKUP($A7,'20Trips'!$A$3:$I$22,9,FALSE)&gt;=VLOOKUP(VLOOKUP(E$1, '20Trips'!$A$3:$I$22,3,FALSE), '20Trips'!$AB$33:$AC$36, 2, FALSE)),1,0)</f>
        <v>0</v>
      </c>
      <c r="F7" s="2">
        <f>IF(AND(VLOOKUP(F$1,'20Trips'!$A$3:$I$22,8,FALSE)-VLOOKUP($A7,'20Trips'!$A$3:$I$22,9,FALSE)&gt;=VLOOKUP(VLOOKUP(F$1, '20Trips'!$A$3:$I$22,3,FALSE), '20Trips'!$AB$33:$AC$36, 2, FALSE)),1,0)</f>
        <v>0</v>
      </c>
      <c r="G7" s="2">
        <f>IF(AND(VLOOKUP(G$1,'20Trips'!$A$3:$I$22,8,FALSE)-VLOOKUP($A7,'20Trips'!$A$3:$I$22,9,FALSE)&gt;=VLOOKUP(VLOOKUP(G$1, '20Trips'!$A$3:$I$22,3,FALSE), '20Trips'!$AB$33:$AC$36, 2, FALSE)),1,0)</f>
        <v>0</v>
      </c>
      <c r="H7" s="2">
        <f>IF(AND(VLOOKUP(H$1,'20Trips'!$A$3:$I$22,8,FALSE)-VLOOKUP($A7,'20Trips'!$A$3:$I$22,9,FALSE)&gt;=VLOOKUP(VLOOKUP(H$1, '20Trips'!$A$3:$I$22,3,FALSE), '20Trips'!$AB$33:$AC$36, 2, FALSE)),1,0)</f>
        <v>0</v>
      </c>
      <c r="I7" s="2">
        <f>IF(AND(VLOOKUP(I$1,'20Trips'!$A$3:$I$22,8,FALSE)-VLOOKUP($A7,'20Trips'!$A$3:$I$22,9,FALSE)&gt;=VLOOKUP(VLOOKUP(I$1, '20Trips'!$A$3:$I$22,3,FALSE), '20Trips'!$AB$33:$AC$36, 2, FALSE)),1,0)</f>
        <v>0</v>
      </c>
      <c r="J7" s="2">
        <f>IF(AND(VLOOKUP(J$1,'20Trips'!$A$3:$I$22,8,FALSE)-VLOOKUP($A7,'20Trips'!$A$3:$I$22,9,FALSE)&gt;=VLOOKUP(VLOOKUP(J$1, '20Trips'!$A$3:$I$22,3,FALSE), '20Trips'!$AB$33:$AC$36, 2, FALSE)),1,0)</f>
        <v>0</v>
      </c>
      <c r="K7" s="2">
        <f>IF(AND(VLOOKUP(K$1,'20Trips'!$A$3:$I$22,8,FALSE)-VLOOKUP($A7,'20Trips'!$A$3:$I$22,9,FALSE)&gt;=VLOOKUP(VLOOKUP(K$1, '20Trips'!$A$3:$I$22,3,FALSE), '20Trips'!$AB$33:$AC$36, 2, FALSE)),1,0)</f>
        <v>1</v>
      </c>
      <c r="L7" s="2">
        <f>IF(AND(VLOOKUP(L$1,'20Trips'!$A$3:$I$22,8,FALSE)-VLOOKUP($A7,'20Trips'!$A$3:$I$22,9,FALSE)&gt;=VLOOKUP(VLOOKUP(L$1, '20Trips'!$A$3:$I$22,3,FALSE), '20Trips'!$AB$33:$AC$36, 2, FALSE)),1,0)</f>
        <v>1</v>
      </c>
      <c r="M7" s="2">
        <f>IF(AND(VLOOKUP(M$1,'20Trips'!$A$3:$I$22,8,FALSE)-VLOOKUP($A7,'20Trips'!$A$3:$I$22,9,FALSE)&gt;=VLOOKUP(VLOOKUP(M$1, '20Trips'!$A$3:$I$22,3,FALSE), '20Trips'!$AB$33:$AC$36, 2, FALSE)),1,0)</f>
        <v>0</v>
      </c>
      <c r="N7" s="2">
        <f>IF(AND(VLOOKUP(N$1,'20Trips'!$A$3:$I$22,8,FALSE)-VLOOKUP($A7,'20Trips'!$A$3:$I$22,9,FALSE)&gt;=VLOOKUP(VLOOKUP(N$1, '20Trips'!$A$3:$I$22,3,FALSE), '20Trips'!$AB$33:$AC$36, 2, FALSE)),1,0)</f>
        <v>0</v>
      </c>
      <c r="O7" s="2">
        <f>IF(AND(VLOOKUP(O$1,'20Trips'!$A$3:$I$22,8,FALSE)-VLOOKUP($A7,'20Trips'!$A$3:$I$22,9,FALSE)&gt;=VLOOKUP(VLOOKUP(O$1, '20Trips'!$A$3:$I$22,3,FALSE), '20Trips'!$AB$33:$AC$36, 2, FALSE)),1,0)</f>
        <v>0</v>
      </c>
      <c r="P7" s="2">
        <f>IF(AND(VLOOKUP(P$1,'20Trips'!$A$3:$I$22,8,FALSE)-VLOOKUP($A7,'20Trips'!$A$3:$I$22,9,FALSE)&gt;=VLOOKUP(VLOOKUP(P$1, '20Trips'!$A$3:$I$22,3,FALSE), '20Trips'!$AB$33:$AC$36, 2, FALSE)),1,0)</f>
        <v>0</v>
      </c>
      <c r="Q7" s="2">
        <f>IF(AND(VLOOKUP(Q$1,'20Trips'!$A$3:$I$22,8,FALSE)-VLOOKUP($A7,'20Trips'!$A$3:$I$22,9,FALSE)&gt;=VLOOKUP(VLOOKUP(Q$1, '20Trips'!$A$3:$I$22,3,FALSE), '20Trips'!$AB$33:$AC$36, 2, FALSE)),1,0)</f>
        <v>0</v>
      </c>
      <c r="R7" s="2">
        <f>IF(AND(VLOOKUP(R$1,'20Trips'!$A$3:$I$22,8,FALSE)-VLOOKUP($A7,'20Trips'!$A$3:$I$22,9,FALSE)&gt;=VLOOKUP(VLOOKUP(R$1, '20Trips'!$A$3:$I$22,3,FALSE), '20Trips'!$AB$33:$AC$36, 2, FALSE)),1,0)</f>
        <v>0</v>
      </c>
      <c r="S7" s="2">
        <f>IF(AND(VLOOKUP(S$1,'20Trips'!$A$3:$I$22,8,FALSE)-VLOOKUP($A7,'20Trips'!$A$3:$I$22,9,FALSE)&gt;=VLOOKUP(VLOOKUP(S$1, '20Trips'!$A$3:$I$22,3,FALSE), '20Trips'!$AB$33:$AC$36, 2, FALSE)),1,0)</f>
        <v>0</v>
      </c>
      <c r="T7" s="2">
        <f>IF(AND(VLOOKUP(T$1,'20Trips'!$A$3:$I$22,8,FALSE)-VLOOKUP($A7,'20Trips'!$A$3:$I$22,9,FALSE)&gt;=VLOOKUP(VLOOKUP(T$1, '20Trips'!$A$3:$I$22,3,FALSE), '20Trips'!$AB$33:$AC$36, 2, FALSE)),1,0)</f>
        <v>0</v>
      </c>
      <c r="U7" s="2">
        <f>IF(AND(VLOOKUP(U$1,'20Trips'!$A$3:$I$22,8,FALSE)-VLOOKUP($A7,'20Trips'!$A$3:$I$22,9,FALSE)&gt;=VLOOKUP(VLOOKUP(U$1, '20Trips'!$A$3:$I$22,3,FALSE), '20Trips'!$AB$33:$AC$36, 2, FALSE)),1,0)</f>
        <v>0</v>
      </c>
      <c r="V7" s="2">
        <f>IF(AND(VLOOKUP(V$1,'20Trips'!$A$3:$I$22,8,FALSE)-VLOOKUP($A7,'20Trips'!$A$3:$I$22,9,FALSE)&gt;=VLOOKUP(VLOOKUP(V$1, '20Trips'!$A$3:$I$22,3,FALSE), '20Trips'!$AB$33:$AC$36, 2, FALSE)),1,0)</f>
        <v>0</v>
      </c>
    </row>
    <row r="8" spans="1:22" x14ac:dyDescent="0.25">
      <c r="A8" t="s">
        <v>18</v>
      </c>
      <c r="B8" s="3">
        <v>1</v>
      </c>
      <c r="C8" s="2">
        <f>IF(AND(VLOOKUP(C$1,'20Trips'!$A$3:$I$22,8,FALSE)-VLOOKUP($A8,'20Trips'!$A$3:$I$22,9,FALSE)&gt;=VLOOKUP(VLOOKUP(C$1, '20Trips'!$A$3:$I$22,3,FALSE), '20Trips'!$AB$33:$AC$36, 2, FALSE)),1,0)</f>
        <v>0</v>
      </c>
      <c r="D8" s="2">
        <f>IF(AND(VLOOKUP(D$1,'20Trips'!$A$3:$I$22,8,FALSE)-VLOOKUP($A8,'20Trips'!$A$3:$I$22,9,FALSE)&gt;=VLOOKUP(VLOOKUP(D$1, '20Trips'!$A$3:$I$22,3,FALSE), '20Trips'!$AB$33:$AC$36, 2, FALSE)),1,0)</f>
        <v>1</v>
      </c>
      <c r="E8" s="2">
        <f>IF(AND(VLOOKUP(E$1,'20Trips'!$A$3:$I$22,8,FALSE)-VLOOKUP($A8,'20Trips'!$A$3:$I$22,9,FALSE)&gt;=VLOOKUP(VLOOKUP(E$1, '20Trips'!$A$3:$I$22,3,FALSE), '20Trips'!$AB$33:$AC$36, 2, FALSE)),1,0)</f>
        <v>1</v>
      </c>
      <c r="F8" s="2">
        <f>IF(AND(VLOOKUP(F$1,'20Trips'!$A$3:$I$22,8,FALSE)-VLOOKUP($A8,'20Trips'!$A$3:$I$22,9,FALSE)&gt;=VLOOKUP(VLOOKUP(F$1, '20Trips'!$A$3:$I$22,3,FALSE), '20Trips'!$AB$33:$AC$36, 2, FALSE)),1,0)</f>
        <v>1</v>
      </c>
      <c r="G8" s="2">
        <f>IF(AND(VLOOKUP(G$1,'20Trips'!$A$3:$I$22,8,FALSE)-VLOOKUP($A8,'20Trips'!$A$3:$I$22,9,FALSE)&gt;=VLOOKUP(VLOOKUP(G$1, '20Trips'!$A$3:$I$22,3,FALSE), '20Trips'!$AB$33:$AC$36, 2, FALSE)),1,0)</f>
        <v>1</v>
      </c>
      <c r="H8" s="2">
        <f>IF(AND(VLOOKUP(H$1,'20Trips'!$A$3:$I$22,8,FALSE)-VLOOKUP($A8,'20Trips'!$A$3:$I$22,9,FALSE)&gt;=VLOOKUP(VLOOKUP(H$1, '20Trips'!$A$3:$I$22,3,FALSE), '20Trips'!$AB$33:$AC$36, 2, FALSE)),1,0)</f>
        <v>0</v>
      </c>
      <c r="I8" s="2">
        <f>IF(AND(VLOOKUP(I$1,'20Trips'!$A$3:$I$22,8,FALSE)-VLOOKUP($A8,'20Trips'!$A$3:$I$22,9,FALSE)&gt;=VLOOKUP(VLOOKUP(I$1, '20Trips'!$A$3:$I$22,3,FALSE), '20Trips'!$AB$33:$AC$36, 2, FALSE)),1,0)</f>
        <v>0</v>
      </c>
      <c r="J8" s="2">
        <f>IF(AND(VLOOKUP(J$1,'20Trips'!$A$3:$I$22,8,FALSE)-VLOOKUP($A8,'20Trips'!$A$3:$I$22,9,FALSE)&gt;=VLOOKUP(VLOOKUP(J$1, '20Trips'!$A$3:$I$22,3,FALSE), '20Trips'!$AB$33:$AC$36, 2, FALSE)),1,0)</f>
        <v>1</v>
      </c>
      <c r="K8" s="2">
        <f>IF(AND(VLOOKUP(K$1,'20Trips'!$A$3:$I$22,8,FALSE)-VLOOKUP($A8,'20Trips'!$A$3:$I$22,9,FALSE)&gt;=VLOOKUP(VLOOKUP(K$1, '20Trips'!$A$3:$I$22,3,FALSE), '20Trips'!$AB$33:$AC$36, 2, FALSE)),1,0)</f>
        <v>1</v>
      </c>
      <c r="L8" s="2">
        <f>IF(AND(VLOOKUP(L$1,'20Trips'!$A$3:$I$22,8,FALSE)-VLOOKUP($A8,'20Trips'!$A$3:$I$22,9,FALSE)&gt;=VLOOKUP(VLOOKUP(L$1, '20Trips'!$A$3:$I$22,3,FALSE), '20Trips'!$AB$33:$AC$36, 2, FALSE)),1,0)</f>
        <v>1</v>
      </c>
      <c r="M8" s="2">
        <f>IF(AND(VLOOKUP(M$1,'20Trips'!$A$3:$I$22,8,FALSE)-VLOOKUP($A8,'20Trips'!$A$3:$I$22,9,FALSE)&gt;=VLOOKUP(VLOOKUP(M$1, '20Trips'!$A$3:$I$22,3,FALSE), '20Trips'!$AB$33:$AC$36, 2, FALSE)),1,0)</f>
        <v>0</v>
      </c>
      <c r="N8" s="2">
        <f>IF(AND(VLOOKUP(N$1,'20Trips'!$A$3:$I$22,8,FALSE)-VLOOKUP($A8,'20Trips'!$A$3:$I$22,9,FALSE)&gt;=VLOOKUP(VLOOKUP(N$1, '20Trips'!$A$3:$I$22,3,FALSE), '20Trips'!$AB$33:$AC$36, 2, FALSE)),1,0)</f>
        <v>0</v>
      </c>
      <c r="O8" s="2">
        <f>IF(AND(VLOOKUP(O$1,'20Trips'!$A$3:$I$22,8,FALSE)-VLOOKUP($A8,'20Trips'!$A$3:$I$22,9,FALSE)&gt;=VLOOKUP(VLOOKUP(O$1, '20Trips'!$A$3:$I$22,3,FALSE), '20Trips'!$AB$33:$AC$36, 2, FALSE)),1,0)</f>
        <v>1</v>
      </c>
      <c r="P8" s="2">
        <f>IF(AND(VLOOKUP(P$1,'20Trips'!$A$3:$I$22,8,FALSE)-VLOOKUP($A8,'20Trips'!$A$3:$I$22,9,FALSE)&gt;=VLOOKUP(VLOOKUP(P$1, '20Trips'!$A$3:$I$22,3,FALSE), '20Trips'!$AB$33:$AC$36, 2, FALSE)),1,0)</f>
        <v>1</v>
      </c>
      <c r="Q8" s="2">
        <f>IF(AND(VLOOKUP(Q$1,'20Trips'!$A$3:$I$22,8,FALSE)-VLOOKUP($A8,'20Trips'!$A$3:$I$22,9,FALSE)&gt;=VLOOKUP(VLOOKUP(Q$1, '20Trips'!$A$3:$I$22,3,FALSE), '20Trips'!$AB$33:$AC$36, 2, FALSE)),1,0)</f>
        <v>1</v>
      </c>
      <c r="R8" s="2">
        <f>IF(AND(VLOOKUP(R$1,'20Trips'!$A$3:$I$22,8,FALSE)-VLOOKUP($A8,'20Trips'!$A$3:$I$22,9,FALSE)&gt;=VLOOKUP(VLOOKUP(R$1, '20Trips'!$A$3:$I$22,3,FALSE), '20Trips'!$AB$33:$AC$36, 2, FALSE)),1,0)</f>
        <v>0</v>
      </c>
      <c r="S8" s="2">
        <f>IF(AND(VLOOKUP(S$1,'20Trips'!$A$3:$I$22,8,FALSE)-VLOOKUP($A8,'20Trips'!$A$3:$I$22,9,FALSE)&gt;=VLOOKUP(VLOOKUP(S$1, '20Trips'!$A$3:$I$22,3,FALSE), '20Trips'!$AB$33:$AC$36, 2, FALSE)),1,0)</f>
        <v>1</v>
      </c>
      <c r="T8" s="2">
        <f>IF(AND(VLOOKUP(T$1,'20Trips'!$A$3:$I$22,8,FALSE)-VLOOKUP($A8,'20Trips'!$A$3:$I$22,9,FALSE)&gt;=VLOOKUP(VLOOKUP(T$1, '20Trips'!$A$3:$I$22,3,FALSE), '20Trips'!$AB$33:$AC$36, 2, FALSE)),1,0)</f>
        <v>1</v>
      </c>
      <c r="U8" s="2">
        <f>IF(AND(VLOOKUP(U$1,'20Trips'!$A$3:$I$22,8,FALSE)-VLOOKUP($A8,'20Trips'!$A$3:$I$22,9,FALSE)&gt;=VLOOKUP(VLOOKUP(U$1, '20Trips'!$A$3:$I$22,3,FALSE), '20Trips'!$AB$33:$AC$36, 2, FALSE)),1,0)</f>
        <v>1</v>
      </c>
      <c r="V8" s="2">
        <f>IF(AND(VLOOKUP(V$1,'20Trips'!$A$3:$I$22,8,FALSE)-VLOOKUP($A8,'20Trips'!$A$3:$I$22,9,FALSE)&gt;=VLOOKUP(VLOOKUP(V$1, '20Trips'!$A$3:$I$22,3,FALSE), '20Trips'!$AB$33:$AC$36, 2, FALSE)),1,0)</f>
        <v>1</v>
      </c>
    </row>
    <row r="9" spans="1:22" x14ac:dyDescent="0.25">
      <c r="A9" t="s">
        <v>20</v>
      </c>
      <c r="B9" s="3">
        <v>1</v>
      </c>
      <c r="C9" s="2">
        <f>IF(AND(VLOOKUP(C$1,'20Trips'!$A$3:$I$22,8,FALSE)-VLOOKUP($A9,'20Trips'!$A$3:$I$22,9,FALSE)&gt;=VLOOKUP(VLOOKUP(C$1, '20Trips'!$A$3:$I$22,3,FALSE), '20Trips'!$AB$33:$AC$36, 2, FALSE)),1,0)</f>
        <v>0</v>
      </c>
      <c r="D9" s="2">
        <f>IF(AND(VLOOKUP(D$1,'20Trips'!$A$3:$I$22,8,FALSE)-VLOOKUP($A9,'20Trips'!$A$3:$I$22,9,FALSE)&gt;=VLOOKUP(VLOOKUP(D$1, '20Trips'!$A$3:$I$22,3,FALSE), '20Trips'!$AB$33:$AC$36, 2, FALSE)),1,0)</f>
        <v>0</v>
      </c>
      <c r="E9" s="2">
        <f>IF(AND(VLOOKUP(E$1,'20Trips'!$A$3:$I$22,8,FALSE)-VLOOKUP($A9,'20Trips'!$A$3:$I$22,9,FALSE)&gt;=VLOOKUP(VLOOKUP(E$1, '20Trips'!$A$3:$I$22,3,FALSE), '20Trips'!$AB$33:$AC$36, 2, FALSE)),1,0)</f>
        <v>1</v>
      </c>
      <c r="F9" s="2">
        <f>IF(AND(VLOOKUP(F$1,'20Trips'!$A$3:$I$22,8,FALSE)-VLOOKUP($A9,'20Trips'!$A$3:$I$22,9,FALSE)&gt;=VLOOKUP(VLOOKUP(F$1, '20Trips'!$A$3:$I$22,3,FALSE), '20Trips'!$AB$33:$AC$36, 2, FALSE)),1,0)</f>
        <v>1</v>
      </c>
      <c r="G9" s="2">
        <f>IF(AND(VLOOKUP(G$1,'20Trips'!$A$3:$I$22,8,FALSE)-VLOOKUP($A9,'20Trips'!$A$3:$I$22,9,FALSE)&gt;=VLOOKUP(VLOOKUP(G$1, '20Trips'!$A$3:$I$22,3,FALSE), '20Trips'!$AB$33:$AC$36, 2, FALSE)),1,0)</f>
        <v>1</v>
      </c>
      <c r="H9" s="2">
        <f>IF(AND(VLOOKUP(H$1,'20Trips'!$A$3:$I$22,8,FALSE)-VLOOKUP($A9,'20Trips'!$A$3:$I$22,9,FALSE)&gt;=VLOOKUP(VLOOKUP(H$1, '20Trips'!$A$3:$I$22,3,FALSE), '20Trips'!$AB$33:$AC$36, 2, FALSE)),1,0)</f>
        <v>0</v>
      </c>
      <c r="I9" s="2">
        <f>IF(AND(VLOOKUP(I$1,'20Trips'!$A$3:$I$22,8,FALSE)-VLOOKUP($A9,'20Trips'!$A$3:$I$22,9,FALSE)&gt;=VLOOKUP(VLOOKUP(I$1, '20Trips'!$A$3:$I$22,3,FALSE), '20Trips'!$AB$33:$AC$36, 2, FALSE)),1,0)</f>
        <v>0</v>
      </c>
      <c r="J9" s="2">
        <f>IF(AND(VLOOKUP(J$1,'20Trips'!$A$3:$I$22,8,FALSE)-VLOOKUP($A9,'20Trips'!$A$3:$I$22,9,FALSE)&gt;=VLOOKUP(VLOOKUP(J$1, '20Trips'!$A$3:$I$22,3,FALSE), '20Trips'!$AB$33:$AC$36, 2, FALSE)),1,0)</f>
        <v>0</v>
      </c>
      <c r="K9" s="2">
        <f>IF(AND(VLOOKUP(K$1,'20Trips'!$A$3:$I$22,8,FALSE)-VLOOKUP($A9,'20Trips'!$A$3:$I$22,9,FALSE)&gt;=VLOOKUP(VLOOKUP(K$1, '20Trips'!$A$3:$I$22,3,FALSE), '20Trips'!$AB$33:$AC$36, 2, FALSE)),1,0)</f>
        <v>1</v>
      </c>
      <c r="L9" s="2">
        <f>IF(AND(VLOOKUP(L$1,'20Trips'!$A$3:$I$22,8,FALSE)-VLOOKUP($A9,'20Trips'!$A$3:$I$22,9,FALSE)&gt;=VLOOKUP(VLOOKUP(L$1, '20Trips'!$A$3:$I$22,3,FALSE), '20Trips'!$AB$33:$AC$36, 2, FALSE)),1,0)</f>
        <v>1</v>
      </c>
      <c r="M9" s="2">
        <f>IF(AND(VLOOKUP(M$1,'20Trips'!$A$3:$I$22,8,FALSE)-VLOOKUP($A9,'20Trips'!$A$3:$I$22,9,FALSE)&gt;=VLOOKUP(VLOOKUP(M$1, '20Trips'!$A$3:$I$22,3,FALSE), '20Trips'!$AB$33:$AC$36, 2, FALSE)),1,0)</f>
        <v>0</v>
      </c>
      <c r="N9" s="2">
        <f>IF(AND(VLOOKUP(N$1,'20Trips'!$A$3:$I$22,8,FALSE)-VLOOKUP($A9,'20Trips'!$A$3:$I$22,9,FALSE)&gt;=VLOOKUP(VLOOKUP(N$1, '20Trips'!$A$3:$I$22,3,FALSE), '20Trips'!$AB$33:$AC$36, 2, FALSE)),1,0)</f>
        <v>0</v>
      </c>
      <c r="O9" s="2">
        <f>IF(AND(VLOOKUP(O$1,'20Trips'!$A$3:$I$22,8,FALSE)-VLOOKUP($A9,'20Trips'!$A$3:$I$22,9,FALSE)&gt;=VLOOKUP(VLOOKUP(O$1, '20Trips'!$A$3:$I$22,3,FALSE), '20Trips'!$AB$33:$AC$36, 2, FALSE)),1,0)</f>
        <v>0</v>
      </c>
      <c r="P9" s="2">
        <f>IF(AND(VLOOKUP(P$1,'20Trips'!$A$3:$I$22,8,FALSE)-VLOOKUP($A9,'20Trips'!$A$3:$I$22,9,FALSE)&gt;=VLOOKUP(VLOOKUP(P$1, '20Trips'!$A$3:$I$22,3,FALSE), '20Trips'!$AB$33:$AC$36, 2, FALSE)),1,0)</f>
        <v>0</v>
      </c>
      <c r="Q9" s="2">
        <f>IF(AND(VLOOKUP(Q$1,'20Trips'!$A$3:$I$22,8,FALSE)-VLOOKUP($A9,'20Trips'!$A$3:$I$22,9,FALSE)&gt;=VLOOKUP(VLOOKUP(Q$1, '20Trips'!$A$3:$I$22,3,FALSE), '20Trips'!$AB$33:$AC$36, 2, FALSE)),1,0)</f>
        <v>1</v>
      </c>
      <c r="R9" s="2">
        <f>IF(AND(VLOOKUP(R$1,'20Trips'!$A$3:$I$22,8,FALSE)-VLOOKUP($A9,'20Trips'!$A$3:$I$22,9,FALSE)&gt;=VLOOKUP(VLOOKUP(R$1, '20Trips'!$A$3:$I$22,3,FALSE), '20Trips'!$AB$33:$AC$36, 2, FALSE)),1,0)</f>
        <v>0</v>
      </c>
      <c r="S9" s="2">
        <f>IF(AND(VLOOKUP(S$1,'20Trips'!$A$3:$I$22,8,FALSE)-VLOOKUP($A9,'20Trips'!$A$3:$I$22,9,FALSE)&gt;=VLOOKUP(VLOOKUP(S$1, '20Trips'!$A$3:$I$22,3,FALSE), '20Trips'!$AB$33:$AC$36, 2, FALSE)),1,0)</f>
        <v>0</v>
      </c>
      <c r="T9" s="2">
        <f>IF(AND(VLOOKUP(T$1,'20Trips'!$A$3:$I$22,8,FALSE)-VLOOKUP($A9,'20Trips'!$A$3:$I$22,9,FALSE)&gt;=VLOOKUP(VLOOKUP(T$1, '20Trips'!$A$3:$I$22,3,FALSE), '20Trips'!$AB$33:$AC$36, 2, FALSE)),1,0)</f>
        <v>1</v>
      </c>
      <c r="U9" s="2">
        <f>IF(AND(VLOOKUP(U$1,'20Trips'!$A$3:$I$22,8,FALSE)-VLOOKUP($A9,'20Trips'!$A$3:$I$22,9,FALSE)&gt;=VLOOKUP(VLOOKUP(U$1, '20Trips'!$A$3:$I$22,3,FALSE), '20Trips'!$AB$33:$AC$36, 2, FALSE)),1,0)</f>
        <v>1</v>
      </c>
      <c r="V9" s="2">
        <f>IF(AND(VLOOKUP(V$1,'20Trips'!$A$3:$I$22,8,FALSE)-VLOOKUP($A9,'20Trips'!$A$3:$I$22,9,FALSE)&gt;=VLOOKUP(VLOOKUP(V$1, '20Trips'!$A$3:$I$22,3,FALSE), '20Trips'!$AB$33:$AC$36, 2, FALSE)),1,0)</f>
        <v>1</v>
      </c>
    </row>
    <row r="10" spans="1:22" x14ac:dyDescent="0.25">
      <c r="A10" t="s">
        <v>21</v>
      </c>
      <c r="B10" s="3">
        <v>1</v>
      </c>
      <c r="C10" s="2">
        <f>IF(AND(VLOOKUP(C$1,'20Trips'!$A$3:$I$22,8,FALSE)-VLOOKUP($A10,'20Trips'!$A$3:$I$22,9,FALSE)&gt;=VLOOKUP(VLOOKUP(C$1, '20Trips'!$A$3:$I$22,3,FALSE), '20Trips'!$AB$33:$AC$36, 2, FALSE)),1,0)</f>
        <v>0</v>
      </c>
      <c r="D10" s="2">
        <f>IF(AND(VLOOKUP(D$1,'20Trips'!$A$3:$I$22,8,FALSE)-VLOOKUP($A10,'20Trips'!$A$3:$I$22,9,FALSE)&gt;=VLOOKUP(VLOOKUP(D$1, '20Trips'!$A$3:$I$22,3,FALSE), '20Trips'!$AB$33:$AC$36, 2, FALSE)),1,0)</f>
        <v>0</v>
      </c>
      <c r="E10" s="2">
        <f>IF(AND(VLOOKUP(E$1,'20Trips'!$A$3:$I$22,8,FALSE)-VLOOKUP($A10,'20Trips'!$A$3:$I$22,9,FALSE)&gt;=VLOOKUP(VLOOKUP(E$1, '20Trips'!$A$3:$I$22,3,FALSE), '20Trips'!$AB$33:$AC$36, 2, FALSE)),1,0)</f>
        <v>0</v>
      </c>
      <c r="F10" s="2">
        <f>IF(AND(VLOOKUP(F$1,'20Trips'!$A$3:$I$22,8,FALSE)-VLOOKUP($A10,'20Trips'!$A$3:$I$22,9,FALSE)&gt;=VLOOKUP(VLOOKUP(F$1, '20Trips'!$A$3:$I$22,3,FALSE), '20Trips'!$AB$33:$AC$36, 2, FALSE)),1,0)</f>
        <v>0</v>
      </c>
      <c r="G10" s="2">
        <f>IF(AND(VLOOKUP(G$1,'20Trips'!$A$3:$I$22,8,FALSE)-VLOOKUP($A10,'20Trips'!$A$3:$I$22,9,FALSE)&gt;=VLOOKUP(VLOOKUP(G$1, '20Trips'!$A$3:$I$22,3,FALSE), '20Trips'!$AB$33:$AC$36, 2, FALSE)),1,0)</f>
        <v>1</v>
      </c>
      <c r="H10" s="2">
        <f>IF(AND(VLOOKUP(H$1,'20Trips'!$A$3:$I$22,8,FALSE)-VLOOKUP($A10,'20Trips'!$A$3:$I$22,9,FALSE)&gt;=VLOOKUP(VLOOKUP(H$1, '20Trips'!$A$3:$I$22,3,FALSE), '20Trips'!$AB$33:$AC$36, 2, FALSE)),1,0)</f>
        <v>0</v>
      </c>
      <c r="I10" s="2">
        <f>IF(AND(VLOOKUP(I$1,'20Trips'!$A$3:$I$22,8,FALSE)-VLOOKUP($A10,'20Trips'!$A$3:$I$22,9,FALSE)&gt;=VLOOKUP(VLOOKUP(I$1, '20Trips'!$A$3:$I$22,3,FALSE), '20Trips'!$AB$33:$AC$36, 2, FALSE)),1,0)</f>
        <v>0</v>
      </c>
      <c r="J10" s="2">
        <f>IF(AND(VLOOKUP(J$1,'20Trips'!$A$3:$I$22,8,FALSE)-VLOOKUP($A10,'20Trips'!$A$3:$I$22,9,FALSE)&gt;=VLOOKUP(VLOOKUP(J$1, '20Trips'!$A$3:$I$22,3,FALSE), '20Trips'!$AB$33:$AC$36, 2, FALSE)),1,0)</f>
        <v>0</v>
      </c>
      <c r="K10" s="2">
        <f>IF(AND(VLOOKUP(K$1,'20Trips'!$A$3:$I$22,8,FALSE)-VLOOKUP($A10,'20Trips'!$A$3:$I$22,9,FALSE)&gt;=VLOOKUP(VLOOKUP(K$1, '20Trips'!$A$3:$I$22,3,FALSE), '20Trips'!$AB$33:$AC$36, 2, FALSE)),1,0)</f>
        <v>1</v>
      </c>
      <c r="L10" s="2">
        <f>IF(AND(VLOOKUP(L$1,'20Trips'!$A$3:$I$22,8,FALSE)-VLOOKUP($A10,'20Trips'!$A$3:$I$22,9,FALSE)&gt;=VLOOKUP(VLOOKUP(L$1, '20Trips'!$A$3:$I$22,3,FALSE), '20Trips'!$AB$33:$AC$36, 2, FALSE)),1,0)</f>
        <v>1</v>
      </c>
      <c r="M10" s="2">
        <f>IF(AND(VLOOKUP(M$1,'20Trips'!$A$3:$I$22,8,FALSE)-VLOOKUP($A10,'20Trips'!$A$3:$I$22,9,FALSE)&gt;=VLOOKUP(VLOOKUP(M$1, '20Trips'!$A$3:$I$22,3,FALSE), '20Trips'!$AB$33:$AC$36, 2, FALSE)),1,0)</f>
        <v>0</v>
      </c>
      <c r="N10" s="2">
        <f>IF(AND(VLOOKUP(N$1,'20Trips'!$A$3:$I$22,8,FALSE)-VLOOKUP($A10,'20Trips'!$A$3:$I$22,9,FALSE)&gt;=VLOOKUP(VLOOKUP(N$1, '20Trips'!$A$3:$I$22,3,FALSE), '20Trips'!$AB$33:$AC$36, 2, FALSE)),1,0)</f>
        <v>0</v>
      </c>
      <c r="O10" s="2">
        <f>IF(AND(VLOOKUP(O$1,'20Trips'!$A$3:$I$22,8,FALSE)-VLOOKUP($A10,'20Trips'!$A$3:$I$22,9,FALSE)&gt;=VLOOKUP(VLOOKUP(O$1, '20Trips'!$A$3:$I$22,3,FALSE), '20Trips'!$AB$33:$AC$36, 2, FALSE)),1,0)</f>
        <v>0</v>
      </c>
      <c r="P10" s="2">
        <f>IF(AND(VLOOKUP(P$1,'20Trips'!$A$3:$I$22,8,FALSE)-VLOOKUP($A10,'20Trips'!$A$3:$I$22,9,FALSE)&gt;=VLOOKUP(VLOOKUP(P$1, '20Trips'!$A$3:$I$22,3,FALSE), '20Trips'!$AB$33:$AC$36, 2, FALSE)),1,0)</f>
        <v>0</v>
      </c>
      <c r="Q10" s="2">
        <f>IF(AND(VLOOKUP(Q$1,'20Trips'!$A$3:$I$22,8,FALSE)-VLOOKUP($A10,'20Trips'!$A$3:$I$22,9,FALSE)&gt;=VLOOKUP(VLOOKUP(Q$1, '20Trips'!$A$3:$I$22,3,FALSE), '20Trips'!$AB$33:$AC$36, 2, FALSE)),1,0)</f>
        <v>0</v>
      </c>
      <c r="R10" s="2">
        <f>IF(AND(VLOOKUP(R$1,'20Trips'!$A$3:$I$22,8,FALSE)-VLOOKUP($A10,'20Trips'!$A$3:$I$22,9,FALSE)&gt;=VLOOKUP(VLOOKUP(R$1, '20Trips'!$A$3:$I$22,3,FALSE), '20Trips'!$AB$33:$AC$36, 2, FALSE)),1,0)</f>
        <v>0</v>
      </c>
      <c r="S10" s="2">
        <f>IF(AND(VLOOKUP(S$1,'20Trips'!$A$3:$I$22,8,FALSE)-VLOOKUP($A10,'20Trips'!$A$3:$I$22,9,FALSE)&gt;=VLOOKUP(VLOOKUP(S$1, '20Trips'!$A$3:$I$22,3,FALSE), '20Trips'!$AB$33:$AC$36, 2, FALSE)),1,0)</f>
        <v>0</v>
      </c>
      <c r="T10" s="2">
        <f>IF(AND(VLOOKUP(T$1,'20Trips'!$A$3:$I$22,8,FALSE)-VLOOKUP($A10,'20Trips'!$A$3:$I$22,9,FALSE)&gt;=VLOOKUP(VLOOKUP(T$1, '20Trips'!$A$3:$I$22,3,FALSE), '20Trips'!$AB$33:$AC$36, 2, FALSE)),1,0)</f>
        <v>0</v>
      </c>
      <c r="U10" s="2">
        <f>IF(AND(VLOOKUP(U$1,'20Trips'!$A$3:$I$22,8,FALSE)-VLOOKUP($A10,'20Trips'!$A$3:$I$22,9,FALSE)&gt;=VLOOKUP(VLOOKUP(U$1, '20Trips'!$A$3:$I$22,3,FALSE), '20Trips'!$AB$33:$AC$36, 2, FALSE)),1,0)</f>
        <v>0</v>
      </c>
      <c r="V10" s="2">
        <f>IF(AND(VLOOKUP(V$1,'20Trips'!$A$3:$I$22,8,FALSE)-VLOOKUP($A10,'20Trips'!$A$3:$I$22,9,FALSE)&gt;=VLOOKUP(VLOOKUP(V$1, '20Trips'!$A$3:$I$22,3,FALSE), '20Trips'!$AB$33:$AC$36, 2, FALSE)),1,0)</f>
        <v>1</v>
      </c>
    </row>
    <row r="11" spans="1:22" x14ac:dyDescent="0.25">
      <c r="A11" t="s">
        <v>22</v>
      </c>
      <c r="B11" s="3">
        <v>1</v>
      </c>
      <c r="C11" s="2">
        <f>IF(AND(VLOOKUP(C$1,'20Trips'!$A$3:$I$22,8,FALSE)-VLOOKUP($A11,'20Trips'!$A$3:$I$22,9,FALSE)&gt;=VLOOKUP(VLOOKUP(C$1, '20Trips'!$A$3:$I$22,3,FALSE), '20Trips'!$AB$33:$AC$36, 2, FALSE)),1,0)</f>
        <v>0</v>
      </c>
      <c r="D11" s="2">
        <f>IF(AND(VLOOKUP(D$1,'20Trips'!$A$3:$I$22,8,FALSE)-VLOOKUP($A11,'20Trips'!$A$3:$I$22,9,FALSE)&gt;=VLOOKUP(VLOOKUP(D$1, '20Trips'!$A$3:$I$22,3,FALSE), '20Trips'!$AB$33:$AC$36, 2, FALSE)),1,0)</f>
        <v>0</v>
      </c>
      <c r="E11" s="2">
        <f>IF(AND(VLOOKUP(E$1,'20Trips'!$A$3:$I$22,8,FALSE)-VLOOKUP($A11,'20Trips'!$A$3:$I$22,9,FALSE)&gt;=VLOOKUP(VLOOKUP(E$1, '20Trips'!$A$3:$I$22,3,FALSE), '20Trips'!$AB$33:$AC$36, 2, FALSE)),1,0)</f>
        <v>0</v>
      </c>
      <c r="F11" s="2">
        <f>IF(AND(VLOOKUP(F$1,'20Trips'!$A$3:$I$22,8,FALSE)-VLOOKUP($A11,'20Trips'!$A$3:$I$22,9,FALSE)&gt;=VLOOKUP(VLOOKUP(F$1, '20Trips'!$A$3:$I$22,3,FALSE), '20Trips'!$AB$33:$AC$36, 2, FALSE)),1,0)</f>
        <v>0</v>
      </c>
      <c r="G11" s="2">
        <f>IF(AND(VLOOKUP(G$1,'20Trips'!$A$3:$I$22,8,FALSE)-VLOOKUP($A11,'20Trips'!$A$3:$I$22,9,FALSE)&gt;=VLOOKUP(VLOOKUP(G$1, '20Trips'!$A$3:$I$22,3,FALSE), '20Trips'!$AB$33:$AC$36, 2, FALSE)),1,0)</f>
        <v>0</v>
      </c>
      <c r="H11" s="2">
        <f>IF(AND(VLOOKUP(H$1,'20Trips'!$A$3:$I$22,8,FALSE)-VLOOKUP($A11,'20Trips'!$A$3:$I$22,9,FALSE)&gt;=VLOOKUP(VLOOKUP(H$1, '20Trips'!$A$3:$I$22,3,FALSE), '20Trips'!$AB$33:$AC$36, 2, FALSE)),1,0)</f>
        <v>0</v>
      </c>
      <c r="I11" s="2">
        <f>IF(AND(VLOOKUP(I$1,'20Trips'!$A$3:$I$22,8,FALSE)-VLOOKUP($A11,'20Trips'!$A$3:$I$22,9,FALSE)&gt;=VLOOKUP(VLOOKUP(I$1, '20Trips'!$A$3:$I$22,3,FALSE), '20Trips'!$AB$33:$AC$36, 2, FALSE)),1,0)</f>
        <v>0</v>
      </c>
      <c r="J11" s="2">
        <f>IF(AND(VLOOKUP(J$1,'20Trips'!$A$3:$I$22,8,FALSE)-VLOOKUP($A11,'20Trips'!$A$3:$I$22,9,FALSE)&gt;=VLOOKUP(VLOOKUP(J$1, '20Trips'!$A$3:$I$22,3,FALSE), '20Trips'!$AB$33:$AC$36, 2, FALSE)),1,0)</f>
        <v>0</v>
      </c>
      <c r="K11" s="2">
        <f>IF(AND(VLOOKUP(K$1,'20Trips'!$A$3:$I$22,8,FALSE)-VLOOKUP($A11,'20Trips'!$A$3:$I$22,9,FALSE)&gt;=VLOOKUP(VLOOKUP(K$1, '20Trips'!$A$3:$I$22,3,FALSE), '20Trips'!$AB$33:$AC$36, 2, FALSE)),1,0)</f>
        <v>0</v>
      </c>
      <c r="L11" s="2">
        <f>IF(AND(VLOOKUP(L$1,'20Trips'!$A$3:$I$22,8,FALSE)-VLOOKUP($A11,'20Trips'!$A$3:$I$22,9,FALSE)&gt;=VLOOKUP(VLOOKUP(L$1, '20Trips'!$A$3:$I$22,3,FALSE), '20Trips'!$AB$33:$AC$36, 2, FALSE)),1,0)</f>
        <v>0</v>
      </c>
      <c r="M11" s="2">
        <f>IF(AND(VLOOKUP(M$1,'20Trips'!$A$3:$I$22,8,FALSE)-VLOOKUP($A11,'20Trips'!$A$3:$I$22,9,FALSE)&gt;=VLOOKUP(VLOOKUP(M$1, '20Trips'!$A$3:$I$22,3,FALSE), '20Trips'!$AB$33:$AC$36, 2, FALSE)),1,0)</f>
        <v>0</v>
      </c>
      <c r="N11" s="2">
        <f>IF(AND(VLOOKUP(N$1,'20Trips'!$A$3:$I$22,8,FALSE)-VLOOKUP($A11,'20Trips'!$A$3:$I$22,9,FALSE)&gt;=VLOOKUP(VLOOKUP(N$1, '20Trips'!$A$3:$I$22,3,FALSE), '20Trips'!$AB$33:$AC$36, 2, FALSE)),1,0)</f>
        <v>0</v>
      </c>
      <c r="O11" s="2">
        <f>IF(AND(VLOOKUP(O$1,'20Trips'!$A$3:$I$22,8,FALSE)-VLOOKUP($A11,'20Trips'!$A$3:$I$22,9,FALSE)&gt;=VLOOKUP(VLOOKUP(O$1, '20Trips'!$A$3:$I$22,3,FALSE), '20Trips'!$AB$33:$AC$36, 2, FALSE)),1,0)</f>
        <v>0</v>
      </c>
      <c r="P11" s="2">
        <f>IF(AND(VLOOKUP(P$1,'20Trips'!$A$3:$I$22,8,FALSE)-VLOOKUP($A11,'20Trips'!$A$3:$I$22,9,FALSE)&gt;=VLOOKUP(VLOOKUP(P$1, '20Trips'!$A$3:$I$22,3,FALSE), '20Trips'!$AB$33:$AC$36, 2, FALSE)),1,0)</f>
        <v>0</v>
      </c>
      <c r="Q11" s="2">
        <f>IF(AND(VLOOKUP(Q$1,'20Trips'!$A$3:$I$22,8,FALSE)-VLOOKUP($A11,'20Trips'!$A$3:$I$22,9,FALSE)&gt;=VLOOKUP(VLOOKUP(Q$1, '20Trips'!$A$3:$I$22,3,FALSE), '20Trips'!$AB$33:$AC$36, 2, FALSE)),1,0)</f>
        <v>0</v>
      </c>
      <c r="R11" s="2">
        <f>IF(AND(VLOOKUP(R$1,'20Trips'!$A$3:$I$22,8,FALSE)-VLOOKUP($A11,'20Trips'!$A$3:$I$22,9,FALSE)&gt;=VLOOKUP(VLOOKUP(R$1, '20Trips'!$A$3:$I$22,3,FALSE), '20Trips'!$AB$33:$AC$36, 2, FALSE)),1,0)</f>
        <v>0</v>
      </c>
      <c r="S11" s="2">
        <f>IF(AND(VLOOKUP(S$1,'20Trips'!$A$3:$I$22,8,FALSE)-VLOOKUP($A11,'20Trips'!$A$3:$I$22,9,FALSE)&gt;=VLOOKUP(VLOOKUP(S$1, '20Trips'!$A$3:$I$22,3,FALSE), '20Trips'!$AB$33:$AC$36, 2, FALSE)),1,0)</f>
        <v>0</v>
      </c>
      <c r="T11" s="2">
        <f>IF(AND(VLOOKUP(T$1,'20Trips'!$A$3:$I$22,8,FALSE)-VLOOKUP($A11,'20Trips'!$A$3:$I$22,9,FALSE)&gt;=VLOOKUP(VLOOKUP(T$1, '20Trips'!$A$3:$I$22,3,FALSE), '20Trips'!$AB$33:$AC$36, 2, FALSE)),1,0)</f>
        <v>0</v>
      </c>
      <c r="U11" s="2">
        <f>IF(AND(VLOOKUP(U$1,'20Trips'!$A$3:$I$22,8,FALSE)-VLOOKUP($A11,'20Trips'!$A$3:$I$22,9,FALSE)&gt;=VLOOKUP(VLOOKUP(U$1, '20Trips'!$A$3:$I$22,3,FALSE), '20Trips'!$AB$33:$AC$36, 2, FALSE)),1,0)</f>
        <v>0</v>
      </c>
      <c r="V11" s="2">
        <f>IF(AND(VLOOKUP(V$1,'20Trips'!$A$3:$I$22,8,FALSE)-VLOOKUP($A11,'20Trips'!$A$3:$I$22,9,FALSE)&gt;=VLOOKUP(VLOOKUP(V$1, '20Trips'!$A$3:$I$22,3,FALSE), '20Trips'!$AB$33:$AC$36, 2, FALSE)),1,0)</f>
        <v>0</v>
      </c>
    </row>
    <row r="12" spans="1:22" x14ac:dyDescent="0.25">
      <c r="A12" t="s">
        <v>23</v>
      </c>
      <c r="B12" s="3">
        <v>1</v>
      </c>
      <c r="C12" s="2">
        <f>IF(AND(VLOOKUP(C$1,'20Trips'!$A$3:$I$22,8,FALSE)-VLOOKUP($A12,'20Trips'!$A$3:$I$22,9,FALSE)&gt;=VLOOKUP(VLOOKUP(C$1, '20Trips'!$A$3:$I$22,3,FALSE), '20Trips'!$AB$33:$AC$36, 2, FALSE)),1,0)</f>
        <v>0</v>
      </c>
      <c r="D12" s="2">
        <f>IF(AND(VLOOKUP(D$1,'20Trips'!$A$3:$I$22,8,FALSE)-VLOOKUP($A12,'20Trips'!$A$3:$I$22,9,FALSE)&gt;=VLOOKUP(VLOOKUP(D$1, '20Trips'!$A$3:$I$22,3,FALSE), '20Trips'!$AB$33:$AC$36, 2, FALSE)),1,0)</f>
        <v>0</v>
      </c>
      <c r="E12" s="2">
        <f>IF(AND(VLOOKUP(E$1,'20Trips'!$A$3:$I$22,8,FALSE)-VLOOKUP($A12,'20Trips'!$A$3:$I$22,9,FALSE)&gt;=VLOOKUP(VLOOKUP(E$1, '20Trips'!$A$3:$I$22,3,FALSE), '20Trips'!$AB$33:$AC$36, 2, FALSE)),1,0)</f>
        <v>0</v>
      </c>
      <c r="F12" s="2">
        <f>IF(AND(VLOOKUP(F$1,'20Trips'!$A$3:$I$22,8,FALSE)-VLOOKUP($A12,'20Trips'!$A$3:$I$22,9,FALSE)&gt;=VLOOKUP(VLOOKUP(F$1, '20Trips'!$A$3:$I$22,3,FALSE), '20Trips'!$AB$33:$AC$36, 2, FALSE)),1,0)</f>
        <v>0</v>
      </c>
      <c r="G12" s="2">
        <f>IF(AND(VLOOKUP(G$1,'20Trips'!$A$3:$I$22,8,FALSE)-VLOOKUP($A12,'20Trips'!$A$3:$I$22,9,FALSE)&gt;=VLOOKUP(VLOOKUP(G$1, '20Trips'!$A$3:$I$22,3,FALSE), '20Trips'!$AB$33:$AC$36, 2, FALSE)),1,0)</f>
        <v>0</v>
      </c>
      <c r="H12" s="2">
        <f>IF(AND(VLOOKUP(H$1,'20Trips'!$A$3:$I$22,8,FALSE)-VLOOKUP($A12,'20Trips'!$A$3:$I$22,9,FALSE)&gt;=VLOOKUP(VLOOKUP(H$1, '20Trips'!$A$3:$I$22,3,FALSE), '20Trips'!$AB$33:$AC$36, 2, FALSE)),1,0)</f>
        <v>0</v>
      </c>
      <c r="I12" s="2">
        <f>IF(AND(VLOOKUP(I$1,'20Trips'!$A$3:$I$22,8,FALSE)-VLOOKUP($A12,'20Trips'!$A$3:$I$22,9,FALSE)&gt;=VLOOKUP(VLOOKUP(I$1, '20Trips'!$A$3:$I$22,3,FALSE), '20Trips'!$AB$33:$AC$36, 2, FALSE)),1,0)</f>
        <v>0</v>
      </c>
      <c r="J12" s="2">
        <f>IF(AND(VLOOKUP(J$1,'20Trips'!$A$3:$I$22,8,FALSE)-VLOOKUP($A12,'20Trips'!$A$3:$I$22,9,FALSE)&gt;=VLOOKUP(VLOOKUP(J$1, '20Trips'!$A$3:$I$22,3,FALSE), '20Trips'!$AB$33:$AC$36, 2, FALSE)),1,0)</f>
        <v>0</v>
      </c>
      <c r="K12" s="2">
        <f>IF(AND(VLOOKUP(K$1,'20Trips'!$A$3:$I$22,8,FALSE)-VLOOKUP($A12,'20Trips'!$A$3:$I$22,9,FALSE)&gt;=VLOOKUP(VLOOKUP(K$1, '20Trips'!$A$3:$I$22,3,FALSE), '20Trips'!$AB$33:$AC$36, 2, FALSE)),1,0)</f>
        <v>0</v>
      </c>
      <c r="L12" s="2">
        <f>IF(AND(VLOOKUP(L$1,'20Trips'!$A$3:$I$22,8,FALSE)-VLOOKUP($A12,'20Trips'!$A$3:$I$22,9,FALSE)&gt;=VLOOKUP(VLOOKUP(L$1, '20Trips'!$A$3:$I$22,3,FALSE), '20Trips'!$AB$33:$AC$36, 2, FALSE)),1,0)</f>
        <v>0</v>
      </c>
      <c r="M12" s="2">
        <f>IF(AND(VLOOKUP(M$1,'20Trips'!$A$3:$I$22,8,FALSE)-VLOOKUP($A12,'20Trips'!$A$3:$I$22,9,FALSE)&gt;=VLOOKUP(VLOOKUP(M$1, '20Trips'!$A$3:$I$22,3,FALSE), '20Trips'!$AB$33:$AC$36, 2, FALSE)),1,0)</f>
        <v>0</v>
      </c>
      <c r="N12" s="2">
        <f>IF(AND(VLOOKUP(N$1,'20Trips'!$A$3:$I$22,8,FALSE)-VLOOKUP($A12,'20Trips'!$A$3:$I$22,9,FALSE)&gt;=VLOOKUP(VLOOKUP(N$1, '20Trips'!$A$3:$I$22,3,FALSE), '20Trips'!$AB$33:$AC$36, 2, FALSE)),1,0)</f>
        <v>0</v>
      </c>
      <c r="O12" s="2">
        <f>IF(AND(VLOOKUP(O$1,'20Trips'!$A$3:$I$22,8,FALSE)-VLOOKUP($A12,'20Trips'!$A$3:$I$22,9,FALSE)&gt;=VLOOKUP(VLOOKUP(O$1, '20Trips'!$A$3:$I$22,3,FALSE), '20Trips'!$AB$33:$AC$36, 2, FALSE)),1,0)</f>
        <v>0</v>
      </c>
      <c r="P12" s="2">
        <f>IF(AND(VLOOKUP(P$1,'20Trips'!$A$3:$I$22,8,FALSE)-VLOOKUP($A12,'20Trips'!$A$3:$I$22,9,FALSE)&gt;=VLOOKUP(VLOOKUP(P$1, '20Trips'!$A$3:$I$22,3,FALSE), '20Trips'!$AB$33:$AC$36, 2, FALSE)),1,0)</f>
        <v>0</v>
      </c>
      <c r="Q12" s="2">
        <f>IF(AND(VLOOKUP(Q$1,'20Trips'!$A$3:$I$22,8,FALSE)-VLOOKUP($A12,'20Trips'!$A$3:$I$22,9,FALSE)&gt;=VLOOKUP(VLOOKUP(Q$1, '20Trips'!$A$3:$I$22,3,FALSE), '20Trips'!$AB$33:$AC$36, 2, FALSE)),1,0)</f>
        <v>0</v>
      </c>
      <c r="R12" s="2">
        <f>IF(AND(VLOOKUP(R$1,'20Trips'!$A$3:$I$22,8,FALSE)-VLOOKUP($A12,'20Trips'!$A$3:$I$22,9,FALSE)&gt;=VLOOKUP(VLOOKUP(R$1, '20Trips'!$A$3:$I$22,3,FALSE), '20Trips'!$AB$33:$AC$36, 2, FALSE)),1,0)</f>
        <v>0</v>
      </c>
      <c r="S12" s="2">
        <f>IF(AND(VLOOKUP(S$1,'20Trips'!$A$3:$I$22,8,FALSE)-VLOOKUP($A12,'20Trips'!$A$3:$I$22,9,FALSE)&gt;=VLOOKUP(VLOOKUP(S$1, '20Trips'!$A$3:$I$22,3,FALSE), '20Trips'!$AB$33:$AC$36, 2, FALSE)),1,0)</f>
        <v>0</v>
      </c>
      <c r="T12" s="2">
        <f>IF(AND(VLOOKUP(T$1,'20Trips'!$A$3:$I$22,8,FALSE)-VLOOKUP($A12,'20Trips'!$A$3:$I$22,9,FALSE)&gt;=VLOOKUP(VLOOKUP(T$1, '20Trips'!$A$3:$I$22,3,FALSE), '20Trips'!$AB$33:$AC$36, 2, FALSE)),1,0)</f>
        <v>0</v>
      </c>
      <c r="U12" s="2">
        <f>IF(AND(VLOOKUP(U$1,'20Trips'!$A$3:$I$22,8,FALSE)-VLOOKUP($A12,'20Trips'!$A$3:$I$22,9,FALSE)&gt;=VLOOKUP(VLOOKUP(U$1, '20Trips'!$A$3:$I$22,3,FALSE), '20Trips'!$AB$33:$AC$36, 2, FALSE)),1,0)</f>
        <v>0</v>
      </c>
      <c r="V12" s="2">
        <f>IF(AND(VLOOKUP(V$1,'20Trips'!$A$3:$I$22,8,FALSE)-VLOOKUP($A12,'20Trips'!$A$3:$I$22,9,FALSE)&gt;=VLOOKUP(VLOOKUP(V$1, '20Trips'!$A$3:$I$22,3,FALSE), '20Trips'!$AB$33:$AC$36, 2, FALSE)),1,0)</f>
        <v>0</v>
      </c>
    </row>
    <row r="13" spans="1:22" x14ac:dyDescent="0.25">
      <c r="A13" t="s">
        <v>26</v>
      </c>
      <c r="B13" s="3">
        <v>1</v>
      </c>
      <c r="C13" s="2">
        <f>IF(AND(VLOOKUP(C$1,'20Trips'!$A$3:$I$22,8,FALSE)-VLOOKUP($A13,'20Trips'!$A$3:$I$22,9,FALSE)&gt;=VLOOKUP(VLOOKUP(C$1, '20Trips'!$A$3:$I$22,3,FALSE), '20Trips'!$AB$33:$AC$36, 2, FALSE)),1,0)</f>
        <v>0</v>
      </c>
      <c r="D13" s="2">
        <f>IF(AND(VLOOKUP(D$1,'20Trips'!$A$3:$I$22,8,FALSE)-VLOOKUP($A13,'20Trips'!$A$3:$I$22,9,FALSE)&gt;=VLOOKUP(VLOOKUP(D$1, '20Trips'!$A$3:$I$22,3,FALSE), '20Trips'!$AB$33:$AC$36, 2, FALSE)),1,0)</f>
        <v>1</v>
      </c>
      <c r="E13" s="2">
        <f>IF(AND(VLOOKUP(E$1,'20Trips'!$A$3:$I$22,8,FALSE)-VLOOKUP($A13,'20Trips'!$A$3:$I$22,9,FALSE)&gt;=VLOOKUP(VLOOKUP(E$1, '20Trips'!$A$3:$I$22,3,FALSE), '20Trips'!$AB$33:$AC$36, 2, FALSE)),1,0)</f>
        <v>1</v>
      </c>
      <c r="F13" s="2">
        <f>IF(AND(VLOOKUP(F$1,'20Trips'!$A$3:$I$22,8,FALSE)-VLOOKUP($A13,'20Trips'!$A$3:$I$22,9,FALSE)&gt;=VLOOKUP(VLOOKUP(F$1, '20Trips'!$A$3:$I$22,3,FALSE), '20Trips'!$AB$33:$AC$36, 2, FALSE)),1,0)</f>
        <v>1</v>
      </c>
      <c r="G13" s="2">
        <f>IF(AND(VLOOKUP(G$1,'20Trips'!$A$3:$I$22,8,FALSE)-VLOOKUP($A13,'20Trips'!$A$3:$I$22,9,FALSE)&gt;=VLOOKUP(VLOOKUP(G$1, '20Trips'!$A$3:$I$22,3,FALSE), '20Trips'!$AB$33:$AC$36, 2, FALSE)),1,0)</f>
        <v>1</v>
      </c>
      <c r="H13" s="2">
        <f>IF(AND(VLOOKUP(H$1,'20Trips'!$A$3:$I$22,8,FALSE)-VLOOKUP($A13,'20Trips'!$A$3:$I$22,9,FALSE)&gt;=VLOOKUP(VLOOKUP(H$1, '20Trips'!$A$3:$I$22,3,FALSE), '20Trips'!$AB$33:$AC$36, 2, FALSE)),1,0)</f>
        <v>0</v>
      </c>
      <c r="I13" s="2">
        <f>IF(AND(VLOOKUP(I$1,'20Trips'!$A$3:$I$22,8,FALSE)-VLOOKUP($A13,'20Trips'!$A$3:$I$22,9,FALSE)&gt;=VLOOKUP(VLOOKUP(I$1, '20Trips'!$A$3:$I$22,3,FALSE), '20Trips'!$AB$33:$AC$36, 2, FALSE)),1,0)</f>
        <v>0</v>
      </c>
      <c r="J13" s="2">
        <f>IF(AND(VLOOKUP(J$1,'20Trips'!$A$3:$I$22,8,FALSE)-VLOOKUP($A13,'20Trips'!$A$3:$I$22,9,FALSE)&gt;=VLOOKUP(VLOOKUP(J$1, '20Trips'!$A$3:$I$22,3,FALSE), '20Trips'!$AB$33:$AC$36, 2, FALSE)),1,0)</f>
        <v>1</v>
      </c>
      <c r="K13" s="2">
        <f>IF(AND(VLOOKUP(K$1,'20Trips'!$A$3:$I$22,8,FALSE)-VLOOKUP($A13,'20Trips'!$A$3:$I$22,9,FALSE)&gt;=VLOOKUP(VLOOKUP(K$1, '20Trips'!$A$3:$I$22,3,FALSE), '20Trips'!$AB$33:$AC$36, 2, FALSE)),1,0)</f>
        <v>1</v>
      </c>
      <c r="L13" s="2">
        <f>IF(AND(VLOOKUP(L$1,'20Trips'!$A$3:$I$22,8,FALSE)-VLOOKUP($A13,'20Trips'!$A$3:$I$22,9,FALSE)&gt;=VLOOKUP(VLOOKUP(L$1, '20Trips'!$A$3:$I$22,3,FALSE), '20Trips'!$AB$33:$AC$36, 2, FALSE)),1,0)</f>
        <v>1</v>
      </c>
      <c r="M13" s="2">
        <f>IF(AND(VLOOKUP(M$1,'20Trips'!$A$3:$I$22,8,FALSE)-VLOOKUP($A13,'20Trips'!$A$3:$I$22,9,FALSE)&gt;=VLOOKUP(VLOOKUP(M$1, '20Trips'!$A$3:$I$22,3,FALSE), '20Trips'!$AB$33:$AC$36, 2, FALSE)),1,0)</f>
        <v>0</v>
      </c>
      <c r="N13" s="2">
        <f>IF(AND(VLOOKUP(N$1,'20Trips'!$A$3:$I$22,8,FALSE)-VLOOKUP($A13,'20Trips'!$A$3:$I$22,9,FALSE)&gt;=VLOOKUP(VLOOKUP(N$1, '20Trips'!$A$3:$I$22,3,FALSE), '20Trips'!$AB$33:$AC$36, 2, FALSE)),1,0)</f>
        <v>0</v>
      </c>
      <c r="O13" s="2">
        <f>IF(AND(VLOOKUP(O$1,'20Trips'!$A$3:$I$22,8,FALSE)-VLOOKUP($A13,'20Trips'!$A$3:$I$22,9,FALSE)&gt;=VLOOKUP(VLOOKUP(O$1, '20Trips'!$A$3:$I$22,3,FALSE), '20Trips'!$AB$33:$AC$36, 2, FALSE)),1,0)</f>
        <v>1</v>
      </c>
      <c r="P13" s="2">
        <f>IF(AND(VLOOKUP(P$1,'20Trips'!$A$3:$I$22,8,FALSE)-VLOOKUP($A13,'20Trips'!$A$3:$I$22,9,FALSE)&gt;=VLOOKUP(VLOOKUP(P$1, '20Trips'!$A$3:$I$22,3,FALSE), '20Trips'!$AB$33:$AC$36, 2, FALSE)),1,0)</f>
        <v>1</v>
      </c>
      <c r="Q13" s="2">
        <f>IF(AND(VLOOKUP(Q$1,'20Trips'!$A$3:$I$22,8,FALSE)-VLOOKUP($A13,'20Trips'!$A$3:$I$22,9,FALSE)&gt;=VLOOKUP(VLOOKUP(Q$1, '20Trips'!$A$3:$I$22,3,FALSE), '20Trips'!$AB$33:$AC$36, 2, FALSE)),1,0)</f>
        <v>1</v>
      </c>
      <c r="R13" s="2">
        <f>IF(AND(VLOOKUP(R$1,'20Trips'!$A$3:$I$22,8,FALSE)-VLOOKUP($A13,'20Trips'!$A$3:$I$22,9,FALSE)&gt;=VLOOKUP(VLOOKUP(R$1, '20Trips'!$A$3:$I$22,3,FALSE), '20Trips'!$AB$33:$AC$36, 2, FALSE)),1,0)</f>
        <v>0</v>
      </c>
      <c r="S13" s="2">
        <f>IF(AND(VLOOKUP(S$1,'20Trips'!$A$3:$I$22,8,FALSE)-VLOOKUP($A13,'20Trips'!$A$3:$I$22,9,FALSE)&gt;=VLOOKUP(VLOOKUP(S$1, '20Trips'!$A$3:$I$22,3,FALSE), '20Trips'!$AB$33:$AC$36, 2, FALSE)),1,0)</f>
        <v>1</v>
      </c>
      <c r="T13" s="2">
        <f>IF(AND(VLOOKUP(T$1,'20Trips'!$A$3:$I$22,8,FALSE)-VLOOKUP($A13,'20Trips'!$A$3:$I$22,9,FALSE)&gt;=VLOOKUP(VLOOKUP(T$1, '20Trips'!$A$3:$I$22,3,FALSE), '20Trips'!$AB$33:$AC$36, 2, FALSE)),1,0)</f>
        <v>1</v>
      </c>
      <c r="U13" s="2">
        <f>IF(AND(VLOOKUP(U$1,'20Trips'!$A$3:$I$22,8,FALSE)-VLOOKUP($A13,'20Trips'!$A$3:$I$22,9,FALSE)&gt;=VLOOKUP(VLOOKUP(U$1, '20Trips'!$A$3:$I$22,3,FALSE), '20Trips'!$AB$33:$AC$36, 2, FALSE)),1,0)</f>
        <v>1</v>
      </c>
      <c r="V13" s="2">
        <f>IF(AND(VLOOKUP(V$1,'20Trips'!$A$3:$I$22,8,FALSE)-VLOOKUP($A13,'20Trips'!$A$3:$I$22,9,FALSE)&gt;=VLOOKUP(VLOOKUP(V$1, '20Trips'!$A$3:$I$22,3,FALSE), '20Trips'!$AB$33:$AC$36, 2, FALSE)),1,0)</f>
        <v>1</v>
      </c>
    </row>
    <row r="14" spans="1:22" x14ac:dyDescent="0.25">
      <c r="A14" t="s">
        <v>27</v>
      </c>
      <c r="B14" s="3">
        <v>1</v>
      </c>
      <c r="C14" s="2">
        <f>IF(AND(VLOOKUP(C$1,'20Trips'!$A$3:$I$22,8,FALSE)-VLOOKUP($A14,'20Trips'!$A$3:$I$22,9,FALSE)&gt;=VLOOKUP(VLOOKUP(C$1, '20Trips'!$A$3:$I$22,3,FALSE), '20Trips'!$AB$33:$AC$36, 2, FALSE)),1,0)</f>
        <v>0</v>
      </c>
      <c r="D14" s="2">
        <f>IF(AND(VLOOKUP(D$1,'20Trips'!$A$3:$I$22,8,FALSE)-VLOOKUP($A14,'20Trips'!$A$3:$I$22,9,FALSE)&gt;=VLOOKUP(VLOOKUP(D$1, '20Trips'!$A$3:$I$22,3,FALSE), '20Trips'!$AB$33:$AC$36, 2, FALSE)),1,0)</f>
        <v>0</v>
      </c>
      <c r="E14" s="2">
        <f>IF(AND(VLOOKUP(E$1,'20Trips'!$A$3:$I$22,8,FALSE)-VLOOKUP($A14,'20Trips'!$A$3:$I$22,9,FALSE)&gt;=VLOOKUP(VLOOKUP(E$1, '20Trips'!$A$3:$I$22,3,FALSE), '20Trips'!$AB$33:$AC$36, 2, FALSE)),1,0)</f>
        <v>1</v>
      </c>
      <c r="F14" s="2">
        <f>IF(AND(VLOOKUP(F$1,'20Trips'!$A$3:$I$22,8,FALSE)-VLOOKUP($A14,'20Trips'!$A$3:$I$22,9,FALSE)&gt;=VLOOKUP(VLOOKUP(F$1, '20Trips'!$A$3:$I$22,3,FALSE), '20Trips'!$AB$33:$AC$36, 2, FALSE)),1,0)</f>
        <v>1</v>
      </c>
      <c r="G14" s="2">
        <f>IF(AND(VLOOKUP(G$1,'20Trips'!$A$3:$I$22,8,FALSE)-VLOOKUP($A14,'20Trips'!$A$3:$I$22,9,FALSE)&gt;=VLOOKUP(VLOOKUP(G$1, '20Trips'!$A$3:$I$22,3,FALSE), '20Trips'!$AB$33:$AC$36, 2, FALSE)),1,0)</f>
        <v>1</v>
      </c>
      <c r="H14" s="2">
        <f>IF(AND(VLOOKUP(H$1,'20Trips'!$A$3:$I$22,8,FALSE)-VLOOKUP($A14,'20Trips'!$A$3:$I$22,9,FALSE)&gt;=VLOOKUP(VLOOKUP(H$1, '20Trips'!$A$3:$I$22,3,FALSE), '20Trips'!$AB$33:$AC$36, 2, FALSE)),1,0)</f>
        <v>0</v>
      </c>
      <c r="I14" s="2">
        <f>IF(AND(VLOOKUP(I$1,'20Trips'!$A$3:$I$22,8,FALSE)-VLOOKUP($A14,'20Trips'!$A$3:$I$22,9,FALSE)&gt;=VLOOKUP(VLOOKUP(I$1, '20Trips'!$A$3:$I$22,3,FALSE), '20Trips'!$AB$33:$AC$36, 2, FALSE)),1,0)</f>
        <v>0</v>
      </c>
      <c r="J14" s="2">
        <f>IF(AND(VLOOKUP(J$1,'20Trips'!$A$3:$I$22,8,FALSE)-VLOOKUP($A14,'20Trips'!$A$3:$I$22,9,FALSE)&gt;=VLOOKUP(VLOOKUP(J$1, '20Trips'!$A$3:$I$22,3,FALSE), '20Trips'!$AB$33:$AC$36, 2, FALSE)),1,0)</f>
        <v>1</v>
      </c>
      <c r="K14" s="2">
        <f>IF(AND(VLOOKUP(K$1,'20Trips'!$A$3:$I$22,8,FALSE)-VLOOKUP($A14,'20Trips'!$A$3:$I$22,9,FALSE)&gt;=VLOOKUP(VLOOKUP(K$1, '20Trips'!$A$3:$I$22,3,FALSE), '20Trips'!$AB$33:$AC$36, 2, FALSE)),1,0)</f>
        <v>1</v>
      </c>
      <c r="L14" s="2">
        <f>IF(AND(VLOOKUP(L$1,'20Trips'!$A$3:$I$22,8,FALSE)-VLOOKUP($A14,'20Trips'!$A$3:$I$22,9,FALSE)&gt;=VLOOKUP(VLOOKUP(L$1, '20Trips'!$A$3:$I$22,3,FALSE), '20Trips'!$AB$33:$AC$36, 2, FALSE)),1,0)</f>
        <v>1</v>
      </c>
      <c r="M14" s="2">
        <f>IF(AND(VLOOKUP(M$1,'20Trips'!$A$3:$I$22,8,FALSE)-VLOOKUP($A14,'20Trips'!$A$3:$I$22,9,FALSE)&gt;=VLOOKUP(VLOOKUP(M$1, '20Trips'!$A$3:$I$22,3,FALSE), '20Trips'!$AB$33:$AC$36, 2, FALSE)),1,0)</f>
        <v>0</v>
      </c>
      <c r="N14" s="2">
        <f>IF(AND(VLOOKUP(N$1,'20Trips'!$A$3:$I$22,8,FALSE)-VLOOKUP($A14,'20Trips'!$A$3:$I$22,9,FALSE)&gt;=VLOOKUP(VLOOKUP(N$1, '20Trips'!$A$3:$I$22,3,FALSE), '20Trips'!$AB$33:$AC$36, 2, FALSE)),1,0)</f>
        <v>0</v>
      </c>
      <c r="O14" s="2">
        <f>IF(AND(VLOOKUP(O$1,'20Trips'!$A$3:$I$22,8,FALSE)-VLOOKUP($A14,'20Trips'!$A$3:$I$22,9,FALSE)&gt;=VLOOKUP(VLOOKUP(O$1, '20Trips'!$A$3:$I$22,3,FALSE), '20Trips'!$AB$33:$AC$36, 2, FALSE)),1,0)</f>
        <v>0</v>
      </c>
      <c r="P14" s="2">
        <f>IF(AND(VLOOKUP(P$1,'20Trips'!$A$3:$I$22,8,FALSE)-VLOOKUP($A14,'20Trips'!$A$3:$I$22,9,FALSE)&gt;=VLOOKUP(VLOOKUP(P$1, '20Trips'!$A$3:$I$22,3,FALSE), '20Trips'!$AB$33:$AC$36, 2, FALSE)),1,0)</f>
        <v>1</v>
      </c>
      <c r="Q14" s="2">
        <f>IF(AND(VLOOKUP(Q$1,'20Trips'!$A$3:$I$22,8,FALSE)-VLOOKUP($A14,'20Trips'!$A$3:$I$22,9,FALSE)&gt;=VLOOKUP(VLOOKUP(Q$1, '20Trips'!$A$3:$I$22,3,FALSE), '20Trips'!$AB$33:$AC$36, 2, FALSE)),1,0)</f>
        <v>1</v>
      </c>
      <c r="R14" s="2">
        <f>IF(AND(VLOOKUP(R$1,'20Trips'!$A$3:$I$22,8,FALSE)-VLOOKUP($A14,'20Trips'!$A$3:$I$22,9,FALSE)&gt;=VLOOKUP(VLOOKUP(R$1, '20Trips'!$A$3:$I$22,3,FALSE), '20Trips'!$AB$33:$AC$36, 2, FALSE)),1,0)</f>
        <v>0</v>
      </c>
      <c r="S14" s="2">
        <f>IF(AND(VLOOKUP(S$1,'20Trips'!$A$3:$I$22,8,FALSE)-VLOOKUP($A14,'20Trips'!$A$3:$I$22,9,FALSE)&gt;=VLOOKUP(VLOOKUP(S$1, '20Trips'!$A$3:$I$22,3,FALSE), '20Trips'!$AB$33:$AC$36, 2, FALSE)),1,0)</f>
        <v>0</v>
      </c>
      <c r="T14" s="2">
        <f>IF(AND(VLOOKUP(T$1,'20Trips'!$A$3:$I$22,8,FALSE)-VLOOKUP($A14,'20Trips'!$A$3:$I$22,9,FALSE)&gt;=VLOOKUP(VLOOKUP(T$1, '20Trips'!$A$3:$I$22,3,FALSE), '20Trips'!$AB$33:$AC$36, 2, FALSE)),1,0)</f>
        <v>1</v>
      </c>
      <c r="U14" s="2">
        <f>IF(AND(VLOOKUP(U$1,'20Trips'!$A$3:$I$22,8,FALSE)-VLOOKUP($A14,'20Trips'!$A$3:$I$22,9,FALSE)&gt;=VLOOKUP(VLOOKUP(U$1, '20Trips'!$A$3:$I$22,3,FALSE), '20Trips'!$AB$33:$AC$36, 2, FALSE)),1,0)</f>
        <v>1</v>
      </c>
      <c r="V14" s="2">
        <f>IF(AND(VLOOKUP(V$1,'20Trips'!$A$3:$I$22,8,FALSE)-VLOOKUP($A14,'20Trips'!$A$3:$I$22,9,FALSE)&gt;=VLOOKUP(VLOOKUP(V$1, '20Trips'!$A$3:$I$22,3,FALSE), '20Trips'!$AB$33:$AC$36, 2, FALSE)),1,0)</f>
        <v>1</v>
      </c>
    </row>
    <row r="15" spans="1:22" x14ac:dyDescent="0.25">
      <c r="A15" t="s">
        <v>28</v>
      </c>
      <c r="B15" s="3">
        <v>1</v>
      </c>
      <c r="C15" s="2">
        <f>IF(AND(VLOOKUP(C$1,'20Trips'!$A$3:$I$22,8,FALSE)-VLOOKUP($A15,'20Trips'!$A$3:$I$22,9,FALSE)&gt;=VLOOKUP(VLOOKUP(C$1, '20Trips'!$A$3:$I$22,3,FALSE), '20Trips'!$AB$33:$AC$36, 2, FALSE)),1,0)</f>
        <v>0</v>
      </c>
      <c r="D15" s="2">
        <f>IF(AND(VLOOKUP(D$1,'20Trips'!$A$3:$I$22,8,FALSE)-VLOOKUP($A15,'20Trips'!$A$3:$I$22,9,FALSE)&gt;=VLOOKUP(VLOOKUP(D$1, '20Trips'!$A$3:$I$22,3,FALSE), '20Trips'!$AB$33:$AC$36, 2, FALSE)),1,0)</f>
        <v>0</v>
      </c>
      <c r="E15" s="2">
        <f>IF(AND(VLOOKUP(E$1,'20Trips'!$A$3:$I$22,8,FALSE)-VLOOKUP($A15,'20Trips'!$A$3:$I$22,9,FALSE)&gt;=VLOOKUP(VLOOKUP(E$1, '20Trips'!$A$3:$I$22,3,FALSE), '20Trips'!$AB$33:$AC$36, 2, FALSE)),1,0)</f>
        <v>0</v>
      </c>
      <c r="F15" s="2">
        <f>IF(AND(VLOOKUP(F$1,'20Trips'!$A$3:$I$22,8,FALSE)-VLOOKUP($A15,'20Trips'!$A$3:$I$22,9,FALSE)&gt;=VLOOKUP(VLOOKUP(F$1, '20Trips'!$A$3:$I$22,3,FALSE), '20Trips'!$AB$33:$AC$36, 2, FALSE)),1,0)</f>
        <v>1</v>
      </c>
      <c r="G15" s="2">
        <f>IF(AND(VLOOKUP(G$1,'20Trips'!$A$3:$I$22,8,FALSE)-VLOOKUP($A15,'20Trips'!$A$3:$I$22,9,FALSE)&gt;=VLOOKUP(VLOOKUP(G$1, '20Trips'!$A$3:$I$22,3,FALSE), '20Trips'!$AB$33:$AC$36, 2, FALSE)),1,0)</f>
        <v>1</v>
      </c>
      <c r="H15" s="2">
        <f>IF(AND(VLOOKUP(H$1,'20Trips'!$A$3:$I$22,8,FALSE)-VLOOKUP($A15,'20Trips'!$A$3:$I$22,9,FALSE)&gt;=VLOOKUP(VLOOKUP(H$1, '20Trips'!$A$3:$I$22,3,FALSE), '20Trips'!$AB$33:$AC$36, 2, FALSE)),1,0)</f>
        <v>0</v>
      </c>
      <c r="I15" s="2">
        <f>IF(AND(VLOOKUP(I$1,'20Trips'!$A$3:$I$22,8,FALSE)-VLOOKUP($A15,'20Trips'!$A$3:$I$22,9,FALSE)&gt;=VLOOKUP(VLOOKUP(I$1, '20Trips'!$A$3:$I$22,3,FALSE), '20Trips'!$AB$33:$AC$36, 2, FALSE)),1,0)</f>
        <v>0</v>
      </c>
      <c r="J15" s="2">
        <f>IF(AND(VLOOKUP(J$1,'20Trips'!$A$3:$I$22,8,FALSE)-VLOOKUP($A15,'20Trips'!$A$3:$I$22,9,FALSE)&gt;=VLOOKUP(VLOOKUP(J$1, '20Trips'!$A$3:$I$22,3,FALSE), '20Trips'!$AB$33:$AC$36, 2, FALSE)),1,0)</f>
        <v>0</v>
      </c>
      <c r="K15" s="2">
        <f>IF(AND(VLOOKUP(K$1,'20Trips'!$A$3:$I$22,8,FALSE)-VLOOKUP($A15,'20Trips'!$A$3:$I$22,9,FALSE)&gt;=VLOOKUP(VLOOKUP(K$1, '20Trips'!$A$3:$I$22,3,FALSE), '20Trips'!$AB$33:$AC$36, 2, FALSE)),1,0)</f>
        <v>1</v>
      </c>
      <c r="L15" s="2">
        <f>IF(AND(VLOOKUP(L$1,'20Trips'!$A$3:$I$22,8,FALSE)-VLOOKUP($A15,'20Trips'!$A$3:$I$22,9,FALSE)&gt;=VLOOKUP(VLOOKUP(L$1, '20Trips'!$A$3:$I$22,3,FALSE), '20Trips'!$AB$33:$AC$36, 2, FALSE)),1,0)</f>
        <v>1</v>
      </c>
      <c r="M15" s="2">
        <f>IF(AND(VLOOKUP(M$1,'20Trips'!$A$3:$I$22,8,FALSE)-VLOOKUP($A15,'20Trips'!$A$3:$I$22,9,FALSE)&gt;=VLOOKUP(VLOOKUP(M$1, '20Trips'!$A$3:$I$22,3,FALSE), '20Trips'!$AB$33:$AC$36, 2, FALSE)),1,0)</f>
        <v>0</v>
      </c>
      <c r="N15" s="2">
        <f>IF(AND(VLOOKUP(N$1,'20Trips'!$A$3:$I$22,8,FALSE)-VLOOKUP($A15,'20Trips'!$A$3:$I$22,9,FALSE)&gt;=VLOOKUP(VLOOKUP(N$1, '20Trips'!$A$3:$I$22,3,FALSE), '20Trips'!$AB$33:$AC$36, 2, FALSE)),1,0)</f>
        <v>0</v>
      </c>
      <c r="O15" s="2">
        <f>IF(AND(VLOOKUP(O$1,'20Trips'!$A$3:$I$22,8,FALSE)-VLOOKUP($A15,'20Trips'!$A$3:$I$22,9,FALSE)&gt;=VLOOKUP(VLOOKUP(O$1, '20Trips'!$A$3:$I$22,3,FALSE), '20Trips'!$AB$33:$AC$36, 2, FALSE)),1,0)</f>
        <v>0</v>
      </c>
      <c r="P15" s="2">
        <f>IF(AND(VLOOKUP(P$1,'20Trips'!$A$3:$I$22,8,FALSE)-VLOOKUP($A15,'20Trips'!$A$3:$I$22,9,FALSE)&gt;=VLOOKUP(VLOOKUP(P$1, '20Trips'!$A$3:$I$22,3,FALSE), '20Trips'!$AB$33:$AC$36, 2, FALSE)),1,0)</f>
        <v>0</v>
      </c>
      <c r="Q15" s="2">
        <f>IF(AND(VLOOKUP(Q$1,'20Trips'!$A$3:$I$22,8,FALSE)-VLOOKUP($A15,'20Trips'!$A$3:$I$22,9,FALSE)&gt;=VLOOKUP(VLOOKUP(Q$1, '20Trips'!$A$3:$I$22,3,FALSE), '20Trips'!$AB$33:$AC$36, 2, FALSE)),1,0)</f>
        <v>1</v>
      </c>
      <c r="R15" s="2">
        <f>IF(AND(VLOOKUP(R$1,'20Trips'!$A$3:$I$22,8,FALSE)-VLOOKUP($A15,'20Trips'!$A$3:$I$22,9,FALSE)&gt;=VLOOKUP(VLOOKUP(R$1, '20Trips'!$A$3:$I$22,3,FALSE), '20Trips'!$AB$33:$AC$36, 2, FALSE)),1,0)</f>
        <v>0</v>
      </c>
      <c r="S15" s="2">
        <f>IF(AND(VLOOKUP(S$1,'20Trips'!$A$3:$I$22,8,FALSE)-VLOOKUP($A15,'20Trips'!$A$3:$I$22,9,FALSE)&gt;=VLOOKUP(VLOOKUP(S$1, '20Trips'!$A$3:$I$22,3,FALSE), '20Trips'!$AB$33:$AC$36, 2, FALSE)),1,0)</f>
        <v>0</v>
      </c>
      <c r="T15" s="2">
        <f>IF(AND(VLOOKUP(T$1,'20Trips'!$A$3:$I$22,8,FALSE)-VLOOKUP($A15,'20Trips'!$A$3:$I$22,9,FALSE)&gt;=VLOOKUP(VLOOKUP(T$1, '20Trips'!$A$3:$I$22,3,FALSE), '20Trips'!$AB$33:$AC$36, 2, FALSE)),1,0)</f>
        <v>0</v>
      </c>
      <c r="U15" s="2">
        <f>IF(AND(VLOOKUP(U$1,'20Trips'!$A$3:$I$22,8,FALSE)-VLOOKUP($A15,'20Trips'!$A$3:$I$22,9,FALSE)&gt;=VLOOKUP(VLOOKUP(U$1, '20Trips'!$A$3:$I$22,3,FALSE), '20Trips'!$AB$33:$AC$36, 2, FALSE)),1,0)</f>
        <v>1</v>
      </c>
      <c r="V15" s="2">
        <f>IF(AND(VLOOKUP(V$1,'20Trips'!$A$3:$I$22,8,FALSE)-VLOOKUP($A15,'20Trips'!$A$3:$I$22,9,FALSE)&gt;=VLOOKUP(VLOOKUP(V$1, '20Trips'!$A$3:$I$22,3,FALSE), '20Trips'!$AB$33:$AC$36, 2, FALSE)),1,0)</f>
        <v>1</v>
      </c>
    </row>
    <row r="16" spans="1:22" x14ac:dyDescent="0.25">
      <c r="A16" t="s">
        <v>29</v>
      </c>
      <c r="B16" s="3">
        <v>1</v>
      </c>
      <c r="C16" s="2">
        <f>IF(AND(VLOOKUP(C$1,'20Trips'!$A$3:$I$22,8,FALSE)-VLOOKUP($A16,'20Trips'!$A$3:$I$22,9,FALSE)&gt;=VLOOKUP(VLOOKUP(C$1, '20Trips'!$A$3:$I$22,3,FALSE), '20Trips'!$AB$33:$AC$36, 2, FALSE)),1,0)</f>
        <v>0</v>
      </c>
      <c r="D16" s="2">
        <f>IF(AND(VLOOKUP(D$1,'20Trips'!$A$3:$I$22,8,FALSE)-VLOOKUP($A16,'20Trips'!$A$3:$I$22,9,FALSE)&gt;=VLOOKUP(VLOOKUP(D$1, '20Trips'!$A$3:$I$22,3,FALSE), '20Trips'!$AB$33:$AC$36, 2, FALSE)),1,0)</f>
        <v>0</v>
      </c>
      <c r="E16" s="2">
        <f>IF(AND(VLOOKUP(E$1,'20Trips'!$A$3:$I$22,8,FALSE)-VLOOKUP($A16,'20Trips'!$A$3:$I$22,9,FALSE)&gt;=VLOOKUP(VLOOKUP(E$1, '20Trips'!$A$3:$I$22,3,FALSE), '20Trips'!$AB$33:$AC$36, 2, FALSE)),1,0)</f>
        <v>0</v>
      </c>
      <c r="F16" s="2">
        <f>IF(AND(VLOOKUP(F$1,'20Trips'!$A$3:$I$22,8,FALSE)-VLOOKUP($A16,'20Trips'!$A$3:$I$22,9,FALSE)&gt;=VLOOKUP(VLOOKUP(F$1, '20Trips'!$A$3:$I$22,3,FALSE), '20Trips'!$AB$33:$AC$36, 2, FALSE)),1,0)</f>
        <v>0</v>
      </c>
      <c r="G16" s="2">
        <f>IF(AND(VLOOKUP(G$1,'20Trips'!$A$3:$I$22,8,FALSE)-VLOOKUP($A16,'20Trips'!$A$3:$I$22,9,FALSE)&gt;=VLOOKUP(VLOOKUP(G$1, '20Trips'!$A$3:$I$22,3,FALSE), '20Trips'!$AB$33:$AC$36, 2, FALSE)),1,0)</f>
        <v>1</v>
      </c>
      <c r="H16" s="2">
        <f>IF(AND(VLOOKUP(H$1,'20Trips'!$A$3:$I$22,8,FALSE)-VLOOKUP($A16,'20Trips'!$A$3:$I$22,9,FALSE)&gt;=VLOOKUP(VLOOKUP(H$1, '20Trips'!$A$3:$I$22,3,FALSE), '20Trips'!$AB$33:$AC$36, 2, FALSE)),1,0)</f>
        <v>0</v>
      </c>
      <c r="I16" s="2">
        <f>IF(AND(VLOOKUP(I$1,'20Trips'!$A$3:$I$22,8,FALSE)-VLOOKUP($A16,'20Trips'!$A$3:$I$22,9,FALSE)&gt;=VLOOKUP(VLOOKUP(I$1, '20Trips'!$A$3:$I$22,3,FALSE), '20Trips'!$AB$33:$AC$36, 2, FALSE)),1,0)</f>
        <v>0</v>
      </c>
      <c r="J16" s="2">
        <f>IF(AND(VLOOKUP(J$1,'20Trips'!$A$3:$I$22,8,FALSE)-VLOOKUP($A16,'20Trips'!$A$3:$I$22,9,FALSE)&gt;=VLOOKUP(VLOOKUP(J$1, '20Trips'!$A$3:$I$22,3,FALSE), '20Trips'!$AB$33:$AC$36, 2, FALSE)),1,0)</f>
        <v>0</v>
      </c>
      <c r="K16" s="2">
        <f>IF(AND(VLOOKUP(K$1,'20Trips'!$A$3:$I$22,8,FALSE)-VLOOKUP($A16,'20Trips'!$A$3:$I$22,9,FALSE)&gt;=VLOOKUP(VLOOKUP(K$1, '20Trips'!$A$3:$I$22,3,FALSE), '20Trips'!$AB$33:$AC$36, 2, FALSE)),1,0)</f>
        <v>1</v>
      </c>
      <c r="L16" s="2">
        <f>IF(AND(VLOOKUP(L$1,'20Trips'!$A$3:$I$22,8,FALSE)-VLOOKUP($A16,'20Trips'!$A$3:$I$22,9,FALSE)&gt;=VLOOKUP(VLOOKUP(L$1, '20Trips'!$A$3:$I$22,3,FALSE), '20Trips'!$AB$33:$AC$36, 2, FALSE)),1,0)</f>
        <v>1</v>
      </c>
      <c r="M16" s="2">
        <f>IF(AND(VLOOKUP(M$1,'20Trips'!$A$3:$I$22,8,FALSE)-VLOOKUP($A16,'20Trips'!$A$3:$I$22,9,FALSE)&gt;=VLOOKUP(VLOOKUP(M$1, '20Trips'!$A$3:$I$22,3,FALSE), '20Trips'!$AB$33:$AC$36, 2, FALSE)),1,0)</f>
        <v>0</v>
      </c>
      <c r="N16" s="2">
        <f>IF(AND(VLOOKUP(N$1,'20Trips'!$A$3:$I$22,8,FALSE)-VLOOKUP($A16,'20Trips'!$A$3:$I$22,9,FALSE)&gt;=VLOOKUP(VLOOKUP(N$1, '20Trips'!$A$3:$I$22,3,FALSE), '20Trips'!$AB$33:$AC$36, 2, FALSE)),1,0)</f>
        <v>0</v>
      </c>
      <c r="O16" s="2">
        <f>IF(AND(VLOOKUP(O$1,'20Trips'!$A$3:$I$22,8,FALSE)-VLOOKUP($A16,'20Trips'!$A$3:$I$22,9,FALSE)&gt;=VLOOKUP(VLOOKUP(O$1, '20Trips'!$A$3:$I$22,3,FALSE), '20Trips'!$AB$33:$AC$36, 2, FALSE)),1,0)</f>
        <v>0</v>
      </c>
      <c r="P16" s="2">
        <f>IF(AND(VLOOKUP(P$1,'20Trips'!$A$3:$I$22,8,FALSE)-VLOOKUP($A16,'20Trips'!$A$3:$I$22,9,FALSE)&gt;=VLOOKUP(VLOOKUP(P$1, '20Trips'!$A$3:$I$22,3,FALSE), '20Trips'!$AB$33:$AC$36, 2, FALSE)),1,0)</f>
        <v>0</v>
      </c>
      <c r="Q16" s="2">
        <f>IF(AND(VLOOKUP(Q$1,'20Trips'!$A$3:$I$22,8,FALSE)-VLOOKUP($A16,'20Trips'!$A$3:$I$22,9,FALSE)&gt;=VLOOKUP(VLOOKUP(Q$1, '20Trips'!$A$3:$I$22,3,FALSE), '20Trips'!$AB$33:$AC$36, 2, FALSE)),1,0)</f>
        <v>0</v>
      </c>
      <c r="R16" s="2">
        <f>IF(AND(VLOOKUP(R$1,'20Trips'!$A$3:$I$22,8,FALSE)-VLOOKUP($A16,'20Trips'!$A$3:$I$22,9,FALSE)&gt;=VLOOKUP(VLOOKUP(R$1, '20Trips'!$A$3:$I$22,3,FALSE), '20Trips'!$AB$33:$AC$36, 2, FALSE)),1,0)</f>
        <v>0</v>
      </c>
      <c r="S16" s="2">
        <f>IF(AND(VLOOKUP(S$1,'20Trips'!$A$3:$I$22,8,FALSE)-VLOOKUP($A16,'20Trips'!$A$3:$I$22,9,FALSE)&gt;=VLOOKUP(VLOOKUP(S$1, '20Trips'!$A$3:$I$22,3,FALSE), '20Trips'!$AB$33:$AC$36, 2, FALSE)),1,0)</f>
        <v>0</v>
      </c>
      <c r="T16" s="2">
        <f>IF(AND(VLOOKUP(T$1,'20Trips'!$A$3:$I$22,8,FALSE)-VLOOKUP($A16,'20Trips'!$A$3:$I$22,9,FALSE)&gt;=VLOOKUP(VLOOKUP(T$1, '20Trips'!$A$3:$I$22,3,FALSE), '20Trips'!$AB$33:$AC$36, 2, FALSE)),1,0)</f>
        <v>0</v>
      </c>
      <c r="U16" s="2">
        <f>IF(AND(VLOOKUP(U$1,'20Trips'!$A$3:$I$22,8,FALSE)-VLOOKUP($A16,'20Trips'!$A$3:$I$22,9,FALSE)&gt;=VLOOKUP(VLOOKUP(U$1, '20Trips'!$A$3:$I$22,3,FALSE), '20Trips'!$AB$33:$AC$36, 2, FALSE)),1,0)</f>
        <v>0</v>
      </c>
      <c r="V16" s="2">
        <f>IF(AND(VLOOKUP(V$1,'20Trips'!$A$3:$I$22,8,FALSE)-VLOOKUP($A16,'20Trips'!$A$3:$I$22,9,FALSE)&gt;=VLOOKUP(VLOOKUP(V$1, '20Trips'!$A$3:$I$22,3,FALSE), '20Trips'!$AB$33:$AC$36, 2, FALSE)),1,0)</f>
        <v>1</v>
      </c>
    </row>
    <row r="17" spans="1:22" x14ac:dyDescent="0.25">
      <c r="A17" t="s">
        <v>30</v>
      </c>
      <c r="B17" s="3">
        <v>1</v>
      </c>
      <c r="C17" s="2">
        <f>IF(AND(VLOOKUP(C$1,'20Trips'!$A$3:$I$22,8,FALSE)-VLOOKUP($A17,'20Trips'!$A$3:$I$22,9,FALSE)&gt;=VLOOKUP(VLOOKUP(C$1, '20Trips'!$A$3:$I$22,3,FALSE), '20Trips'!$AB$33:$AC$36, 2, FALSE)),1,0)</f>
        <v>0</v>
      </c>
      <c r="D17" s="2">
        <f>IF(AND(VLOOKUP(D$1,'20Trips'!$A$3:$I$22,8,FALSE)-VLOOKUP($A17,'20Trips'!$A$3:$I$22,9,FALSE)&gt;=VLOOKUP(VLOOKUP(D$1, '20Trips'!$A$3:$I$22,3,FALSE), '20Trips'!$AB$33:$AC$36, 2, FALSE)),1,0)</f>
        <v>0</v>
      </c>
      <c r="E17" s="2">
        <f>IF(AND(VLOOKUP(E$1,'20Trips'!$A$3:$I$22,8,FALSE)-VLOOKUP($A17,'20Trips'!$A$3:$I$22,9,FALSE)&gt;=VLOOKUP(VLOOKUP(E$1, '20Trips'!$A$3:$I$22,3,FALSE), '20Trips'!$AB$33:$AC$36, 2, FALSE)),1,0)</f>
        <v>0</v>
      </c>
      <c r="F17" s="2">
        <f>IF(AND(VLOOKUP(F$1,'20Trips'!$A$3:$I$22,8,FALSE)-VLOOKUP($A17,'20Trips'!$A$3:$I$22,9,FALSE)&gt;=VLOOKUP(VLOOKUP(F$1, '20Trips'!$A$3:$I$22,3,FALSE), '20Trips'!$AB$33:$AC$36, 2, FALSE)),1,0)</f>
        <v>0</v>
      </c>
      <c r="G17" s="2">
        <f>IF(AND(VLOOKUP(G$1,'20Trips'!$A$3:$I$22,8,FALSE)-VLOOKUP($A17,'20Trips'!$A$3:$I$22,9,FALSE)&gt;=VLOOKUP(VLOOKUP(G$1, '20Trips'!$A$3:$I$22,3,FALSE), '20Trips'!$AB$33:$AC$36, 2, FALSE)),1,0)</f>
        <v>0</v>
      </c>
      <c r="H17" s="2">
        <f>IF(AND(VLOOKUP(H$1,'20Trips'!$A$3:$I$22,8,FALSE)-VLOOKUP($A17,'20Trips'!$A$3:$I$22,9,FALSE)&gt;=VLOOKUP(VLOOKUP(H$1, '20Trips'!$A$3:$I$22,3,FALSE), '20Trips'!$AB$33:$AC$36, 2, FALSE)),1,0)</f>
        <v>0</v>
      </c>
      <c r="I17" s="2">
        <f>IF(AND(VLOOKUP(I$1,'20Trips'!$A$3:$I$22,8,FALSE)-VLOOKUP($A17,'20Trips'!$A$3:$I$22,9,FALSE)&gt;=VLOOKUP(VLOOKUP(I$1, '20Trips'!$A$3:$I$22,3,FALSE), '20Trips'!$AB$33:$AC$36, 2, FALSE)),1,0)</f>
        <v>0</v>
      </c>
      <c r="J17" s="2">
        <f>IF(AND(VLOOKUP(J$1,'20Trips'!$A$3:$I$22,8,FALSE)-VLOOKUP($A17,'20Trips'!$A$3:$I$22,9,FALSE)&gt;=VLOOKUP(VLOOKUP(J$1, '20Trips'!$A$3:$I$22,3,FALSE), '20Trips'!$AB$33:$AC$36, 2, FALSE)),1,0)</f>
        <v>0</v>
      </c>
      <c r="K17" s="2">
        <f>IF(AND(VLOOKUP(K$1,'20Trips'!$A$3:$I$22,8,FALSE)-VLOOKUP($A17,'20Trips'!$A$3:$I$22,9,FALSE)&gt;=VLOOKUP(VLOOKUP(K$1, '20Trips'!$A$3:$I$22,3,FALSE), '20Trips'!$AB$33:$AC$36, 2, FALSE)),1,0)</f>
        <v>1</v>
      </c>
      <c r="L17" s="2">
        <f>IF(AND(VLOOKUP(L$1,'20Trips'!$A$3:$I$22,8,FALSE)-VLOOKUP($A17,'20Trips'!$A$3:$I$22,9,FALSE)&gt;=VLOOKUP(VLOOKUP(L$1, '20Trips'!$A$3:$I$22,3,FALSE), '20Trips'!$AB$33:$AC$36, 2, FALSE)),1,0)</f>
        <v>1</v>
      </c>
      <c r="M17" s="2">
        <f>IF(AND(VLOOKUP(M$1,'20Trips'!$A$3:$I$22,8,FALSE)-VLOOKUP($A17,'20Trips'!$A$3:$I$22,9,FALSE)&gt;=VLOOKUP(VLOOKUP(M$1, '20Trips'!$A$3:$I$22,3,FALSE), '20Trips'!$AB$33:$AC$36, 2, FALSE)),1,0)</f>
        <v>0</v>
      </c>
      <c r="N17" s="2">
        <f>IF(AND(VLOOKUP(N$1,'20Trips'!$A$3:$I$22,8,FALSE)-VLOOKUP($A17,'20Trips'!$A$3:$I$22,9,FALSE)&gt;=VLOOKUP(VLOOKUP(N$1, '20Trips'!$A$3:$I$22,3,FALSE), '20Trips'!$AB$33:$AC$36, 2, FALSE)),1,0)</f>
        <v>0</v>
      </c>
      <c r="O17" s="2">
        <f>IF(AND(VLOOKUP(O$1,'20Trips'!$A$3:$I$22,8,FALSE)-VLOOKUP($A17,'20Trips'!$A$3:$I$22,9,FALSE)&gt;=VLOOKUP(VLOOKUP(O$1, '20Trips'!$A$3:$I$22,3,FALSE), '20Trips'!$AB$33:$AC$36, 2, FALSE)),1,0)</f>
        <v>0</v>
      </c>
      <c r="P17" s="2">
        <f>IF(AND(VLOOKUP(P$1,'20Trips'!$A$3:$I$22,8,FALSE)-VLOOKUP($A17,'20Trips'!$A$3:$I$22,9,FALSE)&gt;=VLOOKUP(VLOOKUP(P$1, '20Trips'!$A$3:$I$22,3,FALSE), '20Trips'!$AB$33:$AC$36, 2, FALSE)),1,0)</f>
        <v>0</v>
      </c>
      <c r="Q17" s="2">
        <f>IF(AND(VLOOKUP(Q$1,'20Trips'!$A$3:$I$22,8,FALSE)-VLOOKUP($A17,'20Trips'!$A$3:$I$22,9,FALSE)&gt;=VLOOKUP(VLOOKUP(Q$1, '20Trips'!$A$3:$I$22,3,FALSE), '20Trips'!$AB$33:$AC$36, 2, FALSE)),1,0)</f>
        <v>0</v>
      </c>
      <c r="R17" s="2">
        <f>IF(AND(VLOOKUP(R$1,'20Trips'!$A$3:$I$22,8,FALSE)-VLOOKUP($A17,'20Trips'!$A$3:$I$22,9,FALSE)&gt;=VLOOKUP(VLOOKUP(R$1, '20Trips'!$A$3:$I$22,3,FALSE), '20Trips'!$AB$33:$AC$36, 2, FALSE)),1,0)</f>
        <v>0</v>
      </c>
      <c r="S17" s="2">
        <f>IF(AND(VLOOKUP(S$1,'20Trips'!$A$3:$I$22,8,FALSE)-VLOOKUP($A17,'20Trips'!$A$3:$I$22,9,FALSE)&gt;=VLOOKUP(VLOOKUP(S$1, '20Trips'!$A$3:$I$22,3,FALSE), '20Trips'!$AB$33:$AC$36, 2, FALSE)),1,0)</f>
        <v>0</v>
      </c>
      <c r="T17" s="2">
        <f>IF(AND(VLOOKUP(T$1,'20Trips'!$A$3:$I$22,8,FALSE)-VLOOKUP($A17,'20Trips'!$A$3:$I$22,9,FALSE)&gt;=VLOOKUP(VLOOKUP(T$1, '20Trips'!$A$3:$I$22,3,FALSE), '20Trips'!$AB$33:$AC$36, 2, FALSE)),1,0)</f>
        <v>0</v>
      </c>
      <c r="U17" s="2">
        <f>IF(AND(VLOOKUP(U$1,'20Trips'!$A$3:$I$22,8,FALSE)-VLOOKUP($A17,'20Trips'!$A$3:$I$22,9,FALSE)&gt;=VLOOKUP(VLOOKUP(U$1, '20Trips'!$A$3:$I$22,3,FALSE), '20Trips'!$AB$33:$AC$36, 2, FALSE)),1,0)</f>
        <v>0</v>
      </c>
      <c r="V17" s="2">
        <f>IF(AND(VLOOKUP(V$1,'20Trips'!$A$3:$I$22,8,FALSE)-VLOOKUP($A17,'20Trips'!$A$3:$I$22,9,FALSE)&gt;=VLOOKUP(VLOOKUP(V$1, '20Trips'!$A$3:$I$22,3,FALSE), '20Trips'!$AB$33:$AC$36, 2, FALSE)),1,0)</f>
        <v>0</v>
      </c>
    </row>
    <row r="18" spans="1:22" x14ac:dyDescent="0.25">
      <c r="A18" t="s">
        <v>34</v>
      </c>
      <c r="B18" s="3">
        <v>1</v>
      </c>
      <c r="C18" s="2">
        <f>IF(AND(VLOOKUP(C$1,'20Trips'!$A$3:$I$22,8,FALSE)-VLOOKUP($A18,'20Trips'!$A$3:$I$22,9,FALSE)&gt;=VLOOKUP(VLOOKUP(C$1, '20Trips'!$A$3:$I$22,3,FALSE), '20Trips'!$AB$33:$AC$36, 2, FALSE)),1,0)</f>
        <v>0</v>
      </c>
      <c r="D18" s="2">
        <f>IF(AND(VLOOKUP(D$1,'20Trips'!$A$3:$I$22,8,FALSE)-VLOOKUP($A18,'20Trips'!$A$3:$I$22,9,FALSE)&gt;=VLOOKUP(VLOOKUP(D$1, '20Trips'!$A$3:$I$22,3,FALSE), '20Trips'!$AB$33:$AC$36, 2, FALSE)),1,0)</f>
        <v>1</v>
      </c>
      <c r="E18" s="2">
        <f>IF(AND(VLOOKUP(E$1,'20Trips'!$A$3:$I$22,8,FALSE)-VLOOKUP($A18,'20Trips'!$A$3:$I$22,9,FALSE)&gt;=VLOOKUP(VLOOKUP(E$1, '20Trips'!$A$3:$I$22,3,FALSE), '20Trips'!$AB$33:$AC$36, 2, FALSE)),1,0)</f>
        <v>1</v>
      </c>
      <c r="F18" s="2">
        <f>IF(AND(VLOOKUP(F$1,'20Trips'!$A$3:$I$22,8,FALSE)-VLOOKUP($A18,'20Trips'!$A$3:$I$22,9,FALSE)&gt;=VLOOKUP(VLOOKUP(F$1, '20Trips'!$A$3:$I$22,3,FALSE), '20Trips'!$AB$33:$AC$36, 2, FALSE)),1,0)</f>
        <v>1</v>
      </c>
      <c r="G18" s="2">
        <f>IF(AND(VLOOKUP(G$1,'20Trips'!$A$3:$I$22,8,FALSE)-VLOOKUP($A18,'20Trips'!$A$3:$I$22,9,FALSE)&gt;=VLOOKUP(VLOOKUP(G$1, '20Trips'!$A$3:$I$22,3,FALSE), '20Trips'!$AB$33:$AC$36, 2, FALSE)),1,0)</f>
        <v>1</v>
      </c>
      <c r="H18" s="2">
        <f>IF(AND(VLOOKUP(H$1,'20Trips'!$A$3:$I$22,8,FALSE)-VLOOKUP($A18,'20Trips'!$A$3:$I$22,9,FALSE)&gt;=VLOOKUP(VLOOKUP(H$1, '20Trips'!$A$3:$I$22,3,FALSE), '20Trips'!$AB$33:$AC$36, 2, FALSE)),1,0)</f>
        <v>0</v>
      </c>
      <c r="I18" s="2">
        <f>IF(AND(VLOOKUP(I$1,'20Trips'!$A$3:$I$22,8,FALSE)-VLOOKUP($A18,'20Trips'!$A$3:$I$22,9,FALSE)&gt;=VLOOKUP(VLOOKUP(I$1, '20Trips'!$A$3:$I$22,3,FALSE), '20Trips'!$AB$33:$AC$36, 2, FALSE)),1,0)</f>
        <v>0</v>
      </c>
      <c r="J18" s="2">
        <f>IF(AND(VLOOKUP(J$1,'20Trips'!$A$3:$I$22,8,FALSE)-VLOOKUP($A18,'20Trips'!$A$3:$I$22,9,FALSE)&gt;=VLOOKUP(VLOOKUP(J$1, '20Trips'!$A$3:$I$22,3,FALSE), '20Trips'!$AB$33:$AC$36, 2, FALSE)),1,0)</f>
        <v>1</v>
      </c>
      <c r="K18" s="2">
        <f>IF(AND(VLOOKUP(K$1,'20Trips'!$A$3:$I$22,8,FALSE)-VLOOKUP($A18,'20Trips'!$A$3:$I$22,9,FALSE)&gt;=VLOOKUP(VLOOKUP(K$1, '20Trips'!$A$3:$I$22,3,FALSE), '20Trips'!$AB$33:$AC$36, 2, FALSE)),1,0)</f>
        <v>1</v>
      </c>
      <c r="L18" s="2">
        <f>IF(AND(VLOOKUP(L$1,'20Trips'!$A$3:$I$22,8,FALSE)-VLOOKUP($A18,'20Trips'!$A$3:$I$22,9,FALSE)&gt;=VLOOKUP(VLOOKUP(L$1, '20Trips'!$A$3:$I$22,3,FALSE), '20Trips'!$AB$33:$AC$36, 2, FALSE)),1,0)</f>
        <v>1</v>
      </c>
      <c r="M18" s="2">
        <f>IF(AND(VLOOKUP(M$1,'20Trips'!$A$3:$I$22,8,FALSE)-VLOOKUP($A18,'20Trips'!$A$3:$I$22,9,FALSE)&gt;=VLOOKUP(VLOOKUP(M$1, '20Trips'!$A$3:$I$22,3,FALSE), '20Trips'!$AB$33:$AC$36, 2, FALSE)),1,0)</f>
        <v>0</v>
      </c>
      <c r="N18" s="2">
        <f>IF(AND(VLOOKUP(N$1,'20Trips'!$A$3:$I$22,8,FALSE)-VLOOKUP($A18,'20Trips'!$A$3:$I$22,9,FALSE)&gt;=VLOOKUP(VLOOKUP(N$1, '20Trips'!$A$3:$I$22,3,FALSE), '20Trips'!$AB$33:$AC$36, 2, FALSE)),1,0)</f>
        <v>0</v>
      </c>
      <c r="O18" s="2">
        <f>IF(AND(VLOOKUP(O$1,'20Trips'!$A$3:$I$22,8,FALSE)-VLOOKUP($A18,'20Trips'!$A$3:$I$22,9,FALSE)&gt;=VLOOKUP(VLOOKUP(O$1, '20Trips'!$A$3:$I$22,3,FALSE), '20Trips'!$AB$33:$AC$36, 2, FALSE)),1,0)</f>
        <v>0</v>
      </c>
      <c r="P18" s="2">
        <f>IF(AND(VLOOKUP(P$1,'20Trips'!$A$3:$I$22,8,FALSE)-VLOOKUP($A18,'20Trips'!$A$3:$I$22,9,FALSE)&gt;=VLOOKUP(VLOOKUP(P$1, '20Trips'!$A$3:$I$22,3,FALSE), '20Trips'!$AB$33:$AC$36, 2, FALSE)),1,0)</f>
        <v>1</v>
      </c>
      <c r="Q18" s="2">
        <f>IF(AND(VLOOKUP(Q$1,'20Trips'!$A$3:$I$22,8,FALSE)-VLOOKUP($A18,'20Trips'!$A$3:$I$22,9,FALSE)&gt;=VLOOKUP(VLOOKUP(Q$1, '20Trips'!$A$3:$I$22,3,FALSE), '20Trips'!$AB$33:$AC$36, 2, FALSE)),1,0)</f>
        <v>1</v>
      </c>
      <c r="R18" s="2">
        <f>IF(AND(VLOOKUP(R$1,'20Trips'!$A$3:$I$22,8,FALSE)-VLOOKUP($A18,'20Trips'!$A$3:$I$22,9,FALSE)&gt;=VLOOKUP(VLOOKUP(R$1, '20Trips'!$A$3:$I$22,3,FALSE), '20Trips'!$AB$33:$AC$36, 2, FALSE)),1,0)</f>
        <v>0</v>
      </c>
      <c r="S18" s="2">
        <f>IF(AND(VLOOKUP(S$1,'20Trips'!$A$3:$I$22,8,FALSE)-VLOOKUP($A18,'20Trips'!$A$3:$I$22,9,FALSE)&gt;=VLOOKUP(VLOOKUP(S$1, '20Trips'!$A$3:$I$22,3,FALSE), '20Trips'!$AB$33:$AC$36, 2, FALSE)),1,0)</f>
        <v>1</v>
      </c>
      <c r="T18" s="2">
        <f>IF(AND(VLOOKUP(T$1,'20Trips'!$A$3:$I$22,8,FALSE)-VLOOKUP($A18,'20Trips'!$A$3:$I$22,9,FALSE)&gt;=VLOOKUP(VLOOKUP(T$1, '20Trips'!$A$3:$I$22,3,FALSE), '20Trips'!$AB$33:$AC$36, 2, FALSE)),1,0)</f>
        <v>1</v>
      </c>
      <c r="U18" s="2">
        <f>IF(AND(VLOOKUP(U$1,'20Trips'!$A$3:$I$22,8,FALSE)-VLOOKUP($A18,'20Trips'!$A$3:$I$22,9,FALSE)&gt;=VLOOKUP(VLOOKUP(U$1, '20Trips'!$A$3:$I$22,3,FALSE), '20Trips'!$AB$33:$AC$36, 2, FALSE)),1,0)</f>
        <v>1</v>
      </c>
      <c r="V18" s="2">
        <f>IF(AND(VLOOKUP(V$1,'20Trips'!$A$3:$I$22,8,FALSE)-VLOOKUP($A18,'20Trips'!$A$3:$I$22,9,FALSE)&gt;=VLOOKUP(VLOOKUP(V$1, '20Trips'!$A$3:$I$22,3,FALSE), '20Trips'!$AB$33:$AC$36, 2, FALSE)),1,0)</f>
        <v>1</v>
      </c>
    </row>
    <row r="19" spans="1:22" x14ac:dyDescent="0.25">
      <c r="A19" t="s">
        <v>35</v>
      </c>
      <c r="B19" s="3">
        <v>1</v>
      </c>
      <c r="C19" s="2">
        <f>IF(AND(VLOOKUP(C$1,'20Trips'!$A$3:$I$22,8,FALSE)-VLOOKUP($A19,'20Trips'!$A$3:$I$22,9,FALSE)&gt;=VLOOKUP(VLOOKUP(C$1, '20Trips'!$A$3:$I$22,3,FALSE), '20Trips'!$AB$33:$AC$36, 2, FALSE)),1,0)</f>
        <v>0</v>
      </c>
      <c r="D19" s="2">
        <f>IF(AND(VLOOKUP(D$1,'20Trips'!$A$3:$I$22,8,FALSE)-VLOOKUP($A19,'20Trips'!$A$3:$I$22,9,FALSE)&gt;=VLOOKUP(VLOOKUP(D$1, '20Trips'!$A$3:$I$22,3,FALSE), '20Trips'!$AB$33:$AC$36, 2, FALSE)),1,0)</f>
        <v>0</v>
      </c>
      <c r="E19" s="2">
        <f>IF(AND(VLOOKUP(E$1,'20Trips'!$A$3:$I$22,8,FALSE)-VLOOKUP($A19,'20Trips'!$A$3:$I$22,9,FALSE)&gt;=VLOOKUP(VLOOKUP(E$1, '20Trips'!$A$3:$I$22,3,FALSE), '20Trips'!$AB$33:$AC$36, 2, FALSE)),1,0)</f>
        <v>0</v>
      </c>
      <c r="F19" s="2">
        <f>IF(AND(VLOOKUP(F$1,'20Trips'!$A$3:$I$22,8,FALSE)-VLOOKUP($A19,'20Trips'!$A$3:$I$22,9,FALSE)&gt;=VLOOKUP(VLOOKUP(F$1, '20Trips'!$A$3:$I$22,3,FALSE), '20Trips'!$AB$33:$AC$36, 2, FALSE)),1,0)</f>
        <v>1</v>
      </c>
      <c r="G19" s="2">
        <f>IF(AND(VLOOKUP(G$1,'20Trips'!$A$3:$I$22,8,FALSE)-VLOOKUP($A19,'20Trips'!$A$3:$I$22,9,FALSE)&gt;=VLOOKUP(VLOOKUP(G$1, '20Trips'!$A$3:$I$22,3,FALSE), '20Trips'!$AB$33:$AC$36, 2, FALSE)),1,0)</f>
        <v>1</v>
      </c>
      <c r="H19" s="2">
        <f>IF(AND(VLOOKUP(H$1,'20Trips'!$A$3:$I$22,8,FALSE)-VLOOKUP($A19,'20Trips'!$A$3:$I$22,9,FALSE)&gt;=VLOOKUP(VLOOKUP(H$1, '20Trips'!$A$3:$I$22,3,FALSE), '20Trips'!$AB$33:$AC$36, 2, FALSE)),1,0)</f>
        <v>0</v>
      </c>
      <c r="I19" s="2">
        <f>IF(AND(VLOOKUP(I$1,'20Trips'!$A$3:$I$22,8,FALSE)-VLOOKUP($A19,'20Trips'!$A$3:$I$22,9,FALSE)&gt;=VLOOKUP(VLOOKUP(I$1, '20Trips'!$A$3:$I$22,3,FALSE), '20Trips'!$AB$33:$AC$36, 2, FALSE)),1,0)</f>
        <v>0</v>
      </c>
      <c r="J19" s="2">
        <f>IF(AND(VLOOKUP(J$1,'20Trips'!$A$3:$I$22,8,FALSE)-VLOOKUP($A19,'20Trips'!$A$3:$I$22,9,FALSE)&gt;=VLOOKUP(VLOOKUP(J$1, '20Trips'!$A$3:$I$22,3,FALSE), '20Trips'!$AB$33:$AC$36, 2, FALSE)),1,0)</f>
        <v>0</v>
      </c>
      <c r="K19" s="2">
        <f>IF(AND(VLOOKUP(K$1,'20Trips'!$A$3:$I$22,8,FALSE)-VLOOKUP($A19,'20Trips'!$A$3:$I$22,9,FALSE)&gt;=VLOOKUP(VLOOKUP(K$1, '20Trips'!$A$3:$I$22,3,FALSE), '20Trips'!$AB$33:$AC$36, 2, FALSE)),1,0)</f>
        <v>1</v>
      </c>
      <c r="L19" s="2">
        <f>IF(AND(VLOOKUP(L$1,'20Trips'!$A$3:$I$22,8,FALSE)-VLOOKUP($A19,'20Trips'!$A$3:$I$22,9,FALSE)&gt;=VLOOKUP(VLOOKUP(L$1, '20Trips'!$A$3:$I$22,3,FALSE), '20Trips'!$AB$33:$AC$36, 2, FALSE)),1,0)</f>
        <v>1</v>
      </c>
      <c r="M19" s="2">
        <f>IF(AND(VLOOKUP(M$1,'20Trips'!$A$3:$I$22,8,FALSE)-VLOOKUP($A19,'20Trips'!$A$3:$I$22,9,FALSE)&gt;=VLOOKUP(VLOOKUP(M$1, '20Trips'!$A$3:$I$22,3,FALSE), '20Trips'!$AB$33:$AC$36, 2, FALSE)),1,0)</f>
        <v>0</v>
      </c>
      <c r="N19" s="2">
        <f>IF(AND(VLOOKUP(N$1,'20Trips'!$A$3:$I$22,8,FALSE)-VLOOKUP($A19,'20Trips'!$A$3:$I$22,9,FALSE)&gt;=VLOOKUP(VLOOKUP(N$1, '20Trips'!$A$3:$I$22,3,FALSE), '20Trips'!$AB$33:$AC$36, 2, FALSE)),1,0)</f>
        <v>0</v>
      </c>
      <c r="O19" s="2">
        <f>IF(AND(VLOOKUP(O$1,'20Trips'!$A$3:$I$22,8,FALSE)-VLOOKUP($A19,'20Trips'!$A$3:$I$22,9,FALSE)&gt;=VLOOKUP(VLOOKUP(O$1, '20Trips'!$A$3:$I$22,3,FALSE), '20Trips'!$AB$33:$AC$36, 2, FALSE)),1,0)</f>
        <v>0</v>
      </c>
      <c r="P19" s="2">
        <f>IF(AND(VLOOKUP(P$1,'20Trips'!$A$3:$I$22,8,FALSE)-VLOOKUP($A19,'20Trips'!$A$3:$I$22,9,FALSE)&gt;=VLOOKUP(VLOOKUP(P$1, '20Trips'!$A$3:$I$22,3,FALSE), '20Trips'!$AB$33:$AC$36, 2, FALSE)),1,0)</f>
        <v>0</v>
      </c>
      <c r="Q19" s="2">
        <f>IF(AND(VLOOKUP(Q$1,'20Trips'!$A$3:$I$22,8,FALSE)-VLOOKUP($A19,'20Trips'!$A$3:$I$22,9,FALSE)&gt;=VLOOKUP(VLOOKUP(Q$1, '20Trips'!$A$3:$I$22,3,FALSE), '20Trips'!$AB$33:$AC$36, 2, FALSE)),1,0)</f>
        <v>1</v>
      </c>
      <c r="R19" s="2">
        <f>IF(AND(VLOOKUP(R$1,'20Trips'!$A$3:$I$22,8,FALSE)-VLOOKUP($A19,'20Trips'!$A$3:$I$22,9,FALSE)&gt;=VLOOKUP(VLOOKUP(R$1, '20Trips'!$A$3:$I$22,3,FALSE), '20Trips'!$AB$33:$AC$36, 2, FALSE)),1,0)</f>
        <v>0</v>
      </c>
      <c r="S19" s="2">
        <f>IF(AND(VLOOKUP(S$1,'20Trips'!$A$3:$I$22,8,FALSE)-VLOOKUP($A19,'20Trips'!$A$3:$I$22,9,FALSE)&gt;=VLOOKUP(VLOOKUP(S$1, '20Trips'!$A$3:$I$22,3,FALSE), '20Trips'!$AB$33:$AC$36, 2, FALSE)),1,0)</f>
        <v>0</v>
      </c>
      <c r="T19" s="2">
        <f>IF(AND(VLOOKUP(T$1,'20Trips'!$A$3:$I$22,8,FALSE)-VLOOKUP($A19,'20Trips'!$A$3:$I$22,9,FALSE)&gt;=VLOOKUP(VLOOKUP(T$1, '20Trips'!$A$3:$I$22,3,FALSE), '20Trips'!$AB$33:$AC$36, 2, FALSE)),1,0)</f>
        <v>0</v>
      </c>
      <c r="U19" s="2">
        <f>IF(AND(VLOOKUP(U$1,'20Trips'!$A$3:$I$22,8,FALSE)-VLOOKUP($A19,'20Trips'!$A$3:$I$22,9,FALSE)&gt;=VLOOKUP(VLOOKUP(U$1, '20Trips'!$A$3:$I$22,3,FALSE), '20Trips'!$AB$33:$AC$36, 2, FALSE)),1,0)</f>
        <v>1</v>
      </c>
      <c r="V19" s="2">
        <f>IF(AND(VLOOKUP(V$1,'20Trips'!$A$3:$I$22,8,FALSE)-VLOOKUP($A19,'20Trips'!$A$3:$I$22,9,FALSE)&gt;=VLOOKUP(VLOOKUP(V$1, '20Trips'!$A$3:$I$22,3,FALSE), '20Trips'!$AB$33:$AC$36, 2, FALSE)),1,0)</f>
        <v>1</v>
      </c>
    </row>
    <row r="20" spans="1:22" x14ac:dyDescent="0.25">
      <c r="A20" t="s">
        <v>36</v>
      </c>
      <c r="B20" s="3">
        <v>1</v>
      </c>
      <c r="C20" s="2">
        <f>IF(AND(VLOOKUP(C$1,'20Trips'!$A$3:$I$22,8,FALSE)-VLOOKUP($A20,'20Trips'!$A$3:$I$22,9,FALSE)&gt;=VLOOKUP(VLOOKUP(C$1, '20Trips'!$A$3:$I$22,3,FALSE), '20Trips'!$AB$33:$AC$36, 2, FALSE)),1,0)</f>
        <v>0</v>
      </c>
      <c r="D20" s="2">
        <f>IF(AND(VLOOKUP(D$1,'20Trips'!$A$3:$I$22,8,FALSE)-VLOOKUP($A20,'20Trips'!$A$3:$I$22,9,FALSE)&gt;=VLOOKUP(VLOOKUP(D$1, '20Trips'!$A$3:$I$22,3,FALSE), '20Trips'!$AB$33:$AC$36, 2, FALSE)),1,0)</f>
        <v>0</v>
      </c>
      <c r="E20" s="2">
        <f>IF(AND(VLOOKUP(E$1,'20Trips'!$A$3:$I$22,8,FALSE)-VLOOKUP($A20,'20Trips'!$A$3:$I$22,9,FALSE)&gt;=VLOOKUP(VLOOKUP(E$1, '20Trips'!$A$3:$I$22,3,FALSE), '20Trips'!$AB$33:$AC$36, 2, FALSE)),1,0)</f>
        <v>0</v>
      </c>
      <c r="F20" s="2">
        <f>IF(AND(VLOOKUP(F$1,'20Trips'!$A$3:$I$22,8,FALSE)-VLOOKUP($A20,'20Trips'!$A$3:$I$22,9,FALSE)&gt;=VLOOKUP(VLOOKUP(F$1, '20Trips'!$A$3:$I$22,3,FALSE), '20Trips'!$AB$33:$AC$36, 2, FALSE)),1,0)</f>
        <v>0</v>
      </c>
      <c r="G20" s="2">
        <f>IF(AND(VLOOKUP(G$1,'20Trips'!$A$3:$I$22,8,FALSE)-VLOOKUP($A20,'20Trips'!$A$3:$I$22,9,FALSE)&gt;=VLOOKUP(VLOOKUP(G$1, '20Trips'!$A$3:$I$22,3,FALSE), '20Trips'!$AB$33:$AC$36, 2, FALSE)),1,0)</f>
        <v>0</v>
      </c>
      <c r="H20" s="2">
        <f>IF(AND(VLOOKUP(H$1,'20Trips'!$A$3:$I$22,8,FALSE)-VLOOKUP($A20,'20Trips'!$A$3:$I$22,9,FALSE)&gt;=VLOOKUP(VLOOKUP(H$1, '20Trips'!$A$3:$I$22,3,FALSE), '20Trips'!$AB$33:$AC$36, 2, FALSE)),1,0)</f>
        <v>0</v>
      </c>
      <c r="I20" s="2">
        <f>IF(AND(VLOOKUP(I$1,'20Trips'!$A$3:$I$22,8,FALSE)-VLOOKUP($A20,'20Trips'!$A$3:$I$22,9,FALSE)&gt;=VLOOKUP(VLOOKUP(I$1, '20Trips'!$A$3:$I$22,3,FALSE), '20Trips'!$AB$33:$AC$36, 2, FALSE)),1,0)</f>
        <v>0</v>
      </c>
      <c r="J20" s="2">
        <f>IF(AND(VLOOKUP(J$1,'20Trips'!$A$3:$I$22,8,FALSE)-VLOOKUP($A20,'20Trips'!$A$3:$I$22,9,FALSE)&gt;=VLOOKUP(VLOOKUP(J$1, '20Trips'!$A$3:$I$22,3,FALSE), '20Trips'!$AB$33:$AC$36, 2, FALSE)),1,0)</f>
        <v>0</v>
      </c>
      <c r="K20" s="2">
        <f>IF(AND(VLOOKUP(K$1,'20Trips'!$A$3:$I$22,8,FALSE)-VLOOKUP($A20,'20Trips'!$A$3:$I$22,9,FALSE)&gt;=VLOOKUP(VLOOKUP(K$1, '20Trips'!$A$3:$I$22,3,FALSE), '20Trips'!$AB$33:$AC$36, 2, FALSE)),1,0)</f>
        <v>1</v>
      </c>
      <c r="L20" s="2">
        <f>IF(AND(VLOOKUP(L$1,'20Trips'!$A$3:$I$22,8,FALSE)-VLOOKUP($A20,'20Trips'!$A$3:$I$22,9,FALSE)&gt;=VLOOKUP(VLOOKUP(L$1, '20Trips'!$A$3:$I$22,3,FALSE), '20Trips'!$AB$33:$AC$36, 2, FALSE)),1,0)</f>
        <v>1</v>
      </c>
      <c r="M20" s="2">
        <f>IF(AND(VLOOKUP(M$1,'20Trips'!$A$3:$I$22,8,FALSE)-VLOOKUP($A20,'20Trips'!$A$3:$I$22,9,FALSE)&gt;=VLOOKUP(VLOOKUP(M$1, '20Trips'!$A$3:$I$22,3,FALSE), '20Trips'!$AB$33:$AC$36, 2, FALSE)),1,0)</f>
        <v>0</v>
      </c>
      <c r="N20" s="2">
        <f>IF(AND(VLOOKUP(N$1,'20Trips'!$A$3:$I$22,8,FALSE)-VLOOKUP($A20,'20Trips'!$A$3:$I$22,9,FALSE)&gt;=VLOOKUP(VLOOKUP(N$1, '20Trips'!$A$3:$I$22,3,FALSE), '20Trips'!$AB$33:$AC$36, 2, FALSE)),1,0)</f>
        <v>0</v>
      </c>
      <c r="O20" s="2">
        <f>IF(AND(VLOOKUP(O$1,'20Trips'!$A$3:$I$22,8,FALSE)-VLOOKUP($A20,'20Trips'!$A$3:$I$22,9,FALSE)&gt;=VLOOKUP(VLOOKUP(O$1, '20Trips'!$A$3:$I$22,3,FALSE), '20Trips'!$AB$33:$AC$36, 2, FALSE)),1,0)</f>
        <v>0</v>
      </c>
      <c r="P20" s="2">
        <f>IF(AND(VLOOKUP(P$1,'20Trips'!$A$3:$I$22,8,FALSE)-VLOOKUP($A20,'20Trips'!$A$3:$I$22,9,FALSE)&gt;=VLOOKUP(VLOOKUP(P$1, '20Trips'!$A$3:$I$22,3,FALSE), '20Trips'!$AB$33:$AC$36, 2, FALSE)),1,0)</f>
        <v>0</v>
      </c>
      <c r="Q20" s="2">
        <f>IF(AND(VLOOKUP(Q$1,'20Trips'!$A$3:$I$22,8,FALSE)-VLOOKUP($A20,'20Trips'!$A$3:$I$22,9,FALSE)&gt;=VLOOKUP(VLOOKUP(Q$1, '20Trips'!$A$3:$I$22,3,FALSE), '20Trips'!$AB$33:$AC$36, 2, FALSE)),1,0)</f>
        <v>0</v>
      </c>
      <c r="R20" s="2">
        <f>IF(AND(VLOOKUP(R$1,'20Trips'!$A$3:$I$22,8,FALSE)-VLOOKUP($A20,'20Trips'!$A$3:$I$22,9,FALSE)&gt;=VLOOKUP(VLOOKUP(R$1, '20Trips'!$A$3:$I$22,3,FALSE), '20Trips'!$AB$33:$AC$36, 2, FALSE)),1,0)</f>
        <v>0</v>
      </c>
      <c r="S20" s="2">
        <f>IF(AND(VLOOKUP(S$1,'20Trips'!$A$3:$I$22,8,FALSE)-VLOOKUP($A20,'20Trips'!$A$3:$I$22,9,FALSE)&gt;=VLOOKUP(VLOOKUP(S$1, '20Trips'!$A$3:$I$22,3,FALSE), '20Trips'!$AB$33:$AC$36, 2, FALSE)),1,0)</f>
        <v>0</v>
      </c>
      <c r="T20" s="2">
        <f>IF(AND(VLOOKUP(T$1,'20Trips'!$A$3:$I$22,8,FALSE)-VLOOKUP($A20,'20Trips'!$A$3:$I$22,9,FALSE)&gt;=VLOOKUP(VLOOKUP(T$1, '20Trips'!$A$3:$I$22,3,FALSE), '20Trips'!$AB$33:$AC$36, 2, FALSE)),1,0)</f>
        <v>0</v>
      </c>
      <c r="U20" s="2">
        <f>IF(AND(VLOOKUP(U$1,'20Trips'!$A$3:$I$22,8,FALSE)-VLOOKUP($A20,'20Trips'!$A$3:$I$22,9,FALSE)&gt;=VLOOKUP(VLOOKUP(U$1, '20Trips'!$A$3:$I$22,3,FALSE), '20Trips'!$AB$33:$AC$36, 2, FALSE)),1,0)</f>
        <v>0</v>
      </c>
      <c r="V20" s="2">
        <f>IF(AND(VLOOKUP(V$1,'20Trips'!$A$3:$I$22,8,FALSE)-VLOOKUP($A20,'20Trips'!$A$3:$I$22,9,FALSE)&gt;=VLOOKUP(VLOOKUP(V$1, '20Trips'!$A$3:$I$22,3,FALSE), '20Trips'!$AB$33:$AC$36, 2, FALSE)),1,0)</f>
        <v>1</v>
      </c>
    </row>
    <row r="21" spans="1:22" x14ac:dyDescent="0.25">
      <c r="A21" t="s">
        <v>37</v>
      </c>
      <c r="B21" s="3">
        <v>1</v>
      </c>
      <c r="C21" s="2">
        <f>IF(AND(VLOOKUP(C$1,'20Trips'!$A$3:$I$22,8,FALSE)-VLOOKUP($A21,'20Trips'!$A$3:$I$22,9,FALSE)&gt;=VLOOKUP(VLOOKUP(C$1, '20Trips'!$A$3:$I$22,3,FALSE), '20Trips'!$AB$33:$AC$36, 2, FALSE)),1,0)</f>
        <v>0</v>
      </c>
      <c r="D21" s="2">
        <f>IF(AND(VLOOKUP(D$1,'20Trips'!$A$3:$I$22,8,FALSE)-VLOOKUP($A21,'20Trips'!$A$3:$I$22,9,FALSE)&gt;=VLOOKUP(VLOOKUP(D$1, '20Trips'!$A$3:$I$22,3,FALSE), '20Trips'!$AB$33:$AC$36, 2, FALSE)),1,0)</f>
        <v>0</v>
      </c>
      <c r="E21" s="2">
        <f>IF(AND(VLOOKUP(E$1,'20Trips'!$A$3:$I$22,8,FALSE)-VLOOKUP($A21,'20Trips'!$A$3:$I$22,9,FALSE)&gt;=VLOOKUP(VLOOKUP(E$1, '20Trips'!$A$3:$I$22,3,FALSE), '20Trips'!$AB$33:$AC$36, 2, FALSE)),1,0)</f>
        <v>0</v>
      </c>
      <c r="F21" s="2">
        <f>IF(AND(VLOOKUP(F$1,'20Trips'!$A$3:$I$22,8,FALSE)-VLOOKUP($A21,'20Trips'!$A$3:$I$22,9,FALSE)&gt;=VLOOKUP(VLOOKUP(F$1, '20Trips'!$A$3:$I$22,3,FALSE), '20Trips'!$AB$33:$AC$36, 2, FALSE)),1,0)</f>
        <v>0</v>
      </c>
      <c r="G21" s="2">
        <f>IF(AND(VLOOKUP(G$1,'20Trips'!$A$3:$I$22,8,FALSE)-VLOOKUP($A21,'20Trips'!$A$3:$I$22,9,FALSE)&gt;=VLOOKUP(VLOOKUP(G$1, '20Trips'!$A$3:$I$22,3,FALSE), '20Trips'!$AB$33:$AC$36, 2, FALSE)),1,0)</f>
        <v>0</v>
      </c>
      <c r="H21" s="2">
        <f>IF(AND(VLOOKUP(H$1,'20Trips'!$A$3:$I$22,8,FALSE)-VLOOKUP($A21,'20Trips'!$A$3:$I$22,9,FALSE)&gt;=VLOOKUP(VLOOKUP(H$1, '20Trips'!$A$3:$I$22,3,FALSE), '20Trips'!$AB$33:$AC$36, 2, FALSE)),1,0)</f>
        <v>0</v>
      </c>
      <c r="I21" s="2">
        <f>IF(AND(VLOOKUP(I$1,'20Trips'!$A$3:$I$22,8,FALSE)-VLOOKUP($A21,'20Trips'!$A$3:$I$22,9,FALSE)&gt;=VLOOKUP(VLOOKUP(I$1, '20Trips'!$A$3:$I$22,3,FALSE), '20Trips'!$AB$33:$AC$36, 2, FALSE)),1,0)</f>
        <v>0</v>
      </c>
      <c r="J21" s="2">
        <f>IF(AND(VLOOKUP(J$1,'20Trips'!$A$3:$I$22,8,FALSE)-VLOOKUP($A21,'20Trips'!$A$3:$I$22,9,FALSE)&gt;=VLOOKUP(VLOOKUP(J$1, '20Trips'!$A$3:$I$22,3,FALSE), '20Trips'!$AB$33:$AC$36, 2, FALSE)),1,0)</f>
        <v>0</v>
      </c>
      <c r="K21" s="2">
        <f>IF(AND(VLOOKUP(K$1,'20Trips'!$A$3:$I$22,8,FALSE)-VLOOKUP($A21,'20Trips'!$A$3:$I$22,9,FALSE)&gt;=VLOOKUP(VLOOKUP(K$1, '20Trips'!$A$3:$I$22,3,FALSE), '20Trips'!$AB$33:$AC$36, 2, FALSE)),1,0)</f>
        <v>1</v>
      </c>
      <c r="L21" s="2">
        <f>IF(AND(VLOOKUP(L$1,'20Trips'!$A$3:$I$22,8,FALSE)-VLOOKUP($A21,'20Trips'!$A$3:$I$22,9,FALSE)&gt;=VLOOKUP(VLOOKUP(L$1, '20Trips'!$A$3:$I$22,3,FALSE), '20Trips'!$AB$33:$AC$36, 2, FALSE)),1,0)</f>
        <v>1</v>
      </c>
      <c r="M21" s="2">
        <f>IF(AND(VLOOKUP(M$1,'20Trips'!$A$3:$I$22,8,FALSE)-VLOOKUP($A21,'20Trips'!$A$3:$I$22,9,FALSE)&gt;=VLOOKUP(VLOOKUP(M$1, '20Trips'!$A$3:$I$22,3,FALSE), '20Trips'!$AB$33:$AC$36, 2, FALSE)),1,0)</f>
        <v>0</v>
      </c>
      <c r="N21" s="2">
        <f>IF(AND(VLOOKUP(N$1,'20Trips'!$A$3:$I$22,8,FALSE)-VLOOKUP($A21,'20Trips'!$A$3:$I$22,9,FALSE)&gt;=VLOOKUP(VLOOKUP(N$1, '20Trips'!$A$3:$I$22,3,FALSE), '20Trips'!$AB$33:$AC$36, 2, FALSE)),1,0)</f>
        <v>0</v>
      </c>
      <c r="O21" s="2">
        <f>IF(AND(VLOOKUP(O$1,'20Trips'!$A$3:$I$22,8,FALSE)-VLOOKUP($A21,'20Trips'!$A$3:$I$22,9,FALSE)&gt;=VLOOKUP(VLOOKUP(O$1, '20Trips'!$A$3:$I$22,3,FALSE), '20Trips'!$AB$33:$AC$36, 2, FALSE)),1,0)</f>
        <v>0</v>
      </c>
      <c r="P21" s="2">
        <f>IF(AND(VLOOKUP(P$1,'20Trips'!$A$3:$I$22,8,FALSE)-VLOOKUP($A21,'20Trips'!$A$3:$I$22,9,FALSE)&gt;=VLOOKUP(VLOOKUP(P$1, '20Trips'!$A$3:$I$22,3,FALSE), '20Trips'!$AB$33:$AC$36, 2, FALSE)),1,0)</f>
        <v>0</v>
      </c>
      <c r="Q21" s="2">
        <f>IF(AND(VLOOKUP(Q$1,'20Trips'!$A$3:$I$22,8,FALSE)-VLOOKUP($A21,'20Trips'!$A$3:$I$22,9,FALSE)&gt;=VLOOKUP(VLOOKUP(Q$1, '20Trips'!$A$3:$I$22,3,FALSE), '20Trips'!$AB$33:$AC$36, 2, FALSE)),1,0)</f>
        <v>0</v>
      </c>
      <c r="R21" s="2">
        <f>IF(AND(VLOOKUP(R$1,'20Trips'!$A$3:$I$22,8,FALSE)-VLOOKUP($A21,'20Trips'!$A$3:$I$22,9,FALSE)&gt;=VLOOKUP(VLOOKUP(R$1, '20Trips'!$A$3:$I$22,3,FALSE), '20Trips'!$AB$33:$AC$36, 2, FALSE)),1,0)</f>
        <v>0</v>
      </c>
      <c r="S21" s="2">
        <f>IF(AND(VLOOKUP(S$1,'20Trips'!$A$3:$I$22,8,FALSE)-VLOOKUP($A21,'20Trips'!$A$3:$I$22,9,FALSE)&gt;=VLOOKUP(VLOOKUP(S$1, '20Trips'!$A$3:$I$22,3,FALSE), '20Trips'!$AB$33:$AC$36, 2, FALSE)),1,0)</f>
        <v>0</v>
      </c>
      <c r="T21" s="2">
        <f>IF(AND(VLOOKUP(T$1,'20Trips'!$A$3:$I$22,8,FALSE)-VLOOKUP($A21,'20Trips'!$A$3:$I$22,9,FALSE)&gt;=VLOOKUP(VLOOKUP(T$1, '20Trips'!$A$3:$I$22,3,FALSE), '20Trips'!$AB$33:$AC$36, 2, FALSE)),1,0)</f>
        <v>0</v>
      </c>
      <c r="U21" s="2">
        <f>IF(AND(VLOOKUP(U$1,'20Trips'!$A$3:$I$22,8,FALSE)-VLOOKUP($A21,'20Trips'!$A$3:$I$22,9,FALSE)&gt;=VLOOKUP(VLOOKUP(U$1, '20Trips'!$A$3:$I$22,3,FALSE), '20Trips'!$AB$33:$AC$36, 2, FALSE)),1,0)</f>
        <v>0</v>
      </c>
      <c r="V21" s="2">
        <f>IF(AND(VLOOKUP(V$1,'20Trips'!$A$3:$I$22,8,FALSE)-VLOOKUP($A21,'20Trips'!$A$3:$I$22,9,FALSE)&gt;=VLOOKUP(VLOOKUP(V$1, '20Trips'!$A$3:$I$22,3,FALSE), '20Trips'!$AB$33:$AC$36, 2, FALSE)),1,0)</f>
        <v>0</v>
      </c>
    </row>
    <row r="22" spans="1:22" x14ac:dyDescent="0.25">
      <c r="A22" t="s">
        <v>38</v>
      </c>
      <c r="B22" s="3">
        <v>1</v>
      </c>
      <c r="C22" s="2">
        <f>IF(AND(VLOOKUP(C$1,'20Trips'!$A$3:$I$22,8,FALSE)-VLOOKUP($A22,'20Trips'!$A$3:$I$22,9,FALSE)&gt;=VLOOKUP(VLOOKUP(C$1, '20Trips'!$A$3:$I$22,3,FALSE), '20Trips'!$AB$33:$AC$36, 2, FALSE)),1,0)</f>
        <v>0</v>
      </c>
      <c r="D22" s="2">
        <f>IF(AND(VLOOKUP(D$1,'20Trips'!$A$3:$I$22,8,FALSE)-VLOOKUP($A22,'20Trips'!$A$3:$I$22,9,FALSE)&gt;=VLOOKUP(VLOOKUP(D$1, '20Trips'!$A$3:$I$22,3,FALSE), '20Trips'!$AB$33:$AC$36, 2, FALSE)),1,0)</f>
        <v>0</v>
      </c>
      <c r="E22" s="2">
        <f>IF(AND(VLOOKUP(E$1,'20Trips'!$A$3:$I$22,8,FALSE)-VLOOKUP($A22,'20Trips'!$A$3:$I$22,9,FALSE)&gt;=VLOOKUP(VLOOKUP(E$1, '20Trips'!$A$3:$I$22,3,FALSE), '20Trips'!$AB$33:$AC$36, 2, FALSE)),1,0)</f>
        <v>0</v>
      </c>
      <c r="F22" s="2">
        <f>IF(AND(VLOOKUP(F$1,'20Trips'!$A$3:$I$22,8,FALSE)-VLOOKUP($A22,'20Trips'!$A$3:$I$22,9,FALSE)&gt;=VLOOKUP(VLOOKUP(F$1, '20Trips'!$A$3:$I$22,3,FALSE), '20Trips'!$AB$33:$AC$36, 2, FALSE)),1,0)</f>
        <v>0</v>
      </c>
      <c r="G22" s="2">
        <f>IF(AND(VLOOKUP(G$1,'20Trips'!$A$3:$I$22,8,FALSE)-VLOOKUP($A22,'20Trips'!$A$3:$I$22,9,FALSE)&gt;=VLOOKUP(VLOOKUP(G$1, '20Trips'!$A$3:$I$22,3,FALSE), '20Trips'!$AB$33:$AC$36, 2, FALSE)),1,0)</f>
        <v>0</v>
      </c>
      <c r="H22" s="2">
        <f>IF(AND(VLOOKUP(H$1,'20Trips'!$A$3:$I$22,8,FALSE)-VLOOKUP($A22,'20Trips'!$A$3:$I$22,9,FALSE)&gt;=VLOOKUP(VLOOKUP(H$1, '20Trips'!$A$3:$I$22,3,FALSE), '20Trips'!$AB$33:$AC$36, 2, FALSE)),1,0)</f>
        <v>0</v>
      </c>
      <c r="I22" s="2">
        <f>IF(AND(VLOOKUP(I$1,'20Trips'!$A$3:$I$22,8,FALSE)-VLOOKUP($A22,'20Trips'!$A$3:$I$22,9,FALSE)&gt;=VLOOKUP(VLOOKUP(I$1, '20Trips'!$A$3:$I$22,3,FALSE), '20Trips'!$AB$33:$AC$36, 2, FALSE)),1,0)</f>
        <v>0</v>
      </c>
      <c r="J22" s="2">
        <f>IF(AND(VLOOKUP(J$1,'20Trips'!$A$3:$I$22,8,FALSE)-VLOOKUP($A22,'20Trips'!$A$3:$I$22,9,FALSE)&gt;=VLOOKUP(VLOOKUP(J$1, '20Trips'!$A$3:$I$22,3,FALSE), '20Trips'!$AB$33:$AC$36, 2, FALSE)),1,0)</f>
        <v>0</v>
      </c>
      <c r="K22" s="2">
        <f>IF(AND(VLOOKUP(K$1,'20Trips'!$A$3:$I$22,8,FALSE)-VLOOKUP($A22,'20Trips'!$A$3:$I$22,9,FALSE)&gt;=VLOOKUP(VLOOKUP(K$1, '20Trips'!$A$3:$I$22,3,FALSE), '20Trips'!$AB$33:$AC$36, 2, FALSE)),1,0)</f>
        <v>0</v>
      </c>
      <c r="L22" s="2">
        <f>IF(AND(VLOOKUP(L$1,'20Trips'!$A$3:$I$22,8,FALSE)-VLOOKUP($A22,'20Trips'!$A$3:$I$22,9,FALSE)&gt;=VLOOKUP(VLOOKUP(L$1, '20Trips'!$A$3:$I$22,3,FALSE), '20Trips'!$AB$33:$AC$36, 2, FALSE)),1,0)</f>
        <v>1</v>
      </c>
      <c r="M22" s="2">
        <f>IF(AND(VLOOKUP(M$1,'20Trips'!$A$3:$I$22,8,FALSE)-VLOOKUP($A22,'20Trips'!$A$3:$I$22,9,FALSE)&gt;=VLOOKUP(VLOOKUP(M$1, '20Trips'!$A$3:$I$22,3,FALSE), '20Trips'!$AB$33:$AC$36, 2, FALSE)),1,0)</f>
        <v>0</v>
      </c>
      <c r="N22" s="2">
        <f>IF(AND(VLOOKUP(N$1,'20Trips'!$A$3:$I$22,8,FALSE)-VLOOKUP($A22,'20Trips'!$A$3:$I$22,9,FALSE)&gt;=VLOOKUP(VLOOKUP(N$1, '20Trips'!$A$3:$I$22,3,FALSE), '20Trips'!$AB$33:$AC$36, 2, FALSE)),1,0)</f>
        <v>0</v>
      </c>
      <c r="O22" s="2">
        <f>IF(AND(VLOOKUP(O$1,'20Trips'!$A$3:$I$22,8,FALSE)-VLOOKUP($A22,'20Trips'!$A$3:$I$22,9,FALSE)&gt;=VLOOKUP(VLOOKUP(O$1, '20Trips'!$A$3:$I$22,3,FALSE), '20Trips'!$AB$33:$AC$36, 2, FALSE)),1,0)</f>
        <v>0</v>
      </c>
      <c r="P22" s="2">
        <f>IF(AND(VLOOKUP(P$1,'20Trips'!$A$3:$I$22,8,FALSE)-VLOOKUP($A22,'20Trips'!$A$3:$I$22,9,FALSE)&gt;=VLOOKUP(VLOOKUP(P$1, '20Trips'!$A$3:$I$22,3,FALSE), '20Trips'!$AB$33:$AC$36, 2, FALSE)),1,0)</f>
        <v>0</v>
      </c>
      <c r="Q22" s="2">
        <f>IF(AND(VLOOKUP(Q$1,'20Trips'!$A$3:$I$22,8,FALSE)-VLOOKUP($A22,'20Trips'!$A$3:$I$22,9,FALSE)&gt;=VLOOKUP(VLOOKUP(Q$1, '20Trips'!$A$3:$I$22,3,FALSE), '20Trips'!$AB$33:$AC$36, 2, FALSE)),1,0)</f>
        <v>0</v>
      </c>
      <c r="R22" s="2">
        <f>IF(AND(VLOOKUP(R$1,'20Trips'!$A$3:$I$22,8,FALSE)-VLOOKUP($A22,'20Trips'!$A$3:$I$22,9,FALSE)&gt;=VLOOKUP(VLOOKUP(R$1, '20Trips'!$A$3:$I$22,3,FALSE), '20Trips'!$AB$33:$AC$36, 2, FALSE)),1,0)</f>
        <v>0</v>
      </c>
      <c r="S22" s="2">
        <f>IF(AND(VLOOKUP(S$1,'20Trips'!$A$3:$I$22,8,FALSE)-VLOOKUP($A22,'20Trips'!$A$3:$I$22,9,FALSE)&gt;=VLOOKUP(VLOOKUP(S$1, '20Trips'!$A$3:$I$22,3,FALSE), '20Trips'!$AB$33:$AC$36, 2, FALSE)),1,0)</f>
        <v>0</v>
      </c>
      <c r="T22" s="2">
        <f>IF(AND(VLOOKUP(T$1,'20Trips'!$A$3:$I$22,8,FALSE)-VLOOKUP($A22,'20Trips'!$A$3:$I$22,9,FALSE)&gt;=VLOOKUP(VLOOKUP(T$1, '20Trips'!$A$3:$I$22,3,FALSE), '20Trips'!$AB$33:$AC$36, 2, FALSE)),1,0)</f>
        <v>0</v>
      </c>
      <c r="U22" s="2">
        <f>IF(AND(VLOOKUP(U$1,'20Trips'!$A$3:$I$22,8,FALSE)-VLOOKUP($A22,'20Trips'!$A$3:$I$22,9,FALSE)&gt;=VLOOKUP(VLOOKUP(U$1, '20Trips'!$A$3:$I$22,3,FALSE), '20Trips'!$AB$33:$AC$36, 2, FALSE)),1,0)</f>
        <v>0</v>
      </c>
      <c r="V22" s="2">
        <f>IF(AND(VLOOKUP(V$1,'20Trips'!$A$3:$I$22,8,FALSE)-VLOOKUP($A22,'20Trips'!$A$3:$I$22,9,FALSE)&gt;=VLOOKUP(VLOOKUP(V$1, '20Trips'!$A$3:$I$22,3,FALSE), '20Trips'!$AB$33:$AC$36, 2, FALSE)),1,0)</f>
        <v>0</v>
      </c>
    </row>
    <row r="24" spans="1:22" x14ac:dyDescent="0.25">
      <c r="D24" t="b">
        <f>AND(VLOOKUP(G$1,'20Trips'!$A$3:$G$22,5,FALSE)-VLOOKUP($A5,'20Trips'!$A$3:$G$22,6,FALSE)&gt;=VLOOKUP(VLOOKUP(G$1, '20Trips'!$A$3:$G$22,3,FALSE), '20Trips'!$AB$33:$AC$36, 2, FALSE)/1440)</f>
        <v>0</v>
      </c>
      <c r="F24" t="b">
        <f>VLOOKUP(G$1,'20Trips'!$A$3:$I$22,8,FALSE)-VLOOKUP($A5,'20Trips'!$A$3:$I$22,9,FALSE)&gt;=VLOOKUP(VLOOKUP(G$1,'20Trips'!$A$3:$G$22,3,FALSE),'20Trips'!$AB$33:$AC$36,2,FALSE)</f>
        <v>1</v>
      </c>
      <c r="I24" t="s">
        <v>72</v>
      </c>
    </row>
    <row r="25" spans="1:22" x14ac:dyDescent="0.25">
      <c r="D25">
        <f>VLOOKUP(G$1,'20Trips'!$A$3:$G$22,5,FALSE)-VLOOKUP($A5,'20Trips'!$A$3:$G$22,6,FALSE)</f>
        <v>1.041666666666663E-2</v>
      </c>
      <c r="F25">
        <f>VLOOKUP(G$1,'20Trips'!$A$3:$I$22,8,FALSE)-VLOOKUP($A5,'20Trips'!$A$3:$I$22,9,FALSE)</f>
        <v>15</v>
      </c>
      <c r="I25" t="e">
        <f>VLOOKUP(P$1,'20Trips'!$A$3:$I$22,8,FALSE)-VLOOKUP(#REF!,'20Trips'!$A$3:$I$22,9,FALSE)</f>
        <v>#REF!</v>
      </c>
    </row>
    <row r="26" spans="1:22" x14ac:dyDescent="0.25">
      <c r="D26">
        <f>VLOOKUP(VLOOKUP(G$1, '20Trips'!$A$3:$G$22,3,FALSE), '20Trips'!$AB$33:$AC$36, 2, FALSE)/1440</f>
        <v>1.0416666666666666E-2</v>
      </c>
      <c r="F26">
        <f>VLOOKUP(VLOOKUP(G$1,'20Trips'!$A$3:$G$22,3,FALSE),'20Trips'!$AB$33:$AC$36,2,FALSE)</f>
        <v>15</v>
      </c>
    </row>
  </sheetData>
  <conditionalFormatting sqref="C3:V22">
    <cfRule type="cellIs" dxfId="3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9962-F4D7-4FEB-9F14-68B5F9DF7379}">
  <dimension ref="A1:AB31"/>
  <sheetViews>
    <sheetView workbookViewId="0">
      <selection activeCell="Y25" sqref="Y25"/>
    </sheetView>
  </sheetViews>
  <sheetFormatPr defaultRowHeight="15" x14ac:dyDescent="0.25"/>
  <sheetData>
    <row r="1" spans="1:28" x14ac:dyDescent="0.25">
      <c r="B1" t="s">
        <v>46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18</v>
      </c>
      <c r="I1" t="s">
        <v>20</v>
      </c>
      <c r="J1" t="s">
        <v>21</v>
      </c>
      <c r="K1" t="s">
        <v>22</v>
      </c>
      <c r="L1" t="s">
        <v>23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48</v>
      </c>
      <c r="X1" t="s">
        <v>62</v>
      </c>
      <c r="Y1" t="s">
        <v>67</v>
      </c>
      <c r="Z1" t="s">
        <v>68</v>
      </c>
      <c r="AA1" t="s">
        <v>69</v>
      </c>
    </row>
    <row r="2" spans="1:28" x14ac:dyDescent="0.2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 t="s">
        <v>6</v>
      </c>
      <c r="B3">
        <v>0</v>
      </c>
      <c r="C3">
        <f>IF(AND(SUM(VLOOKUP($A3,'20Trips'!$A$3:$F$22,2,FALSE),VLOOKUP(C$1,'20Trips'!$A$3:$F$22,2,FALSE))&lt;'20Trips'!$AC$38,$A3&lt;&gt;C$1,feasible_mat!C3=1),SUM(VLOOKUP($A3,'20Trips'!$A$3:$F$22,2,FALSE), VLOOKUP(C$1,'20Trips'!$A$3:$F$22,2,FALSE)),0)</f>
        <v>0</v>
      </c>
      <c r="D3">
        <f>IF(AND(SUM(VLOOKUP($A3,'20Trips'!$A$3:$F$22,2,FALSE),VLOOKUP(D$1,'20Trips'!$A$3:$F$22,2,FALSE))&lt;'20Trips'!$AC$38,$A3&lt;&gt;D$1,feasible_mat!D3=1),SUM(VLOOKUP($A3,'20Trips'!$A$3:$F$22,2,FALSE), VLOOKUP(D$1,'20Trips'!$A$3:$F$22,2,FALSE)),0)</f>
        <v>270</v>
      </c>
      <c r="E3">
        <f>IF(AND(SUM(VLOOKUP($A3,'20Trips'!$A$3:$F$22,2,FALSE),VLOOKUP(E$1,'20Trips'!$A$3:$F$22,2,FALSE))&lt;'20Trips'!$AC$38,$A3&lt;&gt;E$1,feasible_mat!E3=1),SUM(VLOOKUP($A3,'20Trips'!$A$3:$F$22,2,FALSE), VLOOKUP(E$1,'20Trips'!$A$3:$F$22,2,FALSE)),0)</f>
        <v>270</v>
      </c>
      <c r="F3">
        <f>IF(AND(SUM(VLOOKUP($A3,'20Trips'!$A$3:$F$22,2,FALSE),VLOOKUP(F$1,'20Trips'!$A$3:$F$22,2,FALSE))&lt;'20Trips'!$AC$38,$A3&lt;&gt;F$1,feasible_mat!F3=1),SUM(VLOOKUP($A3,'20Trips'!$A$3:$F$22,2,FALSE), VLOOKUP(F$1,'20Trips'!$A$3:$F$22,2,FALSE)),0)</f>
        <v>270</v>
      </c>
      <c r="G3">
        <f>IF(AND(SUM(VLOOKUP($A3,'20Trips'!$A$3:$F$22,2,FALSE),VLOOKUP(G$1,'20Trips'!$A$3:$F$22,2,FALSE))&lt;'20Trips'!$AC$38,$A3&lt;&gt;G$1,feasible_mat!G3=1),SUM(VLOOKUP($A3,'20Trips'!$A$3:$F$22,2,FALSE), VLOOKUP(G$1,'20Trips'!$A$3:$F$22,2,FALSE)),0)</f>
        <v>270</v>
      </c>
      <c r="H3">
        <f>IF(AND(SUM(VLOOKUP($A3,'20Trips'!$A$3:$F$22,2,FALSE),VLOOKUP(H$1,'20Trips'!$A$3:$F$22,2,FALSE))&lt;'20Trips'!$AC$38,$A3&lt;&gt;H$1,feasible_mat!H3=1),SUM(VLOOKUP($A3,'20Trips'!$A$3:$F$22,2,FALSE), VLOOKUP(H$1,'20Trips'!$A$3:$F$22,2,FALSE)),0)</f>
        <v>0</v>
      </c>
      <c r="I3">
        <f>IF(AND(SUM(VLOOKUP($A3,'20Trips'!$A$3:$F$22,2,FALSE),VLOOKUP(I$1,'20Trips'!$A$3:$F$22,2,FALSE))&lt;'20Trips'!$AC$38,$A3&lt;&gt;I$1,feasible_mat!I3=1),SUM(VLOOKUP($A3,'20Trips'!$A$3:$F$22,2,FALSE), VLOOKUP(I$1,'20Trips'!$A$3:$F$22,2,FALSE)),0)</f>
        <v>0</v>
      </c>
      <c r="J3">
        <f>IF(AND(SUM(VLOOKUP($A3,'20Trips'!$A$3:$F$22,2,FALSE),VLOOKUP(J$1,'20Trips'!$A$3:$F$22,2,FALSE))&lt;'20Trips'!$AC$38,$A3&lt;&gt;J$1,feasible_mat!J3=1),SUM(VLOOKUP($A3,'20Trips'!$A$3:$F$22,2,FALSE), VLOOKUP(J$1,'20Trips'!$A$3:$F$22,2,FALSE)),0)</f>
        <v>275</v>
      </c>
      <c r="K3">
        <f>IF(AND(SUM(VLOOKUP($A3,'20Trips'!$A$3:$F$22,2,FALSE),VLOOKUP(K$1,'20Trips'!$A$3:$F$22,2,FALSE))&lt;'20Trips'!$AC$38,$A3&lt;&gt;K$1,feasible_mat!K3=1),SUM(VLOOKUP($A3,'20Trips'!$A$3:$F$22,2,FALSE), VLOOKUP(K$1,'20Trips'!$A$3:$F$22,2,FALSE)),0)</f>
        <v>275</v>
      </c>
      <c r="L3">
        <f>IF(AND(SUM(VLOOKUP($A3,'20Trips'!$A$3:$F$22,2,FALSE),VLOOKUP(L$1,'20Trips'!$A$3:$F$22,2,FALSE))&lt;'20Trips'!$AC$38,$A3&lt;&gt;L$1,feasible_mat!L3=1),SUM(VLOOKUP($A3,'20Trips'!$A$3:$F$22,2,FALSE), VLOOKUP(L$1,'20Trips'!$A$3:$F$22,2,FALSE)),0)</f>
        <v>275</v>
      </c>
      <c r="M3">
        <f>IF(AND(SUM(VLOOKUP($A3,'20Trips'!$A$3:$F$22,2,FALSE),VLOOKUP(M$1,'20Trips'!$A$3:$F$22,2,FALSE))&lt;'20Trips'!$AC$38,$A3&lt;&gt;M$1,feasible_mat!M3=1),SUM(VLOOKUP($A3,'20Trips'!$A$3:$F$22,2,FALSE), VLOOKUP(M$1,'20Trips'!$A$3:$F$22,2,FALSE)),0)</f>
        <v>0</v>
      </c>
      <c r="N3">
        <f>IF(AND(SUM(VLOOKUP($A3,'20Trips'!$A$3:$F$22,2,FALSE),VLOOKUP(N$1,'20Trips'!$A$3:$F$22,2,FALSE))&lt;'20Trips'!$AC$38,$A3&lt;&gt;N$1,feasible_mat!N3=1),SUM(VLOOKUP($A3,'20Trips'!$A$3:$F$22,2,FALSE), VLOOKUP(N$1,'20Trips'!$A$3:$F$22,2,FALSE)),0)</f>
        <v>0</v>
      </c>
      <c r="O3">
        <f>IF(AND(SUM(VLOOKUP($A3,'20Trips'!$A$3:$F$22,2,FALSE),VLOOKUP(O$1,'20Trips'!$A$3:$F$22,2,FALSE))&lt;'20Trips'!$AC$38,$A3&lt;&gt;O$1,feasible_mat!O3=1),SUM(VLOOKUP($A3,'20Trips'!$A$3:$F$22,2,FALSE), VLOOKUP(O$1,'20Trips'!$A$3:$F$22,2,FALSE)),0)</f>
        <v>270</v>
      </c>
      <c r="P3">
        <f>IF(AND(SUM(VLOOKUP($A3,'20Trips'!$A$3:$F$22,2,FALSE),VLOOKUP(P$1,'20Trips'!$A$3:$F$22,2,FALSE))&lt;'20Trips'!$AC$38,$A3&lt;&gt;P$1,feasible_mat!P3=1),SUM(VLOOKUP($A3,'20Trips'!$A$3:$F$22,2,FALSE), VLOOKUP(P$1,'20Trips'!$A$3:$F$22,2,FALSE)),0)</f>
        <v>270</v>
      </c>
      <c r="Q3">
        <f>IF(AND(SUM(VLOOKUP($A3,'20Trips'!$A$3:$F$22,2,FALSE),VLOOKUP(Q$1,'20Trips'!$A$3:$F$22,2,FALSE))&lt;'20Trips'!$AC$38,$A3&lt;&gt;Q$1,feasible_mat!Q3=1),SUM(VLOOKUP($A3,'20Trips'!$A$3:$F$22,2,FALSE), VLOOKUP(Q$1,'20Trips'!$A$3:$F$22,2,FALSE)),0)</f>
        <v>270</v>
      </c>
      <c r="R3">
        <f>IF(AND(SUM(VLOOKUP($A3,'20Trips'!$A$3:$F$22,2,FALSE),VLOOKUP(R$1,'20Trips'!$A$3:$F$22,2,FALSE))&lt;'20Trips'!$AC$38,$A3&lt;&gt;R$1,feasible_mat!R3=1),SUM(VLOOKUP($A3,'20Trips'!$A$3:$F$22,2,FALSE), VLOOKUP(R$1,'20Trips'!$A$3:$F$22,2,FALSE)),0)</f>
        <v>0</v>
      </c>
      <c r="S3">
        <f>IF(AND(SUM(VLOOKUP($A3,'20Trips'!$A$3:$F$22,2,FALSE),VLOOKUP(S$1,'20Trips'!$A$3:$F$22,2,FALSE))&lt;'20Trips'!$AC$38,$A3&lt;&gt;S$1,feasible_mat!S3=1),SUM(VLOOKUP($A3,'20Trips'!$A$3:$F$22,2,FALSE), VLOOKUP(S$1,'20Trips'!$A$3:$F$22,2,FALSE)),0)</f>
        <v>275</v>
      </c>
      <c r="T3">
        <f>IF(AND(SUM(VLOOKUP($A3,'20Trips'!$A$3:$F$22,2,FALSE),VLOOKUP(T$1,'20Trips'!$A$3:$F$22,2,FALSE))&lt;'20Trips'!$AC$38,$A3&lt;&gt;T$1,feasible_mat!T3=1),SUM(VLOOKUP($A3,'20Trips'!$A$3:$F$22,2,FALSE), VLOOKUP(T$1,'20Trips'!$A$3:$F$22,2,FALSE)),0)</f>
        <v>275</v>
      </c>
      <c r="U3">
        <f>IF(AND(SUM(VLOOKUP($A3,'20Trips'!$A$3:$F$22,2,FALSE),VLOOKUP(U$1,'20Trips'!$A$3:$F$22,2,FALSE))&lt;'20Trips'!$AC$38,$A3&lt;&gt;U$1,feasible_mat!U3=1),SUM(VLOOKUP($A3,'20Trips'!$A$3:$F$22,2,FALSE), VLOOKUP(U$1,'20Trips'!$A$3:$F$22,2,FALSE)),0)</f>
        <v>275</v>
      </c>
      <c r="V3">
        <f>IF(AND(SUM(VLOOKUP($A3,'20Trips'!$A$3:$F$22,2,FALSE),VLOOKUP(V$1,'20Trips'!$A$3:$F$22,2,FALSE))&lt;'20Trips'!$AC$38,$A3&lt;&gt;V$1,feasible_mat!V3=1),SUM(VLOOKUP($A3,'20Trips'!$A$3:$F$22,2,FALSE), VLOOKUP(V$1,'20Trips'!$A$3:$F$22,2,FALSE)),0)</f>
        <v>275</v>
      </c>
      <c r="W3">
        <v>0</v>
      </c>
      <c r="X3">
        <v>0</v>
      </c>
      <c r="Y3">
        <v>0</v>
      </c>
      <c r="Z3">
        <v>0</v>
      </c>
      <c r="AA3">
        <v>0</v>
      </c>
      <c r="AB3">
        <f>AB2+1</f>
        <v>1</v>
      </c>
    </row>
    <row r="4" spans="1:28" x14ac:dyDescent="0.25">
      <c r="A4" t="s">
        <v>9</v>
      </c>
      <c r="B4">
        <v>0</v>
      </c>
      <c r="C4">
        <f>IF(AND(SUM(VLOOKUP($A4,'20Trips'!$A$3:$F$22,2,FALSE),VLOOKUP(C$1,'20Trips'!$A$3:$F$22,2,FALSE))&lt;'20Trips'!$AC$38,$A4&lt;&gt;C$1,feasible_mat!C4=1),SUM(VLOOKUP($A4,'20Trips'!$A$3:$F$22,2,FALSE), VLOOKUP(C$1,'20Trips'!$A$3:$F$22,2,FALSE)),0)</f>
        <v>0</v>
      </c>
      <c r="D4">
        <f>IF(AND(SUM(VLOOKUP($A4,'20Trips'!$A$3:$F$22,2,FALSE),VLOOKUP(D$1,'20Trips'!$A$3:$F$22,2,FALSE))&lt;'20Trips'!$AC$38,$A4&lt;&gt;D$1,feasible_mat!D4=1),SUM(VLOOKUP($A4,'20Trips'!$A$3:$F$22,2,FALSE), VLOOKUP(D$1,'20Trips'!$A$3:$F$22,2,FALSE)),0)</f>
        <v>0</v>
      </c>
      <c r="E4">
        <f>IF(AND(SUM(VLOOKUP($A4,'20Trips'!$A$3:$F$22,2,FALSE),VLOOKUP(E$1,'20Trips'!$A$3:$F$22,2,FALSE))&lt;'20Trips'!$AC$38,$A4&lt;&gt;E$1,feasible_mat!E4=1),SUM(VLOOKUP($A4,'20Trips'!$A$3:$F$22,2,FALSE), VLOOKUP(E$1,'20Trips'!$A$3:$F$22,2,FALSE)),0)</f>
        <v>0</v>
      </c>
      <c r="F4">
        <f>IF(AND(SUM(VLOOKUP($A4,'20Trips'!$A$3:$F$22,2,FALSE),VLOOKUP(F$1,'20Trips'!$A$3:$F$22,2,FALSE))&lt;'20Trips'!$AC$38,$A4&lt;&gt;F$1,feasible_mat!F4=1),SUM(VLOOKUP($A4,'20Trips'!$A$3:$F$22,2,FALSE), VLOOKUP(F$1,'20Trips'!$A$3:$F$22,2,FALSE)),0)</f>
        <v>270</v>
      </c>
      <c r="G4">
        <f>IF(AND(SUM(VLOOKUP($A4,'20Trips'!$A$3:$F$22,2,FALSE),VLOOKUP(G$1,'20Trips'!$A$3:$F$22,2,FALSE))&lt;'20Trips'!$AC$38,$A4&lt;&gt;G$1,feasible_mat!G4=1),SUM(VLOOKUP($A4,'20Trips'!$A$3:$F$22,2,FALSE), VLOOKUP(G$1,'20Trips'!$A$3:$F$22,2,FALSE)),0)</f>
        <v>270</v>
      </c>
      <c r="H4">
        <f>IF(AND(SUM(VLOOKUP($A4,'20Trips'!$A$3:$F$22,2,FALSE),VLOOKUP(H$1,'20Trips'!$A$3:$F$22,2,FALSE))&lt;'20Trips'!$AC$38,$A4&lt;&gt;H$1,feasible_mat!H4=1),SUM(VLOOKUP($A4,'20Trips'!$A$3:$F$22,2,FALSE), VLOOKUP(H$1,'20Trips'!$A$3:$F$22,2,FALSE)),0)</f>
        <v>0</v>
      </c>
      <c r="I4">
        <f>IF(AND(SUM(VLOOKUP($A4,'20Trips'!$A$3:$F$22,2,FALSE),VLOOKUP(I$1,'20Trips'!$A$3:$F$22,2,FALSE))&lt;'20Trips'!$AC$38,$A4&lt;&gt;I$1,feasible_mat!I4=1),SUM(VLOOKUP($A4,'20Trips'!$A$3:$F$22,2,FALSE), VLOOKUP(I$1,'20Trips'!$A$3:$F$22,2,FALSE)),0)</f>
        <v>0</v>
      </c>
      <c r="J4">
        <f>IF(AND(SUM(VLOOKUP($A4,'20Trips'!$A$3:$F$22,2,FALSE),VLOOKUP(J$1,'20Trips'!$A$3:$F$22,2,FALSE))&lt;'20Trips'!$AC$38,$A4&lt;&gt;J$1,feasible_mat!J4=1),SUM(VLOOKUP($A4,'20Trips'!$A$3:$F$22,2,FALSE), VLOOKUP(J$1,'20Trips'!$A$3:$F$22,2,FALSE)),0)</f>
        <v>0</v>
      </c>
      <c r="K4">
        <f>IF(AND(SUM(VLOOKUP($A4,'20Trips'!$A$3:$F$22,2,FALSE),VLOOKUP(K$1,'20Trips'!$A$3:$F$22,2,FALSE))&lt;'20Trips'!$AC$38,$A4&lt;&gt;K$1,feasible_mat!K4=1),SUM(VLOOKUP($A4,'20Trips'!$A$3:$F$22,2,FALSE), VLOOKUP(K$1,'20Trips'!$A$3:$F$22,2,FALSE)),0)</f>
        <v>275</v>
      </c>
      <c r="L4">
        <f>IF(AND(SUM(VLOOKUP($A4,'20Trips'!$A$3:$F$22,2,FALSE),VLOOKUP(L$1,'20Trips'!$A$3:$F$22,2,FALSE))&lt;'20Trips'!$AC$38,$A4&lt;&gt;L$1,feasible_mat!L4=1),SUM(VLOOKUP($A4,'20Trips'!$A$3:$F$22,2,FALSE), VLOOKUP(L$1,'20Trips'!$A$3:$F$22,2,FALSE)),0)</f>
        <v>275</v>
      </c>
      <c r="M4">
        <f>IF(AND(SUM(VLOOKUP($A4,'20Trips'!$A$3:$F$22,2,FALSE),VLOOKUP(M$1,'20Trips'!$A$3:$F$22,2,FALSE))&lt;'20Trips'!$AC$38,$A4&lt;&gt;M$1,feasible_mat!M4=1),SUM(VLOOKUP($A4,'20Trips'!$A$3:$F$22,2,FALSE), VLOOKUP(M$1,'20Trips'!$A$3:$F$22,2,FALSE)),0)</f>
        <v>0</v>
      </c>
      <c r="N4">
        <f>IF(AND(SUM(VLOOKUP($A4,'20Trips'!$A$3:$F$22,2,FALSE),VLOOKUP(N$1,'20Trips'!$A$3:$F$22,2,FALSE))&lt;'20Trips'!$AC$38,$A4&lt;&gt;N$1,feasible_mat!N4=1),SUM(VLOOKUP($A4,'20Trips'!$A$3:$F$22,2,FALSE), VLOOKUP(N$1,'20Trips'!$A$3:$F$22,2,FALSE)),0)</f>
        <v>0</v>
      </c>
      <c r="O4">
        <f>IF(AND(SUM(VLOOKUP($A4,'20Trips'!$A$3:$F$22,2,FALSE),VLOOKUP(O$1,'20Trips'!$A$3:$F$22,2,FALSE))&lt;'20Trips'!$AC$38,$A4&lt;&gt;O$1,feasible_mat!O4=1),SUM(VLOOKUP($A4,'20Trips'!$A$3:$F$22,2,FALSE), VLOOKUP(O$1,'20Trips'!$A$3:$F$22,2,FALSE)),0)</f>
        <v>0</v>
      </c>
      <c r="P4">
        <f>IF(AND(SUM(VLOOKUP($A4,'20Trips'!$A$3:$F$22,2,FALSE),VLOOKUP(P$1,'20Trips'!$A$3:$F$22,2,FALSE))&lt;'20Trips'!$AC$38,$A4&lt;&gt;P$1,feasible_mat!P4=1),SUM(VLOOKUP($A4,'20Trips'!$A$3:$F$22,2,FALSE), VLOOKUP(P$1,'20Trips'!$A$3:$F$22,2,FALSE)),0)</f>
        <v>0</v>
      </c>
      <c r="Q4">
        <f>IF(AND(SUM(VLOOKUP($A4,'20Trips'!$A$3:$F$22,2,FALSE),VLOOKUP(Q$1,'20Trips'!$A$3:$F$22,2,FALSE))&lt;'20Trips'!$AC$38,$A4&lt;&gt;Q$1,feasible_mat!Q4=1),SUM(VLOOKUP($A4,'20Trips'!$A$3:$F$22,2,FALSE), VLOOKUP(Q$1,'20Trips'!$A$3:$F$22,2,FALSE)),0)</f>
        <v>270</v>
      </c>
      <c r="R4">
        <f>IF(AND(SUM(VLOOKUP($A4,'20Trips'!$A$3:$F$22,2,FALSE),VLOOKUP(R$1,'20Trips'!$A$3:$F$22,2,FALSE))&lt;'20Trips'!$AC$38,$A4&lt;&gt;R$1,feasible_mat!R4=1),SUM(VLOOKUP($A4,'20Trips'!$A$3:$F$22,2,FALSE), VLOOKUP(R$1,'20Trips'!$A$3:$F$22,2,FALSE)),0)</f>
        <v>0</v>
      </c>
      <c r="S4">
        <f>IF(AND(SUM(VLOOKUP($A4,'20Trips'!$A$3:$F$22,2,FALSE),VLOOKUP(S$1,'20Trips'!$A$3:$F$22,2,FALSE))&lt;'20Trips'!$AC$38,$A4&lt;&gt;S$1,feasible_mat!S4=1),SUM(VLOOKUP($A4,'20Trips'!$A$3:$F$22,2,FALSE), VLOOKUP(S$1,'20Trips'!$A$3:$F$22,2,FALSE)),0)</f>
        <v>0</v>
      </c>
      <c r="T4">
        <f>IF(AND(SUM(VLOOKUP($A4,'20Trips'!$A$3:$F$22,2,FALSE),VLOOKUP(T$1,'20Trips'!$A$3:$F$22,2,FALSE))&lt;'20Trips'!$AC$38,$A4&lt;&gt;T$1,feasible_mat!T4=1),SUM(VLOOKUP($A4,'20Trips'!$A$3:$F$22,2,FALSE), VLOOKUP(T$1,'20Trips'!$A$3:$F$22,2,FALSE)),0)</f>
        <v>0</v>
      </c>
      <c r="U4">
        <f>IF(AND(SUM(VLOOKUP($A4,'20Trips'!$A$3:$F$22,2,FALSE),VLOOKUP(U$1,'20Trips'!$A$3:$F$22,2,FALSE))&lt;'20Trips'!$AC$38,$A4&lt;&gt;U$1,feasible_mat!U4=1),SUM(VLOOKUP($A4,'20Trips'!$A$3:$F$22,2,FALSE), VLOOKUP(U$1,'20Trips'!$A$3:$F$22,2,FALSE)),0)</f>
        <v>275</v>
      </c>
      <c r="V4">
        <f>IF(AND(SUM(VLOOKUP($A4,'20Trips'!$A$3:$F$22,2,FALSE),VLOOKUP(V$1,'20Trips'!$A$3:$F$22,2,FALSE))&lt;'20Trips'!$AC$38,$A4&lt;&gt;V$1,feasible_mat!V4=1),SUM(VLOOKUP($A4,'20Trips'!$A$3:$F$22,2,FALSE), VLOOKUP(V$1,'20Trips'!$A$3:$F$22,2,FALSE)),0)</f>
        <v>275</v>
      </c>
      <c r="W4">
        <v>0</v>
      </c>
      <c r="X4">
        <v>0</v>
      </c>
      <c r="Y4">
        <v>0</v>
      </c>
      <c r="Z4">
        <v>0</v>
      </c>
      <c r="AA4">
        <v>0</v>
      </c>
      <c r="AB4">
        <f t="shared" ref="AB4:AB27" si="0">AB3+1</f>
        <v>2</v>
      </c>
    </row>
    <row r="5" spans="1:28" x14ac:dyDescent="0.25">
      <c r="A5" t="s">
        <v>10</v>
      </c>
      <c r="B5">
        <v>0</v>
      </c>
      <c r="C5">
        <f>IF(AND(SUM(VLOOKUP($A5,'20Trips'!$A$3:$F$22,2,FALSE),VLOOKUP(C$1,'20Trips'!$A$3:$F$22,2,FALSE))&lt;'20Trips'!$AC$38,$A5&lt;&gt;C$1,feasible_mat!C5=1),SUM(VLOOKUP($A5,'20Trips'!$A$3:$F$22,2,FALSE), VLOOKUP(C$1,'20Trips'!$A$3:$F$22,2,FALSE)),0)</f>
        <v>0</v>
      </c>
      <c r="D5">
        <f>IF(AND(SUM(VLOOKUP($A5,'20Trips'!$A$3:$F$22,2,FALSE),VLOOKUP(D$1,'20Trips'!$A$3:$F$22,2,FALSE))&lt;'20Trips'!$AC$38,$A5&lt;&gt;D$1,feasible_mat!D5=1),SUM(VLOOKUP($A5,'20Trips'!$A$3:$F$22,2,FALSE), VLOOKUP(D$1,'20Trips'!$A$3:$F$22,2,FALSE)),0)</f>
        <v>0</v>
      </c>
      <c r="E5">
        <f>IF(AND(SUM(VLOOKUP($A5,'20Trips'!$A$3:$F$22,2,FALSE),VLOOKUP(E$1,'20Trips'!$A$3:$F$22,2,FALSE))&lt;'20Trips'!$AC$38,$A5&lt;&gt;E$1,feasible_mat!E5=1),SUM(VLOOKUP($A5,'20Trips'!$A$3:$F$22,2,FALSE), VLOOKUP(E$1,'20Trips'!$A$3:$F$22,2,FALSE)),0)</f>
        <v>0</v>
      </c>
      <c r="F5">
        <f>IF(AND(SUM(VLOOKUP($A5,'20Trips'!$A$3:$F$22,2,FALSE),VLOOKUP(F$1,'20Trips'!$A$3:$F$22,2,FALSE))&lt;'20Trips'!$AC$38,$A5&lt;&gt;F$1,feasible_mat!F5=1),SUM(VLOOKUP($A5,'20Trips'!$A$3:$F$22,2,FALSE), VLOOKUP(F$1,'20Trips'!$A$3:$F$22,2,FALSE)),0)</f>
        <v>0</v>
      </c>
      <c r="G5">
        <f>IF(AND(SUM(VLOOKUP($A5,'20Trips'!$A$3:$F$22,2,FALSE),VLOOKUP(G$1,'20Trips'!$A$3:$F$22,2,FALSE))&lt;'20Trips'!$AC$38,$A5&lt;&gt;G$1,feasible_mat!G5=1),SUM(VLOOKUP($A5,'20Trips'!$A$3:$F$22,2,FALSE), VLOOKUP(G$1,'20Trips'!$A$3:$F$22,2,FALSE)),0)</f>
        <v>270</v>
      </c>
      <c r="H5">
        <f>IF(AND(SUM(VLOOKUP($A5,'20Trips'!$A$3:$F$22,2,FALSE),VLOOKUP(H$1,'20Trips'!$A$3:$F$22,2,FALSE))&lt;'20Trips'!$AC$38,$A5&lt;&gt;H$1,feasible_mat!H5=1),SUM(VLOOKUP($A5,'20Trips'!$A$3:$F$22,2,FALSE), VLOOKUP(H$1,'20Trips'!$A$3:$F$22,2,FALSE)),0)</f>
        <v>0</v>
      </c>
      <c r="I5">
        <f>IF(AND(SUM(VLOOKUP($A5,'20Trips'!$A$3:$F$22,2,FALSE),VLOOKUP(I$1,'20Trips'!$A$3:$F$22,2,FALSE))&lt;'20Trips'!$AC$38,$A5&lt;&gt;I$1,feasible_mat!I5=1),SUM(VLOOKUP($A5,'20Trips'!$A$3:$F$22,2,FALSE), VLOOKUP(I$1,'20Trips'!$A$3:$F$22,2,FALSE)),0)</f>
        <v>0</v>
      </c>
      <c r="J5">
        <f>IF(AND(SUM(VLOOKUP($A5,'20Trips'!$A$3:$F$22,2,FALSE),VLOOKUP(J$1,'20Trips'!$A$3:$F$22,2,FALSE))&lt;'20Trips'!$AC$38,$A5&lt;&gt;J$1,feasible_mat!J5=1),SUM(VLOOKUP($A5,'20Trips'!$A$3:$F$22,2,FALSE), VLOOKUP(J$1,'20Trips'!$A$3:$F$22,2,FALSE)),0)</f>
        <v>0</v>
      </c>
      <c r="K5">
        <f>IF(AND(SUM(VLOOKUP($A5,'20Trips'!$A$3:$F$22,2,FALSE),VLOOKUP(K$1,'20Trips'!$A$3:$F$22,2,FALSE))&lt;'20Trips'!$AC$38,$A5&lt;&gt;K$1,feasible_mat!K5=1),SUM(VLOOKUP($A5,'20Trips'!$A$3:$F$22,2,FALSE), VLOOKUP(K$1,'20Trips'!$A$3:$F$22,2,FALSE)),0)</f>
        <v>275</v>
      </c>
      <c r="L5">
        <f>IF(AND(SUM(VLOOKUP($A5,'20Trips'!$A$3:$F$22,2,FALSE),VLOOKUP(L$1,'20Trips'!$A$3:$F$22,2,FALSE))&lt;'20Trips'!$AC$38,$A5&lt;&gt;L$1,feasible_mat!L5=1),SUM(VLOOKUP($A5,'20Trips'!$A$3:$F$22,2,FALSE), VLOOKUP(L$1,'20Trips'!$A$3:$F$22,2,FALSE)),0)</f>
        <v>275</v>
      </c>
      <c r="M5">
        <f>IF(AND(SUM(VLOOKUP($A5,'20Trips'!$A$3:$F$22,2,FALSE),VLOOKUP(M$1,'20Trips'!$A$3:$F$22,2,FALSE))&lt;'20Trips'!$AC$38,$A5&lt;&gt;M$1,feasible_mat!M5=1),SUM(VLOOKUP($A5,'20Trips'!$A$3:$F$22,2,FALSE), VLOOKUP(M$1,'20Trips'!$A$3:$F$22,2,FALSE)),0)</f>
        <v>0</v>
      </c>
      <c r="N5">
        <f>IF(AND(SUM(VLOOKUP($A5,'20Trips'!$A$3:$F$22,2,FALSE),VLOOKUP(N$1,'20Trips'!$A$3:$F$22,2,FALSE))&lt;'20Trips'!$AC$38,$A5&lt;&gt;N$1,feasible_mat!N5=1),SUM(VLOOKUP($A5,'20Trips'!$A$3:$F$22,2,FALSE), VLOOKUP(N$1,'20Trips'!$A$3:$F$22,2,FALSE)),0)</f>
        <v>0</v>
      </c>
      <c r="O5">
        <f>IF(AND(SUM(VLOOKUP($A5,'20Trips'!$A$3:$F$22,2,FALSE),VLOOKUP(O$1,'20Trips'!$A$3:$F$22,2,FALSE))&lt;'20Trips'!$AC$38,$A5&lt;&gt;O$1,feasible_mat!O5=1),SUM(VLOOKUP($A5,'20Trips'!$A$3:$F$22,2,FALSE), VLOOKUP(O$1,'20Trips'!$A$3:$F$22,2,FALSE)),0)</f>
        <v>0</v>
      </c>
      <c r="P5">
        <f>IF(AND(SUM(VLOOKUP($A5,'20Trips'!$A$3:$F$22,2,FALSE),VLOOKUP(P$1,'20Trips'!$A$3:$F$22,2,FALSE))&lt;'20Trips'!$AC$38,$A5&lt;&gt;P$1,feasible_mat!P5=1),SUM(VLOOKUP($A5,'20Trips'!$A$3:$F$22,2,FALSE), VLOOKUP(P$1,'20Trips'!$A$3:$F$22,2,FALSE)),0)</f>
        <v>0</v>
      </c>
      <c r="Q5">
        <f>IF(AND(SUM(VLOOKUP($A5,'20Trips'!$A$3:$F$22,2,FALSE),VLOOKUP(Q$1,'20Trips'!$A$3:$F$22,2,FALSE))&lt;'20Trips'!$AC$38,$A5&lt;&gt;Q$1,feasible_mat!Q5=1),SUM(VLOOKUP($A5,'20Trips'!$A$3:$F$22,2,FALSE), VLOOKUP(Q$1,'20Trips'!$A$3:$F$22,2,FALSE)),0)</f>
        <v>0</v>
      </c>
      <c r="R5">
        <f>IF(AND(SUM(VLOOKUP($A5,'20Trips'!$A$3:$F$22,2,FALSE),VLOOKUP(R$1,'20Trips'!$A$3:$F$22,2,FALSE))&lt;'20Trips'!$AC$38,$A5&lt;&gt;R$1,feasible_mat!R5=1),SUM(VLOOKUP($A5,'20Trips'!$A$3:$F$22,2,FALSE), VLOOKUP(R$1,'20Trips'!$A$3:$F$22,2,FALSE)),0)</f>
        <v>0</v>
      </c>
      <c r="S5">
        <f>IF(AND(SUM(VLOOKUP($A5,'20Trips'!$A$3:$F$22,2,FALSE),VLOOKUP(S$1,'20Trips'!$A$3:$F$22,2,FALSE))&lt;'20Trips'!$AC$38,$A5&lt;&gt;S$1,feasible_mat!S5=1),SUM(VLOOKUP($A5,'20Trips'!$A$3:$F$22,2,FALSE), VLOOKUP(S$1,'20Trips'!$A$3:$F$22,2,FALSE)),0)</f>
        <v>0</v>
      </c>
      <c r="T5">
        <f>IF(AND(SUM(VLOOKUP($A5,'20Trips'!$A$3:$F$22,2,FALSE),VLOOKUP(T$1,'20Trips'!$A$3:$F$22,2,FALSE))&lt;'20Trips'!$AC$38,$A5&lt;&gt;T$1,feasible_mat!T5=1),SUM(VLOOKUP($A5,'20Trips'!$A$3:$F$22,2,FALSE), VLOOKUP(T$1,'20Trips'!$A$3:$F$22,2,FALSE)),0)</f>
        <v>0</v>
      </c>
      <c r="U5">
        <f>IF(AND(SUM(VLOOKUP($A5,'20Trips'!$A$3:$F$22,2,FALSE),VLOOKUP(U$1,'20Trips'!$A$3:$F$22,2,FALSE))&lt;'20Trips'!$AC$38,$A5&lt;&gt;U$1,feasible_mat!U5=1),SUM(VLOOKUP($A5,'20Trips'!$A$3:$F$22,2,FALSE), VLOOKUP(U$1,'20Trips'!$A$3:$F$22,2,FALSE)),0)</f>
        <v>0</v>
      </c>
      <c r="V5">
        <f>IF(AND(SUM(VLOOKUP($A5,'20Trips'!$A$3:$F$22,2,FALSE),VLOOKUP(V$1,'20Trips'!$A$3:$F$22,2,FALSE))&lt;'20Trips'!$AC$38,$A5&lt;&gt;V$1,feasible_mat!V5=1),SUM(VLOOKUP($A5,'20Trips'!$A$3:$F$22,2,FALSE), VLOOKUP(V$1,'20Trips'!$A$3:$F$22,2,FALSE)),0)</f>
        <v>275</v>
      </c>
      <c r="W5">
        <v>0</v>
      </c>
      <c r="X5">
        <v>0</v>
      </c>
      <c r="Y5">
        <v>0</v>
      </c>
      <c r="Z5">
        <v>0</v>
      </c>
      <c r="AA5">
        <v>0</v>
      </c>
      <c r="AB5">
        <f t="shared" si="0"/>
        <v>3</v>
      </c>
    </row>
    <row r="6" spans="1:28" x14ac:dyDescent="0.25">
      <c r="A6" t="s">
        <v>11</v>
      </c>
      <c r="B6">
        <v>0</v>
      </c>
      <c r="C6">
        <f>IF(AND(SUM(VLOOKUP($A6,'20Trips'!$A$3:$F$22,2,FALSE),VLOOKUP(C$1,'20Trips'!$A$3:$F$22,2,FALSE))&lt;'20Trips'!$AC$38,$A6&lt;&gt;C$1,feasible_mat!C6=1),SUM(VLOOKUP($A6,'20Trips'!$A$3:$F$22,2,FALSE), VLOOKUP(C$1,'20Trips'!$A$3:$F$22,2,FALSE)),0)</f>
        <v>0</v>
      </c>
      <c r="D6">
        <f>IF(AND(SUM(VLOOKUP($A6,'20Trips'!$A$3:$F$22,2,FALSE),VLOOKUP(D$1,'20Trips'!$A$3:$F$22,2,FALSE))&lt;'20Trips'!$AC$38,$A6&lt;&gt;D$1,feasible_mat!D6=1),SUM(VLOOKUP($A6,'20Trips'!$A$3:$F$22,2,FALSE), VLOOKUP(D$1,'20Trips'!$A$3:$F$22,2,FALSE)),0)</f>
        <v>0</v>
      </c>
      <c r="E6">
        <f>IF(AND(SUM(VLOOKUP($A6,'20Trips'!$A$3:$F$22,2,FALSE),VLOOKUP(E$1,'20Trips'!$A$3:$F$22,2,FALSE))&lt;'20Trips'!$AC$38,$A6&lt;&gt;E$1,feasible_mat!E6=1),SUM(VLOOKUP($A6,'20Trips'!$A$3:$F$22,2,FALSE), VLOOKUP(E$1,'20Trips'!$A$3:$F$22,2,FALSE)),0)</f>
        <v>0</v>
      </c>
      <c r="F6">
        <f>IF(AND(SUM(VLOOKUP($A6,'20Trips'!$A$3:$F$22,2,FALSE),VLOOKUP(F$1,'20Trips'!$A$3:$F$22,2,FALSE))&lt;'20Trips'!$AC$38,$A6&lt;&gt;F$1,feasible_mat!F6=1),SUM(VLOOKUP($A6,'20Trips'!$A$3:$F$22,2,FALSE), VLOOKUP(F$1,'20Trips'!$A$3:$F$22,2,FALSE)),0)</f>
        <v>0</v>
      </c>
      <c r="G6">
        <f>IF(AND(SUM(VLOOKUP($A6,'20Trips'!$A$3:$F$22,2,FALSE),VLOOKUP(G$1,'20Trips'!$A$3:$F$22,2,FALSE))&lt;'20Trips'!$AC$38,$A6&lt;&gt;G$1,feasible_mat!G6=1),SUM(VLOOKUP($A6,'20Trips'!$A$3:$F$22,2,FALSE), VLOOKUP(G$1,'20Trips'!$A$3:$F$22,2,FALSE)),0)</f>
        <v>0</v>
      </c>
      <c r="H6">
        <f>IF(AND(SUM(VLOOKUP($A6,'20Trips'!$A$3:$F$22,2,FALSE),VLOOKUP(H$1,'20Trips'!$A$3:$F$22,2,FALSE))&lt;'20Trips'!$AC$38,$A6&lt;&gt;H$1,feasible_mat!H6=1),SUM(VLOOKUP($A6,'20Trips'!$A$3:$F$22,2,FALSE), VLOOKUP(H$1,'20Trips'!$A$3:$F$22,2,FALSE)),0)</f>
        <v>0</v>
      </c>
      <c r="I6">
        <f>IF(AND(SUM(VLOOKUP($A6,'20Trips'!$A$3:$F$22,2,FALSE),VLOOKUP(I$1,'20Trips'!$A$3:$F$22,2,FALSE))&lt;'20Trips'!$AC$38,$A6&lt;&gt;I$1,feasible_mat!I6=1),SUM(VLOOKUP($A6,'20Trips'!$A$3:$F$22,2,FALSE), VLOOKUP(I$1,'20Trips'!$A$3:$F$22,2,FALSE)),0)</f>
        <v>0</v>
      </c>
      <c r="J6">
        <f>IF(AND(SUM(VLOOKUP($A6,'20Trips'!$A$3:$F$22,2,FALSE),VLOOKUP(J$1,'20Trips'!$A$3:$F$22,2,FALSE))&lt;'20Trips'!$AC$38,$A6&lt;&gt;J$1,feasible_mat!J6=1),SUM(VLOOKUP($A6,'20Trips'!$A$3:$F$22,2,FALSE), VLOOKUP(J$1,'20Trips'!$A$3:$F$22,2,FALSE)),0)</f>
        <v>0</v>
      </c>
      <c r="K6">
        <f>IF(AND(SUM(VLOOKUP($A6,'20Trips'!$A$3:$F$22,2,FALSE),VLOOKUP(K$1,'20Trips'!$A$3:$F$22,2,FALSE))&lt;'20Trips'!$AC$38,$A6&lt;&gt;K$1,feasible_mat!K6=1),SUM(VLOOKUP($A6,'20Trips'!$A$3:$F$22,2,FALSE), VLOOKUP(K$1,'20Trips'!$A$3:$F$22,2,FALSE)),0)</f>
        <v>275</v>
      </c>
      <c r="L6">
        <f>IF(AND(SUM(VLOOKUP($A6,'20Trips'!$A$3:$F$22,2,FALSE),VLOOKUP(L$1,'20Trips'!$A$3:$F$22,2,FALSE))&lt;'20Trips'!$AC$38,$A6&lt;&gt;L$1,feasible_mat!L6=1),SUM(VLOOKUP($A6,'20Trips'!$A$3:$F$22,2,FALSE), VLOOKUP(L$1,'20Trips'!$A$3:$F$22,2,FALSE)),0)</f>
        <v>275</v>
      </c>
      <c r="M6">
        <f>IF(AND(SUM(VLOOKUP($A6,'20Trips'!$A$3:$F$22,2,FALSE),VLOOKUP(M$1,'20Trips'!$A$3:$F$22,2,FALSE))&lt;'20Trips'!$AC$38,$A6&lt;&gt;M$1,feasible_mat!M6=1),SUM(VLOOKUP($A6,'20Trips'!$A$3:$F$22,2,FALSE), VLOOKUP(M$1,'20Trips'!$A$3:$F$22,2,FALSE)),0)</f>
        <v>0</v>
      </c>
      <c r="N6">
        <f>IF(AND(SUM(VLOOKUP($A6,'20Trips'!$A$3:$F$22,2,FALSE),VLOOKUP(N$1,'20Trips'!$A$3:$F$22,2,FALSE))&lt;'20Trips'!$AC$38,$A6&lt;&gt;N$1,feasible_mat!N6=1),SUM(VLOOKUP($A6,'20Trips'!$A$3:$F$22,2,FALSE), VLOOKUP(N$1,'20Trips'!$A$3:$F$22,2,FALSE)),0)</f>
        <v>0</v>
      </c>
      <c r="O6">
        <f>IF(AND(SUM(VLOOKUP($A6,'20Trips'!$A$3:$F$22,2,FALSE),VLOOKUP(O$1,'20Trips'!$A$3:$F$22,2,FALSE))&lt;'20Trips'!$AC$38,$A6&lt;&gt;O$1,feasible_mat!O6=1),SUM(VLOOKUP($A6,'20Trips'!$A$3:$F$22,2,FALSE), VLOOKUP(O$1,'20Trips'!$A$3:$F$22,2,FALSE)),0)</f>
        <v>0</v>
      </c>
      <c r="P6">
        <f>IF(AND(SUM(VLOOKUP($A6,'20Trips'!$A$3:$F$22,2,FALSE),VLOOKUP(P$1,'20Trips'!$A$3:$F$22,2,FALSE))&lt;'20Trips'!$AC$38,$A6&lt;&gt;P$1,feasible_mat!P6=1),SUM(VLOOKUP($A6,'20Trips'!$A$3:$F$22,2,FALSE), VLOOKUP(P$1,'20Trips'!$A$3:$F$22,2,FALSE)),0)</f>
        <v>0</v>
      </c>
      <c r="Q6">
        <f>IF(AND(SUM(VLOOKUP($A6,'20Trips'!$A$3:$F$22,2,FALSE),VLOOKUP(Q$1,'20Trips'!$A$3:$F$22,2,FALSE))&lt;'20Trips'!$AC$38,$A6&lt;&gt;Q$1,feasible_mat!Q6=1),SUM(VLOOKUP($A6,'20Trips'!$A$3:$F$22,2,FALSE), VLOOKUP(Q$1,'20Trips'!$A$3:$F$22,2,FALSE)),0)</f>
        <v>0</v>
      </c>
      <c r="R6">
        <f>IF(AND(SUM(VLOOKUP($A6,'20Trips'!$A$3:$F$22,2,FALSE),VLOOKUP(R$1,'20Trips'!$A$3:$F$22,2,FALSE))&lt;'20Trips'!$AC$38,$A6&lt;&gt;R$1,feasible_mat!R6=1),SUM(VLOOKUP($A6,'20Trips'!$A$3:$F$22,2,FALSE), VLOOKUP(R$1,'20Trips'!$A$3:$F$22,2,FALSE)),0)</f>
        <v>0</v>
      </c>
      <c r="S6">
        <f>IF(AND(SUM(VLOOKUP($A6,'20Trips'!$A$3:$F$22,2,FALSE),VLOOKUP(S$1,'20Trips'!$A$3:$F$22,2,FALSE))&lt;'20Trips'!$AC$38,$A6&lt;&gt;S$1,feasible_mat!S6=1),SUM(VLOOKUP($A6,'20Trips'!$A$3:$F$22,2,FALSE), VLOOKUP(S$1,'20Trips'!$A$3:$F$22,2,FALSE)),0)</f>
        <v>0</v>
      </c>
      <c r="T6">
        <f>IF(AND(SUM(VLOOKUP($A6,'20Trips'!$A$3:$F$22,2,FALSE),VLOOKUP(T$1,'20Trips'!$A$3:$F$22,2,FALSE))&lt;'20Trips'!$AC$38,$A6&lt;&gt;T$1,feasible_mat!T6=1),SUM(VLOOKUP($A6,'20Trips'!$A$3:$F$22,2,FALSE), VLOOKUP(T$1,'20Trips'!$A$3:$F$22,2,FALSE)),0)</f>
        <v>0</v>
      </c>
      <c r="U6">
        <f>IF(AND(SUM(VLOOKUP($A6,'20Trips'!$A$3:$F$22,2,FALSE),VLOOKUP(U$1,'20Trips'!$A$3:$F$22,2,FALSE))&lt;'20Trips'!$AC$38,$A6&lt;&gt;U$1,feasible_mat!U6=1),SUM(VLOOKUP($A6,'20Trips'!$A$3:$F$22,2,FALSE), VLOOKUP(U$1,'20Trips'!$A$3:$F$22,2,FALSE)),0)</f>
        <v>0</v>
      </c>
      <c r="V6">
        <f>IF(AND(SUM(VLOOKUP($A6,'20Trips'!$A$3:$F$22,2,FALSE),VLOOKUP(V$1,'20Trips'!$A$3:$F$22,2,FALSE))&lt;'20Trips'!$AC$38,$A6&lt;&gt;V$1,feasible_mat!V6=1),SUM(VLOOKUP($A6,'20Trips'!$A$3:$F$22,2,FALSE), VLOOKUP(V$1,'20Trips'!$A$3:$F$22,2,FALSE)),0)</f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f t="shared" si="0"/>
        <v>4</v>
      </c>
    </row>
    <row r="7" spans="1:28" x14ac:dyDescent="0.25">
      <c r="A7" t="s">
        <v>12</v>
      </c>
      <c r="B7">
        <v>0</v>
      </c>
      <c r="C7">
        <f>IF(AND(SUM(VLOOKUP($A7,'20Trips'!$A$3:$F$22,2,FALSE),VLOOKUP(C$1,'20Trips'!$A$3:$F$22,2,FALSE))&lt;'20Trips'!$AC$38,$A7&lt;&gt;C$1,feasible_mat!C7=1),SUM(VLOOKUP($A7,'20Trips'!$A$3:$F$22,2,FALSE), VLOOKUP(C$1,'20Trips'!$A$3:$F$22,2,FALSE)),0)</f>
        <v>0</v>
      </c>
      <c r="D7">
        <f>IF(AND(SUM(VLOOKUP($A7,'20Trips'!$A$3:$F$22,2,FALSE),VLOOKUP(D$1,'20Trips'!$A$3:$F$22,2,FALSE))&lt;'20Trips'!$AC$38,$A7&lt;&gt;D$1,feasible_mat!D7=1),SUM(VLOOKUP($A7,'20Trips'!$A$3:$F$22,2,FALSE), VLOOKUP(D$1,'20Trips'!$A$3:$F$22,2,FALSE)),0)</f>
        <v>0</v>
      </c>
      <c r="E7">
        <f>IF(AND(SUM(VLOOKUP($A7,'20Trips'!$A$3:$F$22,2,FALSE),VLOOKUP(E$1,'20Trips'!$A$3:$F$22,2,FALSE))&lt;'20Trips'!$AC$38,$A7&lt;&gt;E$1,feasible_mat!E7=1),SUM(VLOOKUP($A7,'20Trips'!$A$3:$F$22,2,FALSE), VLOOKUP(E$1,'20Trips'!$A$3:$F$22,2,FALSE)),0)</f>
        <v>0</v>
      </c>
      <c r="F7">
        <f>IF(AND(SUM(VLOOKUP($A7,'20Trips'!$A$3:$F$22,2,FALSE),VLOOKUP(F$1,'20Trips'!$A$3:$F$22,2,FALSE))&lt;'20Trips'!$AC$38,$A7&lt;&gt;F$1,feasible_mat!F7=1),SUM(VLOOKUP($A7,'20Trips'!$A$3:$F$22,2,FALSE), VLOOKUP(F$1,'20Trips'!$A$3:$F$22,2,FALSE)),0)</f>
        <v>0</v>
      </c>
      <c r="G7">
        <f>IF(AND(SUM(VLOOKUP($A7,'20Trips'!$A$3:$F$22,2,FALSE),VLOOKUP(G$1,'20Trips'!$A$3:$F$22,2,FALSE))&lt;'20Trips'!$AC$38,$A7&lt;&gt;G$1,feasible_mat!G7=1),SUM(VLOOKUP($A7,'20Trips'!$A$3:$F$22,2,FALSE), VLOOKUP(G$1,'20Trips'!$A$3:$F$22,2,FALSE)),0)</f>
        <v>0</v>
      </c>
      <c r="H7">
        <f>IF(AND(SUM(VLOOKUP($A7,'20Trips'!$A$3:$F$22,2,FALSE),VLOOKUP(H$1,'20Trips'!$A$3:$F$22,2,FALSE))&lt;'20Trips'!$AC$38,$A7&lt;&gt;H$1,feasible_mat!H7=1),SUM(VLOOKUP($A7,'20Trips'!$A$3:$F$22,2,FALSE), VLOOKUP(H$1,'20Trips'!$A$3:$F$22,2,FALSE)),0)</f>
        <v>0</v>
      </c>
      <c r="I7">
        <f>IF(AND(SUM(VLOOKUP($A7,'20Trips'!$A$3:$F$22,2,FALSE),VLOOKUP(I$1,'20Trips'!$A$3:$F$22,2,FALSE))&lt;'20Trips'!$AC$38,$A7&lt;&gt;I$1,feasible_mat!I7=1),SUM(VLOOKUP($A7,'20Trips'!$A$3:$F$22,2,FALSE), VLOOKUP(I$1,'20Trips'!$A$3:$F$22,2,FALSE)),0)</f>
        <v>0</v>
      </c>
      <c r="J7">
        <f>IF(AND(SUM(VLOOKUP($A7,'20Trips'!$A$3:$F$22,2,FALSE),VLOOKUP(J$1,'20Trips'!$A$3:$F$22,2,FALSE))&lt;'20Trips'!$AC$38,$A7&lt;&gt;J$1,feasible_mat!J7=1),SUM(VLOOKUP($A7,'20Trips'!$A$3:$F$22,2,FALSE), VLOOKUP(J$1,'20Trips'!$A$3:$F$22,2,FALSE)),0)</f>
        <v>0</v>
      </c>
      <c r="K7">
        <f>IF(AND(SUM(VLOOKUP($A7,'20Trips'!$A$3:$F$22,2,FALSE),VLOOKUP(K$1,'20Trips'!$A$3:$F$22,2,FALSE))&lt;'20Trips'!$AC$38,$A7&lt;&gt;K$1,feasible_mat!K7=1),SUM(VLOOKUP($A7,'20Trips'!$A$3:$F$22,2,FALSE), VLOOKUP(K$1,'20Trips'!$A$3:$F$22,2,FALSE)),0)</f>
        <v>275</v>
      </c>
      <c r="L7">
        <f>IF(AND(SUM(VLOOKUP($A7,'20Trips'!$A$3:$F$22,2,FALSE),VLOOKUP(L$1,'20Trips'!$A$3:$F$22,2,FALSE))&lt;'20Trips'!$AC$38,$A7&lt;&gt;L$1,feasible_mat!L7=1),SUM(VLOOKUP($A7,'20Trips'!$A$3:$F$22,2,FALSE), VLOOKUP(L$1,'20Trips'!$A$3:$F$22,2,FALSE)),0)</f>
        <v>275</v>
      </c>
      <c r="M7">
        <f>IF(AND(SUM(VLOOKUP($A7,'20Trips'!$A$3:$F$22,2,FALSE),VLOOKUP(M$1,'20Trips'!$A$3:$F$22,2,FALSE))&lt;'20Trips'!$AC$38,$A7&lt;&gt;M$1,feasible_mat!M7=1),SUM(VLOOKUP($A7,'20Trips'!$A$3:$F$22,2,FALSE), VLOOKUP(M$1,'20Trips'!$A$3:$F$22,2,FALSE)),0)</f>
        <v>0</v>
      </c>
      <c r="N7">
        <f>IF(AND(SUM(VLOOKUP($A7,'20Trips'!$A$3:$F$22,2,FALSE),VLOOKUP(N$1,'20Trips'!$A$3:$F$22,2,FALSE))&lt;'20Trips'!$AC$38,$A7&lt;&gt;N$1,feasible_mat!N7=1),SUM(VLOOKUP($A7,'20Trips'!$A$3:$F$22,2,FALSE), VLOOKUP(N$1,'20Trips'!$A$3:$F$22,2,FALSE)),0)</f>
        <v>0</v>
      </c>
      <c r="O7">
        <f>IF(AND(SUM(VLOOKUP($A7,'20Trips'!$A$3:$F$22,2,FALSE),VLOOKUP(O$1,'20Trips'!$A$3:$F$22,2,FALSE))&lt;'20Trips'!$AC$38,$A7&lt;&gt;O$1,feasible_mat!O7=1),SUM(VLOOKUP($A7,'20Trips'!$A$3:$F$22,2,FALSE), VLOOKUP(O$1,'20Trips'!$A$3:$F$22,2,FALSE)),0)</f>
        <v>0</v>
      </c>
      <c r="P7">
        <f>IF(AND(SUM(VLOOKUP($A7,'20Trips'!$A$3:$F$22,2,FALSE),VLOOKUP(P$1,'20Trips'!$A$3:$F$22,2,FALSE))&lt;'20Trips'!$AC$38,$A7&lt;&gt;P$1,feasible_mat!P7=1),SUM(VLOOKUP($A7,'20Trips'!$A$3:$F$22,2,FALSE), VLOOKUP(P$1,'20Trips'!$A$3:$F$22,2,FALSE)),0)</f>
        <v>0</v>
      </c>
      <c r="Q7">
        <f>IF(AND(SUM(VLOOKUP($A7,'20Trips'!$A$3:$F$22,2,FALSE),VLOOKUP(Q$1,'20Trips'!$A$3:$F$22,2,FALSE))&lt;'20Trips'!$AC$38,$A7&lt;&gt;Q$1,feasible_mat!Q7=1),SUM(VLOOKUP($A7,'20Trips'!$A$3:$F$22,2,FALSE), VLOOKUP(Q$1,'20Trips'!$A$3:$F$22,2,FALSE)),0)</f>
        <v>0</v>
      </c>
      <c r="R7">
        <f>IF(AND(SUM(VLOOKUP($A7,'20Trips'!$A$3:$F$22,2,FALSE),VLOOKUP(R$1,'20Trips'!$A$3:$F$22,2,FALSE))&lt;'20Trips'!$AC$38,$A7&lt;&gt;R$1,feasible_mat!R7=1),SUM(VLOOKUP($A7,'20Trips'!$A$3:$F$22,2,FALSE), VLOOKUP(R$1,'20Trips'!$A$3:$F$22,2,FALSE)),0)</f>
        <v>0</v>
      </c>
      <c r="S7">
        <f>IF(AND(SUM(VLOOKUP($A7,'20Trips'!$A$3:$F$22,2,FALSE),VLOOKUP(S$1,'20Trips'!$A$3:$F$22,2,FALSE))&lt;'20Trips'!$AC$38,$A7&lt;&gt;S$1,feasible_mat!S7=1),SUM(VLOOKUP($A7,'20Trips'!$A$3:$F$22,2,FALSE), VLOOKUP(S$1,'20Trips'!$A$3:$F$22,2,FALSE)),0)</f>
        <v>0</v>
      </c>
      <c r="T7">
        <f>IF(AND(SUM(VLOOKUP($A7,'20Trips'!$A$3:$F$22,2,FALSE),VLOOKUP(T$1,'20Trips'!$A$3:$F$22,2,FALSE))&lt;'20Trips'!$AC$38,$A7&lt;&gt;T$1,feasible_mat!T7=1),SUM(VLOOKUP($A7,'20Trips'!$A$3:$F$22,2,FALSE), VLOOKUP(T$1,'20Trips'!$A$3:$F$22,2,FALSE)),0)</f>
        <v>0</v>
      </c>
      <c r="U7">
        <f>IF(AND(SUM(VLOOKUP($A7,'20Trips'!$A$3:$F$22,2,FALSE),VLOOKUP(U$1,'20Trips'!$A$3:$F$22,2,FALSE))&lt;'20Trips'!$AC$38,$A7&lt;&gt;U$1,feasible_mat!U7=1),SUM(VLOOKUP($A7,'20Trips'!$A$3:$F$22,2,FALSE), VLOOKUP(U$1,'20Trips'!$A$3:$F$22,2,FALSE)),0)</f>
        <v>0</v>
      </c>
      <c r="V7">
        <f>IF(AND(SUM(VLOOKUP($A7,'20Trips'!$A$3:$F$22,2,FALSE),VLOOKUP(V$1,'20Trips'!$A$3:$F$22,2,FALSE))&lt;'20Trips'!$AC$38,$A7&lt;&gt;V$1,feasible_mat!V7=1),SUM(VLOOKUP($A7,'20Trips'!$A$3:$F$22,2,FALSE), VLOOKUP(V$1,'20Trips'!$A$3:$F$22,2,FALSE)),0)</f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f t="shared" si="0"/>
        <v>5</v>
      </c>
    </row>
    <row r="8" spans="1:28" x14ac:dyDescent="0.25">
      <c r="A8" t="s">
        <v>18</v>
      </c>
      <c r="B8">
        <v>0</v>
      </c>
      <c r="C8">
        <f>IF(AND(SUM(VLOOKUP($A8,'20Trips'!$A$3:$F$22,2,FALSE),VLOOKUP(C$1,'20Trips'!$A$3:$F$22,2,FALSE))&lt;'20Trips'!$AC$38,$A8&lt;&gt;C$1,feasible_mat!C8=1),SUM(VLOOKUP($A8,'20Trips'!$A$3:$F$22,2,FALSE), VLOOKUP(C$1,'20Trips'!$A$3:$F$22,2,FALSE)),0)</f>
        <v>0</v>
      </c>
      <c r="D8">
        <f>IF(AND(SUM(VLOOKUP($A8,'20Trips'!$A$3:$F$22,2,FALSE),VLOOKUP(D$1,'20Trips'!$A$3:$F$22,2,FALSE))&lt;'20Trips'!$AC$38,$A8&lt;&gt;D$1,feasible_mat!D8=1),SUM(VLOOKUP($A8,'20Trips'!$A$3:$F$22,2,FALSE), VLOOKUP(D$1,'20Trips'!$A$3:$F$22,2,FALSE)),0)</f>
        <v>275</v>
      </c>
      <c r="E8">
        <f>IF(AND(SUM(VLOOKUP($A8,'20Trips'!$A$3:$F$22,2,FALSE),VLOOKUP(E$1,'20Trips'!$A$3:$F$22,2,FALSE))&lt;'20Trips'!$AC$38,$A8&lt;&gt;E$1,feasible_mat!E8=1),SUM(VLOOKUP($A8,'20Trips'!$A$3:$F$22,2,FALSE), VLOOKUP(E$1,'20Trips'!$A$3:$F$22,2,FALSE)),0)</f>
        <v>275</v>
      </c>
      <c r="F8">
        <f>IF(AND(SUM(VLOOKUP($A8,'20Trips'!$A$3:$F$22,2,FALSE),VLOOKUP(F$1,'20Trips'!$A$3:$F$22,2,FALSE))&lt;'20Trips'!$AC$38,$A8&lt;&gt;F$1,feasible_mat!F8=1),SUM(VLOOKUP($A8,'20Trips'!$A$3:$F$22,2,FALSE), VLOOKUP(F$1,'20Trips'!$A$3:$F$22,2,FALSE)),0)</f>
        <v>275</v>
      </c>
      <c r="G8">
        <f>IF(AND(SUM(VLOOKUP($A8,'20Trips'!$A$3:$F$22,2,FALSE),VLOOKUP(G$1,'20Trips'!$A$3:$F$22,2,FALSE))&lt;'20Trips'!$AC$38,$A8&lt;&gt;G$1,feasible_mat!G8=1),SUM(VLOOKUP($A8,'20Trips'!$A$3:$F$22,2,FALSE), VLOOKUP(G$1,'20Trips'!$A$3:$F$22,2,FALSE)),0)</f>
        <v>275</v>
      </c>
      <c r="H8">
        <f>IF(AND(SUM(VLOOKUP($A8,'20Trips'!$A$3:$F$22,2,FALSE),VLOOKUP(H$1,'20Trips'!$A$3:$F$22,2,FALSE))&lt;'20Trips'!$AC$38,$A8&lt;&gt;H$1,feasible_mat!H8=1),SUM(VLOOKUP($A8,'20Trips'!$A$3:$F$22,2,FALSE), VLOOKUP(H$1,'20Trips'!$A$3:$F$22,2,FALSE)),0)</f>
        <v>0</v>
      </c>
      <c r="I8">
        <f>IF(AND(SUM(VLOOKUP($A8,'20Trips'!$A$3:$F$22,2,FALSE),VLOOKUP(I$1,'20Trips'!$A$3:$F$22,2,FALSE))&lt;'20Trips'!$AC$38,$A8&lt;&gt;I$1,feasible_mat!I8=1),SUM(VLOOKUP($A8,'20Trips'!$A$3:$F$22,2,FALSE), VLOOKUP(I$1,'20Trips'!$A$3:$F$22,2,FALSE)),0)</f>
        <v>0</v>
      </c>
      <c r="J8">
        <f>IF(AND(SUM(VLOOKUP($A8,'20Trips'!$A$3:$F$22,2,FALSE),VLOOKUP(J$1,'20Trips'!$A$3:$F$22,2,FALSE))&lt;'20Trips'!$AC$38,$A8&lt;&gt;J$1,feasible_mat!J8=1),SUM(VLOOKUP($A8,'20Trips'!$A$3:$F$22,2,FALSE), VLOOKUP(J$1,'20Trips'!$A$3:$F$22,2,FALSE)),0)</f>
        <v>280</v>
      </c>
      <c r="K8">
        <f>IF(AND(SUM(VLOOKUP($A8,'20Trips'!$A$3:$F$22,2,FALSE),VLOOKUP(K$1,'20Trips'!$A$3:$F$22,2,FALSE))&lt;'20Trips'!$AC$38,$A8&lt;&gt;K$1,feasible_mat!K8=1),SUM(VLOOKUP($A8,'20Trips'!$A$3:$F$22,2,FALSE), VLOOKUP(K$1,'20Trips'!$A$3:$F$22,2,FALSE)),0)</f>
        <v>280</v>
      </c>
      <c r="L8">
        <f>IF(AND(SUM(VLOOKUP($A8,'20Trips'!$A$3:$F$22,2,FALSE),VLOOKUP(L$1,'20Trips'!$A$3:$F$22,2,FALSE))&lt;'20Trips'!$AC$38,$A8&lt;&gt;L$1,feasible_mat!L8=1),SUM(VLOOKUP($A8,'20Trips'!$A$3:$F$22,2,FALSE), VLOOKUP(L$1,'20Trips'!$A$3:$F$22,2,FALSE)),0)</f>
        <v>280</v>
      </c>
      <c r="M8">
        <f>IF(AND(SUM(VLOOKUP($A8,'20Trips'!$A$3:$F$22,2,FALSE),VLOOKUP(M$1,'20Trips'!$A$3:$F$22,2,FALSE))&lt;'20Trips'!$AC$38,$A8&lt;&gt;M$1,feasible_mat!M8=1),SUM(VLOOKUP($A8,'20Trips'!$A$3:$F$22,2,FALSE), VLOOKUP(M$1,'20Trips'!$A$3:$F$22,2,FALSE)),0)</f>
        <v>0</v>
      </c>
      <c r="N8">
        <f>IF(AND(SUM(VLOOKUP($A8,'20Trips'!$A$3:$F$22,2,FALSE),VLOOKUP(N$1,'20Trips'!$A$3:$F$22,2,FALSE))&lt;'20Trips'!$AC$38,$A8&lt;&gt;N$1,feasible_mat!N8=1),SUM(VLOOKUP($A8,'20Trips'!$A$3:$F$22,2,FALSE), VLOOKUP(N$1,'20Trips'!$A$3:$F$22,2,FALSE)),0)</f>
        <v>0</v>
      </c>
      <c r="O8">
        <f>IF(AND(SUM(VLOOKUP($A8,'20Trips'!$A$3:$F$22,2,FALSE),VLOOKUP(O$1,'20Trips'!$A$3:$F$22,2,FALSE))&lt;'20Trips'!$AC$38,$A8&lt;&gt;O$1,feasible_mat!O8=1),SUM(VLOOKUP($A8,'20Trips'!$A$3:$F$22,2,FALSE), VLOOKUP(O$1,'20Trips'!$A$3:$F$22,2,FALSE)),0)</f>
        <v>275</v>
      </c>
      <c r="P8">
        <f>IF(AND(SUM(VLOOKUP($A8,'20Trips'!$A$3:$F$22,2,FALSE),VLOOKUP(P$1,'20Trips'!$A$3:$F$22,2,FALSE))&lt;'20Trips'!$AC$38,$A8&lt;&gt;P$1,feasible_mat!P8=1),SUM(VLOOKUP($A8,'20Trips'!$A$3:$F$22,2,FALSE), VLOOKUP(P$1,'20Trips'!$A$3:$F$22,2,FALSE)),0)</f>
        <v>275</v>
      </c>
      <c r="Q8">
        <f>IF(AND(SUM(VLOOKUP($A8,'20Trips'!$A$3:$F$22,2,FALSE),VLOOKUP(Q$1,'20Trips'!$A$3:$F$22,2,FALSE))&lt;'20Trips'!$AC$38,$A8&lt;&gt;Q$1,feasible_mat!Q8=1),SUM(VLOOKUP($A8,'20Trips'!$A$3:$F$22,2,FALSE), VLOOKUP(Q$1,'20Trips'!$A$3:$F$22,2,FALSE)),0)</f>
        <v>275</v>
      </c>
      <c r="R8">
        <f>IF(AND(SUM(VLOOKUP($A8,'20Trips'!$A$3:$F$22,2,FALSE),VLOOKUP(R$1,'20Trips'!$A$3:$F$22,2,FALSE))&lt;'20Trips'!$AC$38,$A8&lt;&gt;R$1,feasible_mat!R8=1),SUM(VLOOKUP($A8,'20Trips'!$A$3:$F$22,2,FALSE), VLOOKUP(R$1,'20Trips'!$A$3:$F$22,2,FALSE)),0)</f>
        <v>0</v>
      </c>
      <c r="S8">
        <f>IF(AND(SUM(VLOOKUP($A8,'20Trips'!$A$3:$F$22,2,FALSE),VLOOKUP(S$1,'20Trips'!$A$3:$F$22,2,FALSE))&lt;'20Trips'!$AC$38,$A8&lt;&gt;S$1,feasible_mat!S8=1),SUM(VLOOKUP($A8,'20Trips'!$A$3:$F$22,2,FALSE), VLOOKUP(S$1,'20Trips'!$A$3:$F$22,2,FALSE)),0)</f>
        <v>280</v>
      </c>
      <c r="T8">
        <f>IF(AND(SUM(VLOOKUP($A8,'20Trips'!$A$3:$F$22,2,FALSE),VLOOKUP(T$1,'20Trips'!$A$3:$F$22,2,FALSE))&lt;'20Trips'!$AC$38,$A8&lt;&gt;T$1,feasible_mat!T8=1),SUM(VLOOKUP($A8,'20Trips'!$A$3:$F$22,2,FALSE), VLOOKUP(T$1,'20Trips'!$A$3:$F$22,2,FALSE)),0)</f>
        <v>280</v>
      </c>
      <c r="U8">
        <f>IF(AND(SUM(VLOOKUP($A8,'20Trips'!$A$3:$F$22,2,FALSE),VLOOKUP(U$1,'20Trips'!$A$3:$F$22,2,FALSE))&lt;'20Trips'!$AC$38,$A8&lt;&gt;U$1,feasible_mat!U8=1),SUM(VLOOKUP($A8,'20Trips'!$A$3:$F$22,2,FALSE), VLOOKUP(U$1,'20Trips'!$A$3:$F$22,2,FALSE)),0)</f>
        <v>280</v>
      </c>
      <c r="V8">
        <f>IF(AND(SUM(VLOOKUP($A8,'20Trips'!$A$3:$F$22,2,FALSE),VLOOKUP(V$1,'20Trips'!$A$3:$F$22,2,FALSE))&lt;'20Trips'!$AC$38,$A8&lt;&gt;V$1,feasible_mat!V8=1),SUM(VLOOKUP($A8,'20Trips'!$A$3:$F$22,2,FALSE), VLOOKUP(V$1,'20Trips'!$A$3:$F$22,2,FALSE)),0)</f>
        <v>280</v>
      </c>
      <c r="W8">
        <v>0</v>
      </c>
      <c r="X8">
        <v>0</v>
      </c>
      <c r="Y8">
        <v>0</v>
      </c>
      <c r="Z8">
        <v>0</v>
      </c>
      <c r="AA8">
        <v>0</v>
      </c>
      <c r="AB8">
        <f t="shared" si="0"/>
        <v>6</v>
      </c>
    </row>
    <row r="9" spans="1:28" x14ac:dyDescent="0.25">
      <c r="A9" t="s">
        <v>20</v>
      </c>
      <c r="B9">
        <v>0</v>
      </c>
      <c r="C9">
        <f>IF(AND(SUM(VLOOKUP($A9,'20Trips'!$A$3:$F$22,2,FALSE),VLOOKUP(C$1,'20Trips'!$A$3:$F$22,2,FALSE))&lt;'20Trips'!$AC$38,$A9&lt;&gt;C$1,feasible_mat!C9=1),SUM(VLOOKUP($A9,'20Trips'!$A$3:$F$22,2,FALSE), VLOOKUP(C$1,'20Trips'!$A$3:$F$22,2,FALSE)),0)</f>
        <v>0</v>
      </c>
      <c r="D9">
        <f>IF(AND(SUM(VLOOKUP($A9,'20Trips'!$A$3:$F$22,2,FALSE),VLOOKUP(D$1,'20Trips'!$A$3:$F$22,2,FALSE))&lt;'20Trips'!$AC$38,$A9&lt;&gt;D$1,feasible_mat!D9=1),SUM(VLOOKUP($A9,'20Trips'!$A$3:$F$22,2,FALSE), VLOOKUP(D$1,'20Trips'!$A$3:$F$22,2,FALSE)),0)</f>
        <v>0</v>
      </c>
      <c r="E9">
        <f>IF(AND(SUM(VLOOKUP($A9,'20Trips'!$A$3:$F$22,2,FALSE),VLOOKUP(E$1,'20Trips'!$A$3:$F$22,2,FALSE))&lt;'20Trips'!$AC$38,$A9&lt;&gt;E$1,feasible_mat!E9=1),SUM(VLOOKUP($A9,'20Trips'!$A$3:$F$22,2,FALSE), VLOOKUP(E$1,'20Trips'!$A$3:$F$22,2,FALSE)),0)</f>
        <v>275</v>
      </c>
      <c r="F9">
        <f>IF(AND(SUM(VLOOKUP($A9,'20Trips'!$A$3:$F$22,2,FALSE),VLOOKUP(F$1,'20Trips'!$A$3:$F$22,2,FALSE))&lt;'20Trips'!$AC$38,$A9&lt;&gt;F$1,feasible_mat!F9=1),SUM(VLOOKUP($A9,'20Trips'!$A$3:$F$22,2,FALSE), VLOOKUP(F$1,'20Trips'!$A$3:$F$22,2,FALSE)),0)</f>
        <v>275</v>
      </c>
      <c r="G9">
        <f>IF(AND(SUM(VLOOKUP($A9,'20Trips'!$A$3:$F$22,2,FALSE),VLOOKUP(G$1,'20Trips'!$A$3:$F$22,2,FALSE))&lt;'20Trips'!$AC$38,$A9&lt;&gt;G$1,feasible_mat!G9=1),SUM(VLOOKUP($A9,'20Trips'!$A$3:$F$22,2,FALSE), VLOOKUP(G$1,'20Trips'!$A$3:$F$22,2,FALSE)),0)</f>
        <v>275</v>
      </c>
      <c r="H9">
        <f>IF(AND(SUM(VLOOKUP($A9,'20Trips'!$A$3:$F$22,2,FALSE),VLOOKUP(H$1,'20Trips'!$A$3:$F$22,2,FALSE))&lt;'20Trips'!$AC$38,$A9&lt;&gt;H$1,feasible_mat!H9=1),SUM(VLOOKUP($A9,'20Trips'!$A$3:$F$22,2,FALSE), VLOOKUP(H$1,'20Trips'!$A$3:$F$22,2,FALSE)),0)</f>
        <v>0</v>
      </c>
      <c r="I9">
        <f>IF(AND(SUM(VLOOKUP($A9,'20Trips'!$A$3:$F$22,2,FALSE),VLOOKUP(I$1,'20Trips'!$A$3:$F$22,2,FALSE))&lt;'20Trips'!$AC$38,$A9&lt;&gt;I$1,feasible_mat!I9=1),SUM(VLOOKUP($A9,'20Trips'!$A$3:$F$22,2,FALSE), VLOOKUP(I$1,'20Trips'!$A$3:$F$22,2,FALSE)),0)</f>
        <v>0</v>
      </c>
      <c r="J9">
        <f>IF(AND(SUM(VLOOKUP($A9,'20Trips'!$A$3:$F$22,2,FALSE),VLOOKUP(J$1,'20Trips'!$A$3:$F$22,2,FALSE))&lt;'20Trips'!$AC$38,$A9&lt;&gt;J$1,feasible_mat!J9=1),SUM(VLOOKUP($A9,'20Trips'!$A$3:$F$22,2,FALSE), VLOOKUP(J$1,'20Trips'!$A$3:$F$22,2,FALSE)),0)</f>
        <v>0</v>
      </c>
      <c r="K9">
        <f>IF(AND(SUM(VLOOKUP($A9,'20Trips'!$A$3:$F$22,2,FALSE),VLOOKUP(K$1,'20Trips'!$A$3:$F$22,2,FALSE))&lt;'20Trips'!$AC$38,$A9&lt;&gt;K$1,feasible_mat!K9=1),SUM(VLOOKUP($A9,'20Trips'!$A$3:$F$22,2,FALSE), VLOOKUP(K$1,'20Trips'!$A$3:$F$22,2,FALSE)),0)</f>
        <v>280</v>
      </c>
      <c r="L9">
        <f>IF(AND(SUM(VLOOKUP($A9,'20Trips'!$A$3:$F$22,2,FALSE),VLOOKUP(L$1,'20Trips'!$A$3:$F$22,2,FALSE))&lt;'20Trips'!$AC$38,$A9&lt;&gt;L$1,feasible_mat!L9=1),SUM(VLOOKUP($A9,'20Trips'!$A$3:$F$22,2,FALSE), VLOOKUP(L$1,'20Trips'!$A$3:$F$22,2,FALSE)),0)</f>
        <v>280</v>
      </c>
      <c r="M9">
        <f>IF(AND(SUM(VLOOKUP($A9,'20Trips'!$A$3:$F$22,2,FALSE),VLOOKUP(M$1,'20Trips'!$A$3:$F$22,2,FALSE))&lt;'20Trips'!$AC$38,$A9&lt;&gt;M$1,feasible_mat!M9=1),SUM(VLOOKUP($A9,'20Trips'!$A$3:$F$22,2,FALSE), VLOOKUP(M$1,'20Trips'!$A$3:$F$22,2,FALSE)),0)</f>
        <v>0</v>
      </c>
      <c r="N9">
        <f>IF(AND(SUM(VLOOKUP($A9,'20Trips'!$A$3:$F$22,2,FALSE),VLOOKUP(N$1,'20Trips'!$A$3:$F$22,2,FALSE))&lt;'20Trips'!$AC$38,$A9&lt;&gt;N$1,feasible_mat!N9=1),SUM(VLOOKUP($A9,'20Trips'!$A$3:$F$22,2,FALSE), VLOOKUP(N$1,'20Trips'!$A$3:$F$22,2,FALSE)),0)</f>
        <v>0</v>
      </c>
      <c r="O9">
        <f>IF(AND(SUM(VLOOKUP($A9,'20Trips'!$A$3:$F$22,2,FALSE),VLOOKUP(O$1,'20Trips'!$A$3:$F$22,2,FALSE))&lt;'20Trips'!$AC$38,$A9&lt;&gt;O$1,feasible_mat!O9=1),SUM(VLOOKUP($A9,'20Trips'!$A$3:$F$22,2,FALSE), VLOOKUP(O$1,'20Trips'!$A$3:$F$22,2,FALSE)),0)</f>
        <v>0</v>
      </c>
      <c r="P9">
        <f>IF(AND(SUM(VLOOKUP($A9,'20Trips'!$A$3:$F$22,2,FALSE),VLOOKUP(P$1,'20Trips'!$A$3:$F$22,2,FALSE))&lt;'20Trips'!$AC$38,$A9&lt;&gt;P$1,feasible_mat!P9=1),SUM(VLOOKUP($A9,'20Trips'!$A$3:$F$22,2,FALSE), VLOOKUP(P$1,'20Trips'!$A$3:$F$22,2,FALSE)),0)</f>
        <v>0</v>
      </c>
      <c r="Q9">
        <f>IF(AND(SUM(VLOOKUP($A9,'20Trips'!$A$3:$F$22,2,FALSE),VLOOKUP(Q$1,'20Trips'!$A$3:$F$22,2,FALSE))&lt;'20Trips'!$AC$38,$A9&lt;&gt;Q$1,feasible_mat!Q9=1),SUM(VLOOKUP($A9,'20Trips'!$A$3:$F$22,2,FALSE), VLOOKUP(Q$1,'20Trips'!$A$3:$F$22,2,FALSE)),0)</f>
        <v>275</v>
      </c>
      <c r="R9">
        <f>IF(AND(SUM(VLOOKUP($A9,'20Trips'!$A$3:$F$22,2,FALSE),VLOOKUP(R$1,'20Trips'!$A$3:$F$22,2,FALSE))&lt;'20Trips'!$AC$38,$A9&lt;&gt;R$1,feasible_mat!R9=1),SUM(VLOOKUP($A9,'20Trips'!$A$3:$F$22,2,FALSE), VLOOKUP(R$1,'20Trips'!$A$3:$F$22,2,FALSE)),0)</f>
        <v>0</v>
      </c>
      <c r="S9">
        <f>IF(AND(SUM(VLOOKUP($A9,'20Trips'!$A$3:$F$22,2,FALSE),VLOOKUP(S$1,'20Trips'!$A$3:$F$22,2,FALSE))&lt;'20Trips'!$AC$38,$A9&lt;&gt;S$1,feasible_mat!S9=1),SUM(VLOOKUP($A9,'20Trips'!$A$3:$F$22,2,FALSE), VLOOKUP(S$1,'20Trips'!$A$3:$F$22,2,FALSE)),0)</f>
        <v>0</v>
      </c>
      <c r="T9">
        <f>IF(AND(SUM(VLOOKUP($A9,'20Trips'!$A$3:$F$22,2,FALSE),VLOOKUP(T$1,'20Trips'!$A$3:$F$22,2,FALSE))&lt;'20Trips'!$AC$38,$A9&lt;&gt;T$1,feasible_mat!T9=1),SUM(VLOOKUP($A9,'20Trips'!$A$3:$F$22,2,FALSE), VLOOKUP(T$1,'20Trips'!$A$3:$F$22,2,FALSE)),0)</f>
        <v>280</v>
      </c>
      <c r="U9">
        <f>IF(AND(SUM(VLOOKUP($A9,'20Trips'!$A$3:$F$22,2,FALSE),VLOOKUP(U$1,'20Trips'!$A$3:$F$22,2,FALSE))&lt;'20Trips'!$AC$38,$A9&lt;&gt;U$1,feasible_mat!U9=1),SUM(VLOOKUP($A9,'20Trips'!$A$3:$F$22,2,FALSE), VLOOKUP(U$1,'20Trips'!$A$3:$F$22,2,FALSE)),0)</f>
        <v>280</v>
      </c>
      <c r="V9">
        <f>IF(AND(SUM(VLOOKUP($A9,'20Trips'!$A$3:$F$22,2,FALSE),VLOOKUP(V$1,'20Trips'!$A$3:$F$22,2,FALSE))&lt;'20Trips'!$AC$38,$A9&lt;&gt;V$1,feasible_mat!V9=1),SUM(VLOOKUP($A9,'20Trips'!$A$3:$F$22,2,FALSE), VLOOKUP(V$1,'20Trips'!$A$3:$F$22,2,FALSE)),0)</f>
        <v>280</v>
      </c>
      <c r="W9">
        <v>0</v>
      </c>
      <c r="X9">
        <v>0</v>
      </c>
      <c r="Y9">
        <v>0</v>
      </c>
      <c r="Z9">
        <v>0</v>
      </c>
      <c r="AA9">
        <v>0</v>
      </c>
      <c r="AB9">
        <f t="shared" si="0"/>
        <v>7</v>
      </c>
    </row>
    <row r="10" spans="1:28" x14ac:dyDescent="0.25">
      <c r="A10" t="s">
        <v>21</v>
      </c>
      <c r="B10">
        <v>0</v>
      </c>
      <c r="C10">
        <f>IF(AND(SUM(VLOOKUP($A10,'20Trips'!$A$3:$F$22,2,FALSE),VLOOKUP(C$1,'20Trips'!$A$3:$F$22,2,FALSE))&lt;'20Trips'!$AC$38,$A10&lt;&gt;C$1,feasible_mat!C10=1),SUM(VLOOKUP($A10,'20Trips'!$A$3:$F$22,2,FALSE), VLOOKUP(C$1,'20Trips'!$A$3:$F$22,2,FALSE)),0)</f>
        <v>0</v>
      </c>
      <c r="D10">
        <f>IF(AND(SUM(VLOOKUP($A10,'20Trips'!$A$3:$F$22,2,FALSE),VLOOKUP(D$1,'20Trips'!$A$3:$F$22,2,FALSE))&lt;'20Trips'!$AC$38,$A10&lt;&gt;D$1,feasible_mat!D10=1),SUM(VLOOKUP($A10,'20Trips'!$A$3:$F$22,2,FALSE), VLOOKUP(D$1,'20Trips'!$A$3:$F$22,2,FALSE)),0)</f>
        <v>0</v>
      </c>
      <c r="E10">
        <f>IF(AND(SUM(VLOOKUP($A10,'20Trips'!$A$3:$F$22,2,FALSE),VLOOKUP(E$1,'20Trips'!$A$3:$F$22,2,FALSE))&lt;'20Trips'!$AC$38,$A10&lt;&gt;E$1,feasible_mat!E10=1),SUM(VLOOKUP($A10,'20Trips'!$A$3:$F$22,2,FALSE), VLOOKUP(E$1,'20Trips'!$A$3:$F$22,2,FALSE)),0)</f>
        <v>0</v>
      </c>
      <c r="F10">
        <f>IF(AND(SUM(VLOOKUP($A10,'20Trips'!$A$3:$F$22,2,FALSE),VLOOKUP(F$1,'20Trips'!$A$3:$F$22,2,FALSE))&lt;'20Trips'!$AC$38,$A10&lt;&gt;F$1,feasible_mat!F10=1),SUM(VLOOKUP($A10,'20Trips'!$A$3:$F$22,2,FALSE), VLOOKUP(F$1,'20Trips'!$A$3:$F$22,2,FALSE)),0)</f>
        <v>0</v>
      </c>
      <c r="G10">
        <f>IF(AND(SUM(VLOOKUP($A10,'20Trips'!$A$3:$F$22,2,FALSE),VLOOKUP(G$1,'20Trips'!$A$3:$F$22,2,FALSE))&lt;'20Trips'!$AC$38,$A10&lt;&gt;G$1,feasible_mat!G10=1),SUM(VLOOKUP($A10,'20Trips'!$A$3:$F$22,2,FALSE), VLOOKUP(G$1,'20Trips'!$A$3:$F$22,2,FALSE)),0)</f>
        <v>275</v>
      </c>
      <c r="H10">
        <f>IF(AND(SUM(VLOOKUP($A10,'20Trips'!$A$3:$F$22,2,FALSE),VLOOKUP(H$1,'20Trips'!$A$3:$F$22,2,FALSE))&lt;'20Trips'!$AC$38,$A10&lt;&gt;H$1,feasible_mat!H10=1),SUM(VLOOKUP($A10,'20Trips'!$A$3:$F$22,2,FALSE), VLOOKUP(H$1,'20Trips'!$A$3:$F$22,2,FALSE)),0)</f>
        <v>0</v>
      </c>
      <c r="I10">
        <f>IF(AND(SUM(VLOOKUP($A10,'20Trips'!$A$3:$F$22,2,FALSE),VLOOKUP(I$1,'20Trips'!$A$3:$F$22,2,FALSE))&lt;'20Trips'!$AC$38,$A10&lt;&gt;I$1,feasible_mat!I10=1),SUM(VLOOKUP($A10,'20Trips'!$A$3:$F$22,2,FALSE), VLOOKUP(I$1,'20Trips'!$A$3:$F$22,2,FALSE)),0)</f>
        <v>0</v>
      </c>
      <c r="J10">
        <f>IF(AND(SUM(VLOOKUP($A10,'20Trips'!$A$3:$F$22,2,FALSE),VLOOKUP(J$1,'20Trips'!$A$3:$F$22,2,FALSE))&lt;'20Trips'!$AC$38,$A10&lt;&gt;J$1,feasible_mat!J10=1),SUM(VLOOKUP($A10,'20Trips'!$A$3:$F$22,2,FALSE), VLOOKUP(J$1,'20Trips'!$A$3:$F$22,2,FALSE)),0)</f>
        <v>0</v>
      </c>
      <c r="K10">
        <f>IF(AND(SUM(VLOOKUP($A10,'20Trips'!$A$3:$F$22,2,FALSE),VLOOKUP(K$1,'20Trips'!$A$3:$F$22,2,FALSE))&lt;'20Trips'!$AC$38,$A10&lt;&gt;K$1,feasible_mat!K10=1),SUM(VLOOKUP($A10,'20Trips'!$A$3:$F$22,2,FALSE), VLOOKUP(K$1,'20Trips'!$A$3:$F$22,2,FALSE)),0)</f>
        <v>280</v>
      </c>
      <c r="L10">
        <f>IF(AND(SUM(VLOOKUP($A10,'20Trips'!$A$3:$F$22,2,FALSE),VLOOKUP(L$1,'20Trips'!$A$3:$F$22,2,FALSE))&lt;'20Trips'!$AC$38,$A10&lt;&gt;L$1,feasible_mat!L10=1),SUM(VLOOKUP($A10,'20Trips'!$A$3:$F$22,2,FALSE), VLOOKUP(L$1,'20Trips'!$A$3:$F$22,2,FALSE)),0)</f>
        <v>280</v>
      </c>
      <c r="M10">
        <f>IF(AND(SUM(VLOOKUP($A10,'20Trips'!$A$3:$F$22,2,FALSE),VLOOKUP(M$1,'20Trips'!$A$3:$F$22,2,FALSE))&lt;'20Trips'!$AC$38,$A10&lt;&gt;M$1,feasible_mat!M10=1),SUM(VLOOKUP($A10,'20Trips'!$A$3:$F$22,2,FALSE), VLOOKUP(M$1,'20Trips'!$A$3:$F$22,2,FALSE)),0)</f>
        <v>0</v>
      </c>
      <c r="N10">
        <f>IF(AND(SUM(VLOOKUP($A10,'20Trips'!$A$3:$F$22,2,FALSE),VLOOKUP(N$1,'20Trips'!$A$3:$F$22,2,FALSE))&lt;'20Trips'!$AC$38,$A10&lt;&gt;N$1,feasible_mat!N10=1),SUM(VLOOKUP($A10,'20Trips'!$A$3:$F$22,2,FALSE), VLOOKUP(N$1,'20Trips'!$A$3:$F$22,2,FALSE)),0)</f>
        <v>0</v>
      </c>
      <c r="O10">
        <f>IF(AND(SUM(VLOOKUP($A10,'20Trips'!$A$3:$F$22,2,FALSE),VLOOKUP(O$1,'20Trips'!$A$3:$F$22,2,FALSE))&lt;'20Trips'!$AC$38,$A10&lt;&gt;O$1,feasible_mat!O10=1),SUM(VLOOKUP($A10,'20Trips'!$A$3:$F$22,2,FALSE), VLOOKUP(O$1,'20Trips'!$A$3:$F$22,2,FALSE)),0)</f>
        <v>0</v>
      </c>
      <c r="P10">
        <f>IF(AND(SUM(VLOOKUP($A10,'20Trips'!$A$3:$F$22,2,FALSE),VLOOKUP(P$1,'20Trips'!$A$3:$F$22,2,FALSE))&lt;'20Trips'!$AC$38,$A10&lt;&gt;P$1,feasible_mat!P10=1),SUM(VLOOKUP($A10,'20Trips'!$A$3:$F$22,2,FALSE), VLOOKUP(P$1,'20Trips'!$A$3:$F$22,2,FALSE)),0)</f>
        <v>0</v>
      </c>
      <c r="Q10">
        <f>IF(AND(SUM(VLOOKUP($A10,'20Trips'!$A$3:$F$22,2,FALSE),VLOOKUP(Q$1,'20Trips'!$A$3:$F$22,2,FALSE))&lt;'20Trips'!$AC$38,$A10&lt;&gt;Q$1,feasible_mat!Q10=1),SUM(VLOOKUP($A10,'20Trips'!$A$3:$F$22,2,FALSE), VLOOKUP(Q$1,'20Trips'!$A$3:$F$22,2,FALSE)),0)</f>
        <v>0</v>
      </c>
      <c r="R10">
        <f>IF(AND(SUM(VLOOKUP($A10,'20Trips'!$A$3:$F$22,2,FALSE),VLOOKUP(R$1,'20Trips'!$A$3:$F$22,2,FALSE))&lt;'20Trips'!$AC$38,$A10&lt;&gt;R$1,feasible_mat!R10=1),SUM(VLOOKUP($A10,'20Trips'!$A$3:$F$22,2,FALSE), VLOOKUP(R$1,'20Trips'!$A$3:$F$22,2,FALSE)),0)</f>
        <v>0</v>
      </c>
      <c r="S10">
        <f>IF(AND(SUM(VLOOKUP($A10,'20Trips'!$A$3:$F$22,2,FALSE),VLOOKUP(S$1,'20Trips'!$A$3:$F$22,2,FALSE))&lt;'20Trips'!$AC$38,$A10&lt;&gt;S$1,feasible_mat!S10=1),SUM(VLOOKUP($A10,'20Trips'!$A$3:$F$22,2,FALSE), VLOOKUP(S$1,'20Trips'!$A$3:$F$22,2,FALSE)),0)</f>
        <v>0</v>
      </c>
      <c r="T10">
        <f>IF(AND(SUM(VLOOKUP($A10,'20Trips'!$A$3:$F$22,2,FALSE),VLOOKUP(T$1,'20Trips'!$A$3:$F$22,2,FALSE))&lt;'20Trips'!$AC$38,$A10&lt;&gt;T$1,feasible_mat!T10=1),SUM(VLOOKUP($A10,'20Trips'!$A$3:$F$22,2,FALSE), VLOOKUP(T$1,'20Trips'!$A$3:$F$22,2,FALSE)),0)</f>
        <v>0</v>
      </c>
      <c r="U10">
        <f>IF(AND(SUM(VLOOKUP($A10,'20Trips'!$A$3:$F$22,2,FALSE),VLOOKUP(U$1,'20Trips'!$A$3:$F$22,2,FALSE))&lt;'20Trips'!$AC$38,$A10&lt;&gt;U$1,feasible_mat!U10=1),SUM(VLOOKUP($A10,'20Trips'!$A$3:$F$22,2,FALSE), VLOOKUP(U$1,'20Trips'!$A$3:$F$22,2,FALSE)),0)</f>
        <v>0</v>
      </c>
      <c r="V10">
        <f>IF(AND(SUM(VLOOKUP($A10,'20Trips'!$A$3:$F$22,2,FALSE),VLOOKUP(V$1,'20Trips'!$A$3:$F$22,2,FALSE))&lt;'20Trips'!$AC$38,$A10&lt;&gt;V$1,feasible_mat!V10=1),SUM(VLOOKUP($A10,'20Trips'!$A$3:$F$22,2,FALSE), VLOOKUP(V$1,'20Trips'!$A$3:$F$22,2,FALSE)),0)</f>
        <v>280</v>
      </c>
      <c r="W10">
        <v>0</v>
      </c>
      <c r="X10">
        <v>0</v>
      </c>
      <c r="Y10">
        <v>0</v>
      </c>
      <c r="Z10">
        <v>0</v>
      </c>
      <c r="AA10">
        <v>0</v>
      </c>
      <c r="AB10">
        <f t="shared" si="0"/>
        <v>8</v>
      </c>
    </row>
    <row r="11" spans="1:28" x14ac:dyDescent="0.25">
      <c r="A11" t="s">
        <v>22</v>
      </c>
      <c r="B11">
        <v>0</v>
      </c>
      <c r="C11">
        <f>IF(AND(SUM(VLOOKUP($A11,'20Trips'!$A$3:$F$22,2,FALSE),VLOOKUP(C$1,'20Trips'!$A$3:$F$22,2,FALSE))&lt;'20Trips'!$AC$38,$A11&lt;&gt;C$1,feasible_mat!C11=1),SUM(VLOOKUP($A11,'20Trips'!$A$3:$F$22,2,FALSE), VLOOKUP(C$1,'20Trips'!$A$3:$F$22,2,FALSE)),0)</f>
        <v>0</v>
      </c>
      <c r="D11">
        <f>IF(AND(SUM(VLOOKUP($A11,'20Trips'!$A$3:$F$22,2,FALSE),VLOOKUP(D$1,'20Trips'!$A$3:$F$22,2,FALSE))&lt;'20Trips'!$AC$38,$A11&lt;&gt;D$1,feasible_mat!D11=1),SUM(VLOOKUP($A11,'20Trips'!$A$3:$F$22,2,FALSE), VLOOKUP(D$1,'20Trips'!$A$3:$F$22,2,FALSE)),0)</f>
        <v>0</v>
      </c>
      <c r="E11">
        <f>IF(AND(SUM(VLOOKUP($A11,'20Trips'!$A$3:$F$22,2,FALSE),VLOOKUP(E$1,'20Trips'!$A$3:$F$22,2,FALSE))&lt;'20Trips'!$AC$38,$A11&lt;&gt;E$1,feasible_mat!E11=1),SUM(VLOOKUP($A11,'20Trips'!$A$3:$F$22,2,FALSE), VLOOKUP(E$1,'20Trips'!$A$3:$F$22,2,FALSE)),0)</f>
        <v>0</v>
      </c>
      <c r="F11">
        <f>IF(AND(SUM(VLOOKUP($A11,'20Trips'!$A$3:$F$22,2,FALSE),VLOOKUP(F$1,'20Trips'!$A$3:$F$22,2,FALSE))&lt;'20Trips'!$AC$38,$A11&lt;&gt;F$1,feasible_mat!F11=1),SUM(VLOOKUP($A11,'20Trips'!$A$3:$F$22,2,FALSE), VLOOKUP(F$1,'20Trips'!$A$3:$F$22,2,FALSE)),0)</f>
        <v>0</v>
      </c>
      <c r="G11">
        <f>IF(AND(SUM(VLOOKUP($A11,'20Trips'!$A$3:$F$22,2,FALSE),VLOOKUP(G$1,'20Trips'!$A$3:$F$22,2,FALSE))&lt;'20Trips'!$AC$38,$A11&lt;&gt;G$1,feasible_mat!G11=1),SUM(VLOOKUP($A11,'20Trips'!$A$3:$F$22,2,FALSE), VLOOKUP(G$1,'20Trips'!$A$3:$F$22,2,FALSE)),0)</f>
        <v>0</v>
      </c>
      <c r="H11">
        <f>IF(AND(SUM(VLOOKUP($A11,'20Trips'!$A$3:$F$22,2,FALSE),VLOOKUP(H$1,'20Trips'!$A$3:$F$22,2,FALSE))&lt;'20Trips'!$AC$38,$A11&lt;&gt;H$1,feasible_mat!H11=1),SUM(VLOOKUP($A11,'20Trips'!$A$3:$F$22,2,FALSE), VLOOKUP(H$1,'20Trips'!$A$3:$F$22,2,FALSE)),0)</f>
        <v>0</v>
      </c>
      <c r="I11">
        <f>IF(AND(SUM(VLOOKUP($A11,'20Trips'!$A$3:$F$22,2,FALSE),VLOOKUP(I$1,'20Trips'!$A$3:$F$22,2,FALSE))&lt;'20Trips'!$AC$38,$A11&lt;&gt;I$1,feasible_mat!I11=1),SUM(VLOOKUP($A11,'20Trips'!$A$3:$F$22,2,FALSE), VLOOKUP(I$1,'20Trips'!$A$3:$F$22,2,FALSE)),0)</f>
        <v>0</v>
      </c>
      <c r="J11">
        <f>IF(AND(SUM(VLOOKUP($A11,'20Trips'!$A$3:$F$22,2,FALSE),VLOOKUP(J$1,'20Trips'!$A$3:$F$22,2,FALSE))&lt;'20Trips'!$AC$38,$A11&lt;&gt;J$1,feasible_mat!J11=1),SUM(VLOOKUP($A11,'20Trips'!$A$3:$F$22,2,FALSE), VLOOKUP(J$1,'20Trips'!$A$3:$F$22,2,FALSE)),0)</f>
        <v>0</v>
      </c>
      <c r="K11">
        <f>IF(AND(SUM(VLOOKUP($A11,'20Trips'!$A$3:$F$22,2,FALSE),VLOOKUP(K$1,'20Trips'!$A$3:$F$22,2,FALSE))&lt;'20Trips'!$AC$38,$A11&lt;&gt;K$1,feasible_mat!K11=1),SUM(VLOOKUP($A11,'20Trips'!$A$3:$F$22,2,FALSE), VLOOKUP(K$1,'20Trips'!$A$3:$F$22,2,FALSE)),0)</f>
        <v>0</v>
      </c>
      <c r="L11">
        <f>IF(AND(SUM(VLOOKUP($A11,'20Trips'!$A$3:$F$22,2,FALSE),VLOOKUP(L$1,'20Trips'!$A$3:$F$22,2,FALSE))&lt;'20Trips'!$AC$38,$A11&lt;&gt;L$1,feasible_mat!L11=1),SUM(VLOOKUP($A11,'20Trips'!$A$3:$F$22,2,FALSE), VLOOKUP(L$1,'20Trips'!$A$3:$F$22,2,FALSE)),0)</f>
        <v>0</v>
      </c>
      <c r="M11">
        <f>IF(AND(SUM(VLOOKUP($A11,'20Trips'!$A$3:$F$22,2,FALSE),VLOOKUP(M$1,'20Trips'!$A$3:$F$22,2,FALSE))&lt;'20Trips'!$AC$38,$A11&lt;&gt;M$1,feasible_mat!M11=1),SUM(VLOOKUP($A11,'20Trips'!$A$3:$F$22,2,FALSE), VLOOKUP(M$1,'20Trips'!$A$3:$F$22,2,FALSE)),0)</f>
        <v>0</v>
      </c>
      <c r="N11">
        <f>IF(AND(SUM(VLOOKUP($A11,'20Trips'!$A$3:$F$22,2,FALSE),VLOOKUP(N$1,'20Trips'!$A$3:$F$22,2,FALSE))&lt;'20Trips'!$AC$38,$A11&lt;&gt;N$1,feasible_mat!N11=1),SUM(VLOOKUP($A11,'20Trips'!$A$3:$F$22,2,FALSE), VLOOKUP(N$1,'20Trips'!$A$3:$F$22,2,FALSE)),0)</f>
        <v>0</v>
      </c>
      <c r="O11">
        <f>IF(AND(SUM(VLOOKUP($A11,'20Trips'!$A$3:$F$22,2,FALSE),VLOOKUP(O$1,'20Trips'!$A$3:$F$22,2,FALSE))&lt;'20Trips'!$AC$38,$A11&lt;&gt;O$1,feasible_mat!O11=1),SUM(VLOOKUP($A11,'20Trips'!$A$3:$F$22,2,FALSE), VLOOKUP(O$1,'20Trips'!$A$3:$F$22,2,FALSE)),0)</f>
        <v>0</v>
      </c>
      <c r="P11">
        <f>IF(AND(SUM(VLOOKUP($A11,'20Trips'!$A$3:$F$22,2,FALSE),VLOOKUP(P$1,'20Trips'!$A$3:$F$22,2,FALSE))&lt;'20Trips'!$AC$38,$A11&lt;&gt;P$1,feasible_mat!P11=1),SUM(VLOOKUP($A11,'20Trips'!$A$3:$F$22,2,FALSE), VLOOKUP(P$1,'20Trips'!$A$3:$F$22,2,FALSE)),0)</f>
        <v>0</v>
      </c>
      <c r="Q11">
        <f>IF(AND(SUM(VLOOKUP($A11,'20Trips'!$A$3:$F$22,2,FALSE),VLOOKUP(Q$1,'20Trips'!$A$3:$F$22,2,FALSE))&lt;'20Trips'!$AC$38,$A11&lt;&gt;Q$1,feasible_mat!Q11=1),SUM(VLOOKUP($A11,'20Trips'!$A$3:$F$22,2,FALSE), VLOOKUP(Q$1,'20Trips'!$A$3:$F$22,2,FALSE)),0)</f>
        <v>0</v>
      </c>
      <c r="R11">
        <f>IF(AND(SUM(VLOOKUP($A11,'20Trips'!$A$3:$F$22,2,FALSE),VLOOKUP(R$1,'20Trips'!$A$3:$F$22,2,FALSE))&lt;'20Trips'!$AC$38,$A11&lt;&gt;R$1,feasible_mat!R11=1),SUM(VLOOKUP($A11,'20Trips'!$A$3:$F$22,2,FALSE), VLOOKUP(R$1,'20Trips'!$A$3:$F$22,2,FALSE)),0)</f>
        <v>0</v>
      </c>
      <c r="S11">
        <f>IF(AND(SUM(VLOOKUP($A11,'20Trips'!$A$3:$F$22,2,FALSE),VLOOKUP(S$1,'20Trips'!$A$3:$F$22,2,FALSE))&lt;'20Trips'!$AC$38,$A11&lt;&gt;S$1,feasible_mat!S11=1),SUM(VLOOKUP($A11,'20Trips'!$A$3:$F$22,2,FALSE), VLOOKUP(S$1,'20Trips'!$A$3:$F$22,2,FALSE)),0)</f>
        <v>0</v>
      </c>
      <c r="T11">
        <f>IF(AND(SUM(VLOOKUP($A11,'20Trips'!$A$3:$F$22,2,FALSE),VLOOKUP(T$1,'20Trips'!$A$3:$F$22,2,FALSE))&lt;'20Trips'!$AC$38,$A11&lt;&gt;T$1,feasible_mat!T11=1),SUM(VLOOKUP($A11,'20Trips'!$A$3:$F$22,2,FALSE), VLOOKUP(T$1,'20Trips'!$A$3:$F$22,2,FALSE)),0)</f>
        <v>0</v>
      </c>
      <c r="U11">
        <f>IF(AND(SUM(VLOOKUP($A11,'20Trips'!$A$3:$F$22,2,FALSE),VLOOKUP(U$1,'20Trips'!$A$3:$F$22,2,FALSE))&lt;'20Trips'!$AC$38,$A11&lt;&gt;U$1,feasible_mat!U11=1),SUM(VLOOKUP($A11,'20Trips'!$A$3:$F$22,2,FALSE), VLOOKUP(U$1,'20Trips'!$A$3:$F$22,2,FALSE)),0)</f>
        <v>0</v>
      </c>
      <c r="V11">
        <f>IF(AND(SUM(VLOOKUP($A11,'20Trips'!$A$3:$F$22,2,FALSE),VLOOKUP(V$1,'20Trips'!$A$3:$F$22,2,FALSE))&lt;'20Trips'!$AC$38,$A11&lt;&gt;V$1,feasible_mat!V11=1),SUM(VLOOKUP($A11,'20Trips'!$A$3:$F$22,2,FALSE), VLOOKUP(V$1,'20Trips'!$A$3:$F$22,2,FALSE)),0)</f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f t="shared" si="0"/>
        <v>9</v>
      </c>
    </row>
    <row r="12" spans="1:28" x14ac:dyDescent="0.25">
      <c r="A12" t="s">
        <v>23</v>
      </c>
      <c r="B12">
        <v>0</v>
      </c>
      <c r="C12">
        <f>IF(AND(SUM(VLOOKUP($A12,'20Trips'!$A$3:$F$22,2,FALSE),VLOOKUP(C$1,'20Trips'!$A$3:$F$22,2,FALSE))&lt;'20Trips'!$AC$38,$A12&lt;&gt;C$1,feasible_mat!C12=1),SUM(VLOOKUP($A12,'20Trips'!$A$3:$F$22,2,FALSE), VLOOKUP(C$1,'20Trips'!$A$3:$F$22,2,FALSE)),0)</f>
        <v>0</v>
      </c>
      <c r="D12">
        <f>IF(AND(SUM(VLOOKUP($A12,'20Trips'!$A$3:$F$22,2,FALSE),VLOOKUP(D$1,'20Trips'!$A$3:$F$22,2,FALSE))&lt;'20Trips'!$AC$38,$A12&lt;&gt;D$1,feasible_mat!D12=1),SUM(VLOOKUP($A12,'20Trips'!$A$3:$F$22,2,FALSE), VLOOKUP(D$1,'20Trips'!$A$3:$F$22,2,FALSE)),0)</f>
        <v>0</v>
      </c>
      <c r="E12">
        <f>IF(AND(SUM(VLOOKUP($A12,'20Trips'!$A$3:$F$22,2,FALSE),VLOOKUP(E$1,'20Trips'!$A$3:$F$22,2,FALSE))&lt;'20Trips'!$AC$38,$A12&lt;&gt;E$1,feasible_mat!E12=1),SUM(VLOOKUP($A12,'20Trips'!$A$3:$F$22,2,FALSE), VLOOKUP(E$1,'20Trips'!$A$3:$F$22,2,FALSE)),0)</f>
        <v>0</v>
      </c>
      <c r="F12">
        <f>IF(AND(SUM(VLOOKUP($A12,'20Trips'!$A$3:$F$22,2,FALSE),VLOOKUP(F$1,'20Trips'!$A$3:$F$22,2,FALSE))&lt;'20Trips'!$AC$38,$A12&lt;&gt;F$1,feasible_mat!F12=1),SUM(VLOOKUP($A12,'20Trips'!$A$3:$F$22,2,FALSE), VLOOKUP(F$1,'20Trips'!$A$3:$F$22,2,FALSE)),0)</f>
        <v>0</v>
      </c>
      <c r="G12">
        <f>IF(AND(SUM(VLOOKUP($A12,'20Trips'!$A$3:$F$22,2,FALSE),VLOOKUP(G$1,'20Trips'!$A$3:$F$22,2,FALSE))&lt;'20Trips'!$AC$38,$A12&lt;&gt;G$1,feasible_mat!G12=1),SUM(VLOOKUP($A12,'20Trips'!$A$3:$F$22,2,FALSE), VLOOKUP(G$1,'20Trips'!$A$3:$F$22,2,FALSE)),0)</f>
        <v>0</v>
      </c>
      <c r="H12">
        <f>IF(AND(SUM(VLOOKUP($A12,'20Trips'!$A$3:$F$22,2,FALSE),VLOOKUP(H$1,'20Trips'!$A$3:$F$22,2,FALSE))&lt;'20Trips'!$AC$38,$A12&lt;&gt;H$1,feasible_mat!H12=1),SUM(VLOOKUP($A12,'20Trips'!$A$3:$F$22,2,FALSE), VLOOKUP(H$1,'20Trips'!$A$3:$F$22,2,FALSE)),0)</f>
        <v>0</v>
      </c>
      <c r="I12">
        <f>IF(AND(SUM(VLOOKUP($A12,'20Trips'!$A$3:$F$22,2,FALSE),VLOOKUP(I$1,'20Trips'!$A$3:$F$22,2,FALSE))&lt;'20Trips'!$AC$38,$A12&lt;&gt;I$1,feasible_mat!I12=1),SUM(VLOOKUP($A12,'20Trips'!$A$3:$F$22,2,FALSE), VLOOKUP(I$1,'20Trips'!$A$3:$F$22,2,FALSE)),0)</f>
        <v>0</v>
      </c>
      <c r="J12">
        <f>IF(AND(SUM(VLOOKUP($A12,'20Trips'!$A$3:$F$22,2,FALSE),VLOOKUP(J$1,'20Trips'!$A$3:$F$22,2,FALSE))&lt;'20Trips'!$AC$38,$A12&lt;&gt;J$1,feasible_mat!J12=1),SUM(VLOOKUP($A12,'20Trips'!$A$3:$F$22,2,FALSE), VLOOKUP(J$1,'20Trips'!$A$3:$F$22,2,FALSE)),0)</f>
        <v>0</v>
      </c>
      <c r="K12">
        <f>IF(AND(SUM(VLOOKUP($A12,'20Trips'!$A$3:$F$22,2,FALSE),VLOOKUP(K$1,'20Trips'!$A$3:$F$22,2,FALSE))&lt;'20Trips'!$AC$38,$A12&lt;&gt;K$1,feasible_mat!K12=1),SUM(VLOOKUP($A12,'20Trips'!$A$3:$F$22,2,FALSE), VLOOKUP(K$1,'20Trips'!$A$3:$F$22,2,FALSE)),0)</f>
        <v>0</v>
      </c>
      <c r="L12">
        <f>IF(AND(SUM(VLOOKUP($A12,'20Trips'!$A$3:$F$22,2,FALSE),VLOOKUP(L$1,'20Trips'!$A$3:$F$22,2,FALSE))&lt;'20Trips'!$AC$38,$A12&lt;&gt;L$1,feasible_mat!L12=1),SUM(VLOOKUP($A12,'20Trips'!$A$3:$F$22,2,FALSE), VLOOKUP(L$1,'20Trips'!$A$3:$F$22,2,FALSE)),0)</f>
        <v>0</v>
      </c>
      <c r="M12">
        <f>IF(AND(SUM(VLOOKUP($A12,'20Trips'!$A$3:$F$22,2,FALSE),VLOOKUP(M$1,'20Trips'!$A$3:$F$22,2,FALSE))&lt;'20Trips'!$AC$38,$A12&lt;&gt;M$1,feasible_mat!M12=1),SUM(VLOOKUP($A12,'20Trips'!$A$3:$F$22,2,FALSE), VLOOKUP(M$1,'20Trips'!$A$3:$F$22,2,FALSE)),0)</f>
        <v>0</v>
      </c>
      <c r="N12">
        <f>IF(AND(SUM(VLOOKUP($A12,'20Trips'!$A$3:$F$22,2,FALSE),VLOOKUP(N$1,'20Trips'!$A$3:$F$22,2,FALSE))&lt;'20Trips'!$AC$38,$A12&lt;&gt;N$1,feasible_mat!N12=1),SUM(VLOOKUP($A12,'20Trips'!$A$3:$F$22,2,FALSE), VLOOKUP(N$1,'20Trips'!$A$3:$F$22,2,FALSE)),0)</f>
        <v>0</v>
      </c>
      <c r="O12">
        <f>IF(AND(SUM(VLOOKUP($A12,'20Trips'!$A$3:$F$22,2,FALSE),VLOOKUP(O$1,'20Trips'!$A$3:$F$22,2,FALSE))&lt;'20Trips'!$AC$38,$A12&lt;&gt;O$1,feasible_mat!O12=1),SUM(VLOOKUP($A12,'20Trips'!$A$3:$F$22,2,FALSE), VLOOKUP(O$1,'20Trips'!$A$3:$F$22,2,FALSE)),0)</f>
        <v>0</v>
      </c>
      <c r="P12">
        <f>IF(AND(SUM(VLOOKUP($A12,'20Trips'!$A$3:$F$22,2,FALSE),VLOOKUP(P$1,'20Trips'!$A$3:$F$22,2,FALSE))&lt;'20Trips'!$AC$38,$A12&lt;&gt;P$1,feasible_mat!P12=1),SUM(VLOOKUP($A12,'20Trips'!$A$3:$F$22,2,FALSE), VLOOKUP(P$1,'20Trips'!$A$3:$F$22,2,FALSE)),0)</f>
        <v>0</v>
      </c>
      <c r="Q12">
        <f>IF(AND(SUM(VLOOKUP($A12,'20Trips'!$A$3:$F$22,2,FALSE),VLOOKUP(Q$1,'20Trips'!$A$3:$F$22,2,FALSE))&lt;'20Trips'!$AC$38,$A12&lt;&gt;Q$1,feasible_mat!Q12=1),SUM(VLOOKUP($A12,'20Trips'!$A$3:$F$22,2,FALSE), VLOOKUP(Q$1,'20Trips'!$A$3:$F$22,2,FALSE)),0)</f>
        <v>0</v>
      </c>
      <c r="R12">
        <f>IF(AND(SUM(VLOOKUP($A12,'20Trips'!$A$3:$F$22,2,FALSE),VLOOKUP(R$1,'20Trips'!$A$3:$F$22,2,FALSE))&lt;'20Trips'!$AC$38,$A12&lt;&gt;R$1,feasible_mat!R12=1),SUM(VLOOKUP($A12,'20Trips'!$A$3:$F$22,2,FALSE), VLOOKUP(R$1,'20Trips'!$A$3:$F$22,2,FALSE)),0)</f>
        <v>0</v>
      </c>
      <c r="S12">
        <f>IF(AND(SUM(VLOOKUP($A12,'20Trips'!$A$3:$F$22,2,FALSE),VLOOKUP(S$1,'20Trips'!$A$3:$F$22,2,FALSE))&lt;'20Trips'!$AC$38,$A12&lt;&gt;S$1,feasible_mat!S12=1),SUM(VLOOKUP($A12,'20Trips'!$A$3:$F$22,2,FALSE), VLOOKUP(S$1,'20Trips'!$A$3:$F$22,2,FALSE)),0)</f>
        <v>0</v>
      </c>
      <c r="T12">
        <f>IF(AND(SUM(VLOOKUP($A12,'20Trips'!$A$3:$F$22,2,FALSE),VLOOKUP(T$1,'20Trips'!$A$3:$F$22,2,FALSE))&lt;'20Trips'!$AC$38,$A12&lt;&gt;T$1,feasible_mat!T12=1),SUM(VLOOKUP($A12,'20Trips'!$A$3:$F$22,2,FALSE), VLOOKUP(T$1,'20Trips'!$A$3:$F$22,2,FALSE)),0)</f>
        <v>0</v>
      </c>
      <c r="U12">
        <f>IF(AND(SUM(VLOOKUP($A12,'20Trips'!$A$3:$F$22,2,FALSE),VLOOKUP(U$1,'20Trips'!$A$3:$F$22,2,FALSE))&lt;'20Trips'!$AC$38,$A12&lt;&gt;U$1,feasible_mat!U12=1),SUM(VLOOKUP($A12,'20Trips'!$A$3:$F$22,2,FALSE), VLOOKUP(U$1,'20Trips'!$A$3:$F$22,2,FALSE)),0)</f>
        <v>0</v>
      </c>
      <c r="V12">
        <f>IF(AND(SUM(VLOOKUP($A12,'20Trips'!$A$3:$F$22,2,FALSE),VLOOKUP(V$1,'20Trips'!$A$3:$F$22,2,FALSE))&lt;'20Trips'!$AC$38,$A12&lt;&gt;V$1,feasible_mat!V12=1),SUM(VLOOKUP($A12,'20Trips'!$A$3:$F$22,2,FALSE), VLOOKUP(V$1,'20Trips'!$A$3:$F$22,2,FALSE)),0)</f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f t="shared" si="0"/>
        <v>10</v>
      </c>
    </row>
    <row r="13" spans="1:28" x14ac:dyDescent="0.25">
      <c r="A13" t="s">
        <v>26</v>
      </c>
      <c r="B13">
        <v>0</v>
      </c>
      <c r="C13">
        <f>IF(AND(SUM(VLOOKUP($A13,'20Trips'!$A$3:$F$22,2,FALSE),VLOOKUP(C$1,'20Trips'!$A$3:$F$22,2,FALSE))&lt;'20Trips'!$AC$38,$A13&lt;&gt;C$1,feasible_mat!C13=1),SUM(VLOOKUP($A13,'20Trips'!$A$3:$F$22,2,FALSE), VLOOKUP(C$1,'20Trips'!$A$3:$F$22,2,FALSE)),0)</f>
        <v>0</v>
      </c>
      <c r="D13">
        <f>IF(AND(SUM(VLOOKUP($A13,'20Trips'!$A$3:$F$22,2,FALSE),VLOOKUP(D$1,'20Trips'!$A$3:$F$22,2,FALSE))&lt;'20Trips'!$AC$38,$A13&lt;&gt;D$1,feasible_mat!D13=1),SUM(VLOOKUP($A13,'20Trips'!$A$3:$F$22,2,FALSE), VLOOKUP(D$1,'20Trips'!$A$3:$F$22,2,FALSE)),0)</f>
        <v>270</v>
      </c>
      <c r="E13">
        <f>IF(AND(SUM(VLOOKUP($A13,'20Trips'!$A$3:$F$22,2,FALSE),VLOOKUP(E$1,'20Trips'!$A$3:$F$22,2,FALSE))&lt;'20Trips'!$AC$38,$A13&lt;&gt;E$1,feasible_mat!E13=1),SUM(VLOOKUP($A13,'20Trips'!$A$3:$F$22,2,FALSE), VLOOKUP(E$1,'20Trips'!$A$3:$F$22,2,FALSE)),0)</f>
        <v>270</v>
      </c>
      <c r="F13">
        <f>IF(AND(SUM(VLOOKUP($A13,'20Trips'!$A$3:$F$22,2,FALSE),VLOOKUP(F$1,'20Trips'!$A$3:$F$22,2,FALSE))&lt;'20Trips'!$AC$38,$A13&lt;&gt;F$1,feasible_mat!F13=1),SUM(VLOOKUP($A13,'20Trips'!$A$3:$F$22,2,FALSE), VLOOKUP(F$1,'20Trips'!$A$3:$F$22,2,FALSE)),0)</f>
        <v>270</v>
      </c>
      <c r="G13">
        <f>IF(AND(SUM(VLOOKUP($A13,'20Trips'!$A$3:$F$22,2,FALSE),VLOOKUP(G$1,'20Trips'!$A$3:$F$22,2,FALSE))&lt;'20Trips'!$AC$38,$A13&lt;&gt;G$1,feasible_mat!G13=1),SUM(VLOOKUP($A13,'20Trips'!$A$3:$F$22,2,FALSE), VLOOKUP(G$1,'20Trips'!$A$3:$F$22,2,FALSE)),0)</f>
        <v>270</v>
      </c>
      <c r="H13">
        <f>IF(AND(SUM(VLOOKUP($A13,'20Trips'!$A$3:$F$22,2,FALSE),VLOOKUP(H$1,'20Trips'!$A$3:$F$22,2,FALSE))&lt;'20Trips'!$AC$38,$A13&lt;&gt;H$1,feasible_mat!H13=1),SUM(VLOOKUP($A13,'20Trips'!$A$3:$F$22,2,FALSE), VLOOKUP(H$1,'20Trips'!$A$3:$F$22,2,FALSE)),0)</f>
        <v>0</v>
      </c>
      <c r="I13">
        <f>IF(AND(SUM(VLOOKUP($A13,'20Trips'!$A$3:$F$22,2,FALSE),VLOOKUP(I$1,'20Trips'!$A$3:$F$22,2,FALSE))&lt;'20Trips'!$AC$38,$A13&lt;&gt;I$1,feasible_mat!I13=1),SUM(VLOOKUP($A13,'20Trips'!$A$3:$F$22,2,FALSE), VLOOKUP(I$1,'20Trips'!$A$3:$F$22,2,FALSE)),0)</f>
        <v>0</v>
      </c>
      <c r="J13">
        <f>IF(AND(SUM(VLOOKUP($A13,'20Trips'!$A$3:$F$22,2,FALSE),VLOOKUP(J$1,'20Trips'!$A$3:$F$22,2,FALSE))&lt;'20Trips'!$AC$38,$A13&lt;&gt;J$1,feasible_mat!J13=1),SUM(VLOOKUP($A13,'20Trips'!$A$3:$F$22,2,FALSE), VLOOKUP(J$1,'20Trips'!$A$3:$F$22,2,FALSE)),0)</f>
        <v>275</v>
      </c>
      <c r="K13">
        <f>IF(AND(SUM(VLOOKUP($A13,'20Trips'!$A$3:$F$22,2,FALSE),VLOOKUP(K$1,'20Trips'!$A$3:$F$22,2,FALSE))&lt;'20Trips'!$AC$38,$A13&lt;&gt;K$1,feasible_mat!K13=1),SUM(VLOOKUP($A13,'20Trips'!$A$3:$F$22,2,FALSE), VLOOKUP(K$1,'20Trips'!$A$3:$F$22,2,FALSE)),0)</f>
        <v>275</v>
      </c>
      <c r="L13">
        <f>IF(AND(SUM(VLOOKUP($A13,'20Trips'!$A$3:$F$22,2,FALSE),VLOOKUP(L$1,'20Trips'!$A$3:$F$22,2,FALSE))&lt;'20Trips'!$AC$38,$A13&lt;&gt;L$1,feasible_mat!L13=1),SUM(VLOOKUP($A13,'20Trips'!$A$3:$F$22,2,FALSE), VLOOKUP(L$1,'20Trips'!$A$3:$F$22,2,FALSE)),0)</f>
        <v>275</v>
      </c>
      <c r="M13">
        <f>IF(AND(SUM(VLOOKUP($A13,'20Trips'!$A$3:$F$22,2,FALSE),VLOOKUP(M$1,'20Trips'!$A$3:$F$22,2,FALSE))&lt;'20Trips'!$AC$38,$A13&lt;&gt;M$1,feasible_mat!M13=1),SUM(VLOOKUP($A13,'20Trips'!$A$3:$F$22,2,FALSE), VLOOKUP(M$1,'20Trips'!$A$3:$F$22,2,FALSE)),0)</f>
        <v>0</v>
      </c>
      <c r="N13">
        <f>IF(AND(SUM(VLOOKUP($A13,'20Trips'!$A$3:$F$22,2,FALSE),VLOOKUP(N$1,'20Trips'!$A$3:$F$22,2,FALSE))&lt;'20Trips'!$AC$38,$A13&lt;&gt;N$1,feasible_mat!N13=1),SUM(VLOOKUP($A13,'20Trips'!$A$3:$F$22,2,FALSE), VLOOKUP(N$1,'20Trips'!$A$3:$F$22,2,FALSE)),0)</f>
        <v>0</v>
      </c>
      <c r="O13">
        <f>IF(AND(SUM(VLOOKUP($A13,'20Trips'!$A$3:$F$22,2,FALSE),VLOOKUP(O$1,'20Trips'!$A$3:$F$22,2,FALSE))&lt;'20Trips'!$AC$38,$A13&lt;&gt;O$1,feasible_mat!O13=1),SUM(VLOOKUP($A13,'20Trips'!$A$3:$F$22,2,FALSE), VLOOKUP(O$1,'20Trips'!$A$3:$F$22,2,FALSE)),0)</f>
        <v>270</v>
      </c>
      <c r="P13">
        <f>IF(AND(SUM(VLOOKUP($A13,'20Trips'!$A$3:$F$22,2,FALSE),VLOOKUP(P$1,'20Trips'!$A$3:$F$22,2,FALSE))&lt;'20Trips'!$AC$38,$A13&lt;&gt;P$1,feasible_mat!P13=1),SUM(VLOOKUP($A13,'20Trips'!$A$3:$F$22,2,FALSE), VLOOKUP(P$1,'20Trips'!$A$3:$F$22,2,FALSE)),0)</f>
        <v>270</v>
      </c>
      <c r="Q13">
        <f>IF(AND(SUM(VLOOKUP($A13,'20Trips'!$A$3:$F$22,2,FALSE),VLOOKUP(Q$1,'20Trips'!$A$3:$F$22,2,FALSE))&lt;'20Trips'!$AC$38,$A13&lt;&gt;Q$1,feasible_mat!Q13=1),SUM(VLOOKUP($A13,'20Trips'!$A$3:$F$22,2,FALSE), VLOOKUP(Q$1,'20Trips'!$A$3:$F$22,2,FALSE)),0)</f>
        <v>270</v>
      </c>
      <c r="R13">
        <f>IF(AND(SUM(VLOOKUP($A13,'20Trips'!$A$3:$F$22,2,FALSE),VLOOKUP(R$1,'20Trips'!$A$3:$F$22,2,FALSE))&lt;'20Trips'!$AC$38,$A13&lt;&gt;R$1,feasible_mat!R13=1),SUM(VLOOKUP($A13,'20Trips'!$A$3:$F$22,2,FALSE), VLOOKUP(R$1,'20Trips'!$A$3:$F$22,2,FALSE)),0)</f>
        <v>0</v>
      </c>
      <c r="S13">
        <f>IF(AND(SUM(VLOOKUP($A13,'20Trips'!$A$3:$F$22,2,FALSE),VLOOKUP(S$1,'20Trips'!$A$3:$F$22,2,FALSE))&lt;'20Trips'!$AC$38,$A13&lt;&gt;S$1,feasible_mat!S13=1),SUM(VLOOKUP($A13,'20Trips'!$A$3:$F$22,2,FALSE), VLOOKUP(S$1,'20Trips'!$A$3:$F$22,2,FALSE)),0)</f>
        <v>275</v>
      </c>
      <c r="T13">
        <f>IF(AND(SUM(VLOOKUP($A13,'20Trips'!$A$3:$F$22,2,FALSE),VLOOKUP(T$1,'20Trips'!$A$3:$F$22,2,FALSE))&lt;'20Trips'!$AC$38,$A13&lt;&gt;T$1,feasible_mat!T13=1),SUM(VLOOKUP($A13,'20Trips'!$A$3:$F$22,2,FALSE), VLOOKUP(T$1,'20Trips'!$A$3:$F$22,2,FALSE)),0)</f>
        <v>275</v>
      </c>
      <c r="U13">
        <f>IF(AND(SUM(VLOOKUP($A13,'20Trips'!$A$3:$F$22,2,FALSE),VLOOKUP(U$1,'20Trips'!$A$3:$F$22,2,FALSE))&lt;'20Trips'!$AC$38,$A13&lt;&gt;U$1,feasible_mat!U13=1),SUM(VLOOKUP($A13,'20Trips'!$A$3:$F$22,2,FALSE), VLOOKUP(U$1,'20Trips'!$A$3:$F$22,2,FALSE)),0)</f>
        <v>275</v>
      </c>
      <c r="V13">
        <f>IF(AND(SUM(VLOOKUP($A13,'20Trips'!$A$3:$F$22,2,FALSE),VLOOKUP(V$1,'20Trips'!$A$3:$F$22,2,FALSE))&lt;'20Trips'!$AC$38,$A13&lt;&gt;V$1,feasible_mat!V13=1),SUM(VLOOKUP($A13,'20Trips'!$A$3:$F$22,2,FALSE), VLOOKUP(V$1,'20Trips'!$A$3:$F$22,2,FALSE)),0)</f>
        <v>275</v>
      </c>
      <c r="W13">
        <v>0</v>
      </c>
      <c r="X13">
        <v>0</v>
      </c>
      <c r="Y13">
        <v>0</v>
      </c>
      <c r="Z13">
        <v>0</v>
      </c>
      <c r="AA13">
        <v>0</v>
      </c>
      <c r="AB13">
        <f t="shared" si="0"/>
        <v>11</v>
      </c>
    </row>
    <row r="14" spans="1:28" x14ac:dyDescent="0.25">
      <c r="A14" t="s">
        <v>27</v>
      </c>
      <c r="B14">
        <v>0</v>
      </c>
      <c r="C14">
        <f>IF(AND(SUM(VLOOKUP($A14,'20Trips'!$A$3:$F$22,2,FALSE),VLOOKUP(C$1,'20Trips'!$A$3:$F$22,2,FALSE))&lt;'20Trips'!$AC$38,$A14&lt;&gt;C$1,feasible_mat!C14=1),SUM(VLOOKUP($A14,'20Trips'!$A$3:$F$22,2,FALSE), VLOOKUP(C$1,'20Trips'!$A$3:$F$22,2,FALSE)),0)</f>
        <v>0</v>
      </c>
      <c r="D14">
        <f>IF(AND(SUM(VLOOKUP($A14,'20Trips'!$A$3:$F$22,2,FALSE),VLOOKUP(D$1,'20Trips'!$A$3:$F$22,2,FALSE))&lt;'20Trips'!$AC$38,$A14&lt;&gt;D$1,feasible_mat!D14=1),SUM(VLOOKUP($A14,'20Trips'!$A$3:$F$22,2,FALSE), VLOOKUP(D$1,'20Trips'!$A$3:$F$22,2,FALSE)),0)</f>
        <v>0</v>
      </c>
      <c r="E14">
        <f>IF(AND(SUM(VLOOKUP($A14,'20Trips'!$A$3:$F$22,2,FALSE),VLOOKUP(E$1,'20Trips'!$A$3:$F$22,2,FALSE))&lt;'20Trips'!$AC$38,$A14&lt;&gt;E$1,feasible_mat!E14=1),SUM(VLOOKUP($A14,'20Trips'!$A$3:$F$22,2,FALSE), VLOOKUP(E$1,'20Trips'!$A$3:$F$22,2,FALSE)),0)</f>
        <v>270</v>
      </c>
      <c r="F14">
        <f>IF(AND(SUM(VLOOKUP($A14,'20Trips'!$A$3:$F$22,2,FALSE),VLOOKUP(F$1,'20Trips'!$A$3:$F$22,2,FALSE))&lt;'20Trips'!$AC$38,$A14&lt;&gt;F$1,feasible_mat!F14=1),SUM(VLOOKUP($A14,'20Trips'!$A$3:$F$22,2,FALSE), VLOOKUP(F$1,'20Trips'!$A$3:$F$22,2,FALSE)),0)</f>
        <v>270</v>
      </c>
      <c r="G14">
        <f>IF(AND(SUM(VLOOKUP($A14,'20Trips'!$A$3:$F$22,2,FALSE),VLOOKUP(G$1,'20Trips'!$A$3:$F$22,2,FALSE))&lt;'20Trips'!$AC$38,$A14&lt;&gt;G$1,feasible_mat!G14=1),SUM(VLOOKUP($A14,'20Trips'!$A$3:$F$22,2,FALSE), VLOOKUP(G$1,'20Trips'!$A$3:$F$22,2,FALSE)),0)</f>
        <v>270</v>
      </c>
      <c r="H14">
        <f>IF(AND(SUM(VLOOKUP($A14,'20Trips'!$A$3:$F$22,2,FALSE),VLOOKUP(H$1,'20Trips'!$A$3:$F$22,2,FALSE))&lt;'20Trips'!$AC$38,$A14&lt;&gt;H$1,feasible_mat!H14=1),SUM(VLOOKUP($A14,'20Trips'!$A$3:$F$22,2,FALSE), VLOOKUP(H$1,'20Trips'!$A$3:$F$22,2,FALSE)),0)</f>
        <v>0</v>
      </c>
      <c r="I14">
        <f>IF(AND(SUM(VLOOKUP($A14,'20Trips'!$A$3:$F$22,2,FALSE),VLOOKUP(I$1,'20Trips'!$A$3:$F$22,2,FALSE))&lt;'20Trips'!$AC$38,$A14&lt;&gt;I$1,feasible_mat!I14=1),SUM(VLOOKUP($A14,'20Trips'!$A$3:$F$22,2,FALSE), VLOOKUP(I$1,'20Trips'!$A$3:$F$22,2,FALSE)),0)</f>
        <v>0</v>
      </c>
      <c r="J14">
        <f>IF(AND(SUM(VLOOKUP($A14,'20Trips'!$A$3:$F$22,2,FALSE),VLOOKUP(J$1,'20Trips'!$A$3:$F$22,2,FALSE))&lt;'20Trips'!$AC$38,$A14&lt;&gt;J$1,feasible_mat!J14=1),SUM(VLOOKUP($A14,'20Trips'!$A$3:$F$22,2,FALSE), VLOOKUP(J$1,'20Trips'!$A$3:$F$22,2,FALSE)),0)</f>
        <v>275</v>
      </c>
      <c r="K14">
        <f>IF(AND(SUM(VLOOKUP($A14,'20Trips'!$A$3:$F$22,2,FALSE),VLOOKUP(K$1,'20Trips'!$A$3:$F$22,2,FALSE))&lt;'20Trips'!$AC$38,$A14&lt;&gt;K$1,feasible_mat!K14=1),SUM(VLOOKUP($A14,'20Trips'!$A$3:$F$22,2,FALSE), VLOOKUP(K$1,'20Trips'!$A$3:$F$22,2,FALSE)),0)</f>
        <v>275</v>
      </c>
      <c r="L14">
        <f>IF(AND(SUM(VLOOKUP($A14,'20Trips'!$A$3:$F$22,2,FALSE),VLOOKUP(L$1,'20Trips'!$A$3:$F$22,2,FALSE))&lt;'20Trips'!$AC$38,$A14&lt;&gt;L$1,feasible_mat!L14=1),SUM(VLOOKUP($A14,'20Trips'!$A$3:$F$22,2,FALSE), VLOOKUP(L$1,'20Trips'!$A$3:$F$22,2,FALSE)),0)</f>
        <v>275</v>
      </c>
      <c r="M14">
        <f>IF(AND(SUM(VLOOKUP($A14,'20Trips'!$A$3:$F$22,2,FALSE),VLOOKUP(M$1,'20Trips'!$A$3:$F$22,2,FALSE))&lt;'20Trips'!$AC$38,$A14&lt;&gt;M$1,feasible_mat!M14=1),SUM(VLOOKUP($A14,'20Trips'!$A$3:$F$22,2,FALSE), VLOOKUP(M$1,'20Trips'!$A$3:$F$22,2,FALSE)),0)</f>
        <v>0</v>
      </c>
      <c r="N14">
        <f>IF(AND(SUM(VLOOKUP($A14,'20Trips'!$A$3:$F$22,2,FALSE),VLOOKUP(N$1,'20Trips'!$A$3:$F$22,2,FALSE))&lt;'20Trips'!$AC$38,$A14&lt;&gt;N$1,feasible_mat!N14=1),SUM(VLOOKUP($A14,'20Trips'!$A$3:$F$22,2,FALSE), VLOOKUP(N$1,'20Trips'!$A$3:$F$22,2,FALSE)),0)</f>
        <v>0</v>
      </c>
      <c r="O14">
        <f>IF(AND(SUM(VLOOKUP($A14,'20Trips'!$A$3:$F$22,2,FALSE),VLOOKUP(O$1,'20Trips'!$A$3:$F$22,2,FALSE))&lt;'20Trips'!$AC$38,$A14&lt;&gt;O$1,feasible_mat!O14=1),SUM(VLOOKUP($A14,'20Trips'!$A$3:$F$22,2,FALSE), VLOOKUP(O$1,'20Trips'!$A$3:$F$22,2,FALSE)),0)</f>
        <v>0</v>
      </c>
      <c r="P14">
        <f>IF(AND(SUM(VLOOKUP($A14,'20Trips'!$A$3:$F$22,2,FALSE),VLOOKUP(P$1,'20Trips'!$A$3:$F$22,2,FALSE))&lt;'20Trips'!$AC$38,$A14&lt;&gt;P$1,feasible_mat!P14=1),SUM(VLOOKUP($A14,'20Trips'!$A$3:$F$22,2,FALSE), VLOOKUP(P$1,'20Trips'!$A$3:$F$22,2,FALSE)),0)</f>
        <v>270</v>
      </c>
      <c r="Q14">
        <f>IF(AND(SUM(VLOOKUP($A14,'20Trips'!$A$3:$F$22,2,FALSE),VLOOKUP(Q$1,'20Trips'!$A$3:$F$22,2,FALSE))&lt;'20Trips'!$AC$38,$A14&lt;&gt;Q$1,feasible_mat!Q14=1),SUM(VLOOKUP($A14,'20Trips'!$A$3:$F$22,2,FALSE), VLOOKUP(Q$1,'20Trips'!$A$3:$F$22,2,FALSE)),0)</f>
        <v>270</v>
      </c>
      <c r="R14">
        <f>IF(AND(SUM(VLOOKUP($A14,'20Trips'!$A$3:$F$22,2,FALSE),VLOOKUP(R$1,'20Trips'!$A$3:$F$22,2,FALSE))&lt;'20Trips'!$AC$38,$A14&lt;&gt;R$1,feasible_mat!R14=1),SUM(VLOOKUP($A14,'20Trips'!$A$3:$F$22,2,FALSE), VLOOKUP(R$1,'20Trips'!$A$3:$F$22,2,FALSE)),0)</f>
        <v>0</v>
      </c>
      <c r="S14">
        <f>IF(AND(SUM(VLOOKUP($A14,'20Trips'!$A$3:$F$22,2,FALSE),VLOOKUP(S$1,'20Trips'!$A$3:$F$22,2,FALSE))&lt;'20Trips'!$AC$38,$A14&lt;&gt;S$1,feasible_mat!S14=1),SUM(VLOOKUP($A14,'20Trips'!$A$3:$F$22,2,FALSE), VLOOKUP(S$1,'20Trips'!$A$3:$F$22,2,FALSE)),0)</f>
        <v>0</v>
      </c>
      <c r="T14">
        <f>IF(AND(SUM(VLOOKUP($A14,'20Trips'!$A$3:$F$22,2,FALSE),VLOOKUP(T$1,'20Trips'!$A$3:$F$22,2,FALSE))&lt;'20Trips'!$AC$38,$A14&lt;&gt;T$1,feasible_mat!T14=1),SUM(VLOOKUP($A14,'20Trips'!$A$3:$F$22,2,FALSE), VLOOKUP(T$1,'20Trips'!$A$3:$F$22,2,FALSE)),0)</f>
        <v>275</v>
      </c>
      <c r="U14">
        <f>IF(AND(SUM(VLOOKUP($A14,'20Trips'!$A$3:$F$22,2,FALSE),VLOOKUP(U$1,'20Trips'!$A$3:$F$22,2,FALSE))&lt;'20Trips'!$AC$38,$A14&lt;&gt;U$1,feasible_mat!U14=1),SUM(VLOOKUP($A14,'20Trips'!$A$3:$F$22,2,FALSE), VLOOKUP(U$1,'20Trips'!$A$3:$F$22,2,FALSE)),0)</f>
        <v>275</v>
      </c>
      <c r="V14">
        <f>IF(AND(SUM(VLOOKUP($A14,'20Trips'!$A$3:$F$22,2,FALSE),VLOOKUP(V$1,'20Trips'!$A$3:$F$22,2,FALSE))&lt;'20Trips'!$AC$38,$A14&lt;&gt;V$1,feasible_mat!V14=1),SUM(VLOOKUP($A14,'20Trips'!$A$3:$F$22,2,FALSE), VLOOKUP(V$1,'20Trips'!$A$3:$F$22,2,FALSE)),0)</f>
        <v>275</v>
      </c>
      <c r="W14">
        <v>0</v>
      </c>
      <c r="X14">
        <v>0</v>
      </c>
      <c r="Y14">
        <v>0</v>
      </c>
      <c r="Z14">
        <v>0</v>
      </c>
      <c r="AA14">
        <v>0</v>
      </c>
      <c r="AB14">
        <f t="shared" si="0"/>
        <v>12</v>
      </c>
    </row>
    <row r="15" spans="1:28" x14ac:dyDescent="0.25">
      <c r="A15" t="s">
        <v>28</v>
      </c>
      <c r="B15">
        <v>0</v>
      </c>
      <c r="C15">
        <f>IF(AND(SUM(VLOOKUP($A15,'20Trips'!$A$3:$F$22,2,FALSE),VLOOKUP(C$1,'20Trips'!$A$3:$F$22,2,FALSE))&lt;'20Trips'!$AC$38,$A15&lt;&gt;C$1,feasible_mat!C15=1),SUM(VLOOKUP($A15,'20Trips'!$A$3:$F$22,2,FALSE), VLOOKUP(C$1,'20Trips'!$A$3:$F$22,2,FALSE)),0)</f>
        <v>0</v>
      </c>
      <c r="D15">
        <f>IF(AND(SUM(VLOOKUP($A15,'20Trips'!$A$3:$F$22,2,FALSE),VLOOKUP(D$1,'20Trips'!$A$3:$F$22,2,FALSE))&lt;'20Trips'!$AC$38,$A15&lt;&gt;D$1,feasible_mat!D15=1),SUM(VLOOKUP($A15,'20Trips'!$A$3:$F$22,2,FALSE), VLOOKUP(D$1,'20Trips'!$A$3:$F$22,2,FALSE)),0)</f>
        <v>0</v>
      </c>
      <c r="E15">
        <f>IF(AND(SUM(VLOOKUP($A15,'20Trips'!$A$3:$F$22,2,FALSE),VLOOKUP(E$1,'20Trips'!$A$3:$F$22,2,FALSE))&lt;'20Trips'!$AC$38,$A15&lt;&gt;E$1,feasible_mat!E15=1),SUM(VLOOKUP($A15,'20Trips'!$A$3:$F$22,2,FALSE), VLOOKUP(E$1,'20Trips'!$A$3:$F$22,2,FALSE)),0)</f>
        <v>0</v>
      </c>
      <c r="F15">
        <f>IF(AND(SUM(VLOOKUP($A15,'20Trips'!$A$3:$F$22,2,FALSE),VLOOKUP(F$1,'20Trips'!$A$3:$F$22,2,FALSE))&lt;'20Trips'!$AC$38,$A15&lt;&gt;F$1,feasible_mat!F15=1),SUM(VLOOKUP($A15,'20Trips'!$A$3:$F$22,2,FALSE), VLOOKUP(F$1,'20Trips'!$A$3:$F$22,2,FALSE)),0)</f>
        <v>270</v>
      </c>
      <c r="G15">
        <f>IF(AND(SUM(VLOOKUP($A15,'20Trips'!$A$3:$F$22,2,FALSE),VLOOKUP(G$1,'20Trips'!$A$3:$F$22,2,FALSE))&lt;'20Trips'!$AC$38,$A15&lt;&gt;G$1,feasible_mat!G15=1),SUM(VLOOKUP($A15,'20Trips'!$A$3:$F$22,2,FALSE), VLOOKUP(G$1,'20Trips'!$A$3:$F$22,2,FALSE)),0)</f>
        <v>270</v>
      </c>
      <c r="H15">
        <f>IF(AND(SUM(VLOOKUP($A15,'20Trips'!$A$3:$F$22,2,FALSE),VLOOKUP(H$1,'20Trips'!$A$3:$F$22,2,FALSE))&lt;'20Trips'!$AC$38,$A15&lt;&gt;H$1,feasible_mat!H15=1),SUM(VLOOKUP($A15,'20Trips'!$A$3:$F$22,2,FALSE), VLOOKUP(H$1,'20Trips'!$A$3:$F$22,2,FALSE)),0)</f>
        <v>0</v>
      </c>
      <c r="I15">
        <f>IF(AND(SUM(VLOOKUP($A15,'20Trips'!$A$3:$F$22,2,FALSE),VLOOKUP(I$1,'20Trips'!$A$3:$F$22,2,FALSE))&lt;'20Trips'!$AC$38,$A15&lt;&gt;I$1,feasible_mat!I15=1),SUM(VLOOKUP($A15,'20Trips'!$A$3:$F$22,2,FALSE), VLOOKUP(I$1,'20Trips'!$A$3:$F$22,2,FALSE)),0)</f>
        <v>0</v>
      </c>
      <c r="J15">
        <f>IF(AND(SUM(VLOOKUP($A15,'20Trips'!$A$3:$F$22,2,FALSE),VLOOKUP(J$1,'20Trips'!$A$3:$F$22,2,FALSE))&lt;'20Trips'!$AC$38,$A15&lt;&gt;J$1,feasible_mat!J15=1),SUM(VLOOKUP($A15,'20Trips'!$A$3:$F$22,2,FALSE), VLOOKUP(J$1,'20Trips'!$A$3:$F$22,2,FALSE)),0)</f>
        <v>0</v>
      </c>
      <c r="K15">
        <f>IF(AND(SUM(VLOOKUP($A15,'20Trips'!$A$3:$F$22,2,FALSE),VLOOKUP(K$1,'20Trips'!$A$3:$F$22,2,FALSE))&lt;'20Trips'!$AC$38,$A15&lt;&gt;K$1,feasible_mat!K15=1),SUM(VLOOKUP($A15,'20Trips'!$A$3:$F$22,2,FALSE), VLOOKUP(K$1,'20Trips'!$A$3:$F$22,2,FALSE)),0)</f>
        <v>275</v>
      </c>
      <c r="L15">
        <f>IF(AND(SUM(VLOOKUP($A15,'20Trips'!$A$3:$F$22,2,FALSE),VLOOKUP(L$1,'20Trips'!$A$3:$F$22,2,FALSE))&lt;'20Trips'!$AC$38,$A15&lt;&gt;L$1,feasible_mat!L15=1),SUM(VLOOKUP($A15,'20Trips'!$A$3:$F$22,2,FALSE), VLOOKUP(L$1,'20Trips'!$A$3:$F$22,2,FALSE)),0)</f>
        <v>275</v>
      </c>
      <c r="M15">
        <f>IF(AND(SUM(VLOOKUP($A15,'20Trips'!$A$3:$F$22,2,FALSE),VLOOKUP(M$1,'20Trips'!$A$3:$F$22,2,FALSE))&lt;'20Trips'!$AC$38,$A15&lt;&gt;M$1,feasible_mat!M15=1),SUM(VLOOKUP($A15,'20Trips'!$A$3:$F$22,2,FALSE), VLOOKUP(M$1,'20Trips'!$A$3:$F$22,2,FALSE)),0)</f>
        <v>0</v>
      </c>
      <c r="N15">
        <f>IF(AND(SUM(VLOOKUP($A15,'20Trips'!$A$3:$F$22,2,FALSE),VLOOKUP(N$1,'20Trips'!$A$3:$F$22,2,FALSE))&lt;'20Trips'!$AC$38,$A15&lt;&gt;N$1,feasible_mat!N15=1),SUM(VLOOKUP($A15,'20Trips'!$A$3:$F$22,2,FALSE), VLOOKUP(N$1,'20Trips'!$A$3:$F$22,2,FALSE)),0)</f>
        <v>0</v>
      </c>
      <c r="O15">
        <f>IF(AND(SUM(VLOOKUP($A15,'20Trips'!$A$3:$F$22,2,FALSE),VLOOKUP(O$1,'20Trips'!$A$3:$F$22,2,FALSE))&lt;'20Trips'!$AC$38,$A15&lt;&gt;O$1,feasible_mat!O15=1),SUM(VLOOKUP($A15,'20Trips'!$A$3:$F$22,2,FALSE), VLOOKUP(O$1,'20Trips'!$A$3:$F$22,2,FALSE)),0)</f>
        <v>0</v>
      </c>
      <c r="P15">
        <f>IF(AND(SUM(VLOOKUP($A15,'20Trips'!$A$3:$F$22,2,FALSE),VLOOKUP(P$1,'20Trips'!$A$3:$F$22,2,FALSE))&lt;'20Trips'!$AC$38,$A15&lt;&gt;P$1,feasible_mat!P15=1),SUM(VLOOKUP($A15,'20Trips'!$A$3:$F$22,2,FALSE), VLOOKUP(P$1,'20Trips'!$A$3:$F$22,2,FALSE)),0)</f>
        <v>0</v>
      </c>
      <c r="Q15">
        <f>IF(AND(SUM(VLOOKUP($A15,'20Trips'!$A$3:$F$22,2,FALSE),VLOOKUP(Q$1,'20Trips'!$A$3:$F$22,2,FALSE))&lt;'20Trips'!$AC$38,$A15&lt;&gt;Q$1,feasible_mat!Q15=1),SUM(VLOOKUP($A15,'20Trips'!$A$3:$F$22,2,FALSE), VLOOKUP(Q$1,'20Trips'!$A$3:$F$22,2,FALSE)),0)</f>
        <v>270</v>
      </c>
      <c r="R15">
        <f>IF(AND(SUM(VLOOKUP($A15,'20Trips'!$A$3:$F$22,2,FALSE),VLOOKUP(R$1,'20Trips'!$A$3:$F$22,2,FALSE))&lt;'20Trips'!$AC$38,$A15&lt;&gt;R$1,feasible_mat!R15=1),SUM(VLOOKUP($A15,'20Trips'!$A$3:$F$22,2,FALSE), VLOOKUP(R$1,'20Trips'!$A$3:$F$22,2,FALSE)),0)</f>
        <v>0</v>
      </c>
      <c r="S15">
        <f>IF(AND(SUM(VLOOKUP($A15,'20Trips'!$A$3:$F$22,2,FALSE),VLOOKUP(S$1,'20Trips'!$A$3:$F$22,2,FALSE))&lt;'20Trips'!$AC$38,$A15&lt;&gt;S$1,feasible_mat!S15=1),SUM(VLOOKUP($A15,'20Trips'!$A$3:$F$22,2,FALSE), VLOOKUP(S$1,'20Trips'!$A$3:$F$22,2,FALSE)),0)</f>
        <v>0</v>
      </c>
      <c r="T15">
        <f>IF(AND(SUM(VLOOKUP($A15,'20Trips'!$A$3:$F$22,2,FALSE),VLOOKUP(T$1,'20Trips'!$A$3:$F$22,2,FALSE))&lt;'20Trips'!$AC$38,$A15&lt;&gt;T$1,feasible_mat!T15=1),SUM(VLOOKUP($A15,'20Trips'!$A$3:$F$22,2,FALSE), VLOOKUP(T$1,'20Trips'!$A$3:$F$22,2,FALSE)),0)</f>
        <v>0</v>
      </c>
      <c r="U15">
        <f>IF(AND(SUM(VLOOKUP($A15,'20Trips'!$A$3:$F$22,2,FALSE),VLOOKUP(U$1,'20Trips'!$A$3:$F$22,2,FALSE))&lt;'20Trips'!$AC$38,$A15&lt;&gt;U$1,feasible_mat!U15=1),SUM(VLOOKUP($A15,'20Trips'!$A$3:$F$22,2,FALSE), VLOOKUP(U$1,'20Trips'!$A$3:$F$22,2,FALSE)),0)</f>
        <v>275</v>
      </c>
      <c r="V15">
        <f>IF(AND(SUM(VLOOKUP($A15,'20Trips'!$A$3:$F$22,2,FALSE),VLOOKUP(V$1,'20Trips'!$A$3:$F$22,2,FALSE))&lt;'20Trips'!$AC$38,$A15&lt;&gt;V$1,feasible_mat!V15=1),SUM(VLOOKUP($A15,'20Trips'!$A$3:$F$22,2,FALSE), VLOOKUP(V$1,'20Trips'!$A$3:$F$22,2,FALSE)),0)</f>
        <v>275</v>
      </c>
      <c r="W15">
        <v>0</v>
      </c>
      <c r="X15">
        <v>0</v>
      </c>
      <c r="Y15">
        <v>0</v>
      </c>
      <c r="Z15">
        <v>0</v>
      </c>
      <c r="AA15">
        <v>0</v>
      </c>
      <c r="AB15">
        <f t="shared" si="0"/>
        <v>13</v>
      </c>
    </row>
    <row r="16" spans="1:28" x14ac:dyDescent="0.25">
      <c r="A16" t="s">
        <v>29</v>
      </c>
      <c r="B16">
        <v>0</v>
      </c>
      <c r="C16">
        <f>IF(AND(SUM(VLOOKUP($A16,'20Trips'!$A$3:$F$22,2,FALSE),VLOOKUP(C$1,'20Trips'!$A$3:$F$22,2,FALSE))&lt;'20Trips'!$AC$38,$A16&lt;&gt;C$1,feasible_mat!C16=1),SUM(VLOOKUP($A16,'20Trips'!$A$3:$F$22,2,FALSE), VLOOKUP(C$1,'20Trips'!$A$3:$F$22,2,FALSE)),0)</f>
        <v>0</v>
      </c>
      <c r="D16">
        <f>IF(AND(SUM(VLOOKUP($A16,'20Trips'!$A$3:$F$22,2,FALSE),VLOOKUP(D$1,'20Trips'!$A$3:$F$22,2,FALSE))&lt;'20Trips'!$AC$38,$A16&lt;&gt;D$1,feasible_mat!D16=1),SUM(VLOOKUP($A16,'20Trips'!$A$3:$F$22,2,FALSE), VLOOKUP(D$1,'20Trips'!$A$3:$F$22,2,FALSE)),0)</f>
        <v>0</v>
      </c>
      <c r="E16">
        <f>IF(AND(SUM(VLOOKUP($A16,'20Trips'!$A$3:$F$22,2,FALSE),VLOOKUP(E$1,'20Trips'!$A$3:$F$22,2,FALSE))&lt;'20Trips'!$AC$38,$A16&lt;&gt;E$1,feasible_mat!E16=1),SUM(VLOOKUP($A16,'20Trips'!$A$3:$F$22,2,FALSE), VLOOKUP(E$1,'20Trips'!$A$3:$F$22,2,FALSE)),0)</f>
        <v>0</v>
      </c>
      <c r="F16">
        <f>IF(AND(SUM(VLOOKUP($A16,'20Trips'!$A$3:$F$22,2,FALSE),VLOOKUP(F$1,'20Trips'!$A$3:$F$22,2,FALSE))&lt;'20Trips'!$AC$38,$A16&lt;&gt;F$1,feasible_mat!F16=1),SUM(VLOOKUP($A16,'20Trips'!$A$3:$F$22,2,FALSE), VLOOKUP(F$1,'20Trips'!$A$3:$F$22,2,FALSE)),0)</f>
        <v>0</v>
      </c>
      <c r="G16">
        <f>IF(AND(SUM(VLOOKUP($A16,'20Trips'!$A$3:$F$22,2,FALSE),VLOOKUP(G$1,'20Trips'!$A$3:$F$22,2,FALSE))&lt;'20Trips'!$AC$38,$A16&lt;&gt;G$1,feasible_mat!G16=1),SUM(VLOOKUP($A16,'20Trips'!$A$3:$F$22,2,FALSE), VLOOKUP(G$1,'20Trips'!$A$3:$F$22,2,FALSE)),0)</f>
        <v>270</v>
      </c>
      <c r="H16">
        <f>IF(AND(SUM(VLOOKUP($A16,'20Trips'!$A$3:$F$22,2,FALSE),VLOOKUP(H$1,'20Trips'!$A$3:$F$22,2,FALSE))&lt;'20Trips'!$AC$38,$A16&lt;&gt;H$1,feasible_mat!H16=1),SUM(VLOOKUP($A16,'20Trips'!$A$3:$F$22,2,FALSE), VLOOKUP(H$1,'20Trips'!$A$3:$F$22,2,FALSE)),0)</f>
        <v>0</v>
      </c>
      <c r="I16">
        <f>IF(AND(SUM(VLOOKUP($A16,'20Trips'!$A$3:$F$22,2,FALSE),VLOOKUP(I$1,'20Trips'!$A$3:$F$22,2,FALSE))&lt;'20Trips'!$AC$38,$A16&lt;&gt;I$1,feasible_mat!I16=1),SUM(VLOOKUP($A16,'20Trips'!$A$3:$F$22,2,FALSE), VLOOKUP(I$1,'20Trips'!$A$3:$F$22,2,FALSE)),0)</f>
        <v>0</v>
      </c>
      <c r="J16">
        <f>IF(AND(SUM(VLOOKUP($A16,'20Trips'!$A$3:$F$22,2,FALSE),VLOOKUP(J$1,'20Trips'!$A$3:$F$22,2,FALSE))&lt;'20Trips'!$AC$38,$A16&lt;&gt;J$1,feasible_mat!J16=1),SUM(VLOOKUP($A16,'20Trips'!$A$3:$F$22,2,FALSE), VLOOKUP(J$1,'20Trips'!$A$3:$F$22,2,FALSE)),0)</f>
        <v>0</v>
      </c>
      <c r="K16">
        <f>IF(AND(SUM(VLOOKUP($A16,'20Trips'!$A$3:$F$22,2,FALSE),VLOOKUP(K$1,'20Trips'!$A$3:$F$22,2,FALSE))&lt;'20Trips'!$AC$38,$A16&lt;&gt;K$1,feasible_mat!K16=1),SUM(VLOOKUP($A16,'20Trips'!$A$3:$F$22,2,FALSE), VLOOKUP(K$1,'20Trips'!$A$3:$F$22,2,FALSE)),0)</f>
        <v>275</v>
      </c>
      <c r="L16">
        <f>IF(AND(SUM(VLOOKUP($A16,'20Trips'!$A$3:$F$22,2,FALSE),VLOOKUP(L$1,'20Trips'!$A$3:$F$22,2,FALSE))&lt;'20Trips'!$AC$38,$A16&lt;&gt;L$1,feasible_mat!L16=1),SUM(VLOOKUP($A16,'20Trips'!$A$3:$F$22,2,FALSE), VLOOKUP(L$1,'20Trips'!$A$3:$F$22,2,FALSE)),0)</f>
        <v>275</v>
      </c>
      <c r="M16">
        <f>IF(AND(SUM(VLOOKUP($A16,'20Trips'!$A$3:$F$22,2,FALSE),VLOOKUP(M$1,'20Trips'!$A$3:$F$22,2,FALSE))&lt;'20Trips'!$AC$38,$A16&lt;&gt;M$1,feasible_mat!M16=1),SUM(VLOOKUP($A16,'20Trips'!$A$3:$F$22,2,FALSE), VLOOKUP(M$1,'20Trips'!$A$3:$F$22,2,FALSE)),0)</f>
        <v>0</v>
      </c>
      <c r="N16">
        <f>IF(AND(SUM(VLOOKUP($A16,'20Trips'!$A$3:$F$22,2,FALSE),VLOOKUP(N$1,'20Trips'!$A$3:$F$22,2,FALSE))&lt;'20Trips'!$AC$38,$A16&lt;&gt;N$1,feasible_mat!N16=1),SUM(VLOOKUP($A16,'20Trips'!$A$3:$F$22,2,FALSE), VLOOKUP(N$1,'20Trips'!$A$3:$F$22,2,FALSE)),0)</f>
        <v>0</v>
      </c>
      <c r="O16">
        <f>IF(AND(SUM(VLOOKUP($A16,'20Trips'!$A$3:$F$22,2,FALSE),VLOOKUP(O$1,'20Trips'!$A$3:$F$22,2,FALSE))&lt;'20Trips'!$AC$38,$A16&lt;&gt;O$1,feasible_mat!O16=1),SUM(VLOOKUP($A16,'20Trips'!$A$3:$F$22,2,FALSE), VLOOKUP(O$1,'20Trips'!$A$3:$F$22,2,FALSE)),0)</f>
        <v>0</v>
      </c>
      <c r="P16">
        <f>IF(AND(SUM(VLOOKUP($A16,'20Trips'!$A$3:$F$22,2,FALSE),VLOOKUP(P$1,'20Trips'!$A$3:$F$22,2,FALSE))&lt;'20Trips'!$AC$38,$A16&lt;&gt;P$1,feasible_mat!P16=1),SUM(VLOOKUP($A16,'20Trips'!$A$3:$F$22,2,FALSE), VLOOKUP(P$1,'20Trips'!$A$3:$F$22,2,FALSE)),0)</f>
        <v>0</v>
      </c>
      <c r="Q16">
        <f>IF(AND(SUM(VLOOKUP($A16,'20Trips'!$A$3:$F$22,2,FALSE),VLOOKUP(Q$1,'20Trips'!$A$3:$F$22,2,FALSE))&lt;'20Trips'!$AC$38,$A16&lt;&gt;Q$1,feasible_mat!Q16=1),SUM(VLOOKUP($A16,'20Trips'!$A$3:$F$22,2,FALSE), VLOOKUP(Q$1,'20Trips'!$A$3:$F$22,2,FALSE)),0)</f>
        <v>0</v>
      </c>
      <c r="R16">
        <f>IF(AND(SUM(VLOOKUP($A16,'20Trips'!$A$3:$F$22,2,FALSE),VLOOKUP(R$1,'20Trips'!$A$3:$F$22,2,FALSE))&lt;'20Trips'!$AC$38,$A16&lt;&gt;R$1,feasible_mat!R16=1),SUM(VLOOKUP($A16,'20Trips'!$A$3:$F$22,2,FALSE), VLOOKUP(R$1,'20Trips'!$A$3:$F$22,2,FALSE)),0)</f>
        <v>0</v>
      </c>
      <c r="S16">
        <f>IF(AND(SUM(VLOOKUP($A16,'20Trips'!$A$3:$F$22,2,FALSE),VLOOKUP(S$1,'20Trips'!$A$3:$F$22,2,FALSE))&lt;'20Trips'!$AC$38,$A16&lt;&gt;S$1,feasible_mat!S16=1),SUM(VLOOKUP($A16,'20Trips'!$A$3:$F$22,2,FALSE), VLOOKUP(S$1,'20Trips'!$A$3:$F$22,2,FALSE)),0)</f>
        <v>0</v>
      </c>
      <c r="T16">
        <f>IF(AND(SUM(VLOOKUP($A16,'20Trips'!$A$3:$F$22,2,FALSE),VLOOKUP(T$1,'20Trips'!$A$3:$F$22,2,FALSE))&lt;'20Trips'!$AC$38,$A16&lt;&gt;T$1,feasible_mat!T16=1),SUM(VLOOKUP($A16,'20Trips'!$A$3:$F$22,2,FALSE), VLOOKUP(T$1,'20Trips'!$A$3:$F$22,2,FALSE)),0)</f>
        <v>0</v>
      </c>
      <c r="U16">
        <f>IF(AND(SUM(VLOOKUP($A16,'20Trips'!$A$3:$F$22,2,FALSE),VLOOKUP(U$1,'20Trips'!$A$3:$F$22,2,FALSE))&lt;'20Trips'!$AC$38,$A16&lt;&gt;U$1,feasible_mat!U16=1),SUM(VLOOKUP($A16,'20Trips'!$A$3:$F$22,2,FALSE), VLOOKUP(U$1,'20Trips'!$A$3:$F$22,2,FALSE)),0)</f>
        <v>0</v>
      </c>
      <c r="V16">
        <f>IF(AND(SUM(VLOOKUP($A16,'20Trips'!$A$3:$F$22,2,FALSE),VLOOKUP(V$1,'20Trips'!$A$3:$F$22,2,FALSE))&lt;'20Trips'!$AC$38,$A16&lt;&gt;V$1,feasible_mat!V16=1),SUM(VLOOKUP($A16,'20Trips'!$A$3:$F$22,2,FALSE), VLOOKUP(V$1,'20Trips'!$A$3:$F$22,2,FALSE)),0)</f>
        <v>275</v>
      </c>
      <c r="W16">
        <v>0</v>
      </c>
      <c r="X16">
        <v>0</v>
      </c>
      <c r="Y16">
        <v>0</v>
      </c>
      <c r="Z16">
        <v>0</v>
      </c>
      <c r="AA16">
        <v>0</v>
      </c>
      <c r="AB16">
        <f t="shared" si="0"/>
        <v>14</v>
      </c>
    </row>
    <row r="17" spans="1:28" x14ac:dyDescent="0.25">
      <c r="A17" t="s">
        <v>30</v>
      </c>
      <c r="B17">
        <v>0</v>
      </c>
      <c r="C17">
        <f>IF(AND(SUM(VLOOKUP($A17,'20Trips'!$A$3:$F$22,2,FALSE),VLOOKUP(C$1,'20Trips'!$A$3:$F$22,2,FALSE))&lt;'20Trips'!$AC$38,$A17&lt;&gt;C$1,feasible_mat!C17=1),SUM(VLOOKUP($A17,'20Trips'!$A$3:$F$22,2,FALSE), VLOOKUP(C$1,'20Trips'!$A$3:$F$22,2,FALSE)),0)</f>
        <v>0</v>
      </c>
      <c r="D17">
        <f>IF(AND(SUM(VLOOKUP($A17,'20Trips'!$A$3:$F$22,2,FALSE),VLOOKUP(D$1,'20Trips'!$A$3:$F$22,2,FALSE))&lt;'20Trips'!$AC$38,$A17&lt;&gt;D$1,feasible_mat!D17=1),SUM(VLOOKUP($A17,'20Trips'!$A$3:$F$22,2,FALSE), VLOOKUP(D$1,'20Trips'!$A$3:$F$22,2,FALSE)),0)</f>
        <v>0</v>
      </c>
      <c r="E17">
        <f>IF(AND(SUM(VLOOKUP($A17,'20Trips'!$A$3:$F$22,2,FALSE),VLOOKUP(E$1,'20Trips'!$A$3:$F$22,2,FALSE))&lt;'20Trips'!$AC$38,$A17&lt;&gt;E$1,feasible_mat!E17=1),SUM(VLOOKUP($A17,'20Trips'!$A$3:$F$22,2,FALSE), VLOOKUP(E$1,'20Trips'!$A$3:$F$22,2,FALSE)),0)</f>
        <v>0</v>
      </c>
      <c r="F17">
        <f>IF(AND(SUM(VLOOKUP($A17,'20Trips'!$A$3:$F$22,2,FALSE),VLOOKUP(F$1,'20Trips'!$A$3:$F$22,2,FALSE))&lt;'20Trips'!$AC$38,$A17&lt;&gt;F$1,feasible_mat!F17=1),SUM(VLOOKUP($A17,'20Trips'!$A$3:$F$22,2,FALSE), VLOOKUP(F$1,'20Trips'!$A$3:$F$22,2,FALSE)),0)</f>
        <v>0</v>
      </c>
      <c r="G17">
        <f>IF(AND(SUM(VLOOKUP($A17,'20Trips'!$A$3:$F$22,2,FALSE),VLOOKUP(G$1,'20Trips'!$A$3:$F$22,2,FALSE))&lt;'20Trips'!$AC$38,$A17&lt;&gt;G$1,feasible_mat!G17=1),SUM(VLOOKUP($A17,'20Trips'!$A$3:$F$22,2,FALSE), VLOOKUP(G$1,'20Trips'!$A$3:$F$22,2,FALSE)),0)</f>
        <v>0</v>
      </c>
      <c r="H17">
        <f>IF(AND(SUM(VLOOKUP($A17,'20Trips'!$A$3:$F$22,2,FALSE),VLOOKUP(H$1,'20Trips'!$A$3:$F$22,2,FALSE))&lt;'20Trips'!$AC$38,$A17&lt;&gt;H$1,feasible_mat!H17=1),SUM(VLOOKUP($A17,'20Trips'!$A$3:$F$22,2,FALSE), VLOOKUP(H$1,'20Trips'!$A$3:$F$22,2,FALSE)),0)</f>
        <v>0</v>
      </c>
      <c r="I17">
        <f>IF(AND(SUM(VLOOKUP($A17,'20Trips'!$A$3:$F$22,2,FALSE),VLOOKUP(I$1,'20Trips'!$A$3:$F$22,2,FALSE))&lt;'20Trips'!$AC$38,$A17&lt;&gt;I$1,feasible_mat!I17=1),SUM(VLOOKUP($A17,'20Trips'!$A$3:$F$22,2,FALSE), VLOOKUP(I$1,'20Trips'!$A$3:$F$22,2,FALSE)),0)</f>
        <v>0</v>
      </c>
      <c r="J17">
        <f>IF(AND(SUM(VLOOKUP($A17,'20Trips'!$A$3:$F$22,2,FALSE),VLOOKUP(J$1,'20Trips'!$A$3:$F$22,2,FALSE))&lt;'20Trips'!$AC$38,$A17&lt;&gt;J$1,feasible_mat!J17=1),SUM(VLOOKUP($A17,'20Trips'!$A$3:$F$22,2,FALSE), VLOOKUP(J$1,'20Trips'!$A$3:$F$22,2,FALSE)),0)</f>
        <v>0</v>
      </c>
      <c r="K17">
        <f>IF(AND(SUM(VLOOKUP($A17,'20Trips'!$A$3:$F$22,2,FALSE),VLOOKUP(K$1,'20Trips'!$A$3:$F$22,2,FALSE))&lt;'20Trips'!$AC$38,$A17&lt;&gt;K$1,feasible_mat!K17=1),SUM(VLOOKUP($A17,'20Trips'!$A$3:$F$22,2,FALSE), VLOOKUP(K$1,'20Trips'!$A$3:$F$22,2,FALSE)),0)</f>
        <v>275</v>
      </c>
      <c r="L17">
        <f>IF(AND(SUM(VLOOKUP($A17,'20Trips'!$A$3:$F$22,2,FALSE),VLOOKUP(L$1,'20Trips'!$A$3:$F$22,2,FALSE))&lt;'20Trips'!$AC$38,$A17&lt;&gt;L$1,feasible_mat!L17=1),SUM(VLOOKUP($A17,'20Trips'!$A$3:$F$22,2,FALSE), VLOOKUP(L$1,'20Trips'!$A$3:$F$22,2,FALSE)),0)</f>
        <v>275</v>
      </c>
      <c r="M17">
        <f>IF(AND(SUM(VLOOKUP($A17,'20Trips'!$A$3:$F$22,2,FALSE),VLOOKUP(M$1,'20Trips'!$A$3:$F$22,2,FALSE))&lt;'20Trips'!$AC$38,$A17&lt;&gt;M$1,feasible_mat!M17=1),SUM(VLOOKUP($A17,'20Trips'!$A$3:$F$22,2,FALSE), VLOOKUP(M$1,'20Trips'!$A$3:$F$22,2,FALSE)),0)</f>
        <v>0</v>
      </c>
      <c r="N17">
        <f>IF(AND(SUM(VLOOKUP($A17,'20Trips'!$A$3:$F$22,2,FALSE),VLOOKUP(N$1,'20Trips'!$A$3:$F$22,2,FALSE))&lt;'20Trips'!$AC$38,$A17&lt;&gt;N$1,feasible_mat!N17=1),SUM(VLOOKUP($A17,'20Trips'!$A$3:$F$22,2,FALSE), VLOOKUP(N$1,'20Trips'!$A$3:$F$22,2,FALSE)),0)</f>
        <v>0</v>
      </c>
      <c r="O17">
        <f>IF(AND(SUM(VLOOKUP($A17,'20Trips'!$A$3:$F$22,2,FALSE),VLOOKUP(O$1,'20Trips'!$A$3:$F$22,2,FALSE))&lt;'20Trips'!$AC$38,$A17&lt;&gt;O$1,feasible_mat!O17=1),SUM(VLOOKUP($A17,'20Trips'!$A$3:$F$22,2,FALSE), VLOOKUP(O$1,'20Trips'!$A$3:$F$22,2,FALSE)),0)</f>
        <v>0</v>
      </c>
      <c r="P17">
        <f>IF(AND(SUM(VLOOKUP($A17,'20Trips'!$A$3:$F$22,2,FALSE),VLOOKUP(P$1,'20Trips'!$A$3:$F$22,2,FALSE))&lt;'20Trips'!$AC$38,$A17&lt;&gt;P$1,feasible_mat!P17=1),SUM(VLOOKUP($A17,'20Trips'!$A$3:$F$22,2,FALSE), VLOOKUP(P$1,'20Trips'!$A$3:$F$22,2,FALSE)),0)</f>
        <v>0</v>
      </c>
      <c r="Q17">
        <f>IF(AND(SUM(VLOOKUP($A17,'20Trips'!$A$3:$F$22,2,FALSE),VLOOKUP(Q$1,'20Trips'!$A$3:$F$22,2,FALSE))&lt;'20Trips'!$AC$38,$A17&lt;&gt;Q$1,feasible_mat!Q17=1),SUM(VLOOKUP($A17,'20Trips'!$A$3:$F$22,2,FALSE), VLOOKUP(Q$1,'20Trips'!$A$3:$F$22,2,FALSE)),0)</f>
        <v>0</v>
      </c>
      <c r="R17">
        <f>IF(AND(SUM(VLOOKUP($A17,'20Trips'!$A$3:$F$22,2,FALSE),VLOOKUP(R$1,'20Trips'!$A$3:$F$22,2,FALSE))&lt;'20Trips'!$AC$38,$A17&lt;&gt;R$1,feasible_mat!R17=1),SUM(VLOOKUP($A17,'20Trips'!$A$3:$F$22,2,FALSE), VLOOKUP(R$1,'20Trips'!$A$3:$F$22,2,FALSE)),0)</f>
        <v>0</v>
      </c>
      <c r="S17">
        <f>IF(AND(SUM(VLOOKUP($A17,'20Trips'!$A$3:$F$22,2,FALSE),VLOOKUP(S$1,'20Trips'!$A$3:$F$22,2,FALSE))&lt;'20Trips'!$AC$38,$A17&lt;&gt;S$1,feasible_mat!S17=1),SUM(VLOOKUP($A17,'20Trips'!$A$3:$F$22,2,FALSE), VLOOKUP(S$1,'20Trips'!$A$3:$F$22,2,FALSE)),0)</f>
        <v>0</v>
      </c>
      <c r="T17">
        <f>IF(AND(SUM(VLOOKUP($A17,'20Trips'!$A$3:$F$22,2,FALSE),VLOOKUP(T$1,'20Trips'!$A$3:$F$22,2,FALSE))&lt;'20Trips'!$AC$38,$A17&lt;&gt;T$1,feasible_mat!T17=1),SUM(VLOOKUP($A17,'20Trips'!$A$3:$F$22,2,FALSE), VLOOKUP(T$1,'20Trips'!$A$3:$F$22,2,FALSE)),0)</f>
        <v>0</v>
      </c>
      <c r="U17">
        <f>IF(AND(SUM(VLOOKUP($A17,'20Trips'!$A$3:$F$22,2,FALSE),VLOOKUP(U$1,'20Trips'!$A$3:$F$22,2,FALSE))&lt;'20Trips'!$AC$38,$A17&lt;&gt;U$1,feasible_mat!U17=1),SUM(VLOOKUP($A17,'20Trips'!$A$3:$F$22,2,FALSE), VLOOKUP(U$1,'20Trips'!$A$3:$F$22,2,FALSE)),0)</f>
        <v>0</v>
      </c>
      <c r="V17">
        <f>IF(AND(SUM(VLOOKUP($A17,'20Trips'!$A$3:$F$22,2,FALSE),VLOOKUP(V$1,'20Trips'!$A$3:$F$22,2,FALSE))&lt;'20Trips'!$AC$38,$A17&lt;&gt;V$1,feasible_mat!V17=1),SUM(VLOOKUP($A17,'20Trips'!$A$3:$F$22,2,FALSE), VLOOKUP(V$1,'20Trips'!$A$3:$F$22,2,FALSE)),0)</f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15</v>
      </c>
    </row>
    <row r="18" spans="1:28" x14ac:dyDescent="0.25">
      <c r="A18" t="s">
        <v>34</v>
      </c>
      <c r="B18">
        <v>0</v>
      </c>
      <c r="C18">
        <f>IF(AND(SUM(VLOOKUP($A18,'20Trips'!$A$3:$F$22,2,FALSE),VLOOKUP(C$1,'20Trips'!$A$3:$F$22,2,FALSE))&lt;'20Trips'!$AC$38,$A18&lt;&gt;C$1,feasible_mat!C18=1),SUM(VLOOKUP($A18,'20Trips'!$A$3:$F$22,2,FALSE), VLOOKUP(C$1,'20Trips'!$A$3:$F$22,2,FALSE)),0)</f>
        <v>0</v>
      </c>
      <c r="D18">
        <f>IF(AND(SUM(VLOOKUP($A18,'20Trips'!$A$3:$F$22,2,FALSE),VLOOKUP(D$1,'20Trips'!$A$3:$F$22,2,FALSE))&lt;'20Trips'!$AC$38,$A18&lt;&gt;D$1,feasible_mat!D18=1),SUM(VLOOKUP($A18,'20Trips'!$A$3:$F$22,2,FALSE), VLOOKUP(D$1,'20Trips'!$A$3:$F$22,2,FALSE)),0)</f>
        <v>275</v>
      </c>
      <c r="E18">
        <f>IF(AND(SUM(VLOOKUP($A18,'20Trips'!$A$3:$F$22,2,FALSE),VLOOKUP(E$1,'20Trips'!$A$3:$F$22,2,FALSE))&lt;'20Trips'!$AC$38,$A18&lt;&gt;E$1,feasible_mat!E18=1),SUM(VLOOKUP($A18,'20Trips'!$A$3:$F$22,2,FALSE), VLOOKUP(E$1,'20Trips'!$A$3:$F$22,2,FALSE)),0)</f>
        <v>275</v>
      </c>
      <c r="F18">
        <f>IF(AND(SUM(VLOOKUP($A18,'20Trips'!$A$3:$F$22,2,FALSE),VLOOKUP(F$1,'20Trips'!$A$3:$F$22,2,FALSE))&lt;'20Trips'!$AC$38,$A18&lt;&gt;F$1,feasible_mat!F18=1),SUM(VLOOKUP($A18,'20Trips'!$A$3:$F$22,2,FALSE), VLOOKUP(F$1,'20Trips'!$A$3:$F$22,2,FALSE)),0)</f>
        <v>275</v>
      </c>
      <c r="G18">
        <f>IF(AND(SUM(VLOOKUP($A18,'20Trips'!$A$3:$F$22,2,FALSE),VLOOKUP(G$1,'20Trips'!$A$3:$F$22,2,FALSE))&lt;'20Trips'!$AC$38,$A18&lt;&gt;G$1,feasible_mat!G18=1),SUM(VLOOKUP($A18,'20Trips'!$A$3:$F$22,2,FALSE), VLOOKUP(G$1,'20Trips'!$A$3:$F$22,2,FALSE)),0)</f>
        <v>275</v>
      </c>
      <c r="H18">
        <f>IF(AND(SUM(VLOOKUP($A18,'20Trips'!$A$3:$F$22,2,FALSE),VLOOKUP(H$1,'20Trips'!$A$3:$F$22,2,FALSE))&lt;'20Trips'!$AC$38,$A18&lt;&gt;H$1,feasible_mat!H18=1),SUM(VLOOKUP($A18,'20Trips'!$A$3:$F$22,2,FALSE), VLOOKUP(H$1,'20Trips'!$A$3:$F$22,2,FALSE)),0)</f>
        <v>0</v>
      </c>
      <c r="I18">
        <f>IF(AND(SUM(VLOOKUP($A18,'20Trips'!$A$3:$F$22,2,FALSE),VLOOKUP(I$1,'20Trips'!$A$3:$F$22,2,FALSE))&lt;'20Trips'!$AC$38,$A18&lt;&gt;I$1,feasible_mat!I18=1),SUM(VLOOKUP($A18,'20Trips'!$A$3:$F$22,2,FALSE), VLOOKUP(I$1,'20Trips'!$A$3:$F$22,2,FALSE)),0)</f>
        <v>0</v>
      </c>
      <c r="J18">
        <f>IF(AND(SUM(VLOOKUP($A18,'20Trips'!$A$3:$F$22,2,FALSE),VLOOKUP(J$1,'20Trips'!$A$3:$F$22,2,FALSE))&lt;'20Trips'!$AC$38,$A18&lt;&gt;J$1,feasible_mat!J18=1),SUM(VLOOKUP($A18,'20Trips'!$A$3:$F$22,2,FALSE), VLOOKUP(J$1,'20Trips'!$A$3:$F$22,2,FALSE)),0)</f>
        <v>280</v>
      </c>
      <c r="K18">
        <f>IF(AND(SUM(VLOOKUP($A18,'20Trips'!$A$3:$F$22,2,FALSE),VLOOKUP(K$1,'20Trips'!$A$3:$F$22,2,FALSE))&lt;'20Trips'!$AC$38,$A18&lt;&gt;K$1,feasible_mat!K18=1),SUM(VLOOKUP($A18,'20Trips'!$A$3:$F$22,2,FALSE), VLOOKUP(K$1,'20Trips'!$A$3:$F$22,2,FALSE)),0)</f>
        <v>280</v>
      </c>
      <c r="L18">
        <f>IF(AND(SUM(VLOOKUP($A18,'20Trips'!$A$3:$F$22,2,FALSE),VLOOKUP(L$1,'20Trips'!$A$3:$F$22,2,FALSE))&lt;'20Trips'!$AC$38,$A18&lt;&gt;L$1,feasible_mat!L18=1),SUM(VLOOKUP($A18,'20Trips'!$A$3:$F$22,2,FALSE), VLOOKUP(L$1,'20Trips'!$A$3:$F$22,2,FALSE)),0)</f>
        <v>280</v>
      </c>
      <c r="M18">
        <f>IF(AND(SUM(VLOOKUP($A18,'20Trips'!$A$3:$F$22,2,FALSE),VLOOKUP(M$1,'20Trips'!$A$3:$F$22,2,FALSE))&lt;'20Trips'!$AC$38,$A18&lt;&gt;M$1,feasible_mat!M18=1),SUM(VLOOKUP($A18,'20Trips'!$A$3:$F$22,2,FALSE), VLOOKUP(M$1,'20Trips'!$A$3:$F$22,2,FALSE)),0)</f>
        <v>0</v>
      </c>
      <c r="N18">
        <f>IF(AND(SUM(VLOOKUP($A18,'20Trips'!$A$3:$F$22,2,FALSE),VLOOKUP(N$1,'20Trips'!$A$3:$F$22,2,FALSE))&lt;'20Trips'!$AC$38,$A18&lt;&gt;N$1,feasible_mat!N18=1),SUM(VLOOKUP($A18,'20Trips'!$A$3:$F$22,2,FALSE), VLOOKUP(N$1,'20Trips'!$A$3:$F$22,2,FALSE)),0)</f>
        <v>0</v>
      </c>
      <c r="O18">
        <f>IF(AND(SUM(VLOOKUP($A18,'20Trips'!$A$3:$F$22,2,FALSE),VLOOKUP(O$1,'20Trips'!$A$3:$F$22,2,FALSE))&lt;'20Trips'!$AC$38,$A18&lt;&gt;O$1,feasible_mat!O18=1),SUM(VLOOKUP($A18,'20Trips'!$A$3:$F$22,2,FALSE), VLOOKUP(O$1,'20Trips'!$A$3:$F$22,2,FALSE)),0)</f>
        <v>0</v>
      </c>
      <c r="P18">
        <f>IF(AND(SUM(VLOOKUP($A18,'20Trips'!$A$3:$F$22,2,FALSE),VLOOKUP(P$1,'20Trips'!$A$3:$F$22,2,FALSE))&lt;'20Trips'!$AC$38,$A18&lt;&gt;P$1,feasible_mat!P18=1),SUM(VLOOKUP($A18,'20Trips'!$A$3:$F$22,2,FALSE), VLOOKUP(P$1,'20Trips'!$A$3:$F$22,2,FALSE)),0)</f>
        <v>275</v>
      </c>
      <c r="Q18">
        <f>IF(AND(SUM(VLOOKUP($A18,'20Trips'!$A$3:$F$22,2,FALSE),VLOOKUP(Q$1,'20Trips'!$A$3:$F$22,2,FALSE))&lt;'20Trips'!$AC$38,$A18&lt;&gt;Q$1,feasible_mat!Q18=1),SUM(VLOOKUP($A18,'20Trips'!$A$3:$F$22,2,FALSE), VLOOKUP(Q$1,'20Trips'!$A$3:$F$22,2,FALSE)),0)</f>
        <v>275</v>
      </c>
      <c r="R18">
        <f>IF(AND(SUM(VLOOKUP($A18,'20Trips'!$A$3:$F$22,2,FALSE),VLOOKUP(R$1,'20Trips'!$A$3:$F$22,2,FALSE))&lt;'20Trips'!$AC$38,$A18&lt;&gt;R$1,feasible_mat!R18=1),SUM(VLOOKUP($A18,'20Trips'!$A$3:$F$22,2,FALSE), VLOOKUP(R$1,'20Trips'!$A$3:$F$22,2,FALSE)),0)</f>
        <v>0</v>
      </c>
      <c r="S18">
        <f>IF(AND(SUM(VLOOKUP($A18,'20Trips'!$A$3:$F$22,2,FALSE),VLOOKUP(S$1,'20Trips'!$A$3:$F$22,2,FALSE))&lt;'20Trips'!$AC$38,$A18&lt;&gt;S$1,feasible_mat!S18=1),SUM(VLOOKUP($A18,'20Trips'!$A$3:$F$22,2,FALSE), VLOOKUP(S$1,'20Trips'!$A$3:$F$22,2,FALSE)),0)</f>
        <v>280</v>
      </c>
      <c r="T18">
        <f>IF(AND(SUM(VLOOKUP($A18,'20Trips'!$A$3:$F$22,2,FALSE),VLOOKUP(T$1,'20Trips'!$A$3:$F$22,2,FALSE))&lt;'20Trips'!$AC$38,$A18&lt;&gt;T$1,feasible_mat!T18=1),SUM(VLOOKUP($A18,'20Trips'!$A$3:$F$22,2,FALSE), VLOOKUP(T$1,'20Trips'!$A$3:$F$22,2,FALSE)),0)</f>
        <v>280</v>
      </c>
      <c r="U18">
        <f>IF(AND(SUM(VLOOKUP($A18,'20Trips'!$A$3:$F$22,2,FALSE),VLOOKUP(U$1,'20Trips'!$A$3:$F$22,2,FALSE))&lt;'20Trips'!$AC$38,$A18&lt;&gt;U$1,feasible_mat!U18=1),SUM(VLOOKUP($A18,'20Trips'!$A$3:$F$22,2,FALSE), VLOOKUP(U$1,'20Trips'!$A$3:$F$22,2,FALSE)),0)</f>
        <v>280</v>
      </c>
      <c r="V18">
        <f>IF(AND(SUM(VLOOKUP($A18,'20Trips'!$A$3:$F$22,2,FALSE),VLOOKUP(V$1,'20Trips'!$A$3:$F$22,2,FALSE))&lt;'20Trips'!$AC$38,$A18&lt;&gt;V$1,feasible_mat!V18=1),SUM(VLOOKUP($A18,'20Trips'!$A$3:$F$22,2,FALSE), VLOOKUP(V$1,'20Trips'!$A$3:$F$22,2,FALSE)),0)</f>
        <v>280</v>
      </c>
      <c r="W18">
        <v>0</v>
      </c>
      <c r="X18">
        <v>0</v>
      </c>
      <c r="Y18">
        <v>0</v>
      </c>
      <c r="Z18">
        <v>0</v>
      </c>
      <c r="AA18">
        <v>0</v>
      </c>
      <c r="AB18">
        <f t="shared" si="0"/>
        <v>16</v>
      </c>
    </row>
    <row r="19" spans="1:28" x14ac:dyDescent="0.25">
      <c r="A19" t="s">
        <v>35</v>
      </c>
      <c r="B19">
        <v>0</v>
      </c>
      <c r="C19">
        <f>IF(AND(SUM(VLOOKUP($A19,'20Trips'!$A$3:$F$22,2,FALSE),VLOOKUP(C$1,'20Trips'!$A$3:$F$22,2,FALSE))&lt;'20Trips'!$AC$38,$A19&lt;&gt;C$1,feasible_mat!C19=1),SUM(VLOOKUP($A19,'20Trips'!$A$3:$F$22,2,FALSE), VLOOKUP(C$1,'20Trips'!$A$3:$F$22,2,FALSE)),0)</f>
        <v>0</v>
      </c>
      <c r="D19">
        <f>IF(AND(SUM(VLOOKUP($A19,'20Trips'!$A$3:$F$22,2,FALSE),VLOOKUP(D$1,'20Trips'!$A$3:$F$22,2,FALSE))&lt;'20Trips'!$AC$38,$A19&lt;&gt;D$1,feasible_mat!D19=1),SUM(VLOOKUP($A19,'20Trips'!$A$3:$F$22,2,FALSE), VLOOKUP(D$1,'20Trips'!$A$3:$F$22,2,FALSE)),0)</f>
        <v>0</v>
      </c>
      <c r="E19">
        <f>IF(AND(SUM(VLOOKUP($A19,'20Trips'!$A$3:$F$22,2,FALSE),VLOOKUP(E$1,'20Trips'!$A$3:$F$22,2,FALSE))&lt;'20Trips'!$AC$38,$A19&lt;&gt;E$1,feasible_mat!E19=1),SUM(VLOOKUP($A19,'20Trips'!$A$3:$F$22,2,FALSE), VLOOKUP(E$1,'20Trips'!$A$3:$F$22,2,FALSE)),0)</f>
        <v>0</v>
      </c>
      <c r="F19">
        <f>IF(AND(SUM(VLOOKUP($A19,'20Trips'!$A$3:$F$22,2,FALSE),VLOOKUP(F$1,'20Trips'!$A$3:$F$22,2,FALSE))&lt;'20Trips'!$AC$38,$A19&lt;&gt;F$1,feasible_mat!F19=1),SUM(VLOOKUP($A19,'20Trips'!$A$3:$F$22,2,FALSE), VLOOKUP(F$1,'20Trips'!$A$3:$F$22,2,FALSE)),0)</f>
        <v>275</v>
      </c>
      <c r="G19">
        <f>IF(AND(SUM(VLOOKUP($A19,'20Trips'!$A$3:$F$22,2,FALSE),VLOOKUP(G$1,'20Trips'!$A$3:$F$22,2,FALSE))&lt;'20Trips'!$AC$38,$A19&lt;&gt;G$1,feasible_mat!G19=1),SUM(VLOOKUP($A19,'20Trips'!$A$3:$F$22,2,FALSE), VLOOKUP(G$1,'20Trips'!$A$3:$F$22,2,FALSE)),0)</f>
        <v>275</v>
      </c>
      <c r="H19">
        <f>IF(AND(SUM(VLOOKUP($A19,'20Trips'!$A$3:$F$22,2,FALSE),VLOOKUP(H$1,'20Trips'!$A$3:$F$22,2,FALSE))&lt;'20Trips'!$AC$38,$A19&lt;&gt;H$1,feasible_mat!H19=1),SUM(VLOOKUP($A19,'20Trips'!$A$3:$F$22,2,FALSE), VLOOKUP(H$1,'20Trips'!$A$3:$F$22,2,FALSE)),0)</f>
        <v>0</v>
      </c>
      <c r="I19">
        <f>IF(AND(SUM(VLOOKUP($A19,'20Trips'!$A$3:$F$22,2,FALSE),VLOOKUP(I$1,'20Trips'!$A$3:$F$22,2,FALSE))&lt;'20Trips'!$AC$38,$A19&lt;&gt;I$1,feasible_mat!I19=1),SUM(VLOOKUP($A19,'20Trips'!$A$3:$F$22,2,FALSE), VLOOKUP(I$1,'20Trips'!$A$3:$F$22,2,FALSE)),0)</f>
        <v>0</v>
      </c>
      <c r="J19">
        <f>IF(AND(SUM(VLOOKUP($A19,'20Trips'!$A$3:$F$22,2,FALSE),VLOOKUP(J$1,'20Trips'!$A$3:$F$22,2,FALSE))&lt;'20Trips'!$AC$38,$A19&lt;&gt;J$1,feasible_mat!J19=1),SUM(VLOOKUP($A19,'20Trips'!$A$3:$F$22,2,FALSE), VLOOKUP(J$1,'20Trips'!$A$3:$F$22,2,FALSE)),0)</f>
        <v>0</v>
      </c>
      <c r="K19">
        <f>IF(AND(SUM(VLOOKUP($A19,'20Trips'!$A$3:$F$22,2,FALSE),VLOOKUP(K$1,'20Trips'!$A$3:$F$22,2,FALSE))&lt;'20Trips'!$AC$38,$A19&lt;&gt;K$1,feasible_mat!K19=1),SUM(VLOOKUP($A19,'20Trips'!$A$3:$F$22,2,FALSE), VLOOKUP(K$1,'20Trips'!$A$3:$F$22,2,FALSE)),0)</f>
        <v>280</v>
      </c>
      <c r="L19">
        <f>IF(AND(SUM(VLOOKUP($A19,'20Trips'!$A$3:$F$22,2,FALSE),VLOOKUP(L$1,'20Trips'!$A$3:$F$22,2,FALSE))&lt;'20Trips'!$AC$38,$A19&lt;&gt;L$1,feasible_mat!L19=1),SUM(VLOOKUP($A19,'20Trips'!$A$3:$F$22,2,FALSE), VLOOKUP(L$1,'20Trips'!$A$3:$F$22,2,FALSE)),0)</f>
        <v>280</v>
      </c>
      <c r="M19">
        <f>IF(AND(SUM(VLOOKUP($A19,'20Trips'!$A$3:$F$22,2,FALSE),VLOOKUP(M$1,'20Trips'!$A$3:$F$22,2,FALSE))&lt;'20Trips'!$AC$38,$A19&lt;&gt;M$1,feasible_mat!M19=1),SUM(VLOOKUP($A19,'20Trips'!$A$3:$F$22,2,FALSE), VLOOKUP(M$1,'20Trips'!$A$3:$F$22,2,FALSE)),0)</f>
        <v>0</v>
      </c>
      <c r="N19">
        <f>IF(AND(SUM(VLOOKUP($A19,'20Trips'!$A$3:$F$22,2,FALSE),VLOOKUP(N$1,'20Trips'!$A$3:$F$22,2,FALSE))&lt;'20Trips'!$AC$38,$A19&lt;&gt;N$1,feasible_mat!N19=1),SUM(VLOOKUP($A19,'20Trips'!$A$3:$F$22,2,FALSE), VLOOKUP(N$1,'20Trips'!$A$3:$F$22,2,FALSE)),0)</f>
        <v>0</v>
      </c>
      <c r="O19">
        <f>IF(AND(SUM(VLOOKUP($A19,'20Trips'!$A$3:$F$22,2,FALSE),VLOOKUP(O$1,'20Trips'!$A$3:$F$22,2,FALSE))&lt;'20Trips'!$AC$38,$A19&lt;&gt;O$1,feasible_mat!O19=1),SUM(VLOOKUP($A19,'20Trips'!$A$3:$F$22,2,FALSE), VLOOKUP(O$1,'20Trips'!$A$3:$F$22,2,FALSE)),0)</f>
        <v>0</v>
      </c>
      <c r="P19">
        <f>IF(AND(SUM(VLOOKUP($A19,'20Trips'!$A$3:$F$22,2,FALSE),VLOOKUP(P$1,'20Trips'!$A$3:$F$22,2,FALSE))&lt;'20Trips'!$AC$38,$A19&lt;&gt;P$1,feasible_mat!P19=1),SUM(VLOOKUP($A19,'20Trips'!$A$3:$F$22,2,FALSE), VLOOKUP(P$1,'20Trips'!$A$3:$F$22,2,FALSE)),0)</f>
        <v>0</v>
      </c>
      <c r="Q19">
        <f>IF(AND(SUM(VLOOKUP($A19,'20Trips'!$A$3:$F$22,2,FALSE),VLOOKUP(Q$1,'20Trips'!$A$3:$F$22,2,FALSE))&lt;'20Trips'!$AC$38,$A19&lt;&gt;Q$1,feasible_mat!Q19=1),SUM(VLOOKUP($A19,'20Trips'!$A$3:$F$22,2,FALSE), VLOOKUP(Q$1,'20Trips'!$A$3:$F$22,2,FALSE)),0)</f>
        <v>275</v>
      </c>
      <c r="R19">
        <f>IF(AND(SUM(VLOOKUP($A19,'20Trips'!$A$3:$F$22,2,FALSE),VLOOKUP(R$1,'20Trips'!$A$3:$F$22,2,FALSE))&lt;'20Trips'!$AC$38,$A19&lt;&gt;R$1,feasible_mat!R19=1),SUM(VLOOKUP($A19,'20Trips'!$A$3:$F$22,2,FALSE), VLOOKUP(R$1,'20Trips'!$A$3:$F$22,2,FALSE)),0)</f>
        <v>0</v>
      </c>
      <c r="S19">
        <f>IF(AND(SUM(VLOOKUP($A19,'20Trips'!$A$3:$F$22,2,FALSE),VLOOKUP(S$1,'20Trips'!$A$3:$F$22,2,FALSE))&lt;'20Trips'!$AC$38,$A19&lt;&gt;S$1,feasible_mat!S19=1),SUM(VLOOKUP($A19,'20Trips'!$A$3:$F$22,2,FALSE), VLOOKUP(S$1,'20Trips'!$A$3:$F$22,2,FALSE)),0)</f>
        <v>0</v>
      </c>
      <c r="T19">
        <f>IF(AND(SUM(VLOOKUP($A19,'20Trips'!$A$3:$F$22,2,FALSE),VLOOKUP(T$1,'20Trips'!$A$3:$F$22,2,FALSE))&lt;'20Trips'!$AC$38,$A19&lt;&gt;T$1,feasible_mat!T19=1),SUM(VLOOKUP($A19,'20Trips'!$A$3:$F$22,2,FALSE), VLOOKUP(T$1,'20Trips'!$A$3:$F$22,2,FALSE)),0)</f>
        <v>0</v>
      </c>
      <c r="U19">
        <f>IF(AND(SUM(VLOOKUP($A19,'20Trips'!$A$3:$F$22,2,FALSE),VLOOKUP(U$1,'20Trips'!$A$3:$F$22,2,FALSE))&lt;'20Trips'!$AC$38,$A19&lt;&gt;U$1,feasible_mat!U19=1),SUM(VLOOKUP($A19,'20Trips'!$A$3:$F$22,2,FALSE), VLOOKUP(U$1,'20Trips'!$A$3:$F$22,2,FALSE)),0)</f>
        <v>280</v>
      </c>
      <c r="V19">
        <f>IF(AND(SUM(VLOOKUP($A19,'20Trips'!$A$3:$F$22,2,FALSE),VLOOKUP(V$1,'20Trips'!$A$3:$F$22,2,FALSE))&lt;'20Trips'!$AC$38,$A19&lt;&gt;V$1,feasible_mat!V19=1),SUM(VLOOKUP($A19,'20Trips'!$A$3:$F$22,2,FALSE), VLOOKUP(V$1,'20Trips'!$A$3:$F$22,2,FALSE)),0)</f>
        <v>280</v>
      </c>
      <c r="W19">
        <v>0</v>
      </c>
      <c r="X19">
        <v>0</v>
      </c>
      <c r="Y19">
        <v>0</v>
      </c>
      <c r="Z19">
        <v>0</v>
      </c>
      <c r="AA19">
        <v>0</v>
      </c>
      <c r="AB19">
        <f t="shared" si="0"/>
        <v>17</v>
      </c>
    </row>
    <row r="20" spans="1:28" x14ac:dyDescent="0.25">
      <c r="A20" t="s">
        <v>36</v>
      </c>
      <c r="B20">
        <v>0</v>
      </c>
      <c r="C20">
        <f>IF(AND(SUM(VLOOKUP($A20,'20Trips'!$A$3:$F$22,2,FALSE),VLOOKUP(C$1,'20Trips'!$A$3:$F$22,2,FALSE))&lt;'20Trips'!$AC$38,$A20&lt;&gt;C$1,feasible_mat!C20=1),SUM(VLOOKUP($A20,'20Trips'!$A$3:$F$22,2,FALSE), VLOOKUP(C$1,'20Trips'!$A$3:$F$22,2,FALSE)),0)</f>
        <v>0</v>
      </c>
      <c r="D20">
        <f>IF(AND(SUM(VLOOKUP($A20,'20Trips'!$A$3:$F$22,2,FALSE),VLOOKUP(D$1,'20Trips'!$A$3:$F$22,2,FALSE))&lt;'20Trips'!$AC$38,$A20&lt;&gt;D$1,feasible_mat!D20=1),SUM(VLOOKUP($A20,'20Trips'!$A$3:$F$22,2,FALSE), VLOOKUP(D$1,'20Trips'!$A$3:$F$22,2,FALSE)),0)</f>
        <v>0</v>
      </c>
      <c r="E20">
        <f>IF(AND(SUM(VLOOKUP($A20,'20Trips'!$A$3:$F$22,2,FALSE),VLOOKUP(E$1,'20Trips'!$A$3:$F$22,2,FALSE))&lt;'20Trips'!$AC$38,$A20&lt;&gt;E$1,feasible_mat!E20=1),SUM(VLOOKUP($A20,'20Trips'!$A$3:$F$22,2,FALSE), VLOOKUP(E$1,'20Trips'!$A$3:$F$22,2,FALSE)),0)</f>
        <v>0</v>
      </c>
      <c r="F20">
        <f>IF(AND(SUM(VLOOKUP($A20,'20Trips'!$A$3:$F$22,2,FALSE),VLOOKUP(F$1,'20Trips'!$A$3:$F$22,2,FALSE))&lt;'20Trips'!$AC$38,$A20&lt;&gt;F$1,feasible_mat!F20=1),SUM(VLOOKUP($A20,'20Trips'!$A$3:$F$22,2,FALSE), VLOOKUP(F$1,'20Trips'!$A$3:$F$22,2,FALSE)),0)</f>
        <v>0</v>
      </c>
      <c r="G20">
        <f>IF(AND(SUM(VLOOKUP($A20,'20Trips'!$A$3:$F$22,2,FALSE),VLOOKUP(G$1,'20Trips'!$A$3:$F$22,2,FALSE))&lt;'20Trips'!$AC$38,$A20&lt;&gt;G$1,feasible_mat!G20=1),SUM(VLOOKUP($A20,'20Trips'!$A$3:$F$22,2,FALSE), VLOOKUP(G$1,'20Trips'!$A$3:$F$22,2,FALSE)),0)</f>
        <v>0</v>
      </c>
      <c r="H20">
        <f>IF(AND(SUM(VLOOKUP($A20,'20Trips'!$A$3:$F$22,2,FALSE),VLOOKUP(H$1,'20Trips'!$A$3:$F$22,2,FALSE))&lt;'20Trips'!$AC$38,$A20&lt;&gt;H$1,feasible_mat!H20=1),SUM(VLOOKUP($A20,'20Trips'!$A$3:$F$22,2,FALSE), VLOOKUP(H$1,'20Trips'!$A$3:$F$22,2,FALSE)),0)</f>
        <v>0</v>
      </c>
      <c r="I20">
        <f>IF(AND(SUM(VLOOKUP($A20,'20Trips'!$A$3:$F$22,2,FALSE),VLOOKUP(I$1,'20Trips'!$A$3:$F$22,2,FALSE))&lt;'20Trips'!$AC$38,$A20&lt;&gt;I$1,feasible_mat!I20=1),SUM(VLOOKUP($A20,'20Trips'!$A$3:$F$22,2,FALSE), VLOOKUP(I$1,'20Trips'!$A$3:$F$22,2,FALSE)),0)</f>
        <v>0</v>
      </c>
      <c r="J20">
        <f>IF(AND(SUM(VLOOKUP($A20,'20Trips'!$A$3:$F$22,2,FALSE),VLOOKUP(J$1,'20Trips'!$A$3:$F$22,2,FALSE))&lt;'20Trips'!$AC$38,$A20&lt;&gt;J$1,feasible_mat!J20=1),SUM(VLOOKUP($A20,'20Trips'!$A$3:$F$22,2,FALSE), VLOOKUP(J$1,'20Trips'!$A$3:$F$22,2,FALSE)),0)</f>
        <v>0</v>
      </c>
      <c r="K20">
        <f>IF(AND(SUM(VLOOKUP($A20,'20Trips'!$A$3:$F$22,2,FALSE),VLOOKUP(K$1,'20Trips'!$A$3:$F$22,2,FALSE))&lt;'20Trips'!$AC$38,$A20&lt;&gt;K$1,feasible_mat!K20=1),SUM(VLOOKUP($A20,'20Trips'!$A$3:$F$22,2,FALSE), VLOOKUP(K$1,'20Trips'!$A$3:$F$22,2,FALSE)),0)</f>
        <v>280</v>
      </c>
      <c r="L20">
        <f>IF(AND(SUM(VLOOKUP($A20,'20Trips'!$A$3:$F$22,2,FALSE),VLOOKUP(L$1,'20Trips'!$A$3:$F$22,2,FALSE))&lt;'20Trips'!$AC$38,$A20&lt;&gt;L$1,feasible_mat!L20=1),SUM(VLOOKUP($A20,'20Trips'!$A$3:$F$22,2,FALSE), VLOOKUP(L$1,'20Trips'!$A$3:$F$22,2,FALSE)),0)</f>
        <v>280</v>
      </c>
      <c r="M20">
        <f>IF(AND(SUM(VLOOKUP($A20,'20Trips'!$A$3:$F$22,2,FALSE),VLOOKUP(M$1,'20Trips'!$A$3:$F$22,2,FALSE))&lt;'20Trips'!$AC$38,$A20&lt;&gt;M$1,feasible_mat!M20=1),SUM(VLOOKUP($A20,'20Trips'!$A$3:$F$22,2,FALSE), VLOOKUP(M$1,'20Trips'!$A$3:$F$22,2,FALSE)),0)</f>
        <v>0</v>
      </c>
      <c r="N20">
        <f>IF(AND(SUM(VLOOKUP($A20,'20Trips'!$A$3:$F$22,2,FALSE),VLOOKUP(N$1,'20Trips'!$A$3:$F$22,2,FALSE))&lt;'20Trips'!$AC$38,$A20&lt;&gt;N$1,feasible_mat!N20=1),SUM(VLOOKUP($A20,'20Trips'!$A$3:$F$22,2,FALSE), VLOOKUP(N$1,'20Trips'!$A$3:$F$22,2,FALSE)),0)</f>
        <v>0</v>
      </c>
      <c r="O20">
        <f>IF(AND(SUM(VLOOKUP($A20,'20Trips'!$A$3:$F$22,2,FALSE),VLOOKUP(O$1,'20Trips'!$A$3:$F$22,2,FALSE))&lt;'20Trips'!$AC$38,$A20&lt;&gt;O$1,feasible_mat!O20=1),SUM(VLOOKUP($A20,'20Trips'!$A$3:$F$22,2,FALSE), VLOOKUP(O$1,'20Trips'!$A$3:$F$22,2,FALSE)),0)</f>
        <v>0</v>
      </c>
      <c r="P20">
        <f>IF(AND(SUM(VLOOKUP($A20,'20Trips'!$A$3:$F$22,2,FALSE),VLOOKUP(P$1,'20Trips'!$A$3:$F$22,2,FALSE))&lt;'20Trips'!$AC$38,$A20&lt;&gt;P$1,feasible_mat!P20=1),SUM(VLOOKUP($A20,'20Trips'!$A$3:$F$22,2,FALSE), VLOOKUP(P$1,'20Trips'!$A$3:$F$22,2,FALSE)),0)</f>
        <v>0</v>
      </c>
      <c r="Q20">
        <f>IF(AND(SUM(VLOOKUP($A20,'20Trips'!$A$3:$F$22,2,FALSE),VLOOKUP(Q$1,'20Trips'!$A$3:$F$22,2,FALSE))&lt;'20Trips'!$AC$38,$A20&lt;&gt;Q$1,feasible_mat!Q20=1),SUM(VLOOKUP($A20,'20Trips'!$A$3:$F$22,2,FALSE), VLOOKUP(Q$1,'20Trips'!$A$3:$F$22,2,FALSE)),0)</f>
        <v>0</v>
      </c>
      <c r="R20">
        <f>IF(AND(SUM(VLOOKUP($A20,'20Trips'!$A$3:$F$22,2,FALSE),VLOOKUP(R$1,'20Trips'!$A$3:$F$22,2,FALSE))&lt;'20Trips'!$AC$38,$A20&lt;&gt;R$1,feasible_mat!R20=1),SUM(VLOOKUP($A20,'20Trips'!$A$3:$F$22,2,FALSE), VLOOKUP(R$1,'20Trips'!$A$3:$F$22,2,FALSE)),0)</f>
        <v>0</v>
      </c>
      <c r="S20">
        <f>IF(AND(SUM(VLOOKUP($A20,'20Trips'!$A$3:$F$22,2,FALSE),VLOOKUP(S$1,'20Trips'!$A$3:$F$22,2,FALSE))&lt;'20Trips'!$AC$38,$A20&lt;&gt;S$1,feasible_mat!S20=1),SUM(VLOOKUP($A20,'20Trips'!$A$3:$F$22,2,FALSE), VLOOKUP(S$1,'20Trips'!$A$3:$F$22,2,FALSE)),0)</f>
        <v>0</v>
      </c>
      <c r="T20">
        <f>IF(AND(SUM(VLOOKUP($A20,'20Trips'!$A$3:$F$22,2,FALSE),VLOOKUP(T$1,'20Trips'!$A$3:$F$22,2,FALSE))&lt;'20Trips'!$AC$38,$A20&lt;&gt;T$1,feasible_mat!T20=1),SUM(VLOOKUP($A20,'20Trips'!$A$3:$F$22,2,FALSE), VLOOKUP(T$1,'20Trips'!$A$3:$F$22,2,FALSE)),0)</f>
        <v>0</v>
      </c>
      <c r="U20">
        <f>IF(AND(SUM(VLOOKUP($A20,'20Trips'!$A$3:$F$22,2,FALSE),VLOOKUP(U$1,'20Trips'!$A$3:$F$22,2,FALSE))&lt;'20Trips'!$AC$38,$A20&lt;&gt;U$1,feasible_mat!U20=1),SUM(VLOOKUP($A20,'20Trips'!$A$3:$F$22,2,FALSE), VLOOKUP(U$1,'20Trips'!$A$3:$F$22,2,FALSE)),0)</f>
        <v>0</v>
      </c>
      <c r="V20">
        <f>IF(AND(SUM(VLOOKUP($A20,'20Trips'!$A$3:$F$22,2,FALSE),VLOOKUP(V$1,'20Trips'!$A$3:$F$22,2,FALSE))&lt;'20Trips'!$AC$38,$A20&lt;&gt;V$1,feasible_mat!V20=1),SUM(VLOOKUP($A20,'20Trips'!$A$3:$F$22,2,FALSE), VLOOKUP(V$1,'20Trips'!$A$3:$F$22,2,FALSE)),0)</f>
        <v>280</v>
      </c>
      <c r="W20">
        <v>0</v>
      </c>
      <c r="X20">
        <v>0</v>
      </c>
      <c r="Y20">
        <v>0</v>
      </c>
      <c r="Z20">
        <v>0</v>
      </c>
      <c r="AA20">
        <v>0</v>
      </c>
      <c r="AB20">
        <f t="shared" si="0"/>
        <v>18</v>
      </c>
    </row>
    <row r="21" spans="1:28" x14ac:dyDescent="0.25">
      <c r="A21" t="s">
        <v>37</v>
      </c>
      <c r="B21">
        <v>0</v>
      </c>
      <c r="C21">
        <f>IF(AND(SUM(VLOOKUP($A21,'20Trips'!$A$3:$F$22,2,FALSE),VLOOKUP(C$1,'20Trips'!$A$3:$F$22,2,FALSE))&lt;'20Trips'!$AC$38,$A21&lt;&gt;C$1,feasible_mat!C21=1),SUM(VLOOKUP($A21,'20Trips'!$A$3:$F$22,2,FALSE), VLOOKUP(C$1,'20Trips'!$A$3:$F$22,2,FALSE)),0)</f>
        <v>0</v>
      </c>
      <c r="D21">
        <f>IF(AND(SUM(VLOOKUP($A21,'20Trips'!$A$3:$F$22,2,FALSE),VLOOKUP(D$1,'20Trips'!$A$3:$F$22,2,FALSE))&lt;'20Trips'!$AC$38,$A21&lt;&gt;D$1,feasible_mat!D21=1),SUM(VLOOKUP($A21,'20Trips'!$A$3:$F$22,2,FALSE), VLOOKUP(D$1,'20Trips'!$A$3:$F$22,2,FALSE)),0)</f>
        <v>0</v>
      </c>
      <c r="E21">
        <f>IF(AND(SUM(VLOOKUP($A21,'20Trips'!$A$3:$F$22,2,FALSE),VLOOKUP(E$1,'20Trips'!$A$3:$F$22,2,FALSE))&lt;'20Trips'!$AC$38,$A21&lt;&gt;E$1,feasible_mat!E21=1),SUM(VLOOKUP($A21,'20Trips'!$A$3:$F$22,2,FALSE), VLOOKUP(E$1,'20Trips'!$A$3:$F$22,2,FALSE)),0)</f>
        <v>0</v>
      </c>
      <c r="F21">
        <f>IF(AND(SUM(VLOOKUP($A21,'20Trips'!$A$3:$F$22,2,FALSE),VLOOKUP(F$1,'20Trips'!$A$3:$F$22,2,FALSE))&lt;'20Trips'!$AC$38,$A21&lt;&gt;F$1,feasible_mat!F21=1),SUM(VLOOKUP($A21,'20Trips'!$A$3:$F$22,2,FALSE), VLOOKUP(F$1,'20Trips'!$A$3:$F$22,2,FALSE)),0)</f>
        <v>0</v>
      </c>
      <c r="G21">
        <f>IF(AND(SUM(VLOOKUP($A21,'20Trips'!$A$3:$F$22,2,FALSE),VLOOKUP(G$1,'20Trips'!$A$3:$F$22,2,FALSE))&lt;'20Trips'!$AC$38,$A21&lt;&gt;G$1,feasible_mat!G21=1),SUM(VLOOKUP($A21,'20Trips'!$A$3:$F$22,2,FALSE), VLOOKUP(G$1,'20Trips'!$A$3:$F$22,2,FALSE)),0)</f>
        <v>0</v>
      </c>
      <c r="H21">
        <f>IF(AND(SUM(VLOOKUP($A21,'20Trips'!$A$3:$F$22,2,FALSE),VLOOKUP(H$1,'20Trips'!$A$3:$F$22,2,FALSE))&lt;'20Trips'!$AC$38,$A21&lt;&gt;H$1,feasible_mat!H21=1),SUM(VLOOKUP($A21,'20Trips'!$A$3:$F$22,2,FALSE), VLOOKUP(H$1,'20Trips'!$A$3:$F$22,2,FALSE)),0)</f>
        <v>0</v>
      </c>
      <c r="I21">
        <f>IF(AND(SUM(VLOOKUP($A21,'20Trips'!$A$3:$F$22,2,FALSE),VLOOKUP(I$1,'20Trips'!$A$3:$F$22,2,FALSE))&lt;'20Trips'!$AC$38,$A21&lt;&gt;I$1,feasible_mat!I21=1),SUM(VLOOKUP($A21,'20Trips'!$A$3:$F$22,2,FALSE), VLOOKUP(I$1,'20Trips'!$A$3:$F$22,2,FALSE)),0)</f>
        <v>0</v>
      </c>
      <c r="J21">
        <f>IF(AND(SUM(VLOOKUP($A21,'20Trips'!$A$3:$F$22,2,FALSE),VLOOKUP(J$1,'20Trips'!$A$3:$F$22,2,FALSE))&lt;'20Trips'!$AC$38,$A21&lt;&gt;J$1,feasible_mat!J21=1),SUM(VLOOKUP($A21,'20Trips'!$A$3:$F$22,2,FALSE), VLOOKUP(J$1,'20Trips'!$A$3:$F$22,2,FALSE)),0)</f>
        <v>0</v>
      </c>
      <c r="K21">
        <f>IF(AND(SUM(VLOOKUP($A21,'20Trips'!$A$3:$F$22,2,FALSE),VLOOKUP(K$1,'20Trips'!$A$3:$F$22,2,FALSE))&lt;'20Trips'!$AC$38,$A21&lt;&gt;K$1,feasible_mat!K21=1),SUM(VLOOKUP($A21,'20Trips'!$A$3:$F$22,2,FALSE), VLOOKUP(K$1,'20Trips'!$A$3:$F$22,2,FALSE)),0)</f>
        <v>280</v>
      </c>
      <c r="L21">
        <f>IF(AND(SUM(VLOOKUP($A21,'20Trips'!$A$3:$F$22,2,FALSE),VLOOKUP(L$1,'20Trips'!$A$3:$F$22,2,FALSE))&lt;'20Trips'!$AC$38,$A21&lt;&gt;L$1,feasible_mat!L21=1),SUM(VLOOKUP($A21,'20Trips'!$A$3:$F$22,2,FALSE), VLOOKUP(L$1,'20Trips'!$A$3:$F$22,2,FALSE)),0)</f>
        <v>280</v>
      </c>
      <c r="M21">
        <f>IF(AND(SUM(VLOOKUP($A21,'20Trips'!$A$3:$F$22,2,FALSE),VLOOKUP(M$1,'20Trips'!$A$3:$F$22,2,FALSE))&lt;'20Trips'!$AC$38,$A21&lt;&gt;M$1,feasible_mat!M21=1),SUM(VLOOKUP($A21,'20Trips'!$A$3:$F$22,2,FALSE), VLOOKUP(M$1,'20Trips'!$A$3:$F$22,2,FALSE)),0)</f>
        <v>0</v>
      </c>
      <c r="N21">
        <f>IF(AND(SUM(VLOOKUP($A21,'20Trips'!$A$3:$F$22,2,FALSE),VLOOKUP(N$1,'20Trips'!$A$3:$F$22,2,FALSE))&lt;'20Trips'!$AC$38,$A21&lt;&gt;N$1,feasible_mat!N21=1),SUM(VLOOKUP($A21,'20Trips'!$A$3:$F$22,2,FALSE), VLOOKUP(N$1,'20Trips'!$A$3:$F$22,2,FALSE)),0)</f>
        <v>0</v>
      </c>
      <c r="O21">
        <f>IF(AND(SUM(VLOOKUP($A21,'20Trips'!$A$3:$F$22,2,FALSE),VLOOKUP(O$1,'20Trips'!$A$3:$F$22,2,FALSE))&lt;'20Trips'!$AC$38,$A21&lt;&gt;O$1,feasible_mat!O21=1),SUM(VLOOKUP($A21,'20Trips'!$A$3:$F$22,2,FALSE), VLOOKUP(O$1,'20Trips'!$A$3:$F$22,2,FALSE)),0)</f>
        <v>0</v>
      </c>
      <c r="P21">
        <f>IF(AND(SUM(VLOOKUP($A21,'20Trips'!$A$3:$F$22,2,FALSE),VLOOKUP(P$1,'20Trips'!$A$3:$F$22,2,FALSE))&lt;'20Trips'!$AC$38,$A21&lt;&gt;P$1,feasible_mat!P21=1),SUM(VLOOKUP($A21,'20Trips'!$A$3:$F$22,2,FALSE), VLOOKUP(P$1,'20Trips'!$A$3:$F$22,2,FALSE)),0)</f>
        <v>0</v>
      </c>
      <c r="Q21">
        <f>IF(AND(SUM(VLOOKUP($A21,'20Trips'!$A$3:$F$22,2,FALSE),VLOOKUP(Q$1,'20Trips'!$A$3:$F$22,2,FALSE))&lt;'20Trips'!$AC$38,$A21&lt;&gt;Q$1,feasible_mat!Q21=1),SUM(VLOOKUP($A21,'20Trips'!$A$3:$F$22,2,FALSE), VLOOKUP(Q$1,'20Trips'!$A$3:$F$22,2,FALSE)),0)</f>
        <v>0</v>
      </c>
      <c r="R21">
        <f>IF(AND(SUM(VLOOKUP($A21,'20Trips'!$A$3:$F$22,2,FALSE),VLOOKUP(R$1,'20Trips'!$A$3:$F$22,2,FALSE))&lt;'20Trips'!$AC$38,$A21&lt;&gt;R$1,feasible_mat!R21=1),SUM(VLOOKUP($A21,'20Trips'!$A$3:$F$22,2,FALSE), VLOOKUP(R$1,'20Trips'!$A$3:$F$22,2,FALSE)),0)</f>
        <v>0</v>
      </c>
      <c r="S21">
        <f>IF(AND(SUM(VLOOKUP($A21,'20Trips'!$A$3:$F$22,2,FALSE),VLOOKUP(S$1,'20Trips'!$A$3:$F$22,2,FALSE))&lt;'20Trips'!$AC$38,$A21&lt;&gt;S$1,feasible_mat!S21=1),SUM(VLOOKUP($A21,'20Trips'!$A$3:$F$22,2,FALSE), VLOOKUP(S$1,'20Trips'!$A$3:$F$22,2,FALSE)),0)</f>
        <v>0</v>
      </c>
      <c r="T21">
        <f>IF(AND(SUM(VLOOKUP($A21,'20Trips'!$A$3:$F$22,2,FALSE),VLOOKUP(T$1,'20Trips'!$A$3:$F$22,2,FALSE))&lt;'20Trips'!$AC$38,$A21&lt;&gt;T$1,feasible_mat!T21=1),SUM(VLOOKUP($A21,'20Trips'!$A$3:$F$22,2,FALSE), VLOOKUP(T$1,'20Trips'!$A$3:$F$22,2,FALSE)),0)</f>
        <v>0</v>
      </c>
      <c r="U21">
        <f>IF(AND(SUM(VLOOKUP($A21,'20Trips'!$A$3:$F$22,2,FALSE),VLOOKUP(U$1,'20Trips'!$A$3:$F$22,2,FALSE))&lt;'20Trips'!$AC$38,$A21&lt;&gt;U$1,feasible_mat!U21=1),SUM(VLOOKUP($A21,'20Trips'!$A$3:$F$22,2,FALSE), VLOOKUP(U$1,'20Trips'!$A$3:$F$22,2,FALSE)),0)</f>
        <v>0</v>
      </c>
      <c r="V21">
        <f>IF(AND(SUM(VLOOKUP($A21,'20Trips'!$A$3:$F$22,2,FALSE),VLOOKUP(V$1,'20Trips'!$A$3:$F$22,2,FALSE))&lt;'20Trips'!$AC$38,$A21&lt;&gt;V$1,feasible_mat!V21=1),SUM(VLOOKUP($A21,'20Trips'!$A$3:$F$22,2,FALSE), VLOOKUP(V$1,'20Trips'!$A$3:$F$22,2,FALSE)),0)</f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f t="shared" si="0"/>
        <v>19</v>
      </c>
    </row>
    <row r="22" spans="1:28" x14ac:dyDescent="0.25">
      <c r="A22" t="s">
        <v>38</v>
      </c>
      <c r="B22">
        <v>0</v>
      </c>
      <c r="C22">
        <f>IF(AND(SUM(VLOOKUP($A22,'20Trips'!$A$3:$F$22,2,FALSE),VLOOKUP(C$1,'20Trips'!$A$3:$F$22,2,FALSE))&lt;'20Trips'!$AC$38,$A22&lt;&gt;C$1,feasible_mat!C22=1),SUM(VLOOKUP($A22,'20Trips'!$A$3:$F$22,2,FALSE), VLOOKUP(C$1,'20Trips'!$A$3:$F$22,2,FALSE)),0)</f>
        <v>0</v>
      </c>
      <c r="D22">
        <f>IF(AND(SUM(VLOOKUP($A22,'20Trips'!$A$3:$F$22,2,FALSE),VLOOKUP(D$1,'20Trips'!$A$3:$F$22,2,FALSE))&lt;'20Trips'!$AC$38,$A22&lt;&gt;D$1,feasible_mat!D22=1),SUM(VLOOKUP($A22,'20Trips'!$A$3:$F$22,2,FALSE), VLOOKUP(D$1,'20Trips'!$A$3:$F$22,2,FALSE)),0)</f>
        <v>0</v>
      </c>
      <c r="E22">
        <f>IF(AND(SUM(VLOOKUP($A22,'20Trips'!$A$3:$F$22,2,FALSE),VLOOKUP(E$1,'20Trips'!$A$3:$F$22,2,FALSE))&lt;'20Trips'!$AC$38,$A22&lt;&gt;E$1,feasible_mat!E22=1),SUM(VLOOKUP($A22,'20Trips'!$A$3:$F$22,2,FALSE), VLOOKUP(E$1,'20Trips'!$A$3:$F$22,2,FALSE)),0)</f>
        <v>0</v>
      </c>
      <c r="F22">
        <f>IF(AND(SUM(VLOOKUP($A22,'20Trips'!$A$3:$F$22,2,FALSE),VLOOKUP(F$1,'20Trips'!$A$3:$F$22,2,FALSE))&lt;'20Trips'!$AC$38,$A22&lt;&gt;F$1,feasible_mat!F22=1),SUM(VLOOKUP($A22,'20Trips'!$A$3:$F$22,2,FALSE), VLOOKUP(F$1,'20Trips'!$A$3:$F$22,2,FALSE)),0)</f>
        <v>0</v>
      </c>
      <c r="G22">
        <f>IF(AND(SUM(VLOOKUP($A22,'20Trips'!$A$3:$F$22,2,FALSE),VLOOKUP(G$1,'20Trips'!$A$3:$F$22,2,FALSE))&lt;'20Trips'!$AC$38,$A22&lt;&gt;G$1,feasible_mat!G22=1),SUM(VLOOKUP($A22,'20Trips'!$A$3:$F$22,2,FALSE), VLOOKUP(G$1,'20Trips'!$A$3:$F$22,2,FALSE)),0)</f>
        <v>0</v>
      </c>
      <c r="H22">
        <f>IF(AND(SUM(VLOOKUP($A22,'20Trips'!$A$3:$F$22,2,FALSE),VLOOKUP(H$1,'20Trips'!$A$3:$F$22,2,FALSE))&lt;'20Trips'!$AC$38,$A22&lt;&gt;H$1,feasible_mat!H22=1),SUM(VLOOKUP($A22,'20Trips'!$A$3:$F$22,2,FALSE), VLOOKUP(H$1,'20Trips'!$A$3:$F$22,2,FALSE)),0)</f>
        <v>0</v>
      </c>
      <c r="I22">
        <f>IF(AND(SUM(VLOOKUP($A22,'20Trips'!$A$3:$F$22,2,FALSE),VLOOKUP(I$1,'20Trips'!$A$3:$F$22,2,FALSE))&lt;'20Trips'!$AC$38,$A22&lt;&gt;I$1,feasible_mat!I22=1),SUM(VLOOKUP($A22,'20Trips'!$A$3:$F$22,2,FALSE), VLOOKUP(I$1,'20Trips'!$A$3:$F$22,2,FALSE)),0)</f>
        <v>0</v>
      </c>
      <c r="J22">
        <f>IF(AND(SUM(VLOOKUP($A22,'20Trips'!$A$3:$F$22,2,FALSE),VLOOKUP(J$1,'20Trips'!$A$3:$F$22,2,FALSE))&lt;'20Trips'!$AC$38,$A22&lt;&gt;J$1,feasible_mat!J22=1),SUM(VLOOKUP($A22,'20Trips'!$A$3:$F$22,2,FALSE), VLOOKUP(J$1,'20Trips'!$A$3:$F$22,2,FALSE)),0)</f>
        <v>0</v>
      </c>
      <c r="K22">
        <f>IF(AND(SUM(VLOOKUP($A22,'20Trips'!$A$3:$F$22,2,FALSE),VLOOKUP(K$1,'20Trips'!$A$3:$F$22,2,FALSE))&lt;'20Trips'!$AC$38,$A22&lt;&gt;K$1,feasible_mat!K22=1),SUM(VLOOKUP($A22,'20Trips'!$A$3:$F$22,2,FALSE), VLOOKUP(K$1,'20Trips'!$A$3:$F$22,2,FALSE)),0)</f>
        <v>0</v>
      </c>
      <c r="L22">
        <f>IF(AND(SUM(VLOOKUP($A22,'20Trips'!$A$3:$F$22,2,FALSE),VLOOKUP(L$1,'20Trips'!$A$3:$F$22,2,FALSE))&lt;'20Trips'!$AC$38,$A22&lt;&gt;L$1,feasible_mat!L22=1),SUM(VLOOKUP($A22,'20Trips'!$A$3:$F$22,2,FALSE), VLOOKUP(L$1,'20Trips'!$A$3:$F$22,2,FALSE)),0)</f>
        <v>280</v>
      </c>
      <c r="M22">
        <f>IF(AND(SUM(VLOOKUP($A22,'20Trips'!$A$3:$F$22,2,FALSE),VLOOKUP(M$1,'20Trips'!$A$3:$F$22,2,FALSE))&lt;'20Trips'!$AC$38,$A22&lt;&gt;M$1,feasible_mat!M22=1),SUM(VLOOKUP($A22,'20Trips'!$A$3:$F$22,2,FALSE), VLOOKUP(M$1,'20Trips'!$A$3:$F$22,2,FALSE)),0)</f>
        <v>0</v>
      </c>
      <c r="N22">
        <f>IF(AND(SUM(VLOOKUP($A22,'20Trips'!$A$3:$F$22,2,FALSE),VLOOKUP(N$1,'20Trips'!$A$3:$F$22,2,FALSE))&lt;'20Trips'!$AC$38,$A22&lt;&gt;N$1,feasible_mat!N22=1),SUM(VLOOKUP($A22,'20Trips'!$A$3:$F$22,2,FALSE), VLOOKUP(N$1,'20Trips'!$A$3:$F$22,2,FALSE)),0)</f>
        <v>0</v>
      </c>
      <c r="O22">
        <f>IF(AND(SUM(VLOOKUP($A22,'20Trips'!$A$3:$F$22,2,FALSE),VLOOKUP(O$1,'20Trips'!$A$3:$F$22,2,FALSE))&lt;'20Trips'!$AC$38,$A22&lt;&gt;O$1,feasible_mat!O22=1),SUM(VLOOKUP($A22,'20Trips'!$A$3:$F$22,2,FALSE), VLOOKUP(O$1,'20Trips'!$A$3:$F$22,2,FALSE)),0)</f>
        <v>0</v>
      </c>
      <c r="P22">
        <f>IF(AND(SUM(VLOOKUP($A22,'20Trips'!$A$3:$F$22,2,FALSE),VLOOKUP(P$1,'20Trips'!$A$3:$F$22,2,FALSE))&lt;'20Trips'!$AC$38,$A22&lt;&gt;P$1,feasible_mat!P22=1),SUM(VLOOKUP($A22,'20Trips'!$A$3:$F$22,2,FALSE), VLOOKUP(P$1,'20Trips'!$A$3:$F$22,2,FALSE)),0)</f>
        <v>0</v>
      </c>
      <c r="Q22">
        <f>IF(AND(SUM(VLOOKUP($A22,'20Trips'!$A$3:$F$22,2,FALSE),VLOOKUP(Q$1,'20Trips'!$A$3:$F$22,2,FALSE))&lt;'20Trips'!$AC$38,$A22&lt;&gt;Q$1,feasible_mat!Q22=1),SUM(VLOOKUP($A22,'20Trips'!$A$3:$F$22,2,FALSE), VLOOKUP(Q$1,'20Trips'!$A$3:$F$22,2,FALSE)),0)</f>
        <v>0</v>
      </c>
      <c r="R22">
        <f>IF(AND(SUM(VLOOKUP($A22,'20Trips'!$A$3:$F$22,2,FALSE),VLOOKUP(R$1,'20Trips'!$A$3:$F$22,2,FALSE))&lt;'20Trips'!$AC$38,$A22&lt;&gt;R$1,feasible_mat!R22=1),SUM(VLOOKUP($A22,'20Trips'!$A$3:$F$22,2,FALSE), VLOOKUP(R$1,'20Trips'!$A$3:$F$22,2,FALSE)),0)</f>
        <v>0</v>
      </c>
      <c r="S22">
        <f>IF(AND(SUM(VLOOKUP($A22,'20Trips'!$A$3:$F$22,2,FALSE),VLOOKUP(S$1,'20Trips'!$A$3:$F$22,2,FALSE))&lt;'20Trips'!$AC$38,$A22&lt;&gt;S$1,feasible_mat!S22=1),SUM(VLOOKUP($A22,'20Trips'!$A$3:$F$22,2,FALSE), VLOOKUP(S$1,'20Trips'!$A$3:$F$22,2,FALSE)),0)</f>
        <v>0</v>
      </c>
      <c r="T22">
        <f>IF(AND(SUM(VLOOKUP($A22,'20Trips'!$A$3:$F$22,2,FALSE),VLOOKUP(T$1,'20Trips'!$A$3:$F$22,2,FALSE))&lt;'20Trips'!$AC$38,$A22&lt;&gt;T$1,feasible_mat!T22=1),SUM(VLOOKUP($A22,'20Trips'!$A$3:$F$22,2,FALSE), VLOOKUP(T$1,'20Trips'!$A$3:$F$22,2,FALSE)),0)</f>
        <v>0</v>
      </c>
      <c r="U22">
        <f>IF(AND(SUM(VLOOKUP($A22,'20Trips'!$A$3:$F$22,2,FALSE),VLOOKUP(U$1,'20Trips'!$A$3:$F$22,2,FALSE))&lt;'20Trips'!$AC$38,$A22&lt;&gt;U$1,feasible_mat!U22=1),SUM(VLOOKUP($A22,'20Trips'!$A$3:$F$22,2,FALSE), VLOOKUP(U$1,'20Trips'!$A$3:$F$22,2,FALSE)),0)</f>
        <v>0</v>
      </c>
      <c r="V22">
        <f>IF(AND(SUM(VLOOKUP($A22,'20Trips'!$A$3:$F$22,2,FALSE),VLOOKUP(V$1,'20Trips'!$A$3:$F$22,2,FALSE))&lt;'20Trips'!$AC$38,$A22&lt;&gt;V$1,feasible_mat!V22=1),SUM(VLOOKUP($A22,'20Trips'!$A$3:$F$22,2,FALSE), VLOOKUP(V$1,'20Trips'!$A$3:$F$22,2,FALSE)),0)</f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f t="shared" si="0"/>
        <v>20</v>
      </c>
    </row>
    <row r="23" spans="1:28" x14ac:dyDescent="0.25">
      <c r="A23" t="s">
        <v>48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f t="shared" si="0"/>
        <v>21</v>
      </c>
    </row>
    <row r="24" spans="1:28" x14ac:dyDescent="0.25">
      <c r="A24" t="s">
        <v>62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f t="shared" si="0"/>
        <v>22</v>
      </c>
    </row>
    <row r="25" spans="1:28" x14ac:dyDescent="0.25">
      <c r="A25" t="s">
        <v>67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f t="shared" si="0"/>
        <v>23</v>
      </c>
    </row>
    <row r="26" spans="1:28" x14ac:dyDescent="0.25">
      <c r="A26" t="s">
        <v>68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f t="shared" si="0"/>
        <v>24</v>
      </c>
    </row>
    <row r="27" spans="1:28" x14ac:dyDescent="0.25">
      <c r="A27" t="s">
        <v>69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f t="shared" si="0"/>
        <v>25</v>
      </c>
    </row>
    <row r="29" spans="1:28" x14ac:dyDescent="0.25">
      <c r="D29" t="s">
        <v>60</v>
      </c>
    </row>
    <row r="30" spans="1:28" x14ac:dyDescent="0.25">
      <c r="D30" t="e">
        <f>VLOOKUP(#REF!,'20Trips'!$A$3:$F$22,2,FALSE)</f>
        <v>#REF!</v>
      </c>
    </row>
    <row r="31" spans="1:28" x14ac:dyDescent="0.25">
      <c r="D31" t="b">
        <f>$A4&lt;&gt;D$1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6CCC-9548-4256-8A19-FC183A8C4C7F}">
  <dimension ref="A1:Y101"/>
  <sheetViews>
    <sheetView tabSelected="1" workbookViewId="0">
      <pane ySplit="1" topLeftCell="A44" activePane="bottomLeft" state="frozen"/>
      <selection pane="bottomLeft" activeCell="P62" sqref="P62"/>
    </sheetView>
  </sheetViews>
  <sheetFormatPr defaultRowHeight="15" x14ac:dyDescent="0.25"/>
  <sheetData>
    <row r="1" spans="1:24" x14ac:dyDescent="0.25">
      <c r="A1" t="s">
        <v>54</v>
      </c>
      <c r="C1" t="s">
        <v>46</v>
      </c>
      <c r="D1" t="s">
        <v>6</v>
      </c>
      <c r="E1" t="s">
        <v>9</v>
      </c>
      <c r="F1" t="s">
        <v>10</v>
      </c>
      <c r="G1" t="s">
        <v>11</v>
      </c>
      <c r="H1" t="s">
        <v>12</v>
      </c>
      <c r="I1" t="s">
        <v>18</v>
      </c>
      <c r="J1" t="s">
        <v>20</v>
      </c>
      <c r="K1" t="s">
        <v>21</v>
      </c>
      <c r="L1" t="s">
        <v>22</v>
      </c>
      <c r="M1" t="s">
        <v>23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</row>
    <row r="2" spans="1:24" x14ac:dyDescent="0.25">
      <c r="A2" t="s">
        <v>48</v>
      </c>
      <c r="B2" t="s">
        <v>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s="3"/>
    </row>
    <row r="3" spans="1:24" x14ac:dyDescent="0.25">
      <c r="A3" t="s">
        <v>48</v>
      </c>
      <c r="B3" t="s">
        <v>6</v>
      </c>
      <c r="C3">
        <v>0</v>
      </c>
      <c r="D3" s="2">
        <f>IF(AND(VLOOKUP(D$1,'20Trips'!$A$3:$I$22,8,FALSE) - VLOOKUP($B3,'20Trips'!$A$3:$I$22,9,FALSE) &gt;= ('20Trips'!$B$23+VLOOKUP(VLOOKUP($B3,'20Trips'!$A$2:$I$22,4,FALSE),'20Trips'!$AB$32:$AH$36,3,FALSE))),1,0)</f>
        <v>0</v>
      </c>
      <c r="E3" s="2">
        <f>IF(AND(VLOOKUP(E$1,'20Trips'!$A$3:$I$22,8,FALSE) - VLOOKUP($B3,'20Trips'!$A$3:$I$22,9,FALSE) &gt;= ('20Trips'!$B$23+VLOOKUP(VLOOKUP($B3,'20Trips'!$A$2:$I$22,4,FALSE),'20Trips'!$AB$32:$AH$36,3,FALSE))),1,0)</f>
        <v>0</v>
      </c>
      <c r="F3" s="2">
        <f>IF(AND(VLOOKUP(F$1,'20Trips'!$A$3:$I$22,8,FALSE) - VLOOKUP($B3,'20Trips'!$A$3:$I$22,9,FALSE) &gt;= ('20Trips'!$B$23+VLOOKUP(VLOOKUP($B3,'20Trips'!$A$2:$I$22,4,FALSE),'20Trips'!$AB$32:$AH$36,3,FALSE))),1,0)</f>
        <v>1</v>
      </c>
      <c r="G3" s="2">
        <f>IF(AND(VLOOKUP(G$1,'20Trips'!$A$3:$I$22,8,FALSE) - VLOOKUP($B3,'20Trips'!$A$3:$I$22,9,FALSE) &gt;= ('20Trips'!$B$23+VLOOKUP(VLOOKUP($B3,'20Trips'!$A$2:$I$22,4,FALSE),'20Trips'!$AB$32:$AH$36,3,FALSE))),1,0)</f>
        <v>1</v>
      </c>
      <c r="H3" s="2">
        <f>IF(AND(VLOOKUP(H$1,'20Trips'!$A$3:$I$22,8,FALSE) - VLOOKUP($B3,'20Trips'!$A$3:$I$22,9,FALSE) &gt;= ('20Trips'!$B$23+VLOOKUP(VLOOKUP($B3,'20Trips'!$A$2:$I$22,4,FALSE),'20Trips'!$AB$32:$AH$36,3,FALSE))),1,0)</f>
        <v>1</v>
      </c>
      <c r="I3" s="2">
        <f>IF(AND(VLOOKUP(I$1,'20Trips'!$A$3:$I$22,8,FALSE) - VLOOKUP($B3,'20Trips'!$A$3:$I$22,9,FALSE) &gt;= ('20Trips'!$B$23+VLOOKUP(VLOOKUP($B3,'20Trips'!$A$2:$I$22,4,FALSE),'20Trips'!$AB$32:$AH$36,3,FALSE))),1,0)</f>
        <v>0</v>
      </c>
      <c r="J3" s="2">
        <f>IF(AND(VLOOKUP(J$1,'20Trips'!$A$3:$I$22,8,FALSE) - VLOOKUP($B3,'20Trips'!$A$3:$I$22,9,FALSE) &gt;= ('20Trips'!$B$23+VLOOKUP(VLOOKUP($B3,'20Trips'!$A$2:$I$22,4,FALSE),'20Trips'!$AB$32:$AH$36,3,FALSE))),1,0)</f>
        <v>0</v>
      </c>
      <c r="K3" s="2">
        <f>IF(AND(VLOOKUP(K$1,'20Trips'!$A$3:$I$22,8,FALSE) - VLOOKUP($B3,'20Trips'!$A$3:$I$22,9,FALSE) &gt;= ('20Trips'!$B$23+VLOOKUP(VLOOKUP($B3,'20Trips'!$A$2:$I$22,4,FALSE),'20Trips'!$AB$32:$AH$36,3,FALSE))),1,0)</f>
        <v>1</v>
      </c>
      <c r="L3" s="2">
        <f>IF(AND(VLOOKUP(L$1,'20Trips'!$A$3:$I$22,8,FALSE) - VLOOKUP($B3,'20Trips'!$A$3:$I$22,9,FALSE) &gt;= ('20Trips'!$B$23+VLOOKUP(VLOOKUP($B3,'20Trips'!$A$2:$I$22,4,FALSE),'20Trips'!$AB$32:$AH$36,3,FALSE))),1,0)</f>
        <v>1</v>
      </c>
      <c r="M3" s="2">
        <f>IF(AND(VLOOKUP(M$1,'20Trips'!$A$3:$I$22,8,FALSE) - VLOOKUP($B3,'20Trips'!$A$3:$I$22,9,FALSE) &gt;= ('20Trips'!$B$23+VLOOKUP(VLOOKUP($B3,'20Trips'!$A$2:$I$22,4,FALSE),'20Trips'!$AB$32:$AH$36,3,FALSE))),1,0)</f>
        <v>1</v>
      </c>
      <c r="N3" s="2">
        <f>IF(AND(VLOOKUP(N$1,'20Trips'!$A$3:$I$22,8,FALSE) - VLOOKUP($B3,'20Trips'!$A$3:$I$22,9,FALSE) &gt;= ('20Trips'!$B$23+VLOOKUP(VLOOKUP($B3,'20Trips'!$A$2:$I$22,4,FALSE),'20Trips'!$AB$32:$AH$36,3,FALSE))),1,0)</f>
        <v>0</v>
      </c>
      <c r="O3" s="2">
        <f>IF(AND(VLOOKUP(O$1,'20Trips'!$A$3:$I$22,8,FALSE) - VLOOKUP($B3,'20Trips'!$A$3:$I$22,9,FALSE) &gt;= ('20Trips'!$B$23+VLOOKUP(VLOOKUP($B3,'20Trips'!$A$2:$I$22,4,FALSE),'20Trips'!$AB$32:$AH$36,3,FALSE))),1,0)</f>
        <v>0</v>
      </c>
      <c r="P3" s="2">
        <f>IF(AND(VLOOKUP(P$1,'20Trips'!$A$3:$I$22,8,FALSE) - VLOOKUP($B3,'20Trips'!$A$3:$I$22,9,FALSE) &gt;= ('20Trips'!$B$23+VLOOKUP(VLOOKUP($B3,'20Trips'!$A$2:$I$22,4,FALSE),'20Trips'!$AB$32:$AH$36,3,FALSE))),1,0)</f>
        <v>0</v>
      </c>
      <c r="Q3" s="2">
        <f>IF(AND(VLOOKUP(Q$1,'20Trips'!$A$3:$I$22,8,FALSE) - VLOOKUP($B3,'20Trips'!$A$3:$I$22,9,FALSE) &gt;= ('20Trips'!$B$23+VLOOKUP(VLOOKUP($B3,'20Trips'!$A$2:$I$22,4,FALSE),'20Trips'!$AB$32:$AH$36,3,FALSE))),1,0)</f>
        <v>1</v>
      </c>
      <c r="R3" s="2">
        <f>IF(AND(VLOOKUP(R$1,'20Trips'!$A$3:$I$22,8,FALSE) - VLOOKUP($B3,'20Trips'!$A$3:$I$22,9,FALSE) &gt;= ('20Trips'!$B$23+VLOOKUP(VLOOKUP($B3,'20Trips'!$A$2:$I$22,4,FALSE),'20Trips'!$AB$32:$AH$36,3,FALSE))),1,0)</f>
        <v>1</v>
      </c>
      <c r="S3" s="2">
        <f>IF(AND(VLOOKUP(S$1,'20Trips'!$A$3:$I$22,8,FALSE) - VLOOKUP($B3,'20Trips'!$A$3:$I$22,9,FALSE) &gt;= ('20Trips'!$B$23+VLOOKUP(VLOOKUP($B3,'20Trips'!$A$2:$I$22,4,FALSE),'20Trips'!$AB$32:$AH$36,3,FALSE))),1,0)</f>
        <v>0</v>
      </c>
      <c r="T3" s="2">
        <f>IF(AND(VLOOKUP(T$1,'20Trips'!$A$3:$I$22,8,FALSE) - VLOOKUP($B3,'20Trips'!$A$3:$I$22,9,FALSE) &gt;= ('20Trips'!$B$23+VLOOKUP(VLOOKUP($B3,'20Trips'!$A$2:$I$22,4,FALSE),'20Trips'!$AB$32:$AH$36,3,FALSE))),1,0)</f>
        <v>0</v>
      </c>
      <c r="U3" s="2">
        <f>IF(AND(VLOOKUP(U$1,'20Trips'!$A$3:$I$22,8,FALSE) - VLOOKUP($B3,'20Trips'!$A$3:$I$22,9,FALSE) &gt;= ('20Trips'!$B$23+VLOOKUP(VLOOKUP($B3,'20Trips'!$A$2:$I$22,4,FALSE),'20Trips'!$AB$32:$AH$36,3,FALSE))),1,0)</f>
        <v>1</v>
      </c>
      <c r="V3" s="2">
        <f>IF(AND(VLOOKUP(V$1,'20Trips'!$A$3:$I$22,8,FALSE) - VLOOKUP($B3,'20Trips'!$A$3:$I$22,9,FALSE) &gt;= ('20Trips'!$B$23+VLOOKUP(VLOOKUP($B3,'20Trips'!$A$2:$I$22,4,FALSE),'20Trips'!$AB$32:$AH$36,3,FALSE))),1,0)</f>
        <v>1</v>
      </c>
      <c r="W3" s="2">
        <f>IF(AND(VLOOKUP(W$1,'20Trips'!$A$3:$I$22,8,FALSE) - VLOOKUP($B3,'20Trips'!$A$3:$I$22,9,FALSE) &gt;= ('20Trips'!$B$23+VLOOKUP(VLOOKUP($B3,'20Trips'!$A$2:$I$22,4,FALSE),'20Trips'!$AB$32:$AH$36,3,FALSE))),1,0)</f>
        <v>1</v>
      </c>
    </row>
    <row r="4" spans="1:24" x14ac:dyDescent="0.25">
      <c r="A4" t="s">
        <v>48</v>
      </c>
      <c r="B4" t="s">
        <v>9</v>
      </c>
      <c r="C4">
        <v>0</v>
      </c>
      <c r="D4" s="2">
        <f>IF(AND(VLOOKUP(D$1,'20Trips'!$A$3:$I$22,8,FALSE) - VLOOKUP($B4,'20Trips'!$A$3:$I$22,9,FALSE) &gt;= ('20Trips'!$B$23+VLOOKUP(VLOOKUP($B4,'20Trips'!$A$2:$I$22,4,FALSE),'20Trips'!$AB$32:$AH$36,3,FALSE))),1,0)</f>
        <v>0</v>
      </c>
      <c r="E4" s="2">
        <f>IF(AND(VLOOKUP(E$1,'20Trips'!$A$3:$I$22,8,FALSE) - VLOOKUP($B4,'20Trips'!$A$3:$I$22,9,FALSE) &gt;= ('20Trips'!$B$23+VLOOKUP(VLOOKUP($B4,'20Trips'!$A$2:$I$22,4,FALSE),'20Trips'!$AB$32:$AH$36,3,FALSE))),1,0)</f>
        <v>0</v>
      </c>
      <c r="F4" s="2">
        <f>IF(AND(VLOOKUP(F$1,'20Trips'!$A$3:$I$22,8,FALSE) - VLOOKUP($B4,'20Trips'!$A$3:$I$22,9,FALSE) &gt;= ('20Trips'!$B$23+VLOOKUP(VLOOKUP($B4,'20Trips'!$A$2:$I$22,4,FALSE),'20Trips'!$AB$32:$AH$36,3,FALSE))),1,0)</f>
        <v>0</v>
      </c>
      <c r="G4" s="2">
        <f>IF(AND(VLOOKUP(G$1,'20Trips'!$A$3:$I$22,8,FALSE) - VLOOKUP($B4,'20Trips'!$A$3:$I$22,9,FALSE) &gt;= ('20Trips'!$B$23+VLOOKUP(VLOOKUP($B4,'20Trips'!$A$2:$I$22,4,FALSE),'20Trips'!$AB$32:$AH$36,3,FALSE))),1,0)</f>
        <v>0</v>
      </c>
      <c r="H4" s="2">
        <f>IF(AND(VLOOKUP(H$1,'20Trips'!$A$3:$I$22,8,FALSE) - VLOOKUP($B4,'20Trips'!$A$3:$I$22,9,FALSE) &gt;= ('20Trips'!$B$23+VLOOKUP(VLOOKUP($B4,'20Trips'!$A$2:$I$22,4,FALSE),'20Trips'!$AB$32:$AH$36,3,FALSE))),1,0)</f>
        <v>1</v>
      </c>
      <c r="I4" s="2">
        <f>IF(AND(VLOOKUP(I$1,'20Trips'!$A$3:$I$22,8,FALSE) - VLOOKUP($B4,'20Trips'!$A$3:$I$22,9,FALSE) &gt;= ('20Trips'!$B$23+VLOOKUP(VLOOKUP($B4,'20Trips'!$A$2:$I$22,4,FALSE),'20Trips'!$AB$32:$AH$36,3,FALSE))),1,0)</f>
        <v>0</v>
      </c>
      <c r="J4" s="2">
        <f>IF(AND(VLOOKUP(J$1,'20Trips'!$A$3:$I$22,8,FALSE) - VLOOKUP($B4,'20Trips'!$A$3:$I$22,9,FALSE) &gt;= ('20Trips'!$B$23+VLOOKUP(VLOOKUP($B4,'20Trips'!$A$2:$I$22,4,FALSE),'20Trips'!$AB$32:$AH$36,3,FALSE))),1,0)</f>
        <v>0</v>
      </c>
      <c r="K4" s="2">
        <f>IF(AND(VLOOKUP(K$1,'20Trips'!$A$3:$I$22,8,FALSE) - VLOOKUP($B4,'20Trips'!$A$3:$I$22,9,FALSE) &gt;= ('20Trips'!$B$23+VLOOKUP(VLOOKUP($B4,'20Trips'!$A$2:$I$22,4,FALSE),'20Trips'!$AB$32:$AH$36,3,FALSE))),1,0)</f>
        <v>0</v>
      </c>
      <c r="L4" s="2">
        <f>IF(AND(VLOOKUP(L$1,'20Trips'!$A$3:$I$22,8,FALSE) - VLOOKUP($B4,'20Trips'!$A$3:$I$22,9,FALSE) &gt;= ('20Trips'!$B$23+VLOOKUP(VLOOKUP($B4,'20Trips'!$A$2:$I$22,4,FALSE),'20Trips'!$AB$32:$AH$36,3,FALSE))),1,0)</f>
        <v>1</v>
      </c>
      <c r="M4" s="2">
        <f>IF(AND(VLOOKUP(M$1,'20Trips'!$A$3:$I$22,8,FALSE) - VLOOKUP($B4,'20Trips'!$A$3:$I$22,9,FALSE) &gt;= ('20Trips'!$B$23+VLOOKUP(VLOOKUP($B4,'20Trips'!$A$2:$I$22,4,FALSE),'20Trips'!$AB$32:$AH$36,3,FALSE))),1,0)</f>
        <v>1</v>
      </c>
      <c r="N4" s="2">
        <f>IF(AND(VLOOKUP(N$1,'20Trips'!$A$3:$I$22,8,FALSE) - VLOOKUP($B4,'20Trips'!$A$3:$I$22,9,FALSE) &gt;= ('20Trips'!$B$23+VLOOKUP(VLOOKUP($B4,'20Trips'!$A$2:$I$22,4,FALSE),'20Trips'!$AB$32:$AH$36,3,FALSE))),1,0)</f>
        <v>0</v>
      </c>
      <c r="O4" s="2">
        <f>IF(AND(VLOOKUP(O$1,'20Trips'!$A$3:$I$22,8,FALSE) - VLOOKUP($B4,'20Trips'!$A$3:$I$22,9,FALSE) &gt;= ('20Trips'!$B$23+VLOOKUP(VLOOKUP($B4,'20Trips'!$A$2:$I$22,4,FALSE),'20Trips'!$AB$32:$AH$36,3,FALSE))),1,0)</f>
        <v>0</v>
      </c>
      <c r="P4" s="2">
        <f>IF(AND(VLOOKUP(P$1,'20Trips'!$A$3:$I$22,8,FALSE) - VLOOKUP($B4,'20Trips'!$A$3:$I$22,9,FALSE) &gt;= ('20Trips'!$B$23+VLOOKUP(VLOOKUP($B4,'20Trips'!$A$2:$I$22,4,FALSE),'20Trips'!$AB$32:$AH$36,3,FALSE))),1,0)</f>
        <v>0</v>
      </c>
      <c r="Q4" s="2">
        <f>IF(AND(VLOOKUP(Q$1,'20Trips'!$A$3:$I$22,8,FALSE) - VLOOKUP($B4,'20Trips'!$A$3:$I$22,9,FALSE) &gt;= ('20Trips'!$B$23+VLOOKUP(VLOOKUP($B4,'20Trips'!$A$2:$I$22,4,FALSE),'20Trips'!$AB$32:$AH$36,3,FALSE))),1,0)</f>
        <v>0</v>
      </c>
      <c r="R4" s="2">
        <f>IF(AND(VLOOKUP(R$1,'20Trips'!$A$3:$I$22,8,FALSE) - VLOOKUP($B4,'20Trips'!$A$3:$I$22,9,FALSE) &gt;= ('20Trips'!$B$23+VLOOKUP(VLOOKUP($B4,'20Trips'!$A$2:$I$22,4,FALSE),'20Trips'!$AB$32:$AH$36,3,FALSE))),1,0)</f>
        <v>0</v>
      </c>
      <c r="S4" s="2">
        <f>IF(AND(VLOOKUP(S$1,'20Trips'!$A$3:$I$22,8,FALSE) - VLOOKUP($B4,'20Trips'!$A$3:$I$22,9,FALSE) &gt;= ('20Trips'!$B$23+VLOOKUP(VLOOKUP($B4,'20Trips'!$A$2:$I$22,4,FALSE),'20Trips'!$AB$32:$AH$36,3,FALSE))),1,0)</f>
        <v>0</v>
      </c>
      <c r="T4" s="2">
        <f>IF(AND(VLOOKUP(T$1,'20Trips'!$A$3:$I$22,8,FALSE) - VLOOKUP($B4,'20Trips'!$A$3:$I$22,9,FALSE) &gt;= ('20Trips'!$B$23+VLOOKUP(VLOOKUP($B4,'20Trips'!$A$2:$I$22,4,FALSE),'20Trips'!$AB$32:$AH$36,3,FALSE))),1,0)</f>
        <v>0</v>
      </c>
      <c r="U4" s="2">
        <f>IF(AND(VLOOKUP(U$1,'20Trips'!$A$3:$I$22,8,FALSE) - VLOOKUP($B4,'20Trips'!$A$3:$I$22,9,FALSE) &gt;= ('20Trips'!$B$23+VLOOKUP(VLOOKUP($B4,'20Trips'!$A$2:$I$22,4,FALSE),'20Trips'!$AB$32:$AH$36,3,FALSE))),1,0)</f>
        <v>0</v>
      </c>
      <c r="V4" s="2">
        <f>IF(AND(VLOOKUP(V$1,'20Trips'!$A$3:$I$22,8,FALSE) - VLOOKUP($B4,'20Trips'!$A$3:$I$22,9,FALSE) &gt;= ('20Trips'!$B$23+VLOOKUP(VLOOKUP($B4,'20Trips'!$A$2:$I$22,4,FALSE),'20Trips'!$AB$32:$AH$36,3,FALSE))),1,0)</f>
        <v>0</v>
      </c>
      <c r="W4" s="2">
        <f>IF(AND(VLOOKUP(W$1,'20Trips'!$A$3:$I$22,8,FALSE) - VLOOKUP($B4,'20Trips'!$A$3:$I$22,9,FALSE) &gt;= ('20Trips'!$B$23+VLOOKUP(VLOOKUP($B4,'20Trips'!$A$2:$I$22,4,FALSE),'20Trips'!$AB$32:$AH$36,3,FALSE))),1,0)</f>
        <v>1</v>
      </c>
    </row>
    <row r="5" spans="1:24" x14ac:dyDescent="0.25">
      <c r="A5" t="s">
        <v>48</v>
      </c>
      <c r="B5" t="s">
        <v>10</v>
      </c>
      <c r="C5">
        <v>0</v>
      </c>
      <c r="D5" s="2">
        <f>IF(AND(VLOOKUP(D$1,'20Trips'!$A$3:$I$22,8,FALSE) - VLOOKUP($B5,'20Trips'!$A$3:$I$22,9,FALSE) &gt;= ('20Trips'!$B$23+VLOOKUP(VLOOKUP($B5,'20Trips'!$A$2:$I$22,4,FALSE),'20Trips'!$AB$32:$AH$36,3,FALSE))),1,0)</f>
        <v>0</v>
      </c>
      <c r="E5" s="2">
        <f>IF(AND(VLOOKUP(E$1,'20Trips'!$A$3:$I$22,8,FALSE) - VLOOKUP($B5,'20Trips'!$A$3:$I$22,9,FALSE) &gt;= ('20Trips'!$B$23+VLOOKUP(VLOOKUP($B5,'20Trips'!$A$2:$I$22,4,FALSE),'20Trips'!$AB$32:$AH$36,3,FALSE))),1,0)</f>
        <v>0</v>
      </c>
      <c r="F5" s="2">
        <f>IF(AND(VLOOKUP(F$1,'20Trips'!$A$3:$I$22,8,FALSE) - VLOOKUP($B5,'20Trips'!$A$3:$I$22,9,FALSE) &gt;= ('20Trips'!$B$23+VLOOKUP(VLOOKUP($B5,'20Trips'!$A$2:$I$22,4,FALSE),'20Trips'!$AB$32:$AH$36,3,FALSE))),1,0)</f>
        <v>0</v>
      </c>
      <c r="G5" s="2">
        <f>IF(AND(VLOOKUP(G$1,'20Trips'!$A$3:$I$22,8,FALSE) - VLOOKUP($B5,'20Trips'!$A$3:$I$22,9,FALSE) &gt;= ('20Trips'!$B$23+VLOOKUP(VLOOKUP($B5,'20Trips'!$A$2:$I$22,4,FALSE),'20Trips'!$AB$32:$AH$36,3,FALSE))),1,0)</f>
        <v>0</v>
      </c>
      <c r="H5" s="2">
        <f>IF(AND(VLOOKUP(H$1,'20Trips'!$A$3:$I$22,8,FALSE) - VLOOKUP($B5,'20Trips'!$A$3:$I$22,9,FALSE) &gt;= ('20Trips'!$B$23+VLOOKUP(VLOOKUP($B5,'20Trips'!$A$2:$I$22,4,FALSE),'20Trips'!$AB$32:$AH$36,3,FALSE))),1,0)</f>
        <v>0</v>
      </c>
      <c r="I5" s="2">
        <f>IF(AND(VLOOKUP(I$1,'20Trips'!$A$3:$I$22,8,FALSE) - VLOOKUP($B5,'20Trips'!$A$3:$I$22,9,FALSE) &gt;= ('20Trips'!$B$23+VLOOKUP(VLOOKUP($B5,'20Trips'!$A$2:$I$22,4,FALSE),'20Trips'!$AB$32:$AH$36,3,FALSE))),1,0)</f>
        <v>0</v>
      </c>
      <c r="J5" s="2">
        <f>IF(AND(VLOOKUP(J$1,'20Trips'!$A$3:$I$22,8,FALSE) - VLOOKUP($B5,'20Trips'!$A$3:$I$22,9,FALSE) &gt;= ('20Trips'!$B$23+VLOOKUP(VLOOKUP($B5,'20Trips'!$A$2:$I$22,4,FALSE),'20Trips'!$AB$32:$AH$36,3,FALSE))),1,0)</f>
        <v>0</v>
      </c>
      <c r="K5" s="2">
        <f>IF(AND(VLOOKUP(K$1,'20Trips'!$A$3:$I$22,8,FALSE) - VLOOKUP($B5,'20Trips'!$A$3:$I$22,9,FALSE) &gt;= ('20Trips'!$B$23+VLOOKUP(VLOOKUP($B5,'20Trips'!$A$2:$I$22,4,FALSE),'20Trips'!$AB$32:$AH$36,3,FALSE))),1,0)</f>
        <v>0</v>
      </c>
      <c r="L5" s="2">
        <f>IF(AND(VLOOKUP(L$1,'20Trips'!$A$3:$I$22,8,FALSE) - VLOOKUP($B5,'20Trips'!$A$3:$I$22,9,FALSE) &gt;= ('20Trips'!$B$23+VLOOKUP(VLOOKUP($B5,'20Trips'!$A$2:$I$22,4,FALSE),'20Trips'!$AB$32:$AH$36,3,FALSE))),1,0)</f>
        <v>1</v>
      </c>
      <c r="M5" s="2">
        <f>IF(AND(VLOOKUP(M$1,'20Trips'!$A$3:$I$22,8,FALSE) - VLOOKUP($B5,'20Trips'!$A$3:$I$22,9,FALSE) &gt;= ('20Trips'!$B$23+VLOOKUP(VLOOKUP($B5,'20Trips'!$A$2:$I$22,4,FALSE),'20Trips'!$AB$32:$AH$36,3,FALSE))),1,0)</f>
        <v>1</v>
      </c>
      <c r="N5" s="2">
        <f>IF(AND(VLOOKUP(N$1,'20Trips'!$A$3:$I$22,8,FALSE) - VLOOKUP($B5,'20Trips'!$A$3:$I$22,9,FALSE) &gt;= ('20Trips'!$B$23+VLOOKUP(VLOOKUP($B5,'20Trips'!$A$2:$I$22,4,FALSE),'20Trips'!$AB$32:$AH$36,3,FALSE))),1,0)</f>
        <v>0</v>
      </c>
      <c r="O5" s="2">
        <f>IF(AND(VLOOKUP(O$1,'20Trips'!$A$3:$I$22,8,FALSE) - VLOOKUP($B5,'20Trips'!$A$3:$I$22,9,FALSE) &gt;= ('20Trips'!$B$23+VLOOKUP(VLOOKUP($B5,'20Trips'!$A$2:$I$22,4,FALSE),'20Trips'!$AB$32:$AH$36,3,FALSE))),1,0)</f>
        <v>0</v>
      </c>
      <c r="P5" s="2">
        <f>IF(AND(VLOOKUP(P$1,'20Trips'!$A$3:$I$22,8,FALSE) - VLOOKUP($B5,'20Trips'!$A$3:$I$22,9,FALSE) &gt;= ('20Trips'!$B$23+VLOOKUP(VLOOKUP($B5,'20Trips'!$A$2:$I$22,4,FALSE),'20Trips'!$AB$32:$AH$36,3,FALSE))),1,0)</f>
        <v>0</v>
      </c>
      <c r="Q5" s="2">
        <f>IF(AND(VLOOKUP(Q$1,'20Trips'!$A$3:$I$22,8,FALSE) - VLOOKUP($B5,'20Trips'!$A$3:$I$22,9,FALSE) &gt;= ('20Trips'!$B$23+VLOOKUP(VLOOKUP($B5,'20Trips'!$A$2:$I$22,4,FALSE),'20Trips'!$AB$32:$AH$36,3,FALSE))),1,0)</f>
        <v>0</v>
      </c>
      <c r="R5" s="2">
        <f>IF(AND(VLOOKUP(R$1,'20Trips'!$A$3:$I$22,8,FALSE) - VLOOKUP($B5,'20Trips'!$A$3:$I$22,9,FALSE) &gt;= ('20Trips'!$B$23+VLOOKUP(VLOOKUP($B5,'20Trips'!$A$2:$I$22,4,FALSE),'20Trips'!$AB$32:$AH$36,3,FALSE))),1,0)</f>
        <v>0</v>
      </c>
      <c r="S5" s="2">
        <f>IF(AND(VLOOKUP(S$1,'20Trips'!$A$3:$I$22,8,FALSE) - VLOOKUP($B5,'20Trips'!$A$3:$I$22,9,FALSE) &gt;= ('20Trips'!$B$23+VLOOKUP(VLOOKUP($B5,'20Trips'!$A$2:$I$22,4,FALSE),'20Trips'!$AB$32:$AH$36,3,FALSE))),1,0)</f>
        <v>0</v>
      </c>
      <c r="T5" s="2">
        <f>IF(AND(VLOOKUP(T$1,'20Trips'!$A$3:$I$22,8,FALSE) - VLOOKUP($B5,'20Trips'!$A$3:$I$22,9,FALSE) &gt;= ('20Trips'!$B$23+VLOOKUP(VLOOKUP($B5,'20Trips'!$A$2:$I$22,4,FALSE),'20Trips'!$AB$32:$AH$36,3,FALSE))),1,0)</f>
        <v>0</v>
      </c>
      <c r="U5" s="2">
        <f>IF(AND(VLOOKUP(U$1,'20Trips'!$A$3:$I$22,8,FALSE) - VLOOKUP($B5,'20Trips'!$A$3:$I$22,9,FALSE) &gt;= ('20Trips'!$B$23+VLOOKUP(VLOOKUP($B5,'20Trips'!$A$2:$I$22,4,FALSE),'20Trips'!$AB$32:$AH$36,3,FALSE))),1,0)</f>
        <v>0</v>
      </c>
      <c r="V5" s="2">
        <f>IF(AND(VLOOKUP(V$1,'20Trips'!$A$3:$I$22,8,FALSE) - VLOOKUP($B5,'20Trips'!$A$3:$I$22,9,FALSE) &gt;= ('20Trips'!$B$23+VLOOKUP(VLOOKUP($B5,'20Trips'!$A$2:$I$22,4,FALSE),'20Trips'!$AB$32:$AH$36,3,FALSE))),1,0)</f>
        <v>0</v>
      </c>
      <c r="W5" s="2">
        <f>IF(AND(VLOOKUP(W$1,'20Trips'!$A$3:$I$22,8,FALSE) - VLOOKUP($B5,'20Trips'!$A$3:$I$22,9,FALSE) &gt;= ('20Trips'!$B$23+VLOOKUP(VLOOKUP($B5,'20Trips'!$A$2:$I$22,4,FALSE),'20Trips'!$AB$32:$AH$36,3,FALSE))),1,0)</f>
        <v>0</v>
      </c>
    </row>
    <row r="6" spans="1:24" x14ac:dyDescent="0.25">
      <c r="A6" t="s">
        <v>48</v>
      </c>
      <c r="B6" t="s">
        <v>11</v>
      </c>
      <c r="C6">
        <v>0</v>
      </c>
      <c r="D6" s="2">
        <f>IF(AND(VLOOKUP(D$1,'20Trips'!$A$3:$I$22,8,FALSE) - VLOOKUP($B6,'20Trips'!$A$3:$I$22,9,FALSE) &gt;= ('20Trips'!$B$23+VLOOKUP(VLOOKUP($B6,'20Trips'!$A$2:$I$22,4,FALSE),'20Trips'!$AB$32:$AH$36,3,FALSE))),1,0)</f>
        <v>0</v>
      </c>
      <c r="E6" s="2">
        <f>IF(AND(VLOOKUP(E$1,'20Trips'!$A$3:$I$22,8,FALSE) - VLOOKUP($B6,'20Trips'!$A$3:$I$22,9,FALSE) &gt;= ('20Trips'!$B$23+VLOOKUP(VLOOKUP($B6,'20Trips'!$A$2:$I$22,4,FALSE),'20Trips'!$AB$32:$AH$36,3,FALSE))),1,0)</f>
        <v>0</v>
      </c>
      <c r="F6" s="2">
        <f>IF(AND(VLOOKUP(F$1,'20Trips'!$A$3:$I$22,8,FALSE) - VLOOKUP($B6,'20Trips'!$A$3:$I$22,9,FALSE) &gt;= ('20Trips'!$B$23+VLOOKUP(VLOOKUP($B6,'20Trips'!$A$2:$I$22,4,FALSE),'20Trips'!$AB$32:$AH$36,3,FALSE))),1,0)</f>
        <v>0</v>
      </c>
      <c r="G6" s="2">
        <f>IF(AND(VLOOKUP(G$1,'20Trips'!$A$3:$I$22,8,FALSE) - VLOOKUP($B6,'20Trips'!$A$3:$I$22,9,FALSE) &gt;= ('20Trips'!$B$23+VLOOKUP(VLOOKUP($B6,'20Trips'!$A$2:$I$22,4,FALSE),'20Trips'!$AB$32:$AH$36,3,FALSE))),1,0)</f>
        <v>0</v>
      </c>
      <c r="H6" s="2">
        <f>IF(AND(VLOOKUP(H$1,'20Trips'!$A$3:$I$22,8,FALSE) - VLOOKUP($B6,'20Trips'!$A$3:$I$22,9,FALSE) &gt;= ('20Trips'!$B$23+VLOOKUP(VLOOKUP($B6,'20Trips'!$A$2:$I$22,4,FALSE),'20Trips'!$AB$32:$AH$36,3,FALSE))),1,0)</f>
        <v>0</v>
      </c>
      <c r="I6" s="2">
        <f>IF(AND(VLOOKUP(I$1,'20Trips'!$A$3:$I$22,8,FALSE) - VLOOKUP($B6,'20Trips'!$A$3:$I$22,9,FALSE) &gt;= ('20Trips'!$B$23+VLOOKUP(VLOOKUP($B6,'20Trips'!$A$2:$I$22,4,FALSE),'20Trips'!$AB$32:$AH$36,3,FALSE))),1,0)</f>
        <v>0</v>
      </c>
      <c r="J6" s="2">
        <f>IF(AND(VLOOKUP(J$1,'20Trips'!$A$3:$I$22,8,FALSE) - VLOOKUP($B6,'20Trips'!$A$3:$I$22,9,FALSE) &gt;= ('20Trips'!$B$23+VLOOKUP(VLOOKUP($B6,'20Trips'!$A$2:$I$22,4,FALSE),'20Trips'!$AB$32:$AH$36,3,FALSE))),1,0)</f>
        <v>0</v>
      </c>
      <c r="K6" s="2">
        <f>IF(AND(VLOOKUP(K$1,'20Trips'!$A$3:$I$22,8,FALSE) - VLOOKUP($B6,'20Trips'!$A$3:$I$22,9,FALSE) &gt;= ('20Trips'!$B$23+VLOOKUP(VLOOKUP($B6,'20Trips'!$A$2:$I$22,4,FALSE),'20Trips'!$AB$32:$AH$36,3,FALSE))),1,0)</f>
        <v>0</v>
      </c>
      <c r="L6" s="2">
        <f>IF(AND(VLOOKUP(L$1,'20Trips'!$A$3:$I$22,8,FALSE) - VLOOKUP($B6,'20Trips'!$A$3:$I$22,9,FALSE) &gt;= ('20Trips'!$B$23+VLOOKUP(VLOOKUP($B6,'20Trips'!$A$2:$I$22,4,FALSE),'20Trips'!$AB$32:$AH$36,3,FALSE))),1,0)</f>
        <v>1</v>
      </c>
      <c r="M6" s="2">
        <f>IF(AND(VLOOKUP(M$1,'20Trips'!$A$3:$I$22,8,FALSE) - VLOOKUP($B6,'20Trips'!$A$3:$I$22,9,FALSE) &gt;= ('20Trips'!$B$23+VLOOKUP(VLOOKUP($B6,'20Trips'!$A$2:$I$22,4,FALSE),'20Trips'!$AB$32:$AH$36,3,FALSE))),1,0)</f>
        <v>1</v>
      </c>
      <c r="N6" s="2">
        <f>IF(AND(VLOOKUP(N$1,'20Trips'!$A$3:$I$22,8,FALSE) - VLOOKUP($B6,'20Trips'!$A$3:$I$22,9,FALSE) &gt;= ('20Trips'!$B$23+VLOOKUP(VLOOKUP($B6,'20Trips'!$A$2:$I$22,4,FALSE),'20Trips'!$AB$32:$AH$36,3,FALSE))),1,0)</f>
        <v>0</v>
      </c>
      <c r="O6" s="2">
        <f>IF(AND(VLOOKUP(O$1,'20Trips'!$A$3:$I$22,8,FALSE) - VLOOKUP($B6,'20Trips'!$A$3:$I$22,9,FALSE) &gt;= ('20Trips'!$B$23+VLOOKUP(VLOOKUP($B6,'20Trips'!$A$2:$I$22,4,FALSE),'20Trips'!$AB$32:$AH$36,3,FALSE))),1,0)</f>
        <v>0</v>
      </c>
      <c r="P6" s="2">
        <f>IF(AND(VLOOKUP(P$1,'20Trips'!$A$3:$I$22,8,FALSE) - VLOOKUP($B6,'20Trips'!$A$3:$I$22,9,FALSE) &gt;= ('20Trips'!$B$23+VLOOKUP(VLOOKUP($B6,'20Trips'!$A$2:$I$22,4,FALSE),'20Trips'!$AB$32:$AH$36,3,FALSE))),1,0)</f>
        <v>0</v>
      </c>
      <c r="Q6" s="2">
        <f>IF(AND(VLOOKUP(Q$1,'20Trips'!$A$3:$I$22,8,FALSE) - VLOOKUP($B6,'20Trips'!$A$3:$I$22,9,FALSE) &gt;= ('20Trips'!$B$23+VLOOKUP(VLOOKUP($B6,'20Trips'!$A$2:$I$22,4,FALSE),'20Trips'!$AB$32:$AH$36,3,FALSE))),1,0)</f>
        <v>0</v>
      </c>
      <c r="R6" s="2">
        <f>IF(AND(VLOOKUP(R$1,'20Trips'!$A$3:$I$22,8,FALSE) - VLOOKUP($B6,'20Trips'!$A$3:$I$22,9,FALSE) &gt;= ('20Trips'!$B$23+VLOOKUP(VLOOKUP($B6,'20Trips'!$A$2:$I$22,4,FALSE),'20Trips'!$AB$32:$AH$36,3,FALSE))),1,0)</f>
        <v>0</v>
      </c>
      <c r="S6" s="2">
        <f>IF(AND(VLOOKUP(S$1,'20Trips'!$A$3:$I$22,8,FALSE) - VLOOKUP($B6,'20Trips'!$A$3:$I$22,9,FALSE) &gt;= ('20Trips'!$B$23+VLOOKUP(VLOOKUP($B6,'20Trips'!$A$2:$I$22,4,FALSE),'20Trips'!$AB$32:$AH$36,3,FALSE))),1,0)</f>
        <v>0</v>
      </c>
      <c r="T6" s="2">
        <f>IF(AND(VLOOKUP(T$1,'20Trips'!$A$3:$I$22,8,FALSE) - VLOOKUP($B6,'20Trips'!$A$3:$I$22,9,FALSE) &gt;= ('20Trips'!$B$23+VLOOKUP(VLOOKUP($B6,'20Trips'!$A$2:$I$22,4,FALSE),'20Trips'!$AB$32:$AH$36,3,FALSE))),1,0)</f>
        <v>0</v>
      </c>
      <c r="U6" s="2">
        <f>IF(AND(VLOOKUP(U$1,'20Trips'!$A$3:$I$22,8,FALSE) - VLOOKUP($B6,'20Trips'!$A$3:$I$22,9,FALSE) &gt;= ('20Trips'!$B$23+VLOOKUP(VLOOKUP($B6,'20Trips'!$A$2:$I$22,4,FALSE),'20Trips'!$AB$32:$AH$36,3,FALSE))),1,0)</f>
        <v>0</v>
      </c>
      <c r="V6" s="2">
        <f>IF(AND(VLOOKUP(V$1,'20Trips'!$A$3:$I$22,8,FALSE) - VLOOKUP($B6,'20Trips'!$A$3:$I$22,9,FALSE) &gt;= ('20Trips'!$B$23+VLOOKUP(VLOOKUP($B6,'20Trips'!$A$2:$I$22,4,FALSE),'20Trips'!$AB$32:$AH$36,3,FALSE))),1,0)</f>
        <v>0</v>
      </c>
      <c r="W6" s="2">
        <f>IF(AND(VLOOKUP(W$1,'20Trips'!$A$3:$I$22,8,FALSE) - VLOOKUP($B6,'20Trips'!$A$3:$I$22,9,FALSE) &gt;= ('20Trips'!$B$23+VLOOKUP(VLOOKUP($B6,'20Trips'!$A$2:$I$22,4,FALSE),'20Trips'!$AB$32:$AH$36,3,FALSE))),1,0)</f>
        <v>0</v>
      </c>
    </row>
    <row r="7" spans="1:24" x14ac:dyDescent="0.25">
      <c r="A7" t="s">
        <v>48</v>
      </c>
      <c r="B7" t="s">
        <v>12</v>
      </c>
      <c r="C7">
        <v>0</v>
      </c>
      <c r="D7" s="2">
        <f>IF(AND(VLOOKUP(D$1,'20Trips'!$A$3:$I$22,8,FALSE) - VLOOKUP($B7,'20Trips'!$A$3:$I$22,9,FALSE) &gt;= ('20Trips'!$B$23+VLOOKUP(VLOOKUP($B7,'20Trips'!$A$2:$I$22,4,FALSE),'20Trips'!$AB$32:$AH$36,3,FALSE))),1,0)</f>
        <v>0</v>
      </c>
      <c r="E7" s="2">
        <f>IF(AND(VLOOKUP(E$1,'20Trips'!$A$3:$I$22,8,FALSE) - VLOOKUP($B7,'20Trips'!$A$3:$I$22,9,FALSE) &gt;= ('20Trips'!$B$23+VLOOKUP(VLOOKUP($B7,'20Trips'!$A$2:$I$22,4,FALSE),'20Trips'!$AB$32:$AH$36,3,FALSE))),1,0)</f>
        <v>0</v>
      </c>
      <c r="F7" s="2">
        <f>IF(AND(VLOOKUP(F$1,'20Trips'!$A$3:$I$22,8,FALSE) - VLOOKUP($B7,'20Trips'!$A$3:$I$22,9,FALSE) &gt;= ('20Trips'!$B$23+VLOOKUP(VLOOKUP($B7,'20Trips'!$A$2:$I$22,4,FALSE),'20Trips'!$AB$32:$AH$36,3,FALSE))),1,0)</f>
        <v>0</v>
      </c>
      <c r="G7" s="2">
        <f>IF(AND(VLOOKUP(G$1,'20Trips'!$A$3:$I$22,8,FALSE) - VLOOKUP($B7,'20Trips'!$A$3:$I$22,9,FALSE) &gt;= ('20Trips'!$B$23+VLOOKUP(VLOOKUP($B7,'20Trips'!$A$2:$I$22,4,FALSE),'20Trips'!$AB$32:$AH$36,3,FALSE))),1,0)</f>
        <v>0</v>
      </c>
      <c r="H7" s="2">
        <f>IF(AND(VLOOKUP(H$1,'20Trips'!$A$3:$I$22,8,FALSE) - VLOOKUP($B7,'20Trips'!$A$3:$I$22,9,FALSE) &gt;= ('20Trips'!$B$23+VLOOKUP(VLOOKUP($B7,'20Trips'!$A$2:$I$22,4,FALSE),'20Trips'!$AB$32:$AH$36,3,FALSE))),1,0)</f>
        <v>0</v>
      </c>
      <c r="I7" s="2">
        <f>IF(AND(VLOOKUP(I$1,'20Trips'!$A$3:$I$22,8,FALSE) - VLOOKUP($B7,'20Trips'!$A$3:$I$22,9,FALSE) &gt;= ('20Trips'!$B$23+VLOOKUP(VLOOKUP($B7,'20Trips'!$A$2:$I$22,4,FALSE),'20Trips'!$AB$32:$AH$36,3,FALSE))),1,0)</f>
        <v>0</v>
      </c>
      <c r="J7" s="2">
        <f>IF(AND(VLOOKUP(J$1,'20Trips'!$A$3:$I$22,8,FALSE) - VLOOKUP($B7,'20Trips'!$A$3:$I$22,9,FALSE) &gt;= ('20Trips'!$B$23+VLOOKUP(VLOOKUP($B7,'20Trips'!$A$2:$I$22,4,FALSE),'20Trips'!$AB$32:$AH$36,3,FALSE))),1,0)</f>
        <v>0</v>
      </c>
      <c r="K7" s="2">
        <f>IF(AND(VLOOKUP(K$1,'20Trips'!$A$3:$I$22,8,FALSE) - VLOOKUP($B7,'20Trips'!$A$3:$I$22,9,FALSE) &gt;= ('20Trips'!$B$23+VLOOKUP(VLOOKUP($B7,'20Trips'!$A$2:$I$22,4,FALSE),'20Trips'!$AB$32:$AH$36,3,FALSE))),1,0)</f>
        <v>0</v>
      </c>
      <c r="L7" s="2">
        <f>IF(AND(VLOOKUP(L$1,'20Trips'!$A$3:$I$22,8,FALSE) - VLOOKUP($B7,'20Trips'!$A$3:$I$22,9,FALSE) &gt;= ('20Trips'!$B$23+VLOOKUP(VLOOKUP($B7,'20Trips'!$A$2:$I$22,4,FALSE),'20Trips'!$AB$32:$AH$36,3,FALSE))),1,0)</f>
        <v>0</v>
      </c>
      <c r="M7" s="2">
        <f>IF(AND(VLOOKUP(M$1,'20Trips'!$A$3:$I$22,8,FALSE) - VLOOKUP($B7,'20Trips'!$A$3:$I$22,9,FALSE) &gt;= ('20Trips'!$B$23+VLOOKUP(VLOOKUP($B7,'20Trips'!$A$2:$I$22,4,FALSE),'20Trips'!$AB$32:$AH$36,3,FALSE))),1,0)</f>
        <v>1</v>
      </c>
      <c r="N7" s="2">
        <f>IF(AND(VLOOKUP(N$1,'20Trips'!$A$3:$I$22,8,FALSE) - VLOOKUP($B7,'20Trips'!$A$3:$I$22,9,FALSE) &gt;= ('20Trips'!$B$23+VLOOKUP(VLOOKUP($B7,'20Trips'!$A$2:$I$22,4,FALSE),'20Trips'!$AB$32:$AH$36,3,FALSE))),1,0)</f>
        <v>0</v>
      </c>
      <c r="O7" s="2">
        <f>IF(AND(VLOOKUP(O$1,'20Trips'!$A$3:$I$22,8,FALSE) - VLOOKUP($B7,'20Trips'!$A$3:$I$22,9,FALSE) &gt;= ('20Trips'!$B$23+VLOOKUP(VLOOKUP($B7,'20Trips'!$A$2:$I$22,4,FALSE),'20Trips'!$AB$32:$AH$36,3,FALSE))),1,0)</f>
        <v>0</v>
      </c>
      <c r="P7" s="2">
        <f>IF(AND(VLOOKUP(P$1,'20Trips'!$A$3:$I$22,8,FALSE) - VLOOKUP($B7,'20Trips'!$A$3:$I$22,9,FALSE) &gt;= ('20Trips'!$B$23+VLOOKUP(VLOOKUP($B7,'20Trips'!$A$2:$I$22,4,FALSE),'20Trips'!$AB$32:$AH$36,3,FALSE))),1,0)</f>
        <v>0</v>
      </c>
      <c r="Q7" s="2">
        <f>IF(AND(VLOOKUP(Q$1,'20Trips'!$A$3:$I$22,8,FALSE) - VLOOKUP($B7,'20Trips'!$A$3:$I$22,9,FALSE) &gt;= ('20Trips'!$B$23+VLOOKUP(VLOOKUP($B7,'20Trips'!$A$2:$I$22,4,FALSE),'20Trips'!$AB$32:$AH$36,3,FALSE))),1,0)</f>
        <v>0</v>
      </c>
      <c r="R7" s="2">
        <f>IF(AND(VLOOKUP(R$1,'20Trips'!$A$3:$I$22,8,FALSE) - VLOOKUP($B7,'20Trips'!$A$3:$I$22,9,FALSE) &gt;= ('20Trips'!$B$23+VLOOKUP(VLOOKUP($B7,'20Trips'!$A$2:$I$22,4,FALSE),'20Trips'!$AB$32:$AH$36,3,FALSE))),1,0)</f>
        <v>0</v>
      </c>
      <c r="S7" s="2">
        <f>IF(AND(VLOOKUP(S$1,'20Trips'!$A$3:$I$22,8,FALSE) - VLOOKUP($B7,'20Trips'!$A$3:$I$22,9,FALSE) &gt;= ('20Trips'!$B$23+VLOOKUP(VLOOKUP($B7,'20Trips'!$A$2:$I$22,4,FALSE),'20Trips'!$AB$32:$AH$36,3,FALSE))),1,0)</f>
        <v>0</v>
      </c>
      <c r="T7" s="2">
        <f>IF(AND(VLOOKUP(T$1,'20Trips'!$A$3:$I$22,8,FALSE) - VLOOKUP($B7,'20Trips'!$A$3:$I$22,9,FALSE) &gt;= ('20Trips'!$B$23+VLOOKUP(VLOOKUP($B7,'20Trips'!$A$2:$I$22,4,FALSE),'20Trips'!$AB$32:$AH$36,3,FALSE))),1,0)</f>
        <v>0</v>
      </c>
      <c r="U7" s="2">
        <f>IF(AND(VLOOKUP(U$1,'20Trips'!$A$3:$I$22,8,FALSE) - VLOOKUP($B7,'20Trips'!$A$3:$I$22,9,FALSE) &gt;= ('20Trips'!$B$23+VLOOKUP(VLOOKUP($B7,'20Trips'!$A$2:$I$22,4,FALSE),'20Trips'!$AB$32:$AH$36,3,FALSE))),1,0)</f>
        <v>0</v>
      </c>
      <c r="V7" s="2">
        <f>IF(AND(VLOOKUP(V$1,'20Trips'!$A$3:$I$22,8,FALSE) - VLOOKUP($B7,'20Trips'!$A$3:$I$22,9,FALSE) &gt;= ('20Trips'!$B$23+VLOOKUP(VLOOKUP($B7,'20Trips'!$A$2:$I$22,4,FALSE),'20Trips'!$AB$32:$AH$36,3,FALSE))),1,0)</f>
        <v>0</v>
      </c>
      <c r="W7" s="2">
        <f>IF(AND(VLOOKUP(W$1,'20Trips'!$A$3:$I$22,8,FALSE) - VLOOKUP($B7,'20Trips'!$A$3:$I$22,9,FALSE) &gt;= ('20Trips'!$B$23+VLOOKUP(VLOOKUP($B7,'20Trips'!$A$2:$I$22,4,FALSE),'20Trips'!$AB$32:$AH$36,3,FALSE))),1,0)</f>
        <v>0</v>
      </c>
    </row>
    <row r="8" spans="1:24" x14ac:dyDescent="0.25">
      <c r="A8" t="s">
        <v>48</v>
      </c>
      <c r="B8" t="s">
        <v>18</v>
      </c>
      <c r="C8">
        <v>0</v>
      </c>
      <c r="D8" s="2">
        <f>IF(AND(VLOOKUP(D$1,'20Trips'!$A$3:$I$22,8,FALSE) - VLOOKUP($B8,'20Trips'!$A$3:$I$22,9,FALSE) &gt;= ('20Trips'!$B$23+VLOOKUP(VLOOKUP($B8,'20Trips'!$A$2:$I$22,4,FALSE),'20Trips'!$AB$32:$AH$36,3,FALSE))),1,0)</f>
        <v>0</v>
      </c>
      <c r="E8" s="2">
        <f>IF(AND(VLOOKUP(E$1,'20Trips'!$A$3:$I$22,8,FALSE) - VLOOKUP($B8,'20Trips'!$A$3:$I$22,9,FALSE) &gt;= ('20Trips'!$B$23+VLOOKUP(VLOOKUP($B8,'20Trips'!$A$2:$I$22,4,FALSE),'20Trips'!$AB$32:$AH$36,3,FALSE))),1,0)</f>
        <v>0</v>
      </c>
      <c r="F8" s="2">
        <f>IF(AND(VLOOKUP(F$1,'20Trips'!$A$3:$I$22,8,FALSE) - VLOOKUP($B8,'20Trips'!$A$3:$I$22,9,FALSE) &gt;= ('20Trips'!$B$23+VLOOKUP(VLOOKUP($B8,'20Trips'!$A$2:$I$22,4,FALSE),'20Trips'!$AB$32:$AH$36,3,FALSE))),1,0)</f>
        <v>1</v>
      </c>
      <c r="G8" s="2">
        <f>IF(AND(VLOOKUP(G$1,'20Trips'!$A$3:$I$22,8,FALSE) - VLOOKUP($B8,'20Trips'!$A$3:$I$22,9,FALSE) &gt;= ('20Trips'!$B$23+VLOOKUP(VLOOKUP($B8,'20Trips'!$A$2:$I$22,4,FALSE),'20Trips'!$AB$32:$AH$36,3,FALSE))),1,0)</f>
        <v>1</v>
      </c>
      <c r="H8" s="2">
        <f>IF(AND(VLOOKUP(H$1,'20Trips'!$A$3:$I$22,8,FALSE) - VLOOKUP($B8,'20Trips'!$A$3:$I$22,9,FALSE) &gt;= ('20Trips'!$B$23+VLOOKUP(VLOOKUP($B8,'20Trips'!$A$2:$I$22,4,FALSE),'20Trips'!$AB$32:$AH$36,3,FALSE))),1,0)</f>
        <v>1</v>
      </c>
      <c r="I8" s="2">
        <f>IF(AND(VLOOKUP(I$1,'20Trips'!$A$3:$I$22,8,FALSE) - VLOOKUP($B8,'20Trips'!$A$3:$I$22,9,FALSE) &gt;= ('20Trips'!$B$23+VLOOKUP(VLOOKUP($B8,'20Trips'!$A$2:$I$22,4,FALSE),'20Trips'!$AB$32:$AH$36,3,FALSE))),1,0)</f>
        <v>0</v>
      </c>
      <c r="J8" s="2">
        <f>IF(AND(VLOOKUP(J$1,'20Trips'!$A$3:$I$22,8,FALSE) - VLOOKUP($B8,'20Trips'!$A$3:$I$22,9,FALSE) &gt;= ('20Trips'!$B$23+VLOOKUP(VLOOKUP($B8,'20Trips'!$A$2:$I$22,4,FALSE),'20Trips'!$AB$32:$AH$36,3,FALSE))),1,0)</f>
        <v>0</v>
      </c>
      <c r="K8" s="2">
        <f>IF(AND(VLOOKUP(K$1,'20Trips'!$A$3:$I$22,8,FALSE) - VLOOKUP($B8,'20Trips'!$A$3:$I$22,9,FALSE) &gt;= ('20Trips'!$B$23+VLOOKUP(VLOOKUP($B8,'20Trips'!$A$2:$I$22,4,FALSE),'20Trips'!$AB$32:$AH$36,3,FALSE))),1,0)</f>
        <v>1</v>
      </c>
      <c r="L8" s="2">
        <f>IF(AND(VLOOKUP(L$1,'20Trips'!$A$3:$I$22,8,FALSE) - VLOOKUP($B8,'20Trips'!$A$3:$I$22,9,FALSE) &gt;= ('20Trips'!$B$23+VLOOKUP(VLOOKUP($B8,'20Trips'!$A$2:$I$22,4,FALSE),'20Trips'!$AB$32:$AH$36,3,FALSE))),1,0)</f>
        <v>1</v>
      </c>
      <c r="M8" s="2">
        <f>IF(AND(VLOOKUP(M$1,'20Trips'!$A$3:$I$22,8,FALSE) - VLOOKUP($B8,'20Trips'!$A$3:$I$22,9,FALSE) &gt;= ('20Trips'!$B$23+VLOOKUP(VLOOKUP($B8,'20Trips'!$A$2:$I$22,4,FALSE),'20Trips'!$AB$32:$AH$36,3,FALSE))),1,0)</f>
        <v>1</v>
      </c>
      <c r="N8" s="2">
        <f>IF(AND(VLOOKUP(N$1,'20Trips'!$A$3:$I$22,8,FALSE) - VLOOKUP($B8,'20Trips'!$A$3:$I$22,9,FALSE) &gt;= ('20Trips'!$B$23+VLOOKUP(VLOOKUP($B8,'20Trips'!$A$2:$I$22,4,FALSE),'20Trips'!$AB$32:$AH$36,3,FALSE))),1,0)</f>
        <v>0</v>
      </c>
      <c r="O8" s="2">
        <f>IF(AND(VLOOKUP(O$1,'20Trips'!$A$3:$I$22,8,FALSE) - VLOOKUP($B8,'20Trips'!$A$3:$I$22,9,FALSE) &gt;= ('20Trips'!$B$23+VLOOKUP(VLOOKUP($B8,'20Trips'!$A$2:$I$22,4,FALSE),'20Trips'!$AB$32:$AH$36,3,FALSE))),1,0)</f>
        <v>0</v>
      </c>
      <c r="P8" s="2">
        <f>IF(AND(VLOOKUP(P$1,'20Trips'!$A$3:$I$22,8,FALSE) - VLOOKUP($B8,'20Trips'!$A$3:$I$22,9,FALSE) &gt;= ('20Trips'!$B$23+VLOOKUP(VLOOKUP($B8,'20Trips'!$A$2:$I$22,4,FALSE),'20Trips'!$AB$32:$AH$36,3,FALSE))),1,0)</f>
        <v>0</v>
      </c>
      <c r="Q8" s="2">
        <f>IF(AND(VLOOKUP(Q$1,'20Trips'!$A$3:$I$22,8,FALSE) - VLOOKUP($B8,'20Trips'!$A$3:$I$22,9,FALSE) &gt;= ('20Trips'!$B$23+VLOOKUP(VLOOKUP($B8,'20Trips'!$A$2:$I$22,4,FALSE),'20Trips'!$AB$32:$AH$36,3,FALSE))),1,0)</f>
        <v>1</v>
      </c>
      <c r="R8" s="2">
        <f>IF(AND(VLOOKUP(R$1,'20Trips'!$A$3:$I$22,8,FALSE) - VLOOKUP($B8,'20Trips'!$A$3:$I$22,9,FALSE) &gt;= ('20Trips'!$B$23+VLOOKUP(VLOOKUP($B8,'20Trips'!$A$2:$I$22,4,FALSE),'20Trips'!$AB$32:$AH$36,3,FALSE))),1,0)</f>
        <v>1</v>
      </c>
      <c r="S8" s="2">
        <f>IF(AND(VLOOKUP(S$1,'20Trips'!$A$3:$I$22,8,FALSE) - VLOOKUP($B8,'20Trips'!$A$3:$I$22,9,FALSE) &gt;= ('20Trips'!$B$23+VLOOKUP(VLOOKUP($B8,'20Trips'!$A$2:$I$22,4,FALSE),'20Trips'!$AB$32:$AH$36,3,FALSE))),1,0)</f>
        <v>0</v>
      </c>
      <c r="T8" s="2">
        <f>IF(AND(VLOOKUP(T$1,'20Trips'!$A$3:$I$22,8,FALSE) - VLOOKUP($B8,'20Trips'!$A$3:$I$22,9,FALSE) &gt;= ('20Trips'!$B$23+VLOOKUP(VLOOKUP($B8,'20Trips'!$A$2:$I$22,4,FALSE),'20Trips'!$AB$32:$AH$36,3,FALSE))),1,0)</f>
        <v>0</v>
      </c>
      <c r="U8" s="2">
        <f>IF(AND(VLOOKUP(U$1,'20Trips'!$A$3:$I$22,8,FALSE) - VLOOKUP($B8,'20Trips'!$A$3:$I$22,9,FALSE) &gt;= ('20Trips'!$B$23+VLOOKUP(VLOOKUP($B8,'20Trips'!$A$2:$I$22,4,FALSE),'20Trips'!$AB$32:$AH$36,3,FALSE))),1,0)</f>
        <v>1</v>
      </c>
      <c r="V8" s="2">
        <f>IF(AND(VLOOKUP(V$1,'20Trips'!$A$3:$I$22,8,FALSE) - VLOOKUP($B8,'20Trips'!$A$3:$I$22,9,FALSE) &gt;= ('20Trips'!$B$23+VLOOKUP(VLOOKUP($B8,'20Trips'!$A$2:$I$22,4,FALSE),'20Trips'!$AB$32:$AH$36,3,FALSE))),1,0)</f>
        <v>1</v>
      </c>
      <c r="W8" s="2">
        <f>IF(AND(VLOOKUP(W$1,'20Trips'!$A$3:$I$22,8,FALSE) - VLOOKUP($B8,'20Trips'!$A$3:$I$22,9,FALSE) &gt;= ('20Trips'!$B$23+VLOOKUP(VLOOKUP($B8,'20Trips'!$A$2:$I$22,4,FALSE),'20Trips'!$AB$32:$AH$36,3,FALSE))),1,0)</f>
        <v>1</v>
      </c>
    </row>
    <row r="9" spans="1:24" x14ac:dyDescent="0.25">
      <c r="A9" t="s">
        <v>48</v>
      </c>
      <c r="B9" t="s">
        <v>20</v>
      </c>
      <c r="C9">
        <v>0</v>
      </c>
      <c r="D9" s="2">
        <f>IF(AND(VLOOKUP(D$1,'20Trips'!$A$3:$I$22,8,FALSE) - VLOOKUP($B9,'20Trips'!$A$3:$I$22,9,FALSE) &gt;= ('20Trips'!$B$23+VLOOKUP(VLOOKUP($B9,'20Trips'!$A$2:$I$22,4,FALSE),'20Trips'!$AB$32:$AH$36,3,FALSE))),1,0)</f>
        <v>0</v>
      </c>
      <c r="E9" s="2">
        <f>IF(AND(VLOOKUP(E$1,'20Trips'!$A$3:$I$22,8,FALSE) - VLOOKUP($B9,'20Trips'!$A$3:$I$22,9,FALSE) &gt;= ('20Trips'!$B$23+VLOOKUP(VLOOKUP($B9,'20Trips'!$A$2:$I$22,4,FALSE),'20Trips'!$AB$32:$AH$36,3,FALSE))),1,0)</f>
        <v>0</v>
      </c>
      <c r="F9" s="2">
        <f>IF(AND(VLOOKUP(F$1,'20Trips'!$A$3:$I$22,8,FALSE) - VLOOKUP($B9,'20Trips'!$A$3:$I$22,9,FALSE) &gt;= ('20Trips'!$B$23+VLOOKUP(VLOOKUP($B9,'20Trips'!$A$2:$I$22,4,FALSE),'20Trips'!$AB$32:$AH$36,3,FALSE))),1,0)</f>
        <v>0</v>
      </c>
      <c r="G9" s="2">
        <f>IF(AND(VLOOKUP(G$1,'20Trips'!$A$3:$I$22,8,FALSE) - VLOOKUP($B9,'20Trips'!$A$3:$I$22,9,FALSE) &gt;= ('20Trips'!$B$23+VLOOKUP(VLOOKUP($B9,'20Trips'!$A$2:$I$22,4,FALSE),'20Trips'!$AB$32:$AH$36,3,FALSE))),1,0)</f>
        <v>1</v>
      </c>
      <c r="H9" s="2">
        <f>IF(AND(VLOOKUP(H$1,'20Trips'!$A$3:$I$22,8,FALSE) - VLOOKUP($B9,'20Trips'!$A$3:$I$22,9,FALSE) &gt;= ('20Trips'!$B$23+VLOOKUP(VLOOKUP($B9,'20Trips'!$A$2:$I$22,4,FALSE),'20Trips'!$AB$32:$AH$36,3,FALSE))),1,0)</f>
        <v>1</v>
      </c>
      <c r="I9" s="2">
        <f>IF(AND(VLOOKUP(I$1,'20Trips'!$A$3:$I$22,8,FALSE) - VLOOKUP($B9,'20Trips'!$A$3:$I$22,9,FALSE) &gt;= ('20Trips'!$B$23+VLOOKUP(VLOOKUP($B9,'20Trips'!$A$2:$I$22,4,FALSE),'20Trips'!$AB$32:$AH$36,3,FALSE))),1,0)</f>
        <v>0</v>
      </c>
      <c r="J9" s="2">
        <f>IF(AND(VLOOKUP(J$1,'20Trips'!$A$3:$I$22,8,FALSE) - VLOOKUP($B9,'20Trips'!$A$3:$I$22,9,FALSE) &gt;= ('20Trips'!$B$23+VLOOKUP(VLOOKUP($B9,'20Trips'!$A$2:$I$22,4,FALSE),'20Trips'!$AB$32:$AH$36,3,FALSE))),1,0)</f>
        <v>0</v>
      </c>
      <c r="K9" s="2">
        <f>IF(AND(VLOOKUP(K$1,'20Trips'!$A$3:$I$22,8,FALSE) - VLOOKUP($B9,'20Trips'!$A$3:$I$22,9,FALSE) &gt;= ('20Trips'!$B$23+VLOOKUP(VLOOKUP($B9,'20Trips'!$A$2:$I$22,4,FALSE),'20Trips'!$AB$32:$AH$36,3,FALSE))),1,0)</f>
        <v>0</v>
      </c>
      <c r="L9" s="2">
        <f>IF(AND(VLOOKUP(L$1,'20Trips'!$A$3:$I$22,8,FALSE) - VLOOKUP($B9,'20Trips'!$A$3:$I$22,9,FALSE) &gt;= ('20Trips'!$B$23+VLOOKUP(VLOOKUP($B9,'20Trips'!$A$2:$I$22,4,FALSE),'20Trips'!$AB$32:$AH$36,3,FALSE))),1,0)</f>
        <v>1</v>
      </c>
      <c r="M9" s="2">
        <f>IF(AND(VLOOKUP(M$1,'20Trips'!$A$3:$I$22,8,FALSE) - VLOOKUP($B9,'20Trips'!$A$3:$I$22,9,FALSE) &gt;= ('20Trips'!$B$23+VLOOKUP(VLOOKUP($B9,'20Trips'!$A$2:$I$22,4,FALSE),'20Trips'!$AB$32:$AH$36,3,FALSE))),1,0)</f>
        <v>1</v>
      </c>
      <c r="N9" s="2">
        <f>IF(AND(VLOOKUP(N$1,'20Trips'!$A$3:$I$22,8,FALSE) - VLOOKUP($B9,'20Trips'!$A$3:$I$22,9,FALSE) &gt;= ('20Trips'!$B$23+VLOOKUP(VLOOKUP($B9,'20Trips'!$A$2:$I$22,4,FALSE),'20Trips'!$AB$32:$AH$36,3,FALSE))),1,0)</f>
        <v>0</v>
      </c>
      <c r="O9" s="2">
        <f>IF(AND(VLOOKUP(O$1,'20Trips'!$A$3:$I$22,8,FALSE) - VLOOKUP($B9,'20Trips'!$A$3:$I$22,9,FALSE) &gt;= ('20Trips'!$B$23+VLOOKUP(VLOOKUP($B9,'20Trips'!$A$2:$I$22,4,FALSE),'20Trips'!$AB$32:$AH$36,3,FALSE))),1,0)</f>
        <v>0</v>
      </c>
      <c r="P9" s="2">
        <f>IF(AND(VLOOKUP(P$1,'20Trips'!$A$3:$I$22,8,FALSE) - VLOOKUP($B9,'20Trips'!$A$3:$I$22,9,FALSE) &gt;= ('20Trips'!$B$23+VLOOKUP(VLOOKUP($B9,'20Trips'!$A$2:$I$22,4,FALSE),'20Trips'!$AB$32:$AH$36,3,FALSE))),1,0)</f>
        <v>0</v>
      </c>
      <c r="Q9" s="2">
        <f>IF(AND(VLOOKUP(Q$1,'20Trips'!$A$3:$I$22,8,FALSE) - VLOOKUP($B9,'20Trips'!$A$3:$I$22,9,FALSE) &gt;= ('20Trips'!$B$23+VLOOKUP(VLOOKUP($B9,'20Trips'!$A$2:$I$22,4,FALSE),'20Trips'!$AB$32:$AH$36,3,FALSE))),1,0)</f>
        <v>0</v>
      </c>
      <c r="R9" s="2">
        <f>IF(AND(VLOOKUP(R$1,'20Trips'!$A$3:$I$22,8,FALSE) - VLOOKUP($B9,'20Trips'!$A$3:$I$22,9,FALSE) &gt;= ('20Trips'!$B$23+VLOOKUP(VLOOKUP($B9,'20Trips'!$A$2:$I$22,4,FALSE),'20Trips'!$AB$32:$AH$36,3,FALSE))),1,0)</f>
        <v>1</v>
      </c>
      <c r="S9" s="2">
        <f>IF(AND(VLOOKUP(S$1,'20Trips'!$A$3:$I$22,8,FALSE) - VLOOKUP($B9,'20Trips'!$A$3:$I$22,9,FALSE) &gt;= ('20Trips'!$B$23+VLOOKUP(VLOOKUP($B9,'20Trips'!$A$2:$I$22,4,FALSE),'20Trips'!$AB$32:$AH$36,3,FALSE))),1,0)</f>
        <v>0</v>
      </c>
      <c r="T9" s="2">
        <f>IF(AND(VLOOKUP(T$1,'20Trips'!$A$3:$I$22,8,FALSE) - VLOOKUP($B9,'20Trips'!$A$3:$I$22,9,FALSE) &gt;= ('20Trips'!$B$23+VLOOKUP(VLOOKUP($B9,'20Trips'!$A$2:$I$22,4,FALSE),'20Trips'!$AB$32:$AH$36,3,FALSE))),1,0)</f>
        <v>0</v>
      </c>
      <c r="U9" s="2">
        <f>IF(AND(VLOOKUP(U$1,'20Trips'!$A$3:$I$22,8,FALSE) - VLOOKUP($B9,'20Trips'!$A$3:$I$22,9,FALSE) &gt;= ('20Trips'!$B$23+VLOOKUP(VLOOKUP($B9,'20Trips'!$A$2:$I$22,4,FALSE),'20Trips'!$AB$32:$AH$36,3,FALSE))),1,0)</f>
        <v>0</v>
      </c>
      <c r="V9" s="2">
        <f>IF(AND(VLOOKUP(V$1,'20Trips'!$A$3:$I$22,8,FALSE) - VLOOKUP($B9,'20Trips'!$A$3:$I$22,9,FALSE) &gt;= ('20Trips'!$B$23+VLOOKUP(VLOOKUP($B9,'20Trips'!$A$2:$I$22,4,FALSE),'20Trips'!$AB$32:$AH$36,3,FALSE))),1,0)</f>
        <v>1</v>
      </c>
      <c r="W9" s="2">
        <f>IF(AND(VLOOKUP(W$1,'20Trips'!$A$3:$I$22,8,FALSE) - VLOOKUP($B9,'20Trips'!$A$3:$I$22,9,FALSE) &gt;= ('20Trips'!$B$23+VLOOKUP(VLOOKUP($B9,'20Trips'!$A$2:$I$22,4,FALSE),'20Trips'!$AB$32:$AH$36,3,FALSE))),1,0)</f>
        <v>1</v>
      </c>
    </row>
    <row r="10" spans="1:24" x14ac:dyDescent="0.25">
      <c r="A10" t="s">
        <v>48</v>
      </c>
      <c r="B10" t="s">
        <v>21</v>
      </c>
      <c r="C10">
        <v>0</v>
      </c>
      <c r="D10" s="2">
        <f>IF(AND(VLOOKUP(D$1,'20Trips'!$A$3:$I$22,8,FALSE) - VLOOKUP($B10,'20Trips'!$A$3:$I$22,9,FALSE) &gt;= ('20Trips'!$B$23+VLOOKUP(VLOOKUP($B10,'20Trips'!$A$2:$I$22,4,FALSE),'20Trips'!$AB$32:$AH$36,3,FALSE))),1,0)</f>
        <v>0</v>
      </c>
      <c r="E10" s="2">
        <f>IF(AND(VLOOKUP(E$1,'20Trips'!$A$3:$I$22,8,FALSE) - VLOOKUP($B10,'20Trips'!$A$3:$I$22,9,FALSE) &gt;= ('20Trips'!$B$23+VLOOKUP(VLOOKUP($B10,'20Trips'!$A$2:$I$22,4,FALSE),'20Trips'!$AB$32:$AH$36,3,FALSE))),1,0)</f>
        <v>0</v>
      </c>
      <c r="F10" s="2">
        <f>IF(AND(VLOOKUP(F$1,'20Trips'!$A$3:$I$22,8,FALSE) - VLOOKUP($B10,'20Trips'!$A$3:$I$22,9,FALSE) &gt;= ('20Trips'!$B$23+VLOOKUP(VLOOKUP($B10,'20Trips'!$A$2:$I$22,4,FALSE),'20Trips'!$AB$32:$AH$36,3,FALSE))),1,0)</f>
        <v>0</v>
      </c>
      <c r="G10" s="2">
        <f>IF(AND(VLOOKUP(G$1,'20Trips'!$A$3:$I$22,8,FALSE) - VLOOKUP($B10,'20Trips'!$A$3:$I$22,9,FALSE) &gt;= ('20Trips'!$B$23+VLOOKUP(VLOOKUP($B10,'20Trips'!$A$2:$I$22,4,FALSE),'20Trips'!$AB$32:$AH$36,3,FALSE))),1,0)</f>
        <v>0</v>
      </c>
      <c r="H10" s="2">
        <f>IF(AND(VLOOKUP(H$1,'20Trips'!$A$3:$I$22,8,FALSE) - VLOOKUP($B10,'20Trips'!$A$3:$I$22,9,FALSE) &gt;= ('20Trips'!$B$23+VLOOKUP(VLOOKUP($B10,'20Trips'!$A$2:$I$22,4,FALSE),'20Trips'!$AB$32:$AH$36,3,FALSE))),1,0)</f>
        <v>0</v>
      </c>
      <c r="I10" s="2">
        <f>IF(AND(VLOOKUP(I$1,'20Trips'!$A$3:$I$22,8,FALSE) - VLOOKUP($B10,'20Trips'!$A$3:$I$22,9,FALSE) &gt;= ('20Trips'!$B$23+VLOOKUP(VLOOKUP($B10,'20Trips'!$A$2:$I$22,4,FALSE),'20Trips'!$AB$32:$AH$36,3,FALSE))),1,0)</f>
        <v>0</v>
      </c>
      <c r="J10" s="2">
        <f>IF(AND(VLOOKUP(J$1,'20Trips'!$A$3:$I$22,8,FALSE) - VLOOKUP($B10,'20Trips'!$A$3:$I$22,9,FALSE) &gt;= ('20Trips'!$B$23+VLOOKUP(VLOOKUP($B10,'20Trips'!$A$2:$I$22,4,FALSE),'20Trips'!$AB$32:$AH$36,3,FALSE))),1,0)</f>
        <v>0</v>
      </c>
      <c r="K10" s="2">
        <f>IF(AND(VLOOKUP(K$1,'20Trips'!$A$3:$I$22,8,FALSE) - VLOOKUP($B10,'20Trips'!$A$3:$I$22,9,FALSE) &gt;= ('20Trips'!$B$23+VLOOKUP(VLOOKUP($B10,'20Trips'!$A$2:$I$22,4,FALSE),'20Trips'!$AB$32:$AH$36,3,FALSE))),1,0)</f>
        <v>0</v>
      </c>
      <c r="L10" s="2">
        <f>IF(AND(VLOOKUP(L$1,'20Trips'!$A$3:$I$22,8,FALSE) - VLOOKUP($B10,'20Trips'!$A$3:$I$22,9,FALSE) &gt;= ('20Trips'!$B$23+VLOOKUP(VLOOKUP($B10,'20Trips'!$A$2:$I$22,4,FALSE),'20Trips'!$AB$32:$AH$36,3,FALSE))),1,0)</f>
        <v>1</v>
      </c>
      <c r="M10" s="2">
        <f>IF(AND(VLOOKUP(M$1,'20Trips'!$A$3:$I$22,8,FALSE) - VLOOKUP($B10,'20Trips'!$A$3:$I$22,9,FALSE) &gt;= ('20Trips'!$B$23+VLOOKUP(VLOOKUP($B10,'20Trips'!$A$2:$I$22,4,FALSE),'20Trips'!$AB$32:$AH$36,3,FALSE))),1,0)</f>
        <v>1</v>
      </c>
      <c r="N10" s="2">
        <f>IF(AND(VLOOKUP(N$1,'20Trips'!$A$3:$I$22,8,FALSE) - VLOOKUP($B10,'20Trips'!$A$3:$I$22,9,FALSE) &gt;= ('20Trips'!$B$23+VLOOKUP(VLOOKUP($B10,'20Trips'!$A$2:$I$22,4,FALSE),'20Trips'!$AB$32:$AH$36,3,FALSE))),1,0)</f>
        <v>0</v>
      </c>
      <c r="O10" s="2">
        <f>IF(AND(VLOOKUP(O$1,'20Trips'!$A$3:$I$22,8,FALSE) - VLOOKUP($B10,'20Trips'!$A$3:$I$22,9,FALSE) &gt;= ('20Trips'!$B$23+VLOOKUP(VLOOKUP($B10,'20Trips'!$A$2:$I$22,4,FALSE),'20Trips'!$AB$32:$AH$36,3,FALSE))),1,0)</f>
        <v>0</v>
      </c>
      <c r="P10" s="2">
        <f>IF(AND(VLOOKUP(P$1,'20Trips'!$A$3:$I$22,8,FALSE) - VLOOKUP($B10,'20Trips'!$A$3:$I$22,9,FALSE) &gt;= ('20Trips'!$B$23+VLOOKUP(VLOOKUP($B10,'20Trips'!$A$2:$I$22,4,FALSE),'20Trips'!$AB$32:$AH$36,3,FALSE))),1,0)</f>
        <v>0</v>
      </c>
      <c r="Q10" s="2">
        <f>IF(AND(VLOOKUP(Q$1,'20Trips'!$A$3:$I$22,8,FALSE) - VLOOKUP($B10,'20Trips'!$A$3:$I$22,9,FALSE) &gt;= ('20Trips'!$B$23+VLOOKUP(VLOOKUP($B10,'20Trips'!$A$2:$I$22,4,FALSE),'20Trips'!$AB$32:$AH$36,3,FALSE))),1,0)</f>
        <v>0</v>
      </c>
      <c r="R10" s="2">
        <f>IF(AND(VLOOKUP(R$1,'20Trips'!$A$3:$I$22,8,FALSE) - VLOOKUP($B10,'20Trips'!$A$3:$I$22,9,FALSE) &gt;= ('20Trips'!$B$23+VLOOKUP(VLOOKUP($B10,'20Trips'!$A$2:$I$22,4,FALSE),'20Trips'!$AB$32:$AH$36,3,FALSE))),1,0)</f>
        <v>0</v>
      </c>
      <c r="S10" s="2">
        <f>IF(AND(VLOOKUP(S$1,'20Trips'!$A$3:$I$22,8,FALSE) - VLOOKUP($B10,'20Trips'!$A$3:$I$22,9,FALSE) &gt;= ('20Trips'!$B$23+VLOOKUP(VLOOKUP($B10,'20Trips'!$A$2:$I$22,4,FALSE),'20Trips'!$AB$32:$AH$36,3,FALSE))),1,0)</f>
        <v>0</v>
      </c>
      <c r="T10" s="2">
        <f>IF(AND(VLOOKUP(T$1,'20Trips'!$A$3:$I$22,8,FALSE) - VLOOKUP($B10,'20Trips'!$A$3:$I$22,9,FALSE) &gt;= ('20Trips'!$B$23+VLOOKUP(VLOOKUP($B10,'20Trips'!$A$2:$I$22,4,FALSE),'20Trips'!$AB$32:$AH$36,3,FALSE))),1,0)</f>
        <v>0</v>
      </c>
      <c r="U10" s="2">
        <f>IF(AND(VLOOKUP(U$1,'20Trips'!$A$3:$I$22,8,FALSE) - VLOOKUP($B10,'20Trips'!$A$3:$I$22,9,FALSE) &gt;= ('20Trips'!$B$23+VLOOKUP(VLOOKUP($B10,'20Trips'!$A$2:$I$22,4,FALSE),'20Trips'!$AB$32:$AH$36,3,FALSE))),1,0)</f>
        <v>0</v>
      </c>
      <c r="V10" s="2">
        <f>IF(AND(VLOOKUP(V$1,'20Trips'!$A$3:$I$22,8,FALSE) - VLOOKUP($B10,'20Trips'!$A$3:$I$22,9,FALSE) &gt;= ('20Trips'!$B$23+VLOOKUP(VLOOKUP($B10,'20Trips'!$A$2:$I$22,4,FALSE),'20Trips'!$AB$32:$AH$36,3,FALSE))),1,0)</f>
        <v>0</v>
      </c>
      <c r="W10" s="2">
        <f>IF(AND(VLOOKUP(W$1,'20Trips'!$A$3:$I$22,8,FALSE) - VLOOKUP($B10,'20Trips'!$A$3:$I$22,9,FALSE) &gt;= ('20Trips'!$B$23+VLOOKUP(VLOOKUP($B10,'20Trips'!$A$2:$I$22,4,FALSE),'20Trips'!$AB$32:$AH$36,3,FALSE))),1,0)</f>
        <v>1</v>
      </c>
    </row>
    <row r="11" spans="1:24" x14ac:dyDescent="0.25">
      <c r="A11" t="s">
        <v>48</v>
      </c>
      <c r="B11" t="s">
        <v>22</v>
      </c>
      <c r="C11">
        <v>0</v>
      </c>
      <c r="D11" s="2">
        <f>IF(AND(VLOOKUP(D$1,'20Trips'!$A$3:$I$22,8,FALSE) - VLOOKUP($B11,'20Trips'!$A$3:$I$22,9,FALSE) &gt;= ('20Trips'!$B$23+VLOOKUP(VLOOKUP($B11,'20Trips'!$A$2:$I$22,4,FALSE),'20Trips'!$AB$32:$AH$36,3,FALSE))),1,0)</f>
        <v>0</v>
      </c>
      <c r="E11" s="2">
        <f>IF(AND(VLOOKUP(E$1,'20Trips'!$A$3:$I$22,8,FALSE) - VLOOKUP($B11,'20Trips'!$A$3:$I$22,9,FALSE) &gt;= ('20Trips'!$B$23+VLOOKUP(VLOOKUP($B11,'20Trips'!$A$2:$I$22,4,FALSE),'20Trips'!$AB$32:$AH$36,3,FALSE))),1,0)</f>
        <v>0</v>
      </c>
      <c r="F11" s="2">
        <f>IF(AND(VLOOKUP(F$1,'20Trips'!$A$3:$I$22,8,FALSE) - VLOOKUP($B11,'20Trips'!$A$3:$I$22,9,FALSE) &gt;= ('20Trips'!$B$23+VLOOKUP(VLOOKUP($B11,'20Trips'!$A$2:$I$22,4,FALSE),'20Trips'!$AB$32:$AH$36,3,FALSE))),1,0)</f>
        <v>0</v>
      </c>
      <c r="G11" s="2">
        <f>IF(AND(VLOOKUP(G$1,'20Trips'!$A$3:$I$22,8,FALSE) - VLOOKUP($B11,'20Trips'!$A$3:$I$22,9,FALSE) &gt;= ('20Trips'!$B$23+VLOOKUP(VLOOKUP($B11,'20Trips'!$A$2:$I$22,4,FALSE),'20Trips'!$AB$32:$AH$36,3,FALSE))),1,0)</f>
        <v>0</v>
      </c>
      <c r="H11" s="2">
        <f>IF(AND(VLOOKUP(H$1,'20Trips'!$A$3:$I$22,8,FALSE) - VLOOKUP($B11,'20Trips'!$A$3:$I$22,9,FALSE) &gt;= ('20Trips'!$B$23+VLOOKUP(VLOOKUP($B11,'20Trips'!$A$2:$I$22,4,FALSE),'20Trips'!$AB$32:$AH$36,3,FALSE))),1,0)</f>
        <v>0</v>
      </c>
      <c r="I11" s="2">
        <f>IF(AND(VLOOKUP(I$1,'20Trips'!$A$3:$I$22,8,FALSE) - VLOOKUP($B11,'20Trips'!$A$3:$I$22,9,FALSE) &gt;= ('20Trips'!$B$23+VLOOKUP(VLOOKUP($B11,'20Trips'!$A$2:$I$22,4,FALSE),'20Trips'!$AB$32:$AH$36,3,FALSE))),1,0)</f>
        <v>0</v>
      </c>
      <c r="J11" s="2">
        <f>IF(AND(VLOOKUP(J$1,'20Trips'!$A$3:$I$22,8,FALSE) - VLOOKUP($B11,'20Trips'!$A$3:$I$22,9,FALSE) &gt;= ('20Trips'!$B$23+VLOOKUP(VLOOKUP($B11,'20Trips'!$A$2:$I$22,4,FALSE),'20Trips'!$AB$32:$AH$36,3,FALSE))),1,0)</f>
        <v>0</v>
      </c>
      <c r="K11" s="2">
        <f>IF(AND(VLOOKUP(K$1,'20Trips'!$A$3:$I$22,8,FALSE) - VLOOKUP($B11,'20Trips'!$A$3:$I$22,9,FALSE) &gt;= ('20Trips'!$B$23+VLOOKUP(VLOOKUP($B11,'20Trips'!$A$2:$I$22,4,FALSE),'20Trips'!$AB$32:$AH$36,3,FALSE))),1,0)</f>
        <v>0</v>
      </c>
      <c r="L11" s="2">
        <f>IF(AND(VLOOKUP(L$1,'20Trips'!$A$3:$I$22,8,FALSE) - VLOOKUP($B11,'20Trips'!$A$3:$I$22,9,FALSE) &gt;= ('20Trips'!$B$23+VLOOKUP(VLOOKUP($B11,'20Trips'!$A$2:$I$22,4,FALSE),'20Trips'!$AB$32:$AH$36,3,FALSE))),1,0)</f>
        <v>0</v>
      </c>
      <c r="M11" s="2">
        <f>IF(AND(VLOOKUP(M$1,'20Trips'!$A$3:$I$22,8,FALSE) - VLOOKUP($B11,'20Trips'!$A$3:$I$22,9,FALSE) &gt;= ('20Trips'!$B$23+VLOOKUP(VLOOKUP($B11,'20Trips'!$A$2:$I$22,4,FALSE),'20Trips'!$AB$32:$AH$36,3,FALSE))),1,0)</f>
        <v>0</v>
      </c>
      <c r="N11" s="2">
        <f>IF(AND(VLOOKUP(N$1,'20Trips'!$A$3:$I$22,8,FALSE) - VLOOKUP($B11,'20Trips'!$A$3:$I$22,9,FALSE) &gt;= ('20Trips'!$B$23+VLOOKUP(VLOOKUP($B11,'20Trips'!$A$2:$I$22,4,FALSE),'20Trips'!$AB$32:$AH$36,3,FALSE))),1,0)</f>
        <v>0</v>
      </c>
      <c r="O11" s="2">
        <f>IF(AND(VLOOKUP(O$1,'20Trips'!$A$3:$I$22,8,FALSE) - VLOOKUP($B11,'20Trips'!$A$3:$I$22,9,FALSE) &gt;= ('20Trips'!$B$23+VLOOKUP(VLOOKUP($B11,'20Trips'!$A$2:$I$22,4,FALSE),'20Trips'!$AB$32:$AH$36,3,FALSE))),1,0)</f>
        <v>0</v>
      </c>
      <c r="P11" s="2">
        <f>IF(AND(VLOOKUP(P$1,'20Trips'!$A$3:$I$22,8,FALSE) - VLOOKUP($B11,'20Trips'!$A$3:$I$22,9,FALSE) &gt;= ('20Trips'!$B$23+VLOOKUP(VLOOKUP($B11,'20Trips'!$A$2:$I$22,4,FALSE),'20Trips'!$AB$32:$AH$36,3,FALSE))),1,0)</f>
        <v>0</v>
      </c>
      <c r="Q11" s="2">
        <f>IF(AND(VLOOKUP(Q$1,'20Trips'!$A$3:$I$22,8,FALSE) - VLOOKUP($B11,'20Trips'!$A$3:$I$22,9,FALSE) &gt;= ('20Trips'!$B$23+VLOOKUP(VLOOKUP($B11,'20Trips'!$A$2:$I$22,4,FALSE),'20Trips'!$AB$32:$AH$36,3,FALSE))),1,0)</f>
        <v>0</v>
      </c>
      <c r="R11" s="2">
        <f>IF(AND(VLOOKUP(R$1,'20Trips'!$A$3:$I$22,8,FALSE) - VLOOKUP($B11,'20Trips'!$A$3:$I$22,9,FALSE) &gt;= ('20Trips'!$B$23+VLOOKUP(VLOOKUP($B11,'20Trips'!$A$2:$I$22,4,FALSE),'20Trips'!$AB$32:$AH$36,3,FALSE))),1,0)</f>
        <v>0</v>
      </c>
      <c r="S11" s="2">
        <f>IF(AND(VLOOKUP(S$1,'20Trips'!$A$3:$I$22,8,FALSE) - VLOOKUP($B11,'20Trips'!$A$3:$I$22,9,FALSE) &gt;= ('20Trips'!$B$23+VLOOKUP(VLOOKUP($B11,'20Trips'!$A$2:$I$22,4,FALSE),'20Trips'!$AB$32:$AH$36,3,FALSE))),1,0)</f>
        <v>0</v>
      </c>
      <c r="T11" s="2">
        <f>IF(AND(VLOOKUP(T$1,'20Trips'!$A$3:$I$22,8,FALSE) - VLOOKUP($B11,'20Trips'!$A$3:$I$22,9,FALSE) &gt;= ('20Trips'!$B$23+VLOOKUP(VLOOKUP($B11,'20Trips'!$A$2:$I$22,4,FALSE),'20Trips'!$AB$32:$AH$36,3,FALSE))),1,0)</f>
        <v>0</v>
      </c>
      <c r="U11" s="2">
        <f>IF(AND(VLOOKUP(U$1,'20Trips'!$A$3:$I$22,8,FALSE) - VLOOKUP($B11,'20Trips'!$A$3:$I$22,9,FALSE) &gt;= ('20Trips'!$B$23+VLOOKUP(VLOOKUP($B11,'20Trips'!$A$2:$I$22,4,FALSE),'20Trips'!$AB$32:$AH$36,3,FALSE))),1,0)</f>
        <v>0</v>
      </c>
      <c r="V11" s="2">
        <f>IF(AND(VLOOKUP(V$1,'20Trips'!$A$3:$I$22,8,FALSE) - VLOOKUP($B11,'20Trips'!$A$3:$I$22,9,FALSE) &gt;= ('20Trips'!$B$23+VLOOKUP(VLOOKUP($B11,'20Trips'!$A$2:$I$22,4,FALSE),'20Trips'!$AB$32:$AH$36,3,FALSE))),1,0)</f>
        <v>0</v>
      </c>
      <c r="W11" s="2">
        <f>IF(AND(VLOOKUP(W$1,'20Trips'!$A$3:$I$22,8,FALSE) - VLOOKUP($B11,'20Trips'!$A$3:$I$22,9,FALSE) &gt;= ('20Trips'!$B$23+VLOOKUP(VLOOKUP($B11,'20Trips'!$A$2:$I$22,4,FALSE),'20Trips'!$AB$32:$AH$36,3,FALSE))),1,0)</f>
        <v>0</v>
      </c>
    </row>
    <row r="12" spans="1:24" x14ac:dyDescent="0.25">
      <c r="A12" t="s">
        <v>48</v>
      </c>
      <c r="B12" t="s">
        <v>23</v>
      </c>
      <c r="C12">
        <v>0</v>
      </c>
      <c r="D12" s="2">
        <f>IF(AND(VLOOKUP(D$1,'20Trips'!$A$3:$I$22,8,FALSE) - VLOOKUP($B12,'20Trips'!$A$3:$I$22,9,FALSE) &gt;= ('20Trips'!$B$23+VLOOKUP(VLOOKUP($B12,'20Trips'!$A$2:$I$22,4,FALSE),'20Trips'!$AB$32:$AH$36,3,FALSE))),1,0)</f>
        <v>0</v>
      </c>
      <c r="E12" s="2">
        <f>IF(AND(VLOOKUP(E$1,'20Trips'!$A$3:$I$22,8,FALSE) - VLOOKUP($B12,'20Trips'!$A$3:$I$22,9,FALSE) &gt;= ('20Trips'!$B$23+VLOOKUP(VLOOKUP($B12,'20Trips'!$A$2:$I$22,4,FALSE),'20Trips'!$AB$32:$AH$36,3,FALSE))),1,0)</f>
        <v>0</v>
      </c>
      <c r="F12" s="2">
        <f>IF(AND(VLOOKUP(F$1,'20Trips'!$A$3:$I$22,8,FALSE) - VLOOKUP($B12,'20Trips'!$A$3:$I$22,9,FALSE) &gt;= ('20Trips'!$B$23+VLOOKUP(VLOOKUP($B12,'20Trips'!$A$2:$I$22,4,FALSE),'20Trips'!$AB$32:$AH$36,3,FALSE))),1,0)</f>
        <v>0</v>
      </c>
      <c r="G12" s="2">
        <f>IF(AND(VLOOKUP(G$1,'20Trips'!$A$3:$I$22,8,FALSE) - VLOOKUP($B12,'20Trips'!$A$3:$I$22,9,FALSE) &gt;= ('20Trips'!$B$23+VLOOKUP(VLOOKUP($B12,'20Trips'!$A$2:$I$22,4,FALSE),'20Trips'!$AB$32:$AH$36,3,FALSE))),1,0)</f>
        <v>0</v>
      </c>
      <c r="H12" s="2">
        <f>IF(AND(VLOOKUP(H$1,'20Trips'!$A$3:$I$22,8,FALSE) - VLOOKUP($B12,'20Trips'!$A$3:$I$22,9,FALSE) &gt;= ('20Trips'!$B$23+VLOOKUP(VLOOKUP($B12,'20Trips'!$A$2:$I$22,4,FALSE),'20Trips'!$AB$32:$AH$36,3,FALSE))),1,0)</f>
        <v>0</v>
      </c>
      <c r="I12" s="2">
        <f>IF(AND(VLOOKUP(I$1,'20Trips'!$A$3:$I$22,8,FALSE) - VLOOKUP($B12,'20Trips'!$A$3:$I$22,9,FALSE) &gt;= ('20Trips'!$B$23+VLOOKUP(VLOOKUP($B12,'20Trips'!$A$2:$I$22,4,FALSE),'20Trips'!$AB$32:$AH$36,3,FALSE))),1,0)</f>
        <v>0</v>
      </c>
      <c r="J12" s="2">
        <f>IF(AND(VLOOKUP(J$1,'20Trips'!$A$3:$I$22,8,FALSE) - VLOOKUP($B12,'20Trips'!$A$3:$I$22,9,FALSE) &gt;= ('20Trips'!$B$23+VLOOKUP(VLOOKUP($B12,'20Trips'!$A$2:$I$22,4,FALSE),'20Trips'!$AB$32:$AH$36,3,FALSE))),1,0)</f>
        <v>0</v>
      </c>
      <c r="K12" s="2">
        <f>IF(AND(VLOOKUP(K$1,'20Trips'!$A$3:$I$22,8,FALSE) - VLOOKUP($B12,'20Trips'!$A$3:$I$22,9,FALSE) &gt;= ('20Trips'!$B$23+VLOOKUP(VLOOKUP($B12,'20Trips'!$A$2:$I$22,4,FALSE),'20Trips'!$AB$32:$AH$36,3,FALSE))),1,0)</f>
        <v>0</v>
      </c>
      <c r="L12" s="2">
        <f>IF(AND(VLOOKUP(L$1,'20Trips'!$A$3:$I$22,8,FALSE) - VLOOKUP($B12,'20Trips'!$A$3:$I$22,9,FALSE) &gt;= ('20Trips'!$B$23+VLOOKUP(VLOOKUP($B12,'20Trips'!$A$2:$I$22,4,FALSE),'20Trips'!$AB$32:$AH$36,3,FALSE))),1,0)</f>
        <v>0</v>
      </c>
      <c r="M12" s="2">
        <f>IF(AND(VLOOKUP(M$1,'20Trips'!$A$3:$I$22,8,FALSE) - VLOOKUP($B12,'20Trips'!$A$3:$I$22,9,FALSE) &gt;= ('20Trips'!$B$23+VLOOKUP(VLOOKUP($B12,'20Trips'!$A$2:$I$22,4,FALSE),'20Trips'!$AB$32:$AH$36,3,FALSE))),1,0)</f>
        <v>0</v>
      </c>
      <c r="N12" s="2">
        <f>IF(AND(VLOOKUP(N$1,'20Trips'!$A$3:$I$22,8,FALSE) - VLOOKUP($B12,'20Trips'!$A$3:$I$22,9,FALSE) &gt;= ('20Trips'!$B$23+VLOOKUP(VLOOKUP($B12,'20Trips'!$A$2:$I$22,4,FALSE),'20Trips'!$AB$32:$AH$36,3,FALSE))),1,0)</f>
        <v>0</v>
      </c>
      <c r="O12" s="2">
        <f>IF(AND(VLOOKUP(O$1,'20Trips'!$A$3:$I$22,8,FALSE) - VLOOKUP($B12,'20Trips'!$A$3:$I$22,9,FALSE) &gt;= ('20Trips'!$B$23+VLOOKUP(VLOOKUP($B12,'20Trips'!$A$2:$I$22,4,FALSE),'20Trips'!$AB$32:$AH$36,3,FALSE))),1,0)</f>
        <v>0</v>
      </c>
      <c r="P12" s="2">
        <f>IF(AND(VLOOKUP(P$1,'20Trips'!$A$3:$I$22,8,FALSE) - VLOOKUP($B12,'20Trips'!$A$3:$I$22,9,FALSE) &gt;= ('20Trips'!$B$23+VLOOKUP(VLOOKUP($B12,'20Trips'!$A$2:$I$22,4,FALSE),'20Trips'!$AB$32:$AH$36,3,FALSE))),1,0)</f>
        <v>0</v>
      </c>
      <c r="Q12" s="2">
        <f>IF(AND(VLOOKUP(Q$1,'20Trips'!$A$3:$I$22,8,FALSE) - VLOOKUP($B12,'20Trips'!$A$3:$I$22,9,FALSE) &gt;= ('20Trips'!$B$23+VLOOKUP(VLOOKUP($B12,'20Trips'!$A$2:$I$22,4,FALSE),'20Trips'!$AB$32:$AH$36,3,FALSE))),1,0)</f>
        <v>0</v>
      </c>
      <c r="R12" s="2">
        <f>IF(AND(VLOOKUP(R$1,'20Trips'!$A$3:$I$22,8,FALSE) - VLOOKUP($B12,'20Trips'!$A$3:$I$22,9,FALSE) &gt;= ('20Trips'!$B$23+VLOOKUP(VLOOKUP($B12,'20Trips'!$A$2:$I$22,4,FALSE),'20Trips'!$AB$32:$AH$36,3,FALSE))),1,0)</f>
        <v>0</v>
      </c>
      <c r="S12" s="2">
        <f>IF(AND(VLOOKUP(S$1,'20Trips'!$A$3:$I$22,8,FALSE) - VLOOKUP($B12,'20Trips'!$A$3:$I$22,9,FALSE) &gt;= ('20Trips'!$B$23+VLOOKUP(VLOOKUP($B12,'20Trips'!$A$2:$I$22,4,FALSE),'20Trips'!$AB$32:$AH$36,3,FALSE))),1,0)</f>
        <v>0</v>
      </c>
      <c r="T12" s="2">
        <f>IF(AND(VLOOKUP(T$1,'20Trips'!$A$3:$I$22,8,FALSE) - VLOOKUP($B12,'20Trips'!$A$3:$I$22,9,FALSE) &gt;= ('20Trips'!$B$23+VLOOKUP(VLOOKUP($B12,'20Trips'!$A$2:$I$22,4,FALSE),'20Trips'!$AB$32:$AH$36,3,FALSE))),1,0)</f>
        <v>0</v>
      </c>
      <c r="U12" s="2">
        <f>IF(AND(VLOOKUP(U$1,'20Trips'!$A$3:$I$22,8,FALSE) - VLOOKUP($B12,'20Trips'!$A$3:$I$22,9,FALSE) &gt;= ('20Trips'!$B$23+VLOOKUP(VLOOKUP($B12,'20Trips'!$A$2:$I$22,4,FALSE),'20Trips'!$AB$32:$AH$36,3,FALSE))),1,0)</f>
        <v>0</v>
      </c>
      <c r="V12" s="2">
        <f>IF(AND(VLOOKUP(V$1,'20Trips'!$A$3:$I$22,8,FALSE) - VLOOKUP($B12,'20Trips'!$A$3:$I$22,9,FALSE) &gt;= ('20Trips'!$B$23+VLOOKUP(VLOOKUP($B12,'20Trips'!$A$2:$I$22,4,FALSE),'20Trips'!$AB$32:$AH$36,3,FALSE))),1,0)</f>
        <v>0</v>
      </c>
      <c r="W12" s="2">
        <f>IF(AND(VLOOKUP(W$1,'20Trips'!$A$3:$I$22,8,FALSE) - VLOOKUP($B12,'20Trips'!$A$3:$I$22,9,FALSE) &gt;= ('20Trips'!$B$23+VLOOKUP(VLOOKUP($B12,'20Trips'!$A$2:$I$22,4,FALSE),'20Trips'!$AB$32:$AH$36,3,FALSE))),1,0)</f>
        <v>0</v>
      </c>
    </row>
    <row r="13" spans="1:24" x14ac:dyDescent="0.25">
      <c r="A13" t="s">
        <v>48</v>
      </c>
      <c r="B13" t="s">
        <v>26</v>
      </c>
      <c r="C13">
        <v>0</v>
      </c>
      <c r="D13" s="2">
        <f>IF(AND(VLOOKUP(D$1,'20Trips'!$A$3:$I$22,8,FALSE) - VLOOKUP($B13,'20Trips'!$A$3:$I$22,9,FALSE) &gt;= ('20Trips'!$B$23+VLOOKUP(VLOOKUP($B13,'20Trips'!$A$2:$I$22,4,FALSE),'20Trips'!$AB$32:$AH$36,3,FALSE))),1,0)</f>
        <v>0</v>
      </c>
      <c r="E13" s="2">
        <f>IF(AND(VLOOKUP(E$1,'20Trips'!$A$3:$I$22,8,FALSE) - VLOOKUP($B13,'20Trips'!$A$3:$I$22,9,FALSE) &gt;= ('20Trips'!$B$23+VLOOKUP(VLOOKUP($B13,'20Trips'!$A$2:$I$22,4,FALSE),'20Trips'!$AB$32:$AH$36,3,FALSE))),1,0)</f>
        <v>0</v>
      </c>
      <c r="F13" s="2">
        <f>IF(AND(VLOOKUP(F$1,'20Trips'!$A$3:$I$22,8,FALSE) - VLOOKUP($B13,'20Trips'!$A$3:$I$22,9,FALSE) &gt;= ('20Trips'!$B$23+VLOOKUP(VLOOKUP($B13,'20Trips'!$A$2:$I$22,4,FALSE),'20Trips'!$AB$32:$AH$36,3,FALSE))),1,0)</f>
        <v>1</v>
      </c>
      <c r="G13" s="2">
        <f>IF(AND(VLOOKUP(G$1,'20Trips'!$A$3:$I$22,8,FALSE) - VLOOKUP($B13,'20Trips'!$A$3:$I$22,9,FALSE) &gt;= ('20Trips'!$B$23+VLOOKUP(VLOOKUP($B13,'20Trips'!$A$2:$I$22,4,FALSE),'20Trips'!$AB$32:$AH$36,3,FALSE))),1,0)</f>
        <v>1</v>
      </c>
      <c r="H13" s="2">
        <f>IF(AND(VLOOKUP(H$1,'20Trips'!$A$3:$I$22,8,FALSE) - VLOOKUP($B13,'20Trips'!$A$3:$I$22,9,FALSE) &gt;= ('20Trips'!$B$23+VLOOKUP(VLOOKUP($B13,'20Trips'!$A$2:$I$22,4,FALSE),'20Trips'!$AB$32:$AH$36,3,FALSE))),1,0)</f>
        <v>1</v>
      </c>
      <c r="I13" s="2">
        <f>IF(AND(VLOOKUP(I$1,'20Trips'!$A$3:$I$22,8,FALSE) - VLOOKUP($B13,'20Trips'!$A$3:$I$22,9,FALSE) &gt;= ('20Trips'!$B$23+VLOOKUP(VLOOKUP($B13,'20Trips'!$A$2:$I$22,4,FALSE),'20Trips'!$AB$32:$AH$36,3,FALSE))),1,0)</f>
        <v>0</v>
      </c>
      <c r="J13" s="2">
        <f>IF(AND(VLOOKUP(J$1,'20Trips'!$A$3:$I$22,8,FALSE) - VLOOKUP($B13,'20Trips'!$A$3:$I$22,9,FALSE) &gt;= ('20Trips'!$B$23+VLOOKUP(VLOOKUP($B13,'20Trips'!$A$2:$I$22,4,FALSE),'20Trips'!$AB$32:$AH$36,3,FALSE))),1,0)</f>
        <v>0</v>
      </c>
      <c r="K13" s="2">
        <f>IF(AND(VLOOKUP(K$1,'20Trips'!$A$3:$I$22,8,FALSE) - VLOOKUP($B13,'20Trips'!$A$3:$I$22,9,FALSE) &gt;= ('20Trips'!$B$23+VLOOKUP(VLOOKUP($B13,'20Trips'!$A$2:$I$22,4,FALSE),'20Trips'!$AB$32:$AH$36,3,FALSE))),1,0)</f>
        <v>1</v>
      </c>
      <c r="L13" s="2">
        <f>IF(AND(VLOOKUP(L$1,'20Trips'!$A$3:$I$22,8,FALSE) - VLOOKUP($B13,'20Trips'!$A$3:$I$22,9,FALSE) &gt;= ('20Trips'!$B$23+VLOOKUP(VLOOKUP($B13,'20Trips'!$A$2:$I$22,4,FALSE),'20Trips'!$AB$32:$AH$36,3,FALSE))),1,0)</f>
        <v>1</v>
      </c>
      <c r="M13" s="2">
        <f>IF(AND(VLOOKUP(M$1,'20Trips'!$A$3:$I$22,8,FALSE) - VLOOKUP($B13,'20Trips'!$A$3:$I$22,9,FALSE) &gt;= ('20Trips'!$B$23+VLOOKUP(VLOOKUP($B13,'20Trips'!$A$2:$I$22,4,FALSE),'20Trips'!$AB$32:$AH$36,3,FALSE))),1,0)</f>
        <v>1</v>
      </c>
      <c r="N13" s="2">
        <f>IF(AND(VLOOKUP(N$1,'20Trips'!$A$3:$I$22,8,FALSE) - VLOOKUP($B13,'20Trips'!$A$3:$I$22,9,FALSE) &gt;= ('20Trips'!$B$23+VLOOKUP(VLOOKUP($B13,'20Trips'!$A$2:$I$22,4,FALSE),'20Trips'!$AB$32:$AH$36,3,FALSE))),1,0)</f>
        <v>0</v>
      </c>
      <c r="O13" s="2">
        <f>IF(AND(VLOOKUP(O$1,'20Trips'!$A$3:$I$22,8,FALSE) - VLOOKUP($B13,'20Trips'!$A$3:$I$22,9,FALSE) &gt;= ('20Trips'!$B$23+VLOOKUP(VLOOKUP($B13,'20Trips'!$A$2:$I$22,4,FALSE),'20Trips'!$AB$32:$AH$36,3,FALSE))),1,0)</f>
        <v>0</v>
      </c>
      <c r="P13" s="2">
        <f>IF(AND(VLOOKUP(P$1,'20Trips'!$A$3:$I$22,8,FALSE) - VLOOKUP($B13,'20Trips'!$A$3:$I$22,9,FALSE) &gt;= ('20Trips'!$B$23+VLOOKUP(VLOOKUP($B13,'20Trips'!$A$2:$I$22,4,FALSE),'20Trips'!$AB$32:$AH$36,3,FALSE))),1,0)</f>
        <v>0</v>
      </c>
      <c r="Q13" s="2">
        <f>IF(AND(VLOOKUP(Q$1,'20Trips'!$A$3:$I$22,8,FALSE) - VLOOKUP($B13,'20Trips'!$A$3:$I$22,9,FALSE) &gt;= ('20Trips'!$B$23+VLOOKUP(VLOOKUP($B13,'20Trips'!$A$2:$I$22,4,FALSE),'20Trips'!$AB$32:$AH$36,3,FALSE))),1,0)</f>
        <v>1</v>
      </c>
      <c r="R13" s="2">
        <f>IF(AND(VLOOKUP(R$1,'20Trips'!$A$3:$I$22,8,FALSE) - VLOOKUP($B13,'20Trips'!$A$3:$I$22,9,FALSE) &gt;= ('20Trips'!$B$23+VLOOKUP(VLOOKUP($B13,'20Trips'!$A$2:$I$22,4,FALSE),'20Trips'!$AB$32:$AH$36,3,FALSE))),1,0)</f>
        <v>1</v>
      </c>
      <c r="S13" s="2">
        <f>IF(AND(VLOOKUP(S$1,'20Trips'!$A$3:$I$22,8,FALSE) - VLOOKUP($B13,'20Trips'!$A$3:$I$22,9,FALSE) &gt;= ('20Trips'!$B$23+VLOOKUP(VLOOKUP($B13,'20Trips'!$A$2:$I$22,4,FALSE),'20Trips'!$AB$32:$AH$36,3,FALSE))),1,0)</f>
        <v>0</v>
      </c>
      <c r="T13" s="2">
        <f>IF(AND(VLOOKUP(T$1,'20Trips'!$A$3:$I$22,8,FALSE) - VLOOKUP($B13,'20Trips'!$A$3:$I$22,9,FALSE) &gt;= ('20Trips'!$B$23+VLOOKUP(VLOOKUP($B13,'20Trips'!$A$2:$I$22,4,FALSE),'20Trips'!$AB$32:$AH$36,3,FALSE))),1,0)</f>
        <v>0</v>
      </c>
      <c r="U13" s="2">
        <f>IF(AND(VLOOKUP(U$1,'20Trips'!$A$3:$I$22,8,FALSE) - VLOOKUP($B13,'20Trips'!$A$3:$I$22,9,FALSE) &gt;= ('20Trips'!$B$23+VLOOKUP(VLOOKUP($B13,'20Trips'!$A$2:$I$22,4,FALSE),'20Trips'!$AB$32:$AH$36,3,FALSE))),1,0)</f>
        <v>1</v>
      </c>
      <c r="V13" s="2">
        <f>IF(AND(VLOOKUP(V$1,'20Trips'!$A$3:$I$22,8,FALSE) - VLOOKUP($B13,'20Trips'!$A$3:$I$22,9,FALSE) &gt;= ('20Trips'!$B$23+VLOOKUP(VLOOKUP($B13,'20Trips'!$A$2:$I$22,4,FALSE),'20Trips'!$AB$32:$AH$36,3,FALSE))),1,0)</f>
        <v>1</v>
      </c>
      <c r="W13" s="2">
        <f>IF(AND(VLOOKUP(W$1,'20Trips'!$A$3:$I$22,8,FALSE) - VLOOKUP($B13,'20Trips'!$A$3:$I$22,9,FALSE) &gt;= ('20Trips'!$B$23+VLOOKUP(VLOOKUP($B13,'20Trips'!$A$2:$I$22,4,FALSE),'20Trips'!$AB$32:$AH$36,3,FALSE))),1,0)</f>
        <v>1</v>
      </c>
    </row>
    <row r="14" spans="1:24" x14ac:dyDescent="0.25">
      <c r="A14" t="s">
        <v>48</v>
      </c>
      <c r="B14" t="s">
        <v>27</v>
      </c>
      <c r="C14">
        <v>0</v>
      </c>
      <c r="D14" s="2">
        <f>IF(AND(VLOOKUP(D$1,'20Trips'!$A$3:$I$22,8,FALSE) - VLOOKUP($B14,'20Trips'!$A$3:$I$22,9,FALSE) &gt;= ('20Trips'!$B$23+VLOOKUP(VLOOKUP($B14,'20Trips'!$A$2:$I$22,4,FALSE),'20Trips'!$AB$32:$AH$36,3,FALSE))),1,0)</f>
        <v>0</v>
      </c>
      <c r="E14" s="2">
        <f>IF(AND(VLOOKUP(E$1,'20Trips'!$A$3:$I$22,8,FALSE) - VLOOKUP($B14,'20Trips'!$A$3:$I$22,9,FALSE) &gt;= ('20Trips'!$B$23+VLOOKUP(VLOOKUP($B14,'20Trips'!$A$2:$I$22,4,FALSE),'20Trips'!$AB$32:$AH$36,3,FALSE))),1,0)</f>
        <v>0</v>
      </c>
      <c r="F14" s="2">
        <f>IF(AND(VLOOKUP(F$1,'20Trips'!$A$3:$I$22,8,FALSE) - VLOOKUP($B14,'20Trips'!$A$3:$I$22,9,FALSE) &gt;= ('20Trips'!$B$23+VLOOKUP(VLOOKUP($B14,'20Trips'!$A$2:$I$22,4,FALSE),'20Trips'!$AB$32:$AH$36,3,FALSE))),1,0)</f>
        <v>0</v>
      </c>
      <c r="G14" s="2">
        <f>IF(AND(VLOOKUP(G$1,'20Trips'!$A$3:$I$22,8,FALSE) - VLOOKUP($B14,'20Trips'!$A$3:$I$22,9,FALSE) &gt;= ('20Trips'!$B$23+VLOOKUP(VLOOKUP($B14,'20Trips'!$A$2:$I$22,4,FALSE),'20Trips'!$AB$32:$AH$36,3,FALSE))),1,0)</f>
        <v>1</v>
      </c>
      <c r="H14" s="2">
        <f>IF(AND(VLOOKUP(H$1,'20Trips'!$A$3:$I$22,8,FALSE) - VLOOKUP($B14,'20Trips'!$A$3:$I$22,9,FALSE) &gt;= ('20Trips'!$B$23+VLOOKUP(VLOOKUP($B14,'20Trips'!$A$2:$I$22,4,FALSE),'20Trips'!$AB$32:$AH$36,3,FALSE))),1,0)</f>
        <v>1</v>
      </c>
      <c r="I14" s="2">
        <f>IF(AND(VLOOKUP(I$1,'20Trips'!$A$3:$I$22,8,FALSE) - VLOOKUP($B14,'20Trips'!$A$3:$I$22,9,FALSE) &gt;= ('20Trips'!$B$23+VLOOKUP(VLOOKUP($B14,'20Trips'!$A$2:$I$22,4,FALSE),'20Trips'!$AB$32:$AH$36,3,FALSE))),1,0)</f>
        <v>0</v>
      </c>
      <c r="J14" s="2">
        <f>IF(AND(VLOOKUP(J$1,'20Trips'!$A$3:$I$22,8,FALSE) - VLOOKUP($B14,'20Trips'!$A$3:$I$22,9,FALSE) &gt;= ('20Trips'!$B$23+VLOOKUP(VLOOKUP($B14,'20Trips'!$A$2:$I$22,4,FALSE),'20Trips'!$AB$32:$AH$36,3,FALSE))),1,0)</f>
        <v>0</v>
      </c>
      <c r="K14" s="2">
        <f>IF(AND(VLOOKUP(K$1,'20Trips'!$A$3:$I$22,8,FALSE) - VLOOKUP($B14,'20Trips'!$A$3:$I$22,9,FALSE) &gt;= ('20Trips'!$B$23+VLOOKUP(VLOOKUP($B14,'20Trips'!$A$2:$I$22,4,FALSE),'20Trips'!$AB$32:$AH$36,3,FALSE))),1,0)</f>
        <v>0</v>
      </c>
      <c r="L14" s="2">
        <f>IF(AND(VLOOKUP(L$1,'20Trips'!$A$3:$I$22,8,FALSE) - VLOOKUP($B14,'20Trips'!$A$3:$I$22,9,FALSE) &gt;= ('20Trips'!$B$23+VLOOKUP(VLOOKUP($B14,'20Trips'!$A$2:$I$22,4,FALSE),'20Trips'!$AB$32:$AH$36,3,FALSE))),1,0)</f>
        <v>1</v>
      </c>
      <c r="M14" s="2">
        <f>IF(AND(VLOOKUP(M$1,'20Trips'!$A$3:$I$22,8,FALSE) - VLOOKUP($B14,'20Trips'!$A$3:$I$22,9,FALSE) &gt;= ('20Trips'!$B$23+VLOOKUP(VLOOKUP($B14,'20Trips'!$A$2:$I$22,4,FALSE),'20Trips'!$AB$32:$AH$36,3,FALSE))),1,0)</f>
        <v>1</v>
      </c>
      <c r="N14" s="2">
        <f>IF(AND(VLOOKUP(N$1,'20Trips'!$A$3:$I$22,8,FALSE) - VLOOKUP($B14,'20Trips'!$A$3:$I$22,9,FALSE) &gt;= ('20Trips'!$B$23+VLOOKUP(VLOOKUP($B14,'20Trips'!$A$2:$I$22,4,FALSE),'20Trips'!$AB$32:$AH$36,3,FALSE))),1,0)</f>
        <v>0</v>
      </c>
      <c r="O14" s="2">
        <f>IF(AND(VLOOKUP(O$1,'20Trips'!$A$3:$I$22,8,FALSE) - VLOOKUP($B14,'20Trips'!$A$3:$I$22,9,FALSE) &gt;= ('20Trips'!$B$23+VLOOKUP(VLOOKUP($B14,'20Trips'!$A$2:$I$22,4,FALSE),'20Trips'!$AB$32:$AH$36,3,FALSE))),1,0)</f>
        <v>0</v>
      </c>
      <c r="P14" s="2">
        <f>IF(AND(VLOOKUP(P$1,'20Trips'!$A$3:$I$22,8,FALSE) - VLOOKUP($B14,'20Trips'!$A$3:$I$22,9,FALSE) &gt;= ('20Trips'!$B$23+VLOOKUP(VLOOKUP($B14,'20Trips'!$A$2:$I$22,4,FALSE),'20Trips'!$AB$32:$AH$36,3,FALSE))),1,0)</f>
        <v>0</v>
      </c>
      <c r="Q14" s="2">
        <f>IF(AND(VLOOKUP(Q$1,'20Trips'!$A$3:$I$22,8,FALSE) - VLOOKUP($B14,'20Trips'!$A$3:$I$22,9,FALSE) &gt;= ('20Trips'!$B$23+VLOOKUP(VLOOKUP($B14,'20Trips'!$A$2:$I$22,4,FALSE),'20Trips'!$AB$32:$AH$36,3,FALSE))),1,0)</f>
        <v>0</v>
      </c>
      <c r="R14" s="2">
        <f>IF(AND(VLOOKUP(R$1,'20Trips'!$A$3:$I$22,8,FALSE) - VLOOKUP($B14,'20Trips'!$A$3:$I$22,9,FALSE) &gt;= ('20Trips'!$B$23+VLOOKUP(VLOOKUP($B14,'20Trips'!$A$2:$I$22,4,FALSE),'20Trips'!$AB$32:$AH$36,3,FALSE))),1,0)</f>
        <v>1</v>
      </c>
      <c r="S14" s="2">
        <f>IF(AND(VLOOKUP(S$1,'20Trips'!$A$3:$I$22,8,FALSE) - VLOOKUP($B14,'20Trips'!$A$3:$I$22,9,FALSE) &gt;= ('20Trips'!$B$23+VLOOKUP(VLOOKUP($B14,'20Trips'!$A$2:$I$22,4,FALSE),'20Trips'!$AB$32:$AH$36,3,FALSE))),1,0)</f>
        <v>0</v>
      </c>
      <c r="T14" s="2">
        <f>IF(AND(VLOOKUP(T$1,'20Trips'!$A$3:$I$22,8,FALSE) - VLOOKUP($B14,'20Trips'!$A$3:$I$22,9,FALSE) &gt;= ('20Trips'!$B$23+VLOOKUP(VLOOKUP($B14,'20Trips'!$A$2:$I$22,4,FALSE),'20Trips'!$AB$32:$AH$36,3,FALSE))),1,0)</f>
        <v>0</v>
      </c>
      <c r="U14" s="2">
        <f>IF(AND(VLOOKUP(U$1,'20Trips'!$A$3:$I$22,8,FALSE) - VLOOKUP($B14,'20Trips'!$A$3:$I$22,9,FALSE) &gt;= ('20Trips'!$B$23+VLOOKUP(VLOOKUP($B14,'20Trips'!$A$2:$I$22,4,FALSE),'20Trips'!$AB$32:$AH$36,3,FALSE))),1,0)</f>
        <v>1</v>
      </c>
      <c r="V14" s="2">
        <f>IF(AND(VLOOKUP(V$1,'20Trips'!$A$3:$I$22,8,FALSE) - VLOOKUP($B14,'20Trips'!$A$3:$I$22,9,FALSE) &gt;= ('20Trips'!$B$23+VLOOKUP(VLOOKUP($B14,'20Trips'!$A$2:$I$22,4,FALSE),'20Trips'!$AB$32:$AH$36,3,FALSE))),1,0)</f>
        <v>1</v>
      </c>
      <c r="W14" s="2">
        <f>IF(AND(VLOOKUP(W$1,'20Trips'!$A$3:$I$22,8,FALSE) - VLOOKUP($B14,'20Trips'!$A$3:$I$22,9,FALSE) &gt;= ('20Trips'!$B$23+VLOOKUP(VLOOKUP($B14,'20Trips'!$A$2:$I$22,4,FALSE),'20Trips'!$AB$32:$AH$36,3,FALSE))),1,0)</f>
        <v>1</v>
      </c>
    </row>
    <row r="15" spans="1:24" x14ac:dyDescent="0.25">
      <c r="A15" t="s">
        <v>48</v>
      </c>
      <c r="B15" t="s">
        <v>28</v>
      </c>
      <c r="C15">
        <v>0</v>
      </c>
      <c r="D15" s="2">
        <f>IF(AND(VLOOKUP(D$1,'20Trips'!$A$3:$I$22,8,FALSE) - VLOOKUP($B15,'20Trips'!$A$3:$I$22,9,FALSE) &gt;= ('20Trips'!$B$23+VLOOKUP(VLOOKUP($B15,'20Trips'!$A$2:$I$22,4,FALSE),'20Trips'!$AB$32:$AH$36,3,FALSE))),1,0)</f>
        <v>0</v>
      </c>
      <c r="E15" s="2">
        <f>IF(AND(VLOOKUP(E$1,'20Trips'!$A$3:$I$22,8,FALSE) - VLOOKUP($B15,'20Trips'!$A$3:$I$22,9,FALSE) &gt;= ('20Trips'!$B$23+VLOOKUP(VLOOKUP($B15,'20Trips'!$A$2:$I$22,4,FALSE),'20Trips'!$AB$32:$AH$36,3,FALSE))),1,0)</f>
        <v>0</v>
      </c>
      <c r="F15" s="2">
        <f>IF(AND(VLOOKUP(F$1,'20Trips'!$A$3:$I$22,8,FALSE) - VLOOKUP($B15,'20Trips'!$A$3:$I$22,9,FALSE) &gt;= ('20Trips'!$B$23+VLOOKUP(VLOOKUP($B15,'20Trips'!$A$2:$I$22,4,FALSE),'20Trips'!$AB$32:$AH$36,3,FALSE))),1,0)</f>
        <v>0</v>
      </c>
      <c r="G15" s="2">
        <f>IF(AND(VLOOKUP(G$1,'20Trips'!$A$3:$I$22,8,FALSE) - VLOOKUP($B15,'20Trips'!$A$3:$I$22,9,FALSE) &gt;= ('20Trips'!$B$23+VLOOKUP(VLOOKUP($B15,'20Trips'!$A$2:$I$22,4,FALSE),'20Trips'!$AB$32:$AH$36,3,FALSE))),1,0)</f>
        <v>0</v>
      </c>
      <c r="H15" s="2">
        <f>IF(AND(VLOOKUP(H$1,'20Trips'!$A$3:$I$22,8,FALSE) - VLOOKUP($B15,'20Trips'!$A$3:$I$22,9,FALSE) &gt;= ('20Trips'!$B$23+VLOOKUP(VLOOKUP($B15,'20Trips'!$A$2:$I$22,4,FALSE),'20Trips'!$AB$32:$AH$36,3,FALSE))),1,0)</f>
        <v>1</v>
      </c>
      <c r="I15" s="2">
        <f>IF(AND(VLOOKUP(I$1,'20Trips'!$A$3:$I$22,8,FALSE) - VLOOKUP($B15,'20Trips'!$A$3:$I$22,9,FALSE) &gt;= ('20Trips'!$B$23+VLOOKUP(VLOOKUP($B15,'20Trips'!$A$2:$I$22,4,FALSE),'20Trips'!$AB$32:$AH$36,3,FALSE))),1,0)</f>
        <v>0</v>
      </c>
      <c r="J15" s="2">
        <f>IF(AND(VLOOKUP(J$1,'20Trips'!$A$3:$I$22,8,FALSE) - VLOOKUP($B15,'20Trips'!$A$3:$I$22,9,FALSE) &gt;= ('20Trips'!$B$23+VLOOKUP(VLOOKUP($B15,'20Trips'!$A$2:$I$22,4,FALSE),'20Trips'!$AB$32:$AH$36,3,FALSE))),1,0)</f>
        <v>0</v>
      </c>
      <c r="K15" s="2">
        <f>IF(AND(VLOOKUP(K$1,'20Trips'!$A$3:$I$22,8,FALSE) - VLOOKUP($B15,'20Trips'!$A$3:$I$22,9,FALSE) &gt;= ('20Trips'!$B$23+VLOOKUP(VLOOKUP($B15,'20Trips'!$A$2:$I$22,4,FALSE),'20Trips'!$AB$32:$AH$36,3,FALSE))),1,0)</f>
        <v>0</v>
      </c>
      <c r="L15" s="2">
        <f>IF(AND(VLOOKUP(L$1,'20Trips'!$A$3:$I$22,8,FALSE) - VLOOKUP($B15,'20Trips'!$A$3:$I$22,9,FALSE) &gt;= ('20Trips'!$B$23+VLOOKUP(VLOOKUP($B15,'20Trips'!$A$2:$I$22,4,FALSE),'20Trips'!$AB$32:$AH$36,3,FALSE))),1,0)</f>
        <v>1</v>
      </c>
      <c r="M15" s="2">
        <f>IF(AND(VLOOKUP(M$1,'20Trips'!$A$3:$I$22,8,FALSE) - VLOOKUP($B15,'20Trips'!$A$3:$I$22,9,FALSE) &gt;= ('20Trips'!$B$23+VLOOKUP(VLOOKUP($B15,'20Trips'!$A$2:$I$22,4,FALSE),'20Trips'!$AB$32:$AH$36,3,FALSE))),1,0)</f>
        <v>1</v>
      </c>
      <c r="N15" s="2">
        <f>IF(AND(VLOOKUP(N$1,'20Trips'!$A$3:$I$22,8,FALSE) - VLOOKUP($B15,'20Trips'!$A$3:$I$22,9,FALSE) &gt;= ('20Trips'!$B$23+VLOOKUP(VLOOKUP($B15,'20Trips'!$A$2:$I$22,4,FALSE),'20Trips'!$AB$32:$AH$36,3,FALSE))),1,0)</f>
        <v>0</v>
      </c>
      <c r="O15" s="2">
        <f>IF(AND(VLOOKUP(O$1,'20Trips'!$A$3:$I$22,8,FALSE) - VLOOKUP($B15,'20Trips'!$A$3:$I$22,9,FALSE) &gt;= ('20Trips'!$B$23+VLOOKUP(VLOOKUP($B15,'20Trips'!$A$2:$I$22,4,FALSE),'20Trips'!$AB$32:$AH$36,3,FALSE))),1,0)</f>
        <v>0</v>
      </c>
      <c r="P15" s="2">
        <f>IF(AND(VLOOKUP(P$1,'20Trips'!$A$3:$I$22,8,FALSE) - VLOOKUP($B15,'20Trips'!$A$3:$I$22,9,FALSE) &gt;= ('20Trips'!$B$23+VLOOKUP(VLOOKUP($B15,'20Trips'!$A$2:$I$22,4,FALSE),'20Trips'!$AB$32:$AH$36,3,FALSE))),1,0)</f>
        <v>0</v>
      </c>
      <c r="Q15" s="2">
        <f>IF(AND(VLOOKUP(Q$1,'20Trips'!$A$3:$I$22,8,FALSE) - VLOOKUP($B15,'20Trips'!$A$3:$I$22,9,FALSE) &gt;= ('20Trips'!$B$23+VLOOKUP(VLOOKUP($B15,'20Trips'!$A$2:$I$22,4,FALSE),'20Trips'!$AB$32:$AH$36,3,FALSE))),1,0)</f>
        <v>0</v>
      </c>
      <c r="R15" s="2">
        <f>IF(AND(VLOOKUP(R$1,'20Trips'!$A$3:$I$22,8,FALSE) - VLOOKUP($B15,'20Trips'!$A$3:$I$22,9,FALSE) &gt;= ('20Trips'!$B$23+VLOOKUP(VLOOKUP($B15,'20Trips'!$A$2:$I$22,4,FALSE),'20Trips'!$AB$32:$AH$36,3,FALSE))),1,0)</f>
        <v>0</v>
      </c>
      <c r="S15" s="2">
        <f>IF(AND(VLOOKUP(S$1,'20Trips'!$A$3:$I$22,8,FALSE) - VLOOKUP($B15,'20Trips'!$A$3:$I$22,9,FALSE) &gt;= ('20Trips'!$B$23+VLOOKUP(VLOOKUP($B15,'20Trips'!$A$2:$I$22,4,FALSE),'20Trips'!$AB$32:$AH$36,3,FALSE))),1,0)</f>
        <v>0</v>
      </c>
      <c r="T15" s="2">
        <f>IF(AND(VLOOKUP(T$1,'20Trips'!$A$3:$I$22,8,FALSE) - VLOOKUP($B15,'20Trips'!$A$3:$I$22,9,FALSE) &gt;= ('20Trips'!$B$23+VLOOKUP(VLOOKUP($B15,'20Trips'!$A$2:$I$22,4,FALSE),'20Trips'!$AB$32:$AH$36,3,FALSE))),1,0)</f>
        <v>0</v>
      </c>
      <c r="U15" s="2">
        <f>IF(AND(VLOOKUP(U$1,'20Trips'!$A$3:$I$22,8,FALSE) - VLOOKUP($B15,'20Trips'!$A$3:$I$22,9,FALSE) &gt;= ('20Trips'!$B$23+VLOOKUP(VLOOKUP($B15,'20Trips'!$A$2:$I$22,4,FALSE),'20Trips'!$AB$32:$AH$36,3,FALSE))),1,0)</f>
        <v>0</v>
      </c>
      <c r="V15" s="2">
        <f>IF(AND(VLOOKUP(V$1,'20Trips'!$A$3:$I$22,8,FALSE) - VLOOKUP($B15,'20Trips'!$A$3:$I$22,9,FALSE) &gt;= ('20Trips'!$B$23+VLOOKUP(VLOOKUP($B15,'20Trips'!$A$2:$I$22,4,FALSE),'20Trips'!$AB$32:$AH$36,3,FALSE))),1,0)</f>
        <v>0</v>
      </c>
      <c r="W15" s="2">
        <f>IF(AND(VLOOKUP(W$1,'20Trips'!$A$3:$I$22,8,FALSE) - VLOOKUP($B15,'20Trips'!$A$3:$I$22,9,FALSE) &gt;= ('20Trips'!$B$23+VLOOKUP(VLOOKUP($B15,'20Trips'!$A$2:$I$22,4,FALSE),'20Trips'!$AB$32:$AH$36,3,FALSE))),1,0)</f>
        <v>1</v>
      </c>
    </row>
    <row r="16" spans="1:24" x14ac:dyDescent="0.25">
      <c r="A16" t="s">
        <v>48</v>
      </c>
      <c r="B16" t="s">
        <v>29</v>
      </c>
      <c r="C16">
        <v>0</v>
      </c>
      <c r="D16" s="2">
        <f>IF(AND(VLOOKUP(D$1,'20Trips'!$A$3:$I$22,8,FALSE) - VLOOKUP($B16,'20Trips'!$A$3:$I$22,9,FALSE) &gt;= ('20Trips'!$B$23+VLOOKUP(VLOOKUP($B16,'20Trips'!$A$2:$I$22,4,FALSE),'20Trips'!$AB$32:$AH$36,3,FALSE))),1,0)</f>
        <v>0</v>
      </c>
      <c r="E16" s="2">
        <f>IF(AND(VLOOKUP(E$1,'20Trips'!$A$3:$I$22,8,FALSE) - VLOOKUP($B16,'20Trips'!$A$3:$I$22,9,FALSE) &gt;= ('20Trips'!$B$23+VLOOKUP(VLOOKUP($B16,'20Trips'!$A$2:$I$22,4,FALSE),'20Trips'!$AB$32:$AH$36,3,FALSE))),1,0)</f>
        <v>0</v>
      </c>
      <c r="F16" s="2">
        <f>IF(AND(VLOOKUP(F$1,'20Trips'!$A$3:$I$22,8,FALSE) - VLOOKUP($B16,'20Trips'!$A$3:$I$22,9,FALSE) &gt;= ('20Trips'!$B$23+VLOOKUP(VLOOKUP($B16,'20Trips'!$A$2:$I$22,4,FALSE),'20Trips'!$AB$32:$AH$36,3,FALSE))),1,0)</f>
        <v>0</v>
      </c>
      <c r="G16" s="2">
        <f>IF(AND(VLOOKUP(G$1,'20Trips'!$A$3:$I$22,8,FALSE) - VLOOKUP($B16,'20Trips'!$A$3:$I$22,9,FALSE) &gt;= ('20Trips'!$B$23+VLOOKUP(VLOOKUP($B16,'20Trips'!$A$2:$I$22,4,FALSE),'20Trips'!$AB$32:$AH$36,3,FALSE))),1,0)</f>
        <v>0</v>
      </c>
      <c r="H16" s="2">
        <f>IF(AND(VLOOKUP(H$1,'20Trips'!$A$3:$I$22,8,FALSE) - VLOOKUP($B16,'20Trips'!$A$3:$I$22,9,FALSE) &gt;= ('20Trips'!$B$23+VLOOKUP(VLOOKUP($B16,'20Trips'!$A$2:$I$22,4,FALSE),'20Trips'!$AB$32:$AH$36,3,FALSE))),1,0)</f>
        <v>0</v>
      </c>
      <c r="I16" s="2">
        <f>IF(AND(VLOOKUP(I$1,'20Trips'!$A$3:$I$22,8,FALSE) - VLOOKUP($B16,'20Trips'!$A$3:$I$22,9,FALSE) &gt;= ('20Trips'!$B$23+VLOOKUP(VLOOKUP($B16,'20Trips'!$A$2:$I$22,4,FALSE),'20Trips'!$AB$32:$AH$36,3,FALSE))),1,0)</f>
        <v>0</v>
      </c>
      <c r="J16" s="2">
        <f>IF(AND(VLOOKUP(J$1,'20Trips'!$A$3:$I$22,8,FALSE) - VLOOKUP($B16,'20Trips'!$A$3:$I$22,9,FALSE) &gt;= ('20Trips'!$B$23+VLOOKUP(VLOOKUP($B16,'20Trips'!$A$2:$I$22,4,FALSE),'20Trips'!$AB$32:$AH$36,3,FALSE))),1,0)</f>
        <v>0</v>
      </c>
      <c r="K16" s="2">
        <f>IF(AND(VLOOKUP(K$1,'20Trips'!$A$3:$I$22,8,FALSE) - VLOOKUP($B16,'20Trips'!$A$3:$I$22,9,FALSE) &gt;= ('20Trips'!$B$23+VLOOKUP(VLOOKUP($B16,'20Trips'!$A$2:$I$22,4,FALSE),'20Trips'!$AB$32:$AH$36,3,FALSE))),1,0)</f>
        <v>0</v>
      </c>
      <c r="L16" s="2">
        <f>IF(AND(VLOOKUP(L$1,'20Trips'!$A$3:$I$22,8,FALSE) - VLOOKUP($B16,'20Trips'!$A$3:$I$22,9,FALSE) &gt;= ('20Trips'!$B$23+VLOOKUP(VLOOKUP($B16,'20Trips'!$A$2:$I$22,4,FALSE),'20Trips'!$AB$32:$AH$36,3,FALSE))),1,0)</f>
        <v>1</v>
      </c>
      <c r="M16" s="2">
        <f>IF(AND(VLOOKUP(M$1,'20Trips'!$A$3:$I$22,8,FALSE) - VLOOKUP($B16,'20Trips'!$A$3:$I$22,9,FALSE) &gt;= ('20Trips'!$B$23+VLOOKUP(VLOOKUP($B16,'20Trips'!$A$2:$I$22,4,FALSE),'20Trips'!$AB$32:$AH$36,3,FALSE))),1,0)</f>
        <v>1</v>
      </c>
      <c r="N16" s="2">
        <f>IF(AND(VLOOKUP(N$1,'20Trips'!$A$3:$I$22,8,FALSE) - VLOOKUP($B16,'20Trips'!$A$3:$I$22,9,FALSE) &gt;= ('20Trips'!$B$23+VLOOKUP(VLOOKUP($B16,'20Trips'!$A$2:$I$22,4,FALSE),'20Trips'!$AB$32:$AH$36,3,FALSE))),1,0)</f>
        <v>0</v>
      </c>
      <c r="O16" s="2">
        <f>IF(AND(VLOOKUP(O$1,'20Trips'!$A$3:$I$22,8,FALSE) - VLOOKUP($B16,'20Trips'!$A$3:$I$22,9,FALSE) &gt;= ('20Trips'!$B$23+VLOOKUP(VLOOKUP($B16,'20Trips'!$A$2:$I$22,4,FALSE),'20Trips'!$AB$32:$AH$36,3,FALSE))),1,0)</f>
        <v>0</v>
      </c>
      <c r="P16" s="2">
        <f>IF(AND(VLOOKUP(P$1,'20Trips'!$A$3:$I$22,8,FALSE) - VLOOKUP($B16,'20Trips'!$A$3:$I$22,9,FALSE) &gt;= ('20Trips'!$B$23+VLOOKUP(VLOOKUP($B16,'20Trips'!$A$2:$I$22,4,FALSE),'20Trips'!$AB$32:$AH$36,3,FALSE))),1,0)</f>
        <v>0</v>
      </c>
      <c r="Q16" s="2">
        <f>IF(AND(VLOOKUP(Q$1,'20Trips'!$A$3:$I$22,8,FALSE) - VLOOKUP($B16,'20Trips'!$A$3:$I$22,9,FALSE) &gt;= ('20Trips'!$B$23+VLOOKUP(VLOOKUP($B16,'20Trips'!$A$2:$I$22,4,FALSE),'20Trips'!$AB$32:$AH$36,3,FALSE))),1,0)</f>
        <v>0</v>
      </c>
      <c r="R16" s="2">
        <f>IF(AND(VLOOKUP(R$1,'20Trips'!$A$3:$I$22,8,FALSE) - VLOOKUP($B16,'20Trips'!$A$3:$I$22,9,FALSE) &gt;= ('20Trips'!$B$23+VLOOKUP(VLOOKUP($B16,'20Trips'!$A$2:$I$22,4,FALSE),'20Trips'!$AB$32:$AH$36,3,FALSE))),1,0)</f>
        <v>0</v>
      </c>
      <c r="S16" s="2">
        <f>IF(AND(VLOOKUP(S$1,'20Trips'!$A$3:$I$22,8,FALSE) - VLOOKUP($B16,'20Trips'!$A$3:$I$22,9,FALSE) &gt;= ('20Trips'!$B$23+VLOOKUP(VLOOKUP($B16,'20Trips'!$A$2:$I$22,4,FALSE),'20Trips'!$AB$32:$AH$36,3,FALSE))),1,0)</f>
        <v>0</v>
      </c>
      <c r="T16" s="2">
        <f>IF(AND(VLOOKUP(T$1,'20Trips'!$A$3:$I$22,8,FALSE) - VLOOKUP($B16,'20Trips'!$A$3:$I$22,9,FALSE) &gt;= ('20Trips'!$B$23+VLOOKUP(VLOOKUP($B16,'20Trips'!$A$2:$I$22,4,FALSE),'20Trips'!$AB$32:$AH$36,3,FALSE))),1,0)</f>
        <v>0</v>
      </c>
      <c r="U16" s="2">
        <f>IF(AND(VLOOKUP(U$1,'20Trips'!$A$3:$I$22,8,FALSE) - VLOOKUP($B16,'20Trips'!$A$3:$I$22,9,FALSE) &gt;= ('20Trips'!$B$23+VLOOKUP(VLOOKUP($B16,'20Trips'!$A$2:$I$22,4,FALSE),'20Trips'!$AB$32:$AH$36,3,FALSE))),1,0)</f>
        <v>0</v>
      </c>
      <c r="V16" s="2">
        <f>IF(AND(VLOOKUP(V$1,'20Trips'!$A$3:$I$22,8,FALSE) - VLOOKUP($B16,'20Trips'!$A$3:$I$22,9,FALSE) &gt;= ('20Trips'!$B$23+VLOOKUP(VLOOKUP($B16,'20Trips'!$A$2:$I$22,4,FALSE),'20Trips'!$AB$32:$AH$36,3,FALSE))),1,0)</f>
        <v>0</v>
      </c>
      <c r="W16" s="2">
        <f>IF(AND(VLOOKUP(W$1,'20Trips'!$A$3:$I$22,8,FALSE) - VLOOKUP($B16,'20Trips'!$A$3:$I$22,9,FALSE) &gt;= ('20Trips'!$B$23+VLOOKUP(VLOOKUP($B16,'20Trips'!$A$2:$I$22,4,FALSE),'20Trips'!$AB$32:$AH$36,3,FALSE))),1,0)</f>
        <v>1</v>
      </c>
    </row>
    <row r="17" spans="1:25" x14ac:dyDescent="0.25">
      <c r="A17" t="s">
        <v>48</v>
      </c>
      <c r="B17" t="s">
        <v>30</v>
      </c>
      <c r="C17">
        <v>0</v>
      </c>
      <c r="D17" s="2">
        <f>IF(AND(VLOOKUP(D$1,'20Trips'!$A$3:$I$22,8,FALSE) - VLOOKUP($B17,'20Trips'!$A$3:$I$22,9,FALSE) &gt;= ('20Trips'!$B$23+VLOOKUP(VLOOKUP($B17,'20Trips'!$A$2:$I$22,4,FALSE),'20Trips'!$AB$32:$AH$36,3,FALSE))),1,0)</f>
        <v>0</v>
      </c>
      <c r="E17" s="2">
        <f>IF(AND(VLOOKUP(E$1,'20Trips'!$A$3:$I$22,8,FALSE) - VLOOKUP($B17,'20Trips'!$A$3:$I$22,9,FALSE) &gt;= ('20Trips'!$B$23+VLOOKUP(VLOOKUP($B17,'20Trips'!$A$2:$I$22,4,FALSE),'20Trips'!$AB$32:$AH$36,3,FALSE))),1,0)</f>
        <v>0</v>
      </c>
      <c r="F17" s="2">
        <f>IF(AND(VLOOKUP(F$1,'20Trips'!$A$3:$I$22,8,FALSE) - VLOOKUP($B17,'20Trips'!$A$3:$I$22,9,FALSE) &gt;= ('20Trips'!$B$23+VLOOKUP(VLOOKUP($B17,'20Trips'!$A$2:$I$22,4,FALSE),'20Trips'!$AB$32:$AH$36,3,FALSE))),1,0)</f>
        <v>0</v>
      </c>
      <c r="G17" s="2">
        <f>IF(AND(VLOOKUP(G$1,'20Trips'!$A$3:$I$22,8,FALSE) - VLOOKUP($B17,'20Trips'!$A$3:$I$22,9,FALSE) &gt;= ('20Trips'!$B$23+VLOOKUP(VLOOKUP($B17,'20Trips'!$A$2:$I$22,4,FALSE),'20Trips'!$AB$32:$AH$36,3,FALSE))),1,0)</f>
        <v>0</v>
      </c>
      <c r="H17" s="2">
        <f>IF(AND(VLOOKUP(H$1,'20Trips'!$A$3:$I$22,8,FALSE) - VLOOKUP($B17,'20Trips'!$A$3:$I$22,9,FALSE) &gt;= ('20Trips'!$B$23+VLOOKUP(VLOOKUP($B17,'20Trips'!$A$2:$I$22,4,FALSE),'20Trips'!$AB$32:$AH$36,3,FALSE))),1,0)</f>
        <v>0</v>
      </c>
      <c r="I17" s="2">
        <f>IF(AND(VLOOKUP(I$1,'20Trips'!$A$3:$I$22,8,FALSE) - VLOOKUP($B17,'20Trips'!$A$3:$I$22,9,FALSE) &gt;= ('20Trips'!$B$23+VLOOKUP(VLOOKUP($B17,'20Trips'!$A$2:$I$22,4,FALSE),'20Trips'!$AB$32:$AH$36,3,FALSE))),1,0)</f>
        <v>0</v>
      </c>
      <c r="J17" s="2">
        <f>IF(AND(VLOOKUP(J$1,'20Trips'!$A$3:$I$22,8,FALSE) - VLOOKUP($B17,'20Trips'!$A$3:$I$22,9,FALSE) &gt;= ('20Trips'!$B$23+VLOOKUP(VLOOKUP($B17,'20Trips'!$A$2:$I$22,4,FALSE),'20Trips'!$AB$32:$AH$36,3,FALSE))),1,0)</f>
        <v>0</v>
      </c>
      <c r="K17" s="2">
        <f>IF(AND(VLOOKUP(K$1,'20Trips'!$A$3:$I$22,8,FALSE) - VLOOKUP($B17,'20Trips'!$A$3:$I$22,9,FALSE) &gt;= ('20Trips'!$B$23+VLOOKUP(VLOOKUP($B17,'20Trips'!$A$2:$I$22,4,FALSE),'20Trips'!$AB$32:$AH$36,3,FALSE))),1,0)</f>
        <v>0</v>
      </c>
      <c r="L17" s="2">
        <f>IF(AND(VLOOKUP(L$1,'20Trips'!$A$3:$I$22,8,FALSE) - VLOOKUP($B17,'20Trips'!$A$3:$I$22,9,FALSE) &gt;= ('20Trips'!$B$23+VLOOKUP(VLOOKUP($B17,'20Trips'!$A$2:$I$22,4,FALSE),'20Trips'!$AB$32:$AH$36,3,FALSE))),1,0)</f>
        <v>1</v>
      </c>
      <c r="M17" s="2">
        <f>IF(AND(VLOOKUP(M$1,'20Trips'!$A$3:$I$22,8,FALSE) - VLOOKUP($B17,'20Trips'!$A$3:$I$22,9,FALSE) &gt;= ('20Trips'!$B$23+VLOOKUP(VLOOKUP($B17,'20Trips'!$A$2:$I$22,4,FALSE),'20Trips'!$AB$32:$AH$36,3,FALSE))),1,0)</f>
        <v>1</v>
      </c>
      <c r="N17" s="2">
        <f>IF(AND(VLOOKUP(N$1,'20Trips'!$A$3:$I$22,8,FALSE) - VLOOKUP($B17,'20Trips'!$A$3:$I$22,9,FALSE) &gt;= ('20Trips'!$B$23+VLOOKUP(VLOOKUP($B17,'20Trips'!$A$2:$I$22,4,FALSE),'20Trips'!$AB$32:$AH$36,3,FALSE))),1,0)</f>
        <v>0</v>
      </c>
      <c r="O17" s="2">
        <f>IF(AND(VLOOKUP(O$1,'20Trips'!$A$3:$I$22,8,FALSE) - VLOOKUP($B17,'20Trips'!$A$3:$I$22,9,FALSE) &gt;= ('20Trips'!$B$23+VLOOKUP(VLOOKUP($B17,'20Trips'!$A$2:$I$22,4,FALSE),'20Trips'!$AB$32:$AH$36,3,FALSE))),1,0)</f>
        <v>0</v>
      </c>
      <c r="P17" s="2">
        <f>IF(AND(VLOOKUP(P$1,'20Trips'!$A$3:$I$22,8,FALSE) - VLOOKUP($B17,'20Trips'!$A$3:$I$22,9,FALSE) &gt;= ('20Trips'!$B$23+VLOOKUP(VLOOKUP($B17,'20Trips'!$A$2:$I$22,4,FALSE),'20Trips'!$AB$32:$AH$36,3,FALSE))),1,0)</f>
        <v>0</v>
      </c>
      <c r="Q17" s="2">
        <f>IF(AND(VLOOKUP(Q$1,'20Trips'!$A$3:$I$22,8,FALSE) - VLOOKUP($B17,'20Trips'!$A$3:$I$22,9,FALSE) &gt;= ('20Trips'!$B$23+VLOOKUP(VLOOKUP($B17,'20Trips'!$A$2:$I$22,4,FALSE),'20Trips'!$AB$32:$AH$36,3,FALSE))),1,0)</f>
        <v>0</v>
      </c>
      <c r="R17" s="2">
        <f>IF(AND(VLOOKUP(R$1,'20Trips'!$A$3:$I$22,8,FALSE) - VLOOKUP($B17,'20Trips'!$A$3:$I$22,9,FALSE) &gt;= ('20Trips'!$B$23+VLOOKUP(VLOOKUP($B17,'20Trips'!$A$2:$I$22,4,FALSE),'20Trips'!$AB$32:$AH$36,3,FALSE))),1,0)</f>
        <v>0</v>
      </c>
      <c r="S17" s="2">
        <f>IF(AND(VLOOKUP(S$1,'20Trips'!$A$3:$I$22,8,FALSE) - VLOOKUP($B17,'20Trips'!$A$3:$I$22,9,FALSE) &gt;= ('20Trips'!$B$23+VLOOKUP(VLOOKUP($B17,'20Trips'!$A$2:$I$22,4,FALSE),'20Trips'!$AB$32:$AH$36,3,FALSE))),1,0)</f>
        <v>0</v>
      </c>
      <c r="T17" s="2">
        <f>IF(AND(VLOOKUP(T$1,'20Trips'!$A$3:$I$22,8,FALSE) - VLOOKUP($B17,'20Trips'!$A$3:$I$22,9,FALSE) &gt;= ('20Trips'!$B$23+VLOOKUP(VLOOKUP($B17,'20Trips'!$A$2:$I$22,4,FALSE),'20Trips'!$AB$32:$AH$36,3,FALSE))),1,0)</f>
        <v>0</v>
      </c>
      <c r="U17" s="2">
        <f>IF(AND(VLOOKUP(U$1,'20Trips'!$A$3:$I$22,8,FALSE) - VLOOKUP($B17,'20Trips'!$A$3:$I$22,9,FALSE) &gt;= ('20Trips'!$B$23+VLOOKUP(VLOOKUP($B17,'20Trips'!$A$2:$I$22,4,FALSE),'20Trips'!$AB$32:$AH$36,3,FALSE))),1,0)</f>
        <v>0</v>
      </c>
      <c r="V17" s="2">
        <f>IF(AND(VLOOKUP(V$1,'20Trips'!$A$3:$I$22,8,FALSE) - VLOOKUP($B17,'20Trips'!$A$3:$I$22,9,FALSE) &gt;= ('20Trips'!$B$23+VLOOKUP(VLOOKUP($B17,'20Trips'!$A$2:$I$22,4,FALSE),'20Trips'!$AB$32:$AH$36,3,FALSE))),1,0)</f>
        <v>0</v>
      </c>
      <c r="W17" s="2">
        <f>IF(AND(VLOOKUP(W$1,'20Trips'!$A$3:$I$22,8,FALSE) - VLOOKUP($B17,'20Trips'!$A$3:$I$22,9,FALSE) &gt;= ('20Trips'!$B$23+VLOOKUP(VLOOKUP($B17,'20Trips'!$A$2:$I$22,4,FALSE),'20Trips'!$AB$32:$AH$36,3,FALSE))),1,0)</f>
        <v>0</v>
      </c>
    </row>
    <row r="18" spans="1:25" x14ac:dyDescent="0.25">
      <c r="A18" t="s">
        <v>48</v>
      </c>
      <c r="B18" t="s">
        <v>34</v>
      </c>
      <c r="C18">
        <v>0</v>
      </c>
      <c r="D18" s="2">
        <f>IF(AND(VLOOKUP(D$1,'20Trips'!$A$3:$I$22,8,FALSE) - VLOOKUP($B18,'20Trips'!$A$3:$I$22,9,FALSE) &gt;= ('20Trips'!$B$23+VLOOKUP(VLOOKUP($B18,'20Trips'!$A$2:$I$22,4,FALSE),'20Trips'!$AB$32:$AH$36,3,FALSE))),1,0)</f>
        <v>0</v>
      </c>
      <c r="E18" s="2">
        <f>IF(AND(VLOOKUP(E$1,'20Trips'!$A$3:$I$22,8,FALSE) - VLOOKUP($B18,'20Trips'!$A$3:$I$22,9,FALSE) &gt;= ('20Trips'!$B$23+VLOOKUP(VLOOKUP($B18,'20Trips'!$A$2:$I$22,4,FALSE),'20Trips'!$AB$32:$AH$36,3,FALSE))),1,0)</f>
        <v>0</v>
      </c>
      <c r="F18" s="2">
        <f>IF(AND(VLOOKUP(F$1,'20Trips'!$A$3:$I$22,8,FALSE) - VLOOKUP($B18,'20Trips'!$A$3:$I$22,9,FALSE) &gt;= ('20Trips'!$B$23+VLOOKUP(VLOOKUP($B18,'20Trips'!$A$2:$I$22,4,FALSE),'20Trips'!$AB$32:$AH$36,3,FALSE))),1,0)</f>
        <v>1</v>
      </c>
      <c r="G18" s="2">
        <f>IF(AND(VLOOKUP(G$1,'20Trips'!$A$3:$I$22,8,FALSE) - VLOOKUP($B18,'20Trips'!$A$3:$I$22,9,FALSE) &gt;= ('20Trips'!$B$23+VLOOKUP(VLOOKUP($B18,'20Trips'!$A$2:$I$22,4,FALSE),'20Trips'!$AB$32:$AH$36,3,FALSE))),1,0)</f>
        <v>1</v>
      </c>
      <c r="H18" s="2">
        <f>IF(AND(VLOOKUP(H$1,'20Trips'!$A$3:$I$22,8,FALSE) - VLOOKUP($B18,'20Trips'!$A$3:$I$22,9,FALSE) &gt;= ('20Trips'!$B$23+VLOOKUP(VLOOKUP($B18,'20Trips'!$A$2:$I$22,4,FALSE),'20Trips'!$AB$32:$AH$36,3,FALSE))),1,0)</f>
        <v>1</v>
      </c>
      <c r="I18" s="2">
        <f>IF(AND(VLOOKUP(I$1,'20Trips'!$A$3:$I$22,8,FALSE) - VLOOKUP($B18,'20Trips'!$A$3:$I$22,9,FALSE) &gt;= ('20Trips'!$B$23+VLOOKUP(VLOOKUP($B18,'20Trips'!$A$2:$I$22,4,FALSE),'20Trips'!$AB$32:$AH$36,3,FALSE))),1,0)</f>
        <v>0</v>
      </c>
      <c r="J18" s="2">
        <f>IF(AND(VLOOKUP(J$1,'20Trips'!$A$3:$I$22,8,FALSE) - VLOOKUP($B18,'20Trips'!$A$3:$I$22,9,FALSE) &gt;= ('20Trips'!$B$23+VLOOKUP(VLOOKUP($B18,'20Trips'!$A$2:$I$22,4,FALSE),'20Trips'!$AB$32:$AH$36,3,FALSE))),1,0)</f>
        <v>0</v>
      </c>
      <c r="K18" s="2">
        <f>IF(AND(VLOOKUP(K$1,'20Trips'!$A$3:$I$22,8,FALSE) - VLOOKUP($B18,'20Trips'!$A$3:$I$22,9,FALSE) &gt;= ('20Trips'!$B$23+VLOOKUP(VLOOKUP($B18,'20Trips'!$A$2:$I$22,4,FALSE),'20Trips'!$AB$32:$AH$36,3,FALSE))),1,0)</f>
        <v>1</v>
      </c>
      <c r="L18" s="2">
        <f>IF(AND(VLOOKUP(L$1,'20Trips'!$A$3:$I$22,8,FALSE) - VLOOKUP($B18,'20Trips'!$A$3:$I$22,9,FALSE) &gt;= ('20Trips'!$B$23+VLOOKUP(VLOOKUP($B18,'20Trips'!$A$2:$I$22,4,FALSE),'20Trips'!$AB$32:$AH$36,3,FALSE))),1,0)</f>
        <v>1</v>
      </c>
      <c r="M18" s="2">
        <f>IF(AND(VLOOKUP(M$1,'20Trips'!$A$3:$I$22,8,FALSE) - VLOOKUP($B18,'20Trips'!$A$3:$I$22,9,FALSE) &gt;= ('20Trips'!$B$23+VLOOKUP(VLOOKUP($B18,'20Trips'!$A$2:$I$22,4,FALSE),'20Trips'!$AB$32:$AH$36,3,FALSE))),1,0)</f>
        <v>1</v>
      </c>
      <c r="N18" s="2">
        <f>IF(AND(VLOOKUP(N$1,'20Trips'!$A$3:$I$22,8,FALSE) - VLOOKUP($B18,'20Trips'!$A$3:$I$22,9,FALSE) &gt;= ('20Trips'!$B$23+VLOOKUP(VLOOKUP($B18,'20Trips'!$A$2:$I$22,4,FALSE),'20Trips'!$AB$32:$AH$36,3,FALSE))),1,0)</f>
        <v>0</v>
      </c>
      <c r="O18" s="2">
        <f>IF(AND(VLOOKUP(O$1,'20Trips'!$A$3:$I$22,8,FALSE) - VLOOKUP($B18,'20Trips'!$A$3:$I$22,9,FALSE) &gt;= ('20Trips'!$B$23+VLOOKUP(VLOOKUP($B18,'20Trips'!$A$2:$I$22,4,FALSE),'20Trips'!$AB$32:$AH$36,3,FALSE))),1,0)</f>
        <v>0</v>
      </c>
      <c r="P18" s="2">
        <f>IF(AND(VLOOKUP(P$1,'20Trips'!$A$3:$I$22,8,FALSE) - VLOOKUP($B18,'20Trips'!$A$3:$I$22,9,FALSE) &gt;= ('20Trips'!$B$23+VLOOKUP(VLOOKUP($B18,'20Trips'!$A$2:$I$22,4,FALSE),'20Trips'!$AB$32:$AH$36,3,FALSE))),1,0)</f>
        <v>0</v>
      </c>
      <c r="Q18" s="2">
        <f>IF(AND(VLOOKUP(Q$1,'20Trips'!$A$3:$I$22,8,FALSE) - VLOOKUP($B18,'20Trips'!$A$3:$I$22,9,FALSE) &gt;= ('20Trips'!$B$23+VLOOKUP(VLOOKUP($B18,'20Trips'!$A$2:$I$22,4,FALSE),'20Trips'!$AB$32:$AH$36,3,FALSE))),1,0)</f>
        <v>1</v>
      </c>
      <c r="R18" s="2">
        <f>IF(AND(VLOOKUP(R$1,'20Trips'!$A$3:$I$22,8,FALSE) - VLOOKUP($B18,'20Trips'!$A$3:$I$22,9,FALSE) &gt;= ('20Trips'!$B$23+VLOOKUP(VLOOKUP($B18,'20Trips'!$A$2:$I$22,4,FALSE),'20Trips'!$AB$32:$AH$36,3,FALSE))),1,0)</f>
        <v>1</v>
      </c>
      <c r="S18" s="2">
        <f>IF(AND(VLOOKUP(S$1,'20Trips'!$A$3:$I$22,8,FALSE) - VLOOKUP($B18,'20Trips'!$A$3:$I$22,9,FALSE) &gt;= ('20Trips'!$B$23+VLOOKUP(VLOOKUP($B18,'20Trips'!$A$2:$I$22,4,FALSE),'20Trips'!$AB$32:$AH$36,3,FALSE))),1,0)</f>
        <v>0</v>
      </c>
      <c r="T18" s="2">
        <f>IF(AND(VLOOKUP(T$1,'20Trips'!$A$3:$I$22,8,FALSE) - VLOOKUP($B18,'20Trips'!$A$3:$I$22,9,FALSE) &gt;= ('20Trips'!$B$23+VLOOKUP(VLOOKUP($B18,'20Trips'!$A$2:$I$22,4,FALSE),'20Trips'!$AB$32:$AH$36,3,FALSE))),1,0)</f>
        <v>0</v>
      </c>
      <c r="U18" s="2">
        <f>IF(AND(VLOOKUP(U$1,'20Trips'!$A$3:$I$22,8,FALSE) - VLOOKUP($B18,'20Trips'!$A$3:$I$22,9,FALSE) &gt;= ('20Trips'!$B$23+VLOOKUP(VLOOKUP($B18,'20Trips'!$A$2:$I$22,4,FALSE),'20Trips'!$AB$32:$AH$36,3,FALSE))),1,0)</f>
        <v>1</v>
      </c>
      <c r="V18" s="2">
        <f>IF(AND(VLOOKUP(V$1,'20Trips'!$A$3:$I$22,8,FALSE) - VLOOKUP($B18,'20Trips'!$A$3:$I$22,9,FALSE) &gt;= ('20Trips'!$B$23+VLOOKUP(VLOOKUP($B18,'20Trips'!$A$2:$I$22,4,FALSE),'20Trips'!$AB$32:$AH$36,3,FALSE))),1,0)</f>
        <v>1</v>
      </c>
      <c r="W18" s="2">
        <f>IF(AND(VLOOKUP(W$1,'20Trips'!$A$3:$I$22,8,FALSE) - VLOOKUP($B18,'20Trips'!$A$3:$I$22,9,FALSE) &gt;= ('20Trips'!$B$23+VLOOKUP(VLOOKUP($B18,'20Trips'!$A$2:$I$22,4,FALSE),'20Trips'!$AB$32:$AH$36,3,FALSE))),1,0)</f>
        <v>1</v>
      </c>
    </row>
    <row r="19" spans="1:25" x14ac:dyDescent="0.25">
      <c r="A19" t="s">
        <v>48</v>
      </c>
      <c r="B19" t="s">
        <v>35</v>
      </c>
      <c r="C19">
        <v>0</v>
      </c>
      <c r="D19" s="2">
        <f>IF(AND(VLOOKUP(D$1,'20Trips'!$A$3:$I$22,8,FALSE) - VLOOKUP($B19,'20Trips'!$A$3:$I$22,9,FALSE) &gt;= ('20Trips'!$B$23+VLOOKUP(VLOOKUP($B19,'20Trips'!$A$2:$I$22,4,FALSE),'20Trips'!$AB$32:$AH$36,3,FALSE))),1,0)</f>
        <v>0</v>
      </c>
      <c r="E19" s="2">
        <f>IF(AND(VLOOKUP(E$1,'20Trips'!$A$3:$I$22,8,FALSE) - VLOOKUP($B19,'20Trips'!$A$3:$I$22,9,FALSE) &gt;= ('20Trips'!$B$23+VLOOKUP(VLOOKUP($B19,'20Trips'!$A$2:$I$22,4,FALSE),'20Trips'!$AB$32:$AH$36,3,FALSE))),1,0)</f>
        <v>0</v>
      </c>
      <c r="F19" s="2">
        <f>IF(AND(VLOOKUP(F$1,'20Trips'!$A$3:$I$22,8,FALSE) - VLOOKUP($B19,'20Trips'!$A$3:$I$22,9,FALSE) &gt;= ('20Trips'!$B$23+VLOOKUP(VLOOKUP($B19,'20Trips'!$A$2:$I$22,4,FALSE),'20Trips'!$AB$32:$AH$36,3,FALSE))),1,0)</f>
        <v>0</v>
      </c>
      <c r="G19" s="2">
        <f>IF(AND(VLOOKUP(G$1,'20Trips'!$A$3:$I$22,8,FALSE) - VLOOKUP($B19,'20Trips'!$A$3:$I$22,9,FALSE) &gt;= ('20Trips'!$B$23+VLOOKUP(VLOOKUP($B19,'20Trips'!$A$2:$I$22,4,FALSE),'20Trips'!$AB$32:$AH$36,3,FALSE))),1,0)</f>
        <v>0</v>
      </c>
      <c r="H19" s="2">
        <f>IF(AND(VLOOKUP(H$1,'20Trips'!$A$3:$I$22,8,FALSE) - VLOOKUP($B19,'20Trips'!$A$3:$I$22,9,FALSE) &gt;= ('20Trips'!$B$23+VLOOKUP(VLOOKUP($B19,'20Trips'!$A$2:$I$22,4,FALSE),'20Trips'!$AB$32:$AH$36,3,FALSE))),1,0)</f>
        <v>1</v>
      </c>
      <c r="I19" s="2">
        <f>IF(AND(VLOOKUP(I$1,'20Trips'!$A$3:$I$22,8,FALSE) - VLOOKUP($B19,'20Trips'!$A$3:$I$22,9,FALSE) &gt;= ('20Trips'!$B$23+VLOOKUP(VLOOKUP($B19,'20Trips'!$A$2:$I$22,4,FALSE),'20Trips'!$AB$32:$AH$36,3,FALSE))),1,0)</f>
        <v>0</v>
      </c>
      <c r="J19" s="2">
        <f>IF(AND(VLOOKUP(J$1,'20Trips'!$A$3:$I$22,8,FALSE) - VLOOKUP($B19,'20Trips'!$A$3:$I$22,9,FALSE) &gt;= ('20Trips'!$B$23+VLOOKUP(VLOOKUP($B19,'20Trips'!$A$2:$I$22,4,FALSE),'20Trips'!$AB$32:$AH$36,3,FALSE))),1,0)</f>
        <v>0</v>
      </c>
      <c r="K19" s="2">
        <f>IF(AND(VLOOKUP(K$1,'20Trips'!$A$3:$I$22,8,FALSE) - VLOOKUP($B19,'20Trips'!$A$3:$I$22,9,FALSE) &gt;= ('20Trips'!$B$23+VLOOKUP(VLOOKUP($B19,'20Trips'!$A$2:$I$22,4,FALSE),'20Trips'!$AB$32:$AH$36,3,FALSE))),1,0)</f>
        <v>0</v>
      </c>
      <c r="L19" s="2">
        <f>IF(AND(VLOOKUP(L$1,'20Trips'!$A$3:$I$22,8,FALSE) - VLOOKUP($B19,'20Trips'!$A$3:$I$22,9,FALSE) &gt;= ('20Trips'!$B$23+VLOOKUP(VLOOKUP($B19,'20Trips'!$A$2:$I$22,4,FALSE),'20Trips'!$AB$32:$AH$36,3,FALSE))),1,0)</f>
        <v>1</v>
      </c>
      <c r="M19" s="2">
        <f>IF(AND(VLOOKUP(M$1,'20Trips'!$A$3:$I$22,8,FALSE) - VLOOKUP($B19,'20Trips'!$A$3:$I$22,9,FALSE) &gt;= ('20Trips'!$B$23+VLOOKUP(VLOOKUP($B19,'20Trips'!$A$2:$I$22,4,FALSE),'20Trips'!$AB$32:$AH$36,3,FALSE))),1,0)</f>
        <v>1</v>
      </c>
      <c r="N19" s="2">
        <f>IF(AND(VLOOKUP(N$1,'20Trips'!$A$3:$I$22,8,FALSE) - VLOOKUP($B19,'20Trips'!$A$3:$I$22,9,FALSE) &gt;= ('20Trips'!$B$23+VLOOKUP(VLOOKUP($B19,'20Trips'!$A$2:$I$22,4,FALSE),'20Trips'!$AB$32:$AH$36,3,FALSE))),1,0)</f>
        <v>0</v>
      </c>
      <c r="O19" s="2">
        <f>IF(AND(VLOOKUP(O$1,'20Trips'!$A$3:$I$22,8,FALSE) - VLOOKUP($B19,'20Trips'!$A$3:$I$22,9,FALSE) &gt;= ('20Trips'!$B$23+VLOOKUP(VLOOKUP($B19,'20Trips'!$A$2:$I$22,4,FALSE),'20Trips'!$AB$32:$AH$36,3,FALSE))),1,0)</f>
        <v>0</v>
      </c>
      <c r="P19" s="2">
        <f>IF(AND(VLOOKUP(P$1,'20Trips'!$A$3:$I$22,8,FALSE) - VLOOKUP($B19,'20Trips'!$A$3:$I$22,9,FALSE) &gt;= ('20Trips'!$B$23+VLOOKUP(VLOOKUP($B19,'20Trips'!$A$2:$I$22,4,FALSE),'20Trips'!$AB$32:$AH$36,3,FALSE))),1,0)</f>
        <v>0</v>
      </c>
      <c r="Q19" s="2">
        <f>IF(AND(VLOOKUP(Q$1,'20Trips'!$A$3:$I$22,8,FALSE) - VLOOKUP($B19,'20Trips'!$A$3:$I$22,9,FALSE) &gt;= ('20Trips'!$B$23+VLOOKUP(VLOOKUP($B19,'20Trips'!$A$2:$I$22,4,FALSE),'20Trips'!$AB$32:$AH$36,3,FALSE))),1,0)</f>
        <v>0</v>
      </c>
      <c r="R19" s="2">
        <f>IF(AND(VLOOKUP(R$1,'20Trips'!$A$3:$I$22,8,FALSE) - VLOOKUP($B19,'20Trips'!$A$3:$I$22,9,FALSE) &gt;= ('20Trips'!$B$23+VLOOKUP(VLOOKUP($B19,'20Trips'!$A$2:$I$22,4,FALSE),'20Trips'!$AB$32:$AH$36,3,FALSE))),1,0)</f>
        <v>0</v>
      </c>
      <c r="S19" s="2">
        <f>IF(AND(VLOOKUP(S$1,'20Trips'!$A$3:$I$22,8,FALSE) - VLOOKUP($B19,'20Trips'!$A$3:$I$22,9,FALSE) &gt;= ('20Trips'!$B$23+VLOOKUP(VLOOKUP($B19,'20Trips'!$A$2:$I$22,4,FALSE),'20Trips'!$AB$32:$AH$36,3,FALSE))),1,0)</f>
        <v>0</v>
      </c>
      <c r="T19" s="2">
        <f>IF(AND(VLOOKUP(T$1,'20Trips'!$A$3:$I$22,8,FALSE) - VLOOKUP($B19,'20Trips'!$A$3:$I$22,9,FALSE) &gt;= ('20Trips'!$B$23+VLOOKUP(VLOOKUP($B19,'20Trips'!$A$2:$I$22,4,FALSE),'20Trips'!$AB$32:$AH$36,3,FALSE))),1,0)</f>
        <v>0</v>
      </c>
      <c r="U19" s="2">
        <f>IF(AND(VLOOKUP(U$1,'20Trips'!$A$3:$I$22,8,FALSE) - VLOOKUP($B19,'20Trips'!$A$3:$I$22,9,FALSE) &gt;= ('20Trips'!$B$23+VLOOKUP(VLOOKUP($B19,'20Trips'!$A$2:$I$22,4,FALSE),'20Trips'!$AB$32:$AH$36,3,FALSE))),1,0)</f>
        <v>0</v>
      </c>
      <c r="V19" s="2">
        <f>IF(AND(VLOOKUP(V$1,'20Trips'!$A$3:$I$22,8,FALSE) - VLOOKUP($B19,'20Trips'!$A$3:$I$22,9,FALSE) &gt;= ('20Trips'!$B$23+VLOOKUP(VLOOKUP($B19,'20Trips'!$A$2:$I$22,4,FALSE),'20Trips'!$AB$32:$AH$36,3,FALSE))),1,0)</f>
        <v>0</v>
      </c>
      <c r="W19" s="2">
        <f>IF(AND(VLOOKUP(W$1,'20Trips'!$A$3:$I$22,8,FALSE) - VLOOKUP($B19,'20Trips'!$A$3:$I$22,9,FALSE) &gt;= ('20Trips'!$B$23+VLOOKUP(VLOOKUP($B19,'20Trips'!$A$2:$I$22,4,FALSE),'20Trips'!$AB$32:$AH$36,3,FALSE))),1,0)</f>
        <v>1</v>
      </c>
    </row>
    <row r="20" spans="1:25" x14ac:dyDescent="0.25">
      <c r="A20" t="s">
        <v>48</v>
      </c>
      <c r="B20" t="s">
        <v>36</v>
      </c>
      <c r="C20">
        <v>0</v>
      </c>
      <c r="D20" s="2">
        <f>IF(AND(VLOOKUP(D$1,'20Trips'!$A$3:$I$22,8,FALSE) - VLOOKUP($B20,'20Trips'!$A$3:$I$22,9,FALSE) &gt;= ('20Trips'!$B$23+VLOOKUP(VLOOKUP($B20,'20Trips'!$A$2:$I$22,4,FALSE),'20Trips'!$AB$32:$AH$36,3,FALSE))),1,0)</f>
        <v>0</v>
      </c>
      <c r="E20" s="2">
        <f>IF(AND(VLOOKUP(E$1,'20Trips'!$A$3:$I$22,8,FALSE) - VLOOKUP($B20,'20Trips'!$A$3:$I$22,9,FALSE) &gt;= ('20Trips'!$B$23+VLOOKUP(VLOOKUP($B20,'20Trips'!$A$2:$I$22,4,FALSE),'20Trips'!$AB$32:$AH$36,3,FALSE))),1,0)</f>
        <v>0</v>
      </c>
      <c r="F20" s="2">
        <f>IF(AND(VLOOKUP(F$1,'20Trips'!$A$3:$I$22,8,FALSE) - VLOOKUP($B20,'20Trips'!$A$3:$I$22,9,FALSE) &gt;= ('20Trips'!$B$23+VLOOKUP(VLOOKUP($B20,'20Trips'!$A$2:$I$22,4,FALSE),'20Trips'!$AB$32:$AH$36,3,FALSE))),1,0)</f>
        <v>0</v>
      </c>
      <c r="G20" s="2">
        <f>IF(AND(VLOOKUP(G$1,'20Trips'!$A$3:$I$22,8,FALSE) - VLOOKUP($B20,'20Trips'!$A$3:$I$22,9,FALSE) &gt;= ('20Trips'!$B$23+VLOOKUP(VLOOKUP($B20,'20Trips'!$A$2:$I$22,4,FALSE),'20Trips'!$AB$32:$AH$36,3,FALSE))),1,0)</f>
        <v>0</v>
      </c>
      <c r="H20" s="2">
        <f>IF(AND(VLOOKUP(H$1,'20Trips'!$A$3:$I$22,8,FALSE) - VLOOKUP($B20,'20Trips'!$A$3:$I$22,9,FALSE) &gt;= ('20Trips'!$B$23+VLOOKUP(VLOOKUP($B20,'20Trips'!$A$2:$I$22,4,FALSE),'20Trips'!$AB$32:$AH$36,3,FALSE))),1,0)</f>
        <v>0</v>
      </c>
      <c r="I20" s="2">
        <f>IF(AND(VLOOKUP(I$1,'20Trips'!$A$3:$I$22,8,FALSE) - VLOOKUP($B20,'20Trips'!$A$3:$I$22,9,FALSE) &gt;= ('20Trips'!$B$23+VLOOKUP(VLOOKUP($B20,'20Trips'!$A$2:$I$22,4,FALSE),'20Trips'!$AB$32:$AH$36,3,FALSE))),1,0)</f>
        <v>0</v>
      </c>
      <c r="J20" s="2">
        <f>IF(AND(VLOOKUP(J$1,'20Trips'!$A$3:$I$22,8,FALSE) - VLOOKUP($B20,'20Trips'!$A$3:$I$22,9,FALSE) &gt;= ('20Trips'!$B$23+VLOOKUP(VLOOKUP($B20,'20Trips'!$A$2:$I$22,4,FALSE),'20Trips'!$AB$32:$AH$36,3,FALSE))),1,0)</f>
        <v>0</v>
      </c>
      <c r="K20" s="2">
        <f>IF(AND(VLOOKUP(K$1,'20Trips'!$A$3:$I$22,8,FALSE) - VLOOKUP($B20,'20Trips'!$A$3:$I$22,9,FALSE) &gt;= ('20Trips'!$B$23+VLOOKUP(VLOOKUP($B20,'20Trips'!$A$2:$I$22,4,FALSE),'20Trips'!$AB$32:$AH$36,3,FALSE))),1,0)</f>
        <v>0</v>
      </c>
      <c r="L20" s="2">
        <f>IF(AND(VLOOKUP(L$1,'20Trips'!$A$3:$I$22,8,FALSE) - VLOOKUP($B20,'20Trips'!$A$3:$I$22,9,FALSE) &gt;= ('20Trips'!$B$23+VLOOKUP(VLOOKUP($B20,'20Trips'!$A$2:$I$22,4,FALSE),'20Trips'!$AB$32:$AH$36,3,FALSE))),1,0)</f>
        <v>1</v>
      </c>
      <c r="M20" s="2">
        <f>IF(AND(VLOOKUP(M$1,'20Trips'!$A$3:$I$22,8,FALSE) - VLOOKUP($B20,'20Trips'!$A$3:$I$22,9,FALSE) &gt;= ('20Trips'!$B$23+VLOOKUP(VLOOKUP($B20,'20Trips'!$A$2:$I$22,4,FALSE),'20Trips'!$AB$32:$AH$36,3,FALSE))),1,0)</f>
        <v>1</v>
      </c>
      <c r="N20" s="2">
        <f>IF(AND(VLOOKUP(N$1,'20Trips'!$A$3:$I$22,8,FALSE) - VLOOKUP($B20,'20Trips'!$A$3:$I$22,9,FALSE) &gt;= ('20Trips'!$B$23+VLOOKUP(VLOOKUP($B20,'20Trips'!$A$2:$I$22,4,FALSE),'20Trips'!$AB$32:$AH$36,3,FALSE))),1,0)</f>
        <v>0</v>
      </c>
      <c r="O20" s="2">
        <f>IF(AND(VLOOKUP(O$1,'20Trips'!$A$3:$I$22,8,FALSE) - VLOOKUP($B20,'20Trips'!$A$3:$I$22,9,FALSE) &gt;= ('20Trips'!$B$23+VLOOKUP(VLOOKUP($B20,'20Trips'!$A$2:$I$22,4,FALSE),'20Trips'!$AB$32:$AH$36,3,FALSE))),1,0)</f>
        <v>0</v>
      </c>
      <c r="P20" s="2">
        <f>IF(AND(VLOOKUP(P$1,'20Trips'!$A$3:$I$22,8,FALSE) - VLOOKUP($B20,'20Trips'!$A$3:$I$22,9,FALSE) &gt;= ('20Trips'!$B$23+VLOOKUP(VLOOKUP($B20,'20Trips'!$A$2:$I$22,4,FALSE),'20Trips'!$AB$32:$AH$36,3,FALSE))),1,0)</f>
        <v>0</v>
      </c>
      <c r="Q20" s="2">
        <f>IF(AND(VLOOKUP(Q$1,'20Trips'!$A$3:$I$22,8,FALSE) - VLOOKUP($B20,'20Trips'!$A$3:$I$22,9,FALSE) &gt;= ('20Trips'!$B$23+VLOOKUP(VLOOKUP($B20,'20Trips'!$A$2:$I$22,4,FALSE),'20Trips'!$AB$32:$AH$36,3,FALSE))),1,0)</f>
        <v>0</v>
      </c>
      <c r="R20" s="2">
        <f>IF(AND(VLOOKUP(R$1,'20Trips'!$A$3:$I$22,8,FALSE) - VLOOKUP($B20,'20Trips'!$A$3:$I$22,9,FALSE) &gt;= ('20Trips'!$B$23+VLOOKUP(VLOOKUP($B20,'20Trips'!$A$2:$I$22,4,FALSE),'20Trips'!$AB$32:$AH$36,3,FALSE))),1,0)</f>
        <v>0</v>
      </c>
      <c r="S20" s="2">
        <f>IF(AND(VLOOKUP(S$1,'20Trips'!$A$3:$I$22,8,FALSE) - VLOOKUP($B20,'20Trips'!$A$3:$I$22,9,FALSE) &gt;= ('20Trips'!$B$23+VLOOKUP(VLOOKUP($B20,'20Trips'!$A$2:$I$22,4,FALSE),'20Trips'!$AB$32:$AH$36,3,FALSE))),1,0)</f>
        <v>0</v>
      </c>
      <c r="T20" s="2">
        <f>IF(AND(VLOOKUP(T$1,'20Trips'!$A$3:$I$22,8,FALSE) - VLOOKUP($B20,'20Trips'!$A$3:$I$22,9,FALSE) &gt;= ('20Trips'!$B$23+VLOOKUP(VLOOKUP($B20,'20Trips'!$A$2:$I$22,4,FALSE),'20Trips'!$AB$32:$AH$36,3,FALSE))),1,0)</f>
        <v>0</v>
      </c>
      <c r="U20" s="2">
        <f>IF(AND(VLOOKUP(U$1,'20Trips'!$A$3:$I$22,8,FALSE) - VLOOKUP($B20,'20Trips'!$A$3:$I$22,9,FALSE) &gt;= ('20Trips'!$B$23+VLOOKUP(VLOOKUP($B20,'20Trips'!$A$2:$I$22,4,FALSE),'20Trips'!$AB$32:$AH$36,3,FALSE))),1,0)</f>
        <v>0</v>
      </c>
      <c r="V20" s="2">
        <f>IF(AND(VLOOKUP(V$1,'20Trips'!$A$3:$I$22,8,FALSE) - VLOOKUP($B20,'20Trips'!$A$3:$I$22,9,FALSE) &gt;= ('20Trips'!$B$23+VLOOKUP(VLOOKUP($B20,'20Trips'!$A$2:$I$22,4,FALSE),'20Trips'!$AB$32:$AH$36,3,FALSE))),1,0)</f>
        <v>0</v>
      </c>
      <c r="W20" s="2">
        <f>IF(AND(VLOOKUP(W$1,'20Trips'!$A$3:$I$22,8,FALSE) - VLOOKUP($B20,'20Trips'!$A$3:$I$22,9,FALSE) &gt;= ('20Trips'!$B$23+VLOOKUP(VLOOKUP($B20,'20Trips'!$A$2:$I$22,4,FALSE),'20Trips'!$AB$32:$AH$36,3,FALSE))),1,0)</f>
        <v>0</v>
      </c>
    </row>
    <row r="21" spans="1:25" x14ac:dyDescent="0.25">
      <c r="A21" t="s">
        <v>48</v>
      </c>
      <c r="B21" t="s">
        <v>37</v>
      </c>
      <c r="C21">
        <v>0</v>
      </c>
      <c r="D21" s="2">
        <f>IF(AND(VLOOKUP(D$1,'20Trips'!$A$3:$I$22,8,FALSE) - VLOOKUP($B21,'20Trips'!$A$3:$I$22,9,FALSE) &gt;= ('20Trips'!$B$23+VLOOKUP(VLOOKUP($B21,'20Trips'!$A$2:$I$22,4,FALSE),'20Trips'!$AB$32:$AH$36,3,FALSE))),1,0)</f>
        <v>0</v>
      </c>
      <c r="E21" s="2">
        <f>IF(AND(VLOOKUP(E$1,'20Trips'!$A$3:$I$22,8,FALSE) - VLOOKUP($B21,'20Trips'!$A$3:$I$22,9,FALSE) &gt;= ('20Trips'!$B$23+VLOOKUP(VLOOKUP($B21,'20Trips'!$A$2:$I$22,4,FALSE),'20Trips'!$AB$32:$AH$36,3,FALSE))),1,0)</f>
        <v>0</v>
      </c>
      <c r="F21" s="2">
        <f>IF(AND(VLOOKUP(F$1,'20Trips'!$A$3:$I$22,8,FALSE) - VLOOKUP($B21,'20Trips'!$A$3:$I$22,9,FALSE) &gt;= ('20Trips'!$B$23+VLOOKUP(VLOOKUP($B21,'20Trips'!$A$2:$I$22,4,FALSE),'20Trips'!$AB$32:$AH$36,3,FALSE))),1,0)</f>
        <v>0</v>
      </c>
      <c r="G21" s="2">
        <f>IF(AND(VLOOKUP(G$1,'20Trips'!$A$3:$I$22,8,FALSE) - VLOOKUP($B21,'20Trips'!$A$3:$I$22,9,FALSE) &gt;= ('20Trips'!$B$23+VLOOKUP(VLOOKUP($B21,'20Trips'!$A$2:$I$22,4,FALSE),'20Trips'!$AB$32:$AH$36,3,FALSE))),1,0)</f>
        <v>0</v>
      </c>
      <c r="H21" s="2">
        <f>IF(AND(VLOOKUP(H$1,'20Trips'!$A$3:$I$22,8,FALSE) - VLOOKUP($B21,'20Trips'!$A$3:$I$22,9,FALSE) &gt;= ('20Trips'!$B$23+VLOOKUP(VLOOKUP($B21,'20Trips'!$A$2:$I$22,4,FALSE),'20Trips'!$AB$32:$AH$36,3,FALSE))),1,0)</f>
        <v>0</v>
      </c>
      <c r="I21" s="2">
        <f>IF(AND(VLOOKUP(I$1,'20Trips'!$A$3:$I$22,8,FALSE) - VLOOKUP($B21,'20Trips'!$A$3:$I$22,9,FALSE) &gt;= ('20Trips'!$B$23+VLOOKUP(VLOOKUP($B21,'20Trips'!$A$2:$I$22,4,FALSE),'20Trips'!$AB$32:$AH$36,3,FALSE))),1,0)</f>
        <v>0</v>
      </c>
      <c r="J21" s="2">
        <f>IF(AND(VLOOKUP(J$1,'20Trips'!$A$3:$I$22,8,FALSE) - VLOOKUP($B21,'20Trips'!$A$3:$I$22,9,FALSE) &gt;= ('20Trips'!$B$23+VLOOKUP(VLOOKUP($B21,'20Trips'!$A$2:$I$22,4,FALSE),'20Trips'!$AB$32:$AH$36,3,FALSE))),1,0)</f>
        <v>0</v>
      </c>
      <c r="K21" s="2">
        <f>IF(AND(VLOOKUP(K$1,'20Trips'!$A$3:$I$22,8,FALSE) - VLOOKUP($B21,'20Trips'!$A$3:$I$22,9,FALSE) &gt;= ('20Trips'!$B$23+VLOOKUP(VLOOKUP($B21,'20Trips'!$A$2:$I$22,4,FALSE),'20Trips'!$AB$32:$AH$36,3,FALSE))),1,0)</f>
        <v>0</v>
      </c>
      <c r="L21" s="2">
        <f>IF(AND(VLOOKUP(L$1,'20Trips'!$A$3:$I$22,8,FALSE) - VLOOKUP($B21,'20Trips'!$A$3:$I$22,9,FALSE) &gt;= ('20Trips'!$B$23+VLOOKUP(VLOOKUP($B21,'20Trips'!$A$2:$I$22,4,FALSE),'20Trips'!$AB$32:$AH$36,3,FALSE))),1,0)</f>
        <v>1</v>
      </c>
      <c r="M21" s="2">
        <f>IF(AND(VLOOKUP(M$1,'20Trips'!$A$3:$I$22,8,FALSE) - VLOOKUP($B21,'20Trips'!$A$3:$I$22,9,FALSE) &gt;= ('20Trips'!$B$23+VLOOKUP(VLOOKUP($B21,'20Trips'!$A$2:$I$22,4,FALSE),'20Trips'!$AB$32:$AH$36,3,FALSE))),1,0)</f>
        <v>1</v>
      </c>
      <c r="N21" s="2">
        <f>IF(AND(VLOOKUP(N$1,'20Trips'!$A$3:$I$22,8,FALSE) - VLOOKUP($B21,'20Trips'!$A$3:$I$22,9,FALSE) &gt;= ('20Trips'!$B$23+VLOOKUP(VLOOKUP($B21,'20Trips'!$A$2:$I$22,4,FALSE),'20Trips'!$AB$32:$AH$36,3,FALSE))),1,0)</f>
        <v>0</v>
      </c>
      <c r="O21" s="2">
        <f>IF(AND(VLOOKUP(O$1,'20Trips'!$A$3:$I$22,8,FALSE) - VLOOKUP($B21,'20Trips'!$A$3:$I$22,9,FALSE) &gt;= ('20Trips'!$B$23+VLOOKUP(VLOOKUP($B21,'20Trips'!$A$2:$I$22,4,FALSE),'20Trips'!$AB$32:$AH$36,3,FALSE))),1,0)</f>
        <v>0</v>
      </c>
      <c r="P21" s="2">
        <f>IF(AND(VLOOKUP(P$1,'20Trips'!$A$3:$I$22,8,FALSE) - VLOOKUP($B21,'20Trips'!$A$3:$I$22,9,FALSE) &gt;= ('20Trips'!$B$23+VLOOKUP(VLOOKUP($B21,'20Trips'!$A$2:$I$22,4,FALSE),'20Trips'!$AB$32:$AH$36,3,FALSE))),1,0)</f>
        <v>0</v>
      </c>
      <c r="Q21" s="2">
        <f>IF(AND(VLOOKUP(Q$1,'20Trips'!$A$3:$I$22,8,FALSE) - VLOOKUP($B21,'20Trips'!$A$3:$I$22,9,FALSE) &gt;= ('20Trips'!$B$23+VLOOKUP(VLOOKUP($B21,'20Trips'!$A$2:$I$22,4,FALSE),'20Trips'!$AB$32:$AH$36,3,FALSE))),1,0)</f>
        <v>0</v>
      </c>
      <c r="R21" s="2">
        <f>IF(AND(VLOOKUP(R$1,'20Trips'!$A$3:$I$22,8,FALSE) - VLOOKUP($B21,'20Trips'!$A$3:$I$22,9,FALSE) &gt;= ('20Trips'!$B$23+VLOOKUP(VLOOKUP($B21,'20Trips'!$A$2:$I$22,4,FALSE),'20Trips'!$AB$32:$AH$36,3,FALSE))),1,0)</f>
        <v>0</v>
      </c>
      <c r="S21" s="2">
        <f>IF(AND(VLOOKUP(S$1,'20Trips'!$A$3:$I$22,8,FALSE) - VLOOKUP($B21,'20Trips'!$A$3:$I$22,9,FALSE) &gt;= ('20Trips'!$B$23+VLOOKUP(VLOOKUP($B21,'20Trips'!$A$2:$I$22,4,FALSE),'20Trips'!$AB$32:$AH$36,3,FALSE))),1,0)</f>
        <v>0</v>
      </c>
      <c r="T21" s="2">
        <f>IF(AND(VLOOKUP(T$1,'20Trips'!$A$3:$I$22,8,FALSE) - VLOOKUP($B21,'20Trips'!$A$3:$I$22,9,FALSE) &gt;= ('20Trips'!$B$23+VLOOKUP(VLOOKUP($B21,'20Trips'!$A$2:$I$22,4,FALSE),'20Trips'!$AB$32:$AH$36,3,FALSE))),1,0)</f>
        <v>0</v>
      </c>
      <c r="U21" s="2">
        <f>IF(AND(VLOOKUP(U$1,'20Trips'!$A$3:$I$22,8,FALSE) - VLOOKUP($B21,'20Trips'!$A$3:$I$22,9,FALSE) &gt;= ('20Trips'!$B$23+VLOOKUP(VLOOKUP($B21,'20Trips'!$A$2:$I$22,4,FALSE),'20Trips'!$AB$32:$AH$36,3,FALSE))),1,0)</f>
        <v>0</v>
      </c>
      <c r="V21" s="2">
        <f>IF(AND(VLOOKUP(V$1,'20Trips'!$A$3:$I$22,8,FALSE) - VLOOKUP($B21,'20Trips'!$A$3:$I$22,9,FALSE) &gt;= ('20Trips'!$B$23+VLOOKUP(VLOOKUP($B21,'20Trips'!$A$2:$I$22,4,FALSE),'20Trips'!$AB$32:$AH$36,3,FALSE))),1,0)</f>
        <v>0</v>
      </c>
      <c r="W21" s="2">
        <f>IF(AND(VLOOKUP(W$1,'20Trips'!$A$3:$I$22,8,FALSE) - VLOOKUP($B21,'20Trips'!$A$3:$I$22,9,FALSE) &gt;= ('20Trips'!$B$23+VLOOKUP(VLOOKUP($B21,'20Trips'!$A$2:$I$22,4,FALSE),'20Trips'!$AB$32:$AH$36,3,FALSE))),1,0)</f>
        <v>0</v>
      </c>
    </row>
    <row r="22" spans="1:25" x14ac:dyDescent="0.25">
      <c r="A22" t="s">
        <v>48</v>
      </c>
      <c r="B22" t="s">
        <v>38</v>
      </c>
      <c r="C22">
        <v>0</v>
      </c>
      <c r="D22" s="2">
        <f>IF(AND(VLOOKUP(D$1,'20Trips'!$A$3:$I$22,8,FALSE) - VLOOKUP($B22,'20Trips'!$A$3:$I$22,9,FALSE) &gt;= ('20Trips'!$B$23+VLOOKUP(VLOOKUP($B22,'20Trips'!$A$2:$I$22,4,FALSE),'20Trips'!$AB$32:$AH$36,3,FALSE))),1,0)</f>
        <v>0</v>
      </c>
      <c r="E22" s="2">
        <f>IF(AND(VLOOKUP(E$1,'20Trips'!$A$3:$I$22,8,FALSE) - VLOOKUP($B22,'20Trips'!$A$3:$I$22,9,FALSE) &gt;= ('20Trips'!$B$23+VLOOKUP(VLOOKUP($B22,'20Trips'!$A$2:$I$22,4,FALSE),'20Trips'!$AB$32:$AH$36,3,FALSE))),1,0)</f>
        <v>0</v>
      </c>
      <c r="F22" s="2">
        <f>IF(AND(VLOOKUP(F$1,'20Trips'!$A$3:$I$22,8,FALSE) - VLOOKUP($B22,'20Trips'!$A$3:$I$22,9,FALSE) &gt;= ('20Trips'!$B$23+VLOOKUP(VLOOKUP($B22,'20Trips'!$A$2:$I$22,4,FALSE),'20Trips'!$AB$32:$AH$36,3,FALSE))),1,0)</f>
        <v>0</v>
      </c>
      <c r="G22" s="2">
        <f>IF(AND(VLOOKUP(G$1,'20Trips'!$A$3:$I$22,8,FALSE) - VLOOKUP($B22,'20Trips'!$A$3:$I$22,9,FALSE) &gt;= ('20Trips'!$B$23+VLOOKUP(VLOOKUP($B22,'20Trips'!$A$2:$I$22,4,FALSE),'20Trips'!$AB$32:$AH$36,3,FALSE))),1,0)</f>
        <v>0</v>
      </c>
      <c r="H22" s="2">
        <f>IF(AND(VLOOKUP(H$1,'20Trips'!$A$3:$I$22,8,FALSE) - VLOOKUP($B22,'20Trips'!$A$3:$I$22,9,FALSE) &gt;= ('20Trips'!$B$23+VLOOKUP(VLOOKUP($B22,'20Trips'!$A$2:$I$22,4,FALSE),'20Trips'!$AB$32:$AH$36,3,FALSE))),1,0)</f>
        <v>0</v>
      </c>
      <c r="I22" s="2">
        <f>IF(AND(VLOOKUP(I$1,'20Trips'!$A$3:$I$22,8,FALSE) - VLOOKUP($B22,'20Trips'!$A$3:$I$22,9,FALSE) &gt;= ('20Trips'!$B$23+VLOOKUP(VLOOKUP($B22,'20Trips'!$A$2:$I$22,4,FALSE),'20Trips'!$AB$32:$AH$36,3,FALSE))),1,0)</f>
        <v>0</v>
      </c>
      <c r="J22" s="2">
        <f>IF(AND(VLOOKUP(J$1,'20Trips'!$A$3:$I$22,8,FALSE) - VLOOKUP($B22,'20Trips'!$A$3:$I$22,9,FALSE) &gt;= ('20Trips'!$B$23+VLOOKUP(VLOOKUP($B22,'20Trips'!$A$2:$I$22,4,FALSE),'20Trips'!$AB$32:$AH$36,3,FALSE))),1,0)</f>
        <v>0</v>
      </c>
      <c r="K22" s="2">
        <f>IF(AND(VLOOKUP(K$1,'20Trips'!$A$3:$I$22,8,FALSE) - VLOOKUP($B22,'20Trips'!$A$3:$I$22,9,FALSE) &gt;= ('20Trips'!$B$23+VLOOKUP(VLOOKUP($B22,'20Trips'!$A$2:$I$22,4,FALSE),'20Trips'!$AB$32:$AH$36,3,FALSE))),1,0)</f>
        <v>0</v>
      </c>
      <c r="L22" s="2">
        <f>IF(AND(VLOOKUP(L$1,'20Trips'!$A$3:$I$22,8,FALSE) - VLOOKUP($B22,'20Trips'!$A$3:$I$22,9,FALSE) &gt;= ('20Trips'!$B$23+VLOOKUP(VLOOKUP($B22,'20Trips'!$A$2:$I$22,4,FALSE),'20Trips'!$AB$32:$AH$36,3,FALSE))),1,0)</f>
        <v>0</v>
      </c>
      <c r="M22" s="2">
        <f>IF(AND(VLOOKUP(M$1,'20Trips'!$A$3:$I$22,8,FALSE) - VLOOKUP($B22,'20Trips'!$A$3:$I$22,9,FALSE) &gt;= ('20Trips'!$B$23+VLOOKUP(VLOOKUP($B22,'20Trips'!$A$2:$I$22,4,FALSE),'20Trips'!$AB$32:$AH$36,3,FALSE))),1,0)</f>
        <v>0</v>
      </c>
      <c r="N22" s="2">
        <f>IF(AND(VLOOKUP(N$1,'20Trips'!$A$3:$I$22,8,FALSE) - VLOOKUP($B22,'20Trips'!$A$3:$I$22,9,FALSE) &gt;= ('20Trips'!$B$23+VLOOKUP(VLOOKUP($B22,'20Trips'!$A$2:$I$22,4,FALSE),'20Trips'!$AB$32:$AH$36,3,FALSE))),1,0)</f>
        <v>0</v>
      </c>
      <c r="O22" s="2">
        <f>IF(AND(VLOOKUP(O$1,'20Trips'!$A$3:$I$22,8,FALSE) - VLOOKUP($B22,'20Trips'!$A$3:$I$22,9,FALSE) &gt;= ('20Trips'!$B$23+VLOOKUP(VLOOKUP($B22,'20Trips'!$A$2:$I$22,4,FALSE),'20Trips'!$AB$32:$AH$36,3,FALSE))),1,0)</f>
        <v>0</v>
      </c>
      <c r="P22" s="2">
        <f>IF(AND(VLOOKUP(P$1,'20Trips'!$A$3:$I$22,8,FALSE) - VLOOKUP($B22,'20Trips'!$A$3:$I$22,9,FALSE) &gt;= ('20Trips'!$B$23+VLOOKUP(VLOOKUP($B22,'20Trips'!$A$2:$I$22,4,FALSE),'20Trips'!$AB$32:$AH$36,3,FALSE))),1,0)</f>
        <v>0</v>
      </c>
      <c r="Q22" s="2">
        <f>IF(AND(VLOOKUP(Q$1,'20Trips'!$A$3:$I$22,8,FALSE) - VLOOKUP($B22,'20Trips'!$A$3:$I$22,9,FALSE) &gt;= ('20Trips'!$B$23+VLOOKUP(VLOOKUP($B22,'20Trips'!$A$2:$I$22,4,FALSE),'20Trips'!$AB$32:$AH$36,3,FALSE))),1,0)</f>
        <v>0</v>
      </c>
      <c r="R22" s="2">
        <f>IF(AND(VLOOKUP(R$1,'20Trips'!$A$3:$I$22,8,FALSE) - VLOOKUP($B22,'20Trips'!$A$3:$I$22,9,FALSE) &gt;= ('20Trips'!$B$23+VLOOKUP(VLOOKUP($B22,'20Trips'!$A$2:$I$22,4,FALSE),'20Trips'!$AB$32:$AH$36,3,FALSE))),1,0)</f>
        <v>0</v>
      </c>
      <c r="S22" s="2">
        <f>IF(AND(VLOOKUP(S$1,'20Trips'!$A$3:$I$22,8,FALSE) - VLOOKUP($B22,'20Trips'!$A$3:$I$22,9,FALSE) &gt;= ('20Trips'!$B$23+VLOOKUP(VLOOKUP($B22,'20Trips'!$A$2:$I$22,4,FALSE),'20Trips'!$AB$32:$AH$36,3,FALSE))),1,0)</f>
        <v>0</v>
      </c>
      <c r="T22" s="2">
        <f>IF(AND(VLOOKUP(T$1,'20Trips'!$A$3:$I$22,8,FALSE) - VLOOKUP($B22,'20Trips'!$A$3:$I$22,9,FALSE) &gt;= ('20Trips'!$B$23+VLOOKUP(VLOOKUP($B22,'20Trips'!$A$2:$I$22,4,FALSE),'20Trips'!$AB$32:$AH$36,3,FALSE))),1,0)</f>
        <v>0</v>
      </c>
      <c r="U22" s="2">
        <f>IF(AND(VLOOKUP(U$1,'20Trips'!$A$3:$I$22,8,FALSE) - VLOOKUP($B22,'20Trips'!$A$3:$I$22,9,FALSE) &gt;= ('20Trips'!$B$23+VLOOKUP(VLOOKUP($B22,'20Trips'!$A$2:$I$22,4,FALSE),'20Trips'!$AB$32:$AH$36,3,FALSE))),1,0)</f>
        <v>0</v>
      </c>
      <c r="V22" s="2">
        <f>IF(AND(VLOOKUP(V$1,'20Trips'!$A$3:$I$22,8,FALSE) - VLOOKUP($B22,'20Trips'!$A$3:$I$22,9,FALSE) &gt;= ('20Trips'!$B$23+VLOOKUP(VLOOKUP($B22,'20Trips'!$A$2:$I$22,4,FALSE),'20Trips'!$AB$32:$AH$36,3,FALSE))),1,0)</f>
        <v>0</v>
      </c>
      <c r="W22" s="2">
        <f>IF(AND(VLOOKUP(W$1,'20Trips'!$A$3:$I$22,8,FALSE) - VLOOKUP($B22,'20Trips'!$A$3:$I$22,9,FALSE) &gt;= ('20Trips'!$B$23+VLOOKUP(VLOOKUP($B22,'20Trips'!$A$2:$I$22,4,FALSE),'20Trips'!$AB$32:$AH$36,3,FALSE))),1,0)</f>
        <v>0</v>
      </c>
    </row>
    <row r="23" spans="1:25" x14ac:dyDescent="0.25">
      <c r="A23" t="s">
        <v>62</v>
      </c>
      <c r="B23" t="s">
        <v>46</v>
      </c>
      <c r="C23">
        <v>0</v>
      </c>
      <c r="D23" s="2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5" x14ac:dyDescent="0.25">
      <c r="A24" t="s">
        <v>62</v>
      </c>
      <c r="B24" t="s">
        <v>6</v>
      </c>
      <c r="C24">
        <v>0</v>
      </c>
      <c r="D24" s="2">
        <f>IF(AND(feasible_mat!C3=1, VLOOKUP(Recharged_Feasible_matv3!$A24,'20Trips'!$A$24:$G$26, 3,FALSE)=VLOOKUP(D$1,'20Trips'!$A$3:$I$22,3,FALSE),VLOOKUP(D$1,'20Trips'!$A$3:$I$22,8,FALSE)-VLOOKUP($B24,'20Trips'!$A$3:$I$22, 9,FALSE) &gt;= (50+10)),1,0)</f>
        <v>0</v>
      </c>
      <c r="E24" s="2">
        <f>IF(AND(feasible_mat!D3=1, VLOOKUP(Recharged_Feasible_matv3!$A24,'20Trips'!$A$24:$G$26, 3,FALSE)=VLOOKUP(E$1,'20Trips'!$A$3:$I$22,3,FALSE),VLOOKUP(E$1,'20Trips'!$A$3:$I$22,8,FALSE)-VLOOKUP($B24,'20Trips'!$A$3:$I$22, 9,FALSE) &gt;= (50+10)),1,0)</f>
        <v>0</v>
      </c>
      <c r="F24" s="2">
        <f>IF(AND(feasible_mat!E3=1, VLOOKUP(Recharged_Feasible_matv3!$A24,'20Trips'!$A$24:$G$26, 3,FALSE)=VLOOKUP(F$1,'20Trips'!$A$3:$I$22,3,FALSE),VLOOKUP(F$1,'20Trips'!$A$3:$I$22,8,FALSE)-VLOOKUP($B24,'20Trips'!$A$3:$I$22, 9,FALSE) &gt;= (50+10)),1,0)</f>
        <v>1</v>
      </c>
      <c r="G24" s="2">
        <f>IF(AND(feasible_mat!F3=1, VLOOKUP(Recharged_Feasible_matv3!$A24,'20Trips'!$A$24:$G$26, 3,FALSE)=VLOOKUP(G$1,'20Trips'!$A$3:$I$22,3,FALSE),VLOOKUP(G$1,'20Trips'!$A$3:$I$22,8,FALSE)-VLOOKUP($B24,'20Trips'!$A$3:$I$22, 9,FALSE) &gt;= (50+10)),1,0)</f>
        <v>1</v>
      </c>
      <c r="H24" s="2">
        <f>IF(AND(feasible_mat!G3=1, VLOOKUP(Recharged_Feasible_matv3!$A24,'20Trips'!$A$24:$G$26, 3,FALSE)=VLOOKUP(H$1,'20Trips'!$A$3:$I$22,3,FALSE),VLOOKUP(H$1,'20Trips'!$A$3:$I$22,8,FALSE)-VLOOKUP($B24,'20Trips'!$A$3:$I$22, 9,FALSE) &gt;= (50+10)),1,0)</f>
        <v>1</v>
      </c>
      <c r="I24" s="2">
        <f>IF(AND(feasible_mat!H3=1, VLOOKUP(Recharged_Feasible_matv3!$A24,'20Trips'!$A$24:$G$26, 3,FALSE)=VLOOKUP(I$1,'20Trips'!$A$3:$I$22,3,FALSE),VLOOKUP(I$1,'20Trips'!$A$3:$I$22,8,FALSE)-VLOOKUP($B24,'20Trips'!$A$3:$I$22, 9,FALSE) &gt;= (50+10)),1,0)</f>
        <v>0</v>
      </c>
      <c r="J24" s="2">
        <f>IF(AND(feasible_mat!I3=1, VLOOKUP(Recharged_Feasible_matv3!$A24,'20Trips'!$A$24:$G$26, 3,FALSE)=VLOOKUP(J$1,'20Trips'!$A$3:$I$22,3,FALSE),VLOOKUP(J$1,'20Trips'!$A$3:$I$22,8,FALSE)-VLOOKUP($B24,'20Trips'!$A$3:$I$22, 9,FALSE) &gt;= (50+10)),1,0)</f>
        <v>0</v>
      </c>
      <c r="K24" s="2">
        <f>IF(AND(feasible_mat!J3=1, VLOOKUP(Recharged_Feasible_matv3!$A24,'20Trips'!$A$24:$G$26, 3,FALSE)=VLOOKUP(K$1,'20Trips'!$A$3:$I$22,3,FALSE),VLOOKUP(K$1,'20Trips'!$A$3:$I$22,8,FALSE)-VLOOKUP($B24,'20Trips'!$A$3:$I$22, 9,FALSE) &gt;= (50+10)),1,0)</f>
        <v>1</v>
      </c>
      <c r="L24" s="2">
        <f>IF(AND(feasible_mat!K3=1, VLOOKUP(Recharged_Feasible_matv3!$A24,'20Trips'!$A$24:$G$26, 3,FALSE)=VLOOKUP(L$1,'20Trips'!$A$3:$I$22,3,FALSE),VLOOKUP(L$1,'20Trips'!$A$3:$I$22,8,FALSE)-VLOOKUP($B24,'20Trips'!$A$3:$I$22, 9,FALSE) &gt;= (50+10)),1,0)</f>
        <v>1</v>
      </c>
      <c r="M24" s="2">
        <f>IF(AND(feasible_mat!L3=1, VLOOKUP(Recharged_Feasible_matv3!$A24,'20Trips'!$A$24:$G$26, 3,FALSE)=VLOOKUP(M$1,'20Trips'!$A$3:$I$22,3,FALSE),VLOOKUP(M$1,'20Trips'!$A$3:$I$22,8,FALSE)-VLOOKUP($B24,'20Trips'!$A$3:$I$22, 9,FALSE) &gt;= (50+10)),1,0)</f>
        <v>1</v>
      </c>
      <c r="N24" s="2">
        <f>IF(AND(feasible_mat!M3=1, VLOOKUP(Recharged_Feasible_matv3!$A24,'20Trips'!$A$24:$G$26, 3,FALSE)=VLOOKUP(N$1,'20Trips'!$A$3:$I$22,3,FALSE),VLOOKUP(N$1,'20Trips'!$A$3:$I$22,8,FALSE)-VLOOKUP($B24,'20Trips'!$A$3:$I$22, 9,FALSE) &gt;= (50+10)),1,0)</f>
        <v>0</v>
      </c>
      <c r="O24" s="2">
        <f>IF(AND(feasible_mat!N3=1, VLOOKUP(Recharged_Feasible_matv3!$A24,'20Trips'!$A$24:$G$26, 3,FALSE)=VLOOKUP(O$1,'20Trips'!$A$3:$I$22,3,FALSE),VLOOKUP(O$1,'20Trips'!$A$3:$I$22,8,FALSE)-VLOOKUP($B24,'20Trips'!$A$3:$I$22, 9,FALSE) &gt;= (50+10)),1,0)</f>
        <v>0</v>
      </c>
      <c r="P24" s="2">
        <f>IF(AND(feasible_mat!O3=1, VLOOKUP(Recharged_Feasible_matv3!$A24,'20Trips'!$A$24:$G$26, 3,FALSE)=VLOOKUP(P$1,'20Trips'!$A$3:$I$22,3,FALSE),VLOOKUP(P$1,'20Trips'!$A$3:$I$22,8,FALSE)-VLOOKUP($B24,'20Trips'!$A$3:$I$22, 9,FALSE) &gt;= (50+10)),1,0)</f>
        <v>0</v>
      </c>
      <c r="Q24" s="2">
        <f>IF(AND(feasible_mat!P3=1, VLOOKUP(Recharged_Feasible_matv3!$A24,'20Trips'!$A$24:$G$26, 3,FALSE)=VLOOKUP(Q$1,'20Trips'!$A$3:$I$22,3,FALSE),VLOOKUP(Q$1,'20Trips'!$A$3:$I$22,8,FALSE)-VLOOKUP($B24,'20Trips'!$A$3:$I$22, 9,FALSE) &gt;= (50+10)),1,0)</f>
        <v>0</v>
      </c>
      <c r="R24" s="2">
        <f>IF(AND(feasible_mat!Q3=1, VLOOKUP(Recharged_Feasible_matv3!$A24,'20Trips'!$A$24:$G$26, 3,FALSE)=VLOOKUP(R$1,'20Trips'!$A$3:$I$22,3,FALSE),VLOOKUP(R$1,'20Trips'!$A$3:$I$22,8,FALSE)-VLOOKUP($B24,'20Trips'!$A$3:$I$22, 9,FALSE) &gt;= (50+10)),1,0)</f>
        <v>0</v>
      </c>
      <c r="S24" s="2">
        <f>IF(AND(feasible_mat!R3=1, VLOOKUP(Recharged_Feasible_matv3!$A24,'20Trips'!$A$24:$G$26, 3,FALSE)=VLOOKUP(S$1,'20Trips'!$A$3:$I$22,3,FALSE),VLOOKUP(S$1,'20Trips'!$A$3:$I$22,8,FALSE)-VLOOKUP($B24,'20Trips'!$A$3:$I$22, 9,FALSE) &gt;= (50+10)),1,0)</f>
        <v>0</v>
      </c>
      <c r="T24" s="2">
        <f>IF(AND(feasible_mat!S3=1, VLOOKUP(Recharged_Feasible_matv3!$A24,'20Trips'!$A$24:$G$26, 3,FALSE)=VLOOKUP(T$1,'20Trips'!$A$3:$I$22,3,FALSE),VLOOKUP(T$1,'20Trips'!$A$3:$I$22,8,FALSE)-VLOOKUP($B24,'20Trips'!$A$3:$I$22, 9,FALSE) &gt;= (50+10)),1,0)</f>
        <v>0</v>
      </c>
      <c r="U24" s="2">
        <f>IF(AND(feasible_mat!T3=1, VLOOKUP(Recharged_Feasible_matv3!$A24,'20Trips'!$A$24:$G$26, 3,FALSE)=VLOOKUP(U$1,'20Trips'!$A$3:$I$22,3,FALSE),VLOOKUP(U$1,'20Trips'!$A$3:$I$22,8,FALSE)-VLOOKUP($B24,'20Trips'!$A$3:$I$22, 9,FALSE) &gt;= (50+10)),1,0)</f>
        <v>0</v>
      </c>
      <c r="V24" s="2">
        <f>IF(AND(feasible_mat!U3=1, VLOOKUP(Recharged_Feasible_matv3!$A24,'20Trips'!$A$24:$G$26, 3,FALSE)=VLOOKUP(V$1,'20Trips'!$A$3:$I$22,3,FALSE),VLOOKUP(V$1,'20Trips'!$A$3:$I$22,8,FALSE)-VLOOKUP($B24,'20Trips'!$A$3:$I$22, 9,FALSE) &gt;= (50+10)),1,0)</f>
        <v>0</v>
      </c>
      <c r="W24" s="2">
        <f>IF(AND(feasible_mat!V3=1, VLOOKUP(Recharged_Feasible_matv3!$A24,'20Trips'!$A$24:$G$26, 3,FALSE)=VLOOKUP(W$1,'20Trips'!$A$3:$I$22,3,FALSE),VLOOKUP(W$1,'20Trips'!$A$3:$I$22,8,FALSE)-VLOOKUP($B24,'20Trips'!$A$3:$I$22, 9,FALSE) &gt;= (50+10)),1,0)</f>
        <v>0</v>
      </c>
    </row>
    <row r="25" spans="1:25" x14ac:dyDescent="0.25">
      <c r="A25" t="s">
        <v>62</v>
      </c>
      <c r="B25" t="s">
        <v>9</v>
      </c>
      <c r="C25">
        <v>0</v>
      </c>
      <c r="D25" s="2">
        <f>IF(AND(feasible_mat!C4=1, VLOOKUP(Recharged_Feasible_matv3!$A25,'20Trips'!$A$24:$G$26, 3,FALSE)=VLOOKUP(D$1,'20Trips'!$A$3:$I$22,3,FALSE),VLOOKUP(D$1,'20Trips'!$A$3:$I$22,8,FALSE)-VLOOKUP($B25,'20Trips'!$A$3:$I$22, 9,FALSE) &gt;= (50+10)),1,0)</f>
        <v>0</v>
      </c>
      <c r="E25" s="2">
        <f>IF(AND(feasible_mat!D4=1, VLOOKUP(Recharged_Feasible_matv3!$A25,'20Trips'!$A$24:$G$26, 3,FALSE)=VLOOKUP(E$1,'20Trips'!$A$3:$I$22,3,FALSE),VLOOKUP(E$1,'20Trips'!$A$3:$I$22,8,FALSE)-VLOOKUP($B25,'20Trips'!$A$3:$I$22, 9,FALSE) &gt;= (50+10)),1,0)</f>
        <v>0</v>
      </c>
      <c r="F25" s="2">
        <f>IF(AND(feasible_mat!E4=1, VLOOKUP(Recharged_Feasible_matv3!$A25,'20Trips'!$A$24:$G$26, 3,FALSE)=VLOOKUP(F$1,'20Trips'!$A$3:$I$22,3,FALSE),VLOOKUP(F$1,'20Trips'!$A$3:$I$22,8,FALSE)-VLOOKUP($B25,'20Trips'!$A$3:$I$22, 9,FALSE) &gt;= (50+10)),1,0)</f>
        <v>0</v>
      </c>
      <c r="G25" s="2">
        <f>IF(AND(feasible_mat!F4=1, VLOOKUP(Recharged_Feasible_matv3!$A25,'20Trips'!$A$24:$G$26, 3,FALSE)=VLOOKUP(G$1,'20Trips'!$A$3:$I$22,3,FALSE),VLOOKUP(G$1,'20Trips'!$A$3:$I$22,8,FALSE)-VLOOKUP($B25,'20Trips'!$A$3:$I$22, 9,FALSE) &gt;= (50+10)),1,0)</f>
        <v>0</v>
      </c>
      <c r="H25" s="2">
        <f>IF(AND(feasible_mat!G4=1, VLOOKUP(Recharged_Feasible_matv3!$A25,'20Trips'!$A$24:$G$26, 3,FALSE)=VLOOKUP(H$1,'20Trips'!$A$3:$I$22,3,FALSE),VLOOKUP(H$1,'20Trips'!$A$3:$I$22,8,FALSE)-VLOOKUP($B25,'20Trips'!$A$3:$I$22, 9,FALSE) &gt;= (50+10)),1,0)</f>
        <v>1</v>
      </c>
      <c r="I25" s="2">
        <f>IF(AND(feasible_mat!H4=1, VLOOKUP(Recharged_Feasible_matv3!$A25,'20Trips'!$A$24:$G$26, 3,FALSE)=VLOOKUP(I$1,'20Trips'!$A$3:$I$22,3,FALSE),VLOOKUP(I$1,'20Trips'!$A$3:$I$22,8,FALSE)-VLOOKUP($B25,'20Trips'!$A$3:$I$22, 9,FALSE) &gt;= (50+10)),1,0)</f>
        <v>0</v>
      </c>
      <c r="J25" s="2">
        <f>IF(AND(feasible_mat!I4=1, VLOOKUP(Recharged_Feasible_matv3!$A25,'20Trips'!$A$24:$G$26, 3,FALSE)=VLOOKUP(J$1,'20Trips'!$A$3:$I$22,3,FALSE),VLOOKUP(J$1,'20Trips'!$A$3:$I$22,8,FALSE)-VLOOKUP($B25,'20Trips'!$A$3:$I$22, 9,FALSE) &gt;= (50+10)),1,0)</f>
        <v>0</v>
      </c>
      <c r="K25" s="2">
        <f>IF(AND(feasible_mat!J4=1, VLOOKUP(Recharged_Feasible_matv3!$A25,'20Trips'!$A$24:$G$26, 3,FALSE)=VLOOKUP(K$1,'20Trips'!$A$3:$I$22,3,FALSE),VLOOKUP(K$1,'20Trips'!$A$3:$I$22,8,FALSE)-VLOOKUP($B25,'20Trips'!$A$3:$I$22, 9,FALSE) &gt;= (50+10)),1,0)</f>
        <v>0</v>
      </c>
      <c r="L25" s="2">
        <f>IF(AND(feasible_mat!K4=1, VLOOKUP(Recharged_Feasible_matv3!$A25,'20Trips'!$A$24:$G$26, 3,FALSE)=VLOOKUP(L$1,'20Trips'!$A$3:$I$22,3,FALSE),VLOOKUP(L$1,'20Trips'!$A$3:$I$22,8,FALSE)-VLOOKUP($B25,'20Trips'!$A$3:$I$22, 9,FALSE) &gt;= (50+10)),1,0)</f>
        <v>1</v>
      </c>
      <c r="M25" s="2">
        <f>IF(AND(feasible_mat!L4=1, VLOOKUP(Recharged_Feasible_matv3!$A25,'20Trips'!$A$24:$G$26, 3,FALSE)=VLOOKUP(M$1,'20Trips'!$A$3:$I$22,3,FALSE),VLOOKUP(M$1,'20Trips'!$A$3:$I$22,8,FALSE)-VLOOKUP($B25,'20Trips'!$A$3:$I$22, 9,FALSE) &gt;= (50+10)),1,0)</f>
        <v>1</v>
      </c>
      <c r="N25" s="2">
        <f>IF(AND(feasible_mat!M4=1, VLOOKUP(Recharged_Feasible_matv3!$A25,'20Trips'!$A$24:$G$26, 3,FALSE)=VLOOKUP(N$1,'20Trips'!$A$3:$I$22,3,FALSE),VLOOKUP(N$1,'20Trips'!$A$3:$I$22,8,FALSE)-VLOOKUP($B25,'20Trips'!$A$3:$I$22, 9,FALSE) &gt;= (50+10)),1,0)</f>
        <v>0</v>
      </c>
      <c r="O25" s="2">
        <f>IF(AND(feasible_mat!N4=1, VLOOKUP(Recharged_Feasible_matv3!$A25,'20Trips'!$A$24:$G$26, 3,FALSE)=VLOOKUP(O$1,'20Trips'!$A$3:$I$22,3,FALSE),VLOOKUP(O$1,'20Trips'!$A$3:$I$22,8,FALSE)-VLOOKUP($B25,'20Trips'!$A$3:$I$22, 9,FALSE) &gt;= (50+10)),1,0)</f>
        <v>0</v>
      </c>
      <c r="P25" s="2">
        <f>IF(AND(feasible_mat!O4=1, VLOOKUP(Recharged_Feasible_matv3!$A25,'20Trips'!$A$24:$G$26, 3,FALSE)=VLOOKUP(P$1,'20Trips'!$A$3:$I$22,3,FALSE),VLOOKUP(P$1,'20Trips'!$A$3:$I$22,8,FALSE)-VLOOKUP($B25,'20Trips'!$A$3:$I$22, 9,FALSE) &gt;= (50+10)),1,0)</f>
        <v>0</v>
      </c>
      <c r="Q25" s="2">
        <f>IF(AND(feasible_mat!P4=1, VLOOKUP(Recharged_Feasible_matv3!$A25,'20Trips'!$A$24:$G$26, 3,FALSE)=VLOOKUP(Q$1,'20Trips'!$A$3:$I$22,3,FALSE),VLOOKUP(Q$1,'20Trips'!$A$3:$I$22,8,FALSE)-VLOOKUP($B25,'20Trips'!$A$3:$I$22, 9,FALSE) &gt;= (50+10)),1,0)</f>
        <v>0</v>
      </c>
      <c r="R25" s="2">
        <f>IF(AND(feasible_mat!Q4=1, VLOOKUP(Recharged_Feasible_matv3!$A25,'20Trips'!$A$24:$G$26, 3,FALSE)=VLOOKUP(R$1,'20Trips'!$A$3:$I$22,3,FALSE),VLOOKUP(R$1,'20Trips'!$A$3:$I$22,8,FALSE)-VLOOKUP($B25,'20Trips'!$A$3:$I$22, 9,FALSE) &gt;= (50+10)),1,0)</f>
        <v>0</v>
      </c>
      <c r="S25" s="2">
        <f>IF(AND(feasible_mat!R4=1, VLOOKUP(Recharged_Feasible_matv3!$A25,'20Trips'!$A$24:$G$26, 3,FALSE)=VLOOKUP(S$1,'20Trips'!$A$3:$I$22,3,FALSE),VLOOKUP(S$1,'20Trips'!$A$3:$I$22,8,FALSE)-VLOOKUP($B25,'20Trips'!$A$3:$I$22, 9,FALSE) &gt;= (50+10)),1,0)</f>
        <v>0</v>
      </c>
      <c r="T25" s="2">
        <f>IF(AND(feasible_mat!S4=1, VLOOKUP(Recharged_Feasible_matv3!$A25,'20Trips'!$A$24:$G$26, 3,FALSE)=VLOOKUP(T$1,'20Trips'!$A$3:$I$22,3,FALSE),VLOOKUP(T$1,'20Trips'!$A$3:$I$22,8,FALSE)-VLOOKUP($B25,'20Trips'!$A$3:$I$22, 9,FALSE) &gt;= (50+10)),1,0)</f>
        <v>0</v>
      </c>
      <c r="U25" s="2">
        <f>IF(AND(feasible_mat!T4=1, VLOOKUP(Recharged_Feasible_matv3!$A25,'20Trips'!$A$24:$G$26, 3,FALSE)=VLOOKUP(U$1,'20Trips'!$A$3:$I$22,3,FALSE),VLOOKUP(U$1,'20Trips'!$A$3:$I$22,8,FALSE)-VLOOKUP($B25,'20Trips'!$A$3:$I$22, 9,FALSE) &gt;= (50+10)),1,0)</f>
        <v>0</v>
      </c>
      <c r="V25" s="2">
        <f>IF(AND(feasible_mat!U4=1, VLOOKUP(Recharged_Feasible_matv3!$A25,'20Trips'!$A$24:$G$26, 3,FALSE)=VLOOKUP(V$1,'20Trips'!$A$3:$I$22,3,FALSE),VLOOKUP(V$1,'20Trips'!$A$3:$I$22,8,FALSE)-VLOOKUP($B25,'20Trips'!$A$3:$I$22, 9,FALSE) &gt;= (50+10)),1,0)</f>
        <v>0</v>
      </c>
      <c r="W25" s="2">
        <f>IF(AND(feasible_mat!V4=1, VLOOKUP(Recharged_Feasible_matv3!$A25,'20Trips'!$A$24:$G$26, 3,FALSE)=VLOOKUP(W$1,'20Trips'!$A$3:$I$22,3,FALSE),VLOOKUP(W$1,'20Trips'!$A$3:$I$22,8,FALSE)-VLOOKUP($B25,'20Trips'!$A$3:$I$22, 9,FALSE) &gt;= (50+10)),1,0)</f>
        <v>0</v>
      </c>
    </row>
    <row r="26" spans="1:25" x14ac:dyDescent="0.25">
      <c r="A26" t="s">
        <v>62</v>
      </c>
      <c r="B26" t="s">
        <v>10</v>
      </c>
      <c r="C26">
        <v>0</v>
      </c>
      <c r="D26" s="2">
        <f>IF(AND(feasible_mat!C5=1, VLOOKUP(Recharged_Feasible_matv3!$A26,'20Trips'!$A$24:$G$26, 3,FALSE)=VLOOKUP(D$1,'20Trips'!$A$3:$I$22,3,FALSE),VLOOKUP(D$1,'20Trips'!$A$3:$I$22,8,FALSE)-VLOOKUP($B26,'20Trips'!$A$3:$I$22, 9,FALSE) &gt;= (50+10)),1,0)</f>
        <v>0</v>
      </c>
      <c r="E26" s="2">
        <f>IF(AND(feasible_mat!D5=1, VLOOKUP(Recharged_Feasible_matv3!$A26,'20Trips'!$A$24:$G$26, 3,FALSE)=VLOOKUP(E$1,'20Trips'!$A$3:$I$22,3,FALSE),VLOOKUP(E$1,'20Trips'!$A$3:$I$22,8,FALSE)-VLOOKUP($B26,'20Trips'!$A$3:$I$22, 9,FALSE) &gt;= (50+10)),1,0)</f>
        <v>0</v>
      </c>
      <c r="F26" s="2">
        <f>IF(AND(feasible_mat!E5=1, VLOOKUP(Recharged_Feasible_matv3!$A26,'20Trips'!$A$24:$G$26, 3,FALSE)=VLOOKUP(F$1,'20Trips'!$A$3:$I$22,3,FALSE),VLOOKUP(F$1,'20Trips'!$A$3:$I$22,8,FALSE)-VLOOKUP($B26,'20Trips'!$A$3:$I$22, 9,FALSE) &gt;= (50+10)),1,0)</f>
        <v>0</v>
      </c>
      <c r="G26" s="2">
        <f>IF(AND(feasible_mat!F5=1, VLOOKUP(Recharged_Feasible_matv3!$A26,'20Trips'!$A$24:$G$26, 3,FALSE)=VLOOKUP(G$1,'20Trips'!$A$3:$I$22,3,FALSE),VLOOKUP(G$1,'20Trips'!$A$3:$I$22,8,FALSE)-VLOOKUP($B26,'20Trips'!$A$3:$I$22, 9,FALSE) &gt;= (50+10)),1,0)</f>
        <v>0</v>
      </c>
      <c r="H26" s="2">
        <f>IF(AND(feasible_mat!G5=1, VLOOKUP(Recharged_Feasible_matv3!$A26,'20Trips'!$A$24:$G$26, 3,FALSE)=VLOOKUP(H$1,'20Trips'!$A$3:$I$22,3,FALSE),VLOOKUP(H$1,'20Trips'!$A$3:$I$22,8,FALSE)-VLOOKUP($B26,'20Trips'!$A$3:$I$22, 9,FALSE) &gt;= (50+10)),1,0)</f>
        <v>0</v>
      </c>
      <c r="I26" s="2">
        <f>IF(AND(feasible_mat!H5=1, VLOOKUP(Recharged_Feasible_matv3!$A26,'20Trips'!$A$24:$G$26, 3,FALSE)=VLOOKUP(I$1,'20Trips'!$A$3:$I$22,3,FALSE),VLOOKUP(I$1,'20Trips'!$A$3:$I$22,8,FALSE)-VLOOKUP($B26,'20Trips'!$A$3:$I$22, 9,FALSE) &gt;= (50+10)),1,0)</f>
        <v>0</v>
      </c>
      <c r="J26" s="2">
        <f>IF(AND(feasible_mat!I5=1, VLOOKUP(Recharged_Feasible_matv3!$A26,'20Trips'!$A$24:$G$26, 3,FALSE)=VLOOKUP(J$1,'20Trips'!$A$3:$I$22,3,FALSE),VLOOKUP(J$1,'20Trips'!$A$3:$I$22,8,FALSE)-VLOOKUP($B26,'20Trips'!$A$3:$I$22, 9,FALSE) &gt;= (50+10)),1,0)</f>
        <v>0</v>
      </c>
      <c r="K26" s="2">
        <f>IF(AND(feasible_mat!J5=1, VLOOKUP(Recharged_Feasible_matv3!$A26,'20Trips'!$A$24:$G$26, 3,FALSE)=VLOOKUP(K$1,'20Trips'!$A$3:$I$22,3,FALSE),VLOOKUP(K$1,'20Trips'!$A$3:$I$22,8,FALSE)-VLOOKUP($B26,'20Trips'!$A$3:$I$22, 9,FALSE) &gt;= (50+10)),1,0)</f>
        <v>0</v>
      </c>
      <c r="L26" s="2">
        <f>IF(AND(feasible_mat!K5=1, VLOOKUP(Recharged_Feasible_matv3!$A26,'20Trips'!$A$24:$G$26, 3,FALSE)=VLOOKUP(L$1,'20Trips'!$A$3:$I$22,3,FALSE),VLOOKUP(L$1,'20Trips'!$A$3:$I$22,8,FALSE)-VLOOKUP($B26,'20Trips'!$A$3:$I$22, 9,FALSE) &gt;= (50+10)),1,0)</f>
        <v>1</v>
      </c>
      <c r="M26" s="2">
        <f>IF(AND(feasible_mat!L5=1, VLOOKUP(Recharged_Feasible_matv3!$A26,'20Trips'!$A$24:$G$26, 3,FALSE)=VLOOKUP(M$1,'20Trips'!$A$3:$I$22,3,FALSE),VLOOKUP(M$1,'20Trips'!$A$3:$I$22,8,FALSE)-VLOOKUP($B26,'20Trips'!$A$3:$I$22, 9,FALSE) &gt;= (50+10)),1,0)</f>
        <v>1</v>
      </c>
      <c r="N26" s="2">
        <f>IF(AND(feasible_mat!M5=1, VLOOKUP(Recharged_Feasible_matv3!$A26,'20Trips'!$A$24:$G$26, 3,FALSE)=VLOOKUP(N$1,'20Trips'!$A$3:$I$22,3,FALSE),VLOOKUP(N$1,'20Trips'!$A$3:$I$22,8,FALSE)-VLOOKUP($B26,'20Trips'!$A$3:$I$22, 9,FALSE) &gt;= (50+10)),1,0)</f>
        <v>0</v>
      </c>
      <c r="O26" s="2">
        <f>IF(AND(feasible_mat!N5=1, VLOOKUP(Recharged_Feasible_matv3!$A26,'20Trips'!$A$24:$G$26, 3,FALSE)=VLOOKUP(O$1,'20Trips'!$A$3:$I$22,3,FALSE),VLOOKUP(O$1,'20Trips'!$A$3:$I$22,8,FALSE)-VLOOKUP($B26,'20Trips'!$A$3:$I$22, 9,FALSE) &gt;= (50+10)),1,0)</f>
        <v>0</v>
      </c>
      <c r="P26" s="2">
        <f>IF(AND(feasible_mat!O5=1, VLOOKUP(Recharged_Feasible_matv3!$A26,'20Trips'!$A$24:$G$26, 3,FALSE)=VLOOKUP(P$1,'20Trips'!$A$3:$I$22,3,FALSE),VLOOKUP(P$1,'20Trips'!$A$3:$I$22,8,FALSE)-VLOOKUP($B26,'20Trips'!$A$3:$I$22, 9,FALSE) &gt;= (50+10)),1,0)</f>
        <v>0</v>
      </c>
      <c r="Q26" s="2">
        <f>IF(AND(feasible_mat!P5=1, VLOOKUP(Recharged_Feasible_matv3!$A26,'20Trips'!$A$24:$G$26, 3,FALSE)=VLOOKUP(Q$1,'20Trips'!$A$3:$I$22,3,FALSE),VLOOKUP(Q$1,'20Trips'!$A$3:$I$22,8,FALSE)-VLOOKUP($B26,'20Trips'!$A$3:$I$22, 9,FALSE) &gt;= (50+10)),1,0)</f>
        <v>0</v>
      </c>
      <c r="R26" s="2">
        <f>IF(AND(feasible_mat!Q5=1, VLOOKUP(Recharged_Feasible_matv3!$A26,'20Trips'!$A$24:$G$26, 3,FALSE)=VLOOKUP(R$1,'20Trips'!$A$3:$I$22,3,FALSE),VLOOKUP(R$1,'20Trips'!$A$3:$I$22,8,FALSE)-VLOOKUP($B26,'20Trips'!$A$3:$I$22, 9,FALSE) &gt;= (50+10)),1,0)</f>
        <v>0</v>
      </c>
      <c r="S26" s="2">
        <f>IF(AND(feasible_mat!R5=1, VLOOKUP(Recharged_Feasible_matv3!$A26,'20Trips'!$A$24:$G$26, 3,FALSE)=VLOOKUP(S$1,'20Trips'!$A$3:$I$22,3,FALSE),VLOOKUP(S$1,'20Trips'!$A$3:$I$22,8,FALSE)-VLOOKUP($B26,'20Trips'!$A$3:$I$22, 9,FALSE) &gt;= (50+10)),1,0)</f>
        <v>0</v>
      </c>
      <c r="T26" s="2">
        <f>IF(AND(feasible_mat!S5=1, VLOOKUP(Recharged_Feasible_matv3!$A26,'20Trips'!$A$24:$G$26, 3,FALSE)=VLOOKUP(T$1,'20Trips'!$A$3:$I$22,3,FALSE),VLOOKUP(T$1,'20Trips'!$A$3:$I$22,8,FALSE)-VLOOKUP($B26,'20Trips'!$A$3:$I$22, 9,FALSE) &gt;= (50+10)),1,0)</f>
        <v>0</v>
      </c>
      <c r="U26" s="2">
        <f>IF(AND(feasible_mat!T5=1, VLOOKUP(Recharged_Feasible_matv3!$A26,'20Trips'!$A$24:$G$26, 3,FALSE)=VLOOKUP(U$1,'20Trips'!$A$3:$I$22,3,FALSE),VLOOKUP(U$1,'20Trips'!$A$3:$I$22,8,FALSE)-VLOOKUP($B26,'20Trips'!$A$3:$I$22, 9,FALSE) &gt;= (50+10)),1,0)</f>
        <v>0</v>
      </c>
      <c r="V26" s="2">
        <f>IF(AND(feasible_mat!U5=1, VLOOKUP(Recharged_Feasible_matv3!$A26,'20Trips'!$A$24:$G$26, 3,FALSE)=VLOOKUP(V$1,'20Trips'!$A$3:$I$22,3,FALSE),VLOOKUP(V$1,'20Trips'!$A$3:$I$22,8,FALSE)-VLOOKUP($B26,'20Trips'!$A$3:$I$22, 9,FALSE) &gt;= (50+10)),1,0)</f>
        <v>0</v>
      </c>
      <c r="W26" s="2">
        <f>IF(AND(feasible_mat!V5=1, VLOOKUP(Recharged_Feasible_matv3!$A26,'20Trips'!$A$24:$G$26, 3,FALSE)=VLOOKUP(W$1,'20Trips'!$A$3:$I$22,3,FALSE),VLOOKUP(W$1,'20Trips'!$A$3:$I$22,8,FALSE)-VLOOKUP($B26,'20Trips'!$A$3:$I$22, 9,FALSE) &gt;= (50+10)),1,0)</f>
        <v>0</v>
      </c>
    </row>
    <row r="27" spans="1:25" x14ac:dyDescent="0.25">
      <c r="A27" t="s">
        <v>62</v>
      </c>
      <c r="B27" t="s">
        <v>11</v>
      </c>
      <c r="C27">
        <v>0</v>
      </c>
      <c r="D27" s="2">
        <f>IF(AND(feasible_mat!C6=1, VLOOKUP(Recharged_Feasible_matv3!$A27,'20Trips'!$A$24:$G$26, 3,FALSE)=VLOOKUP(D$1,'20Trips'!$A$3:$I$22,3,FALSE),VLOOKUP(D$1,'20Trips'!$A$3:$I$22,8,FALSE)-VLOOKUP($B27,'20Trips'!$A$3:$I$22, 9,FALSE) &gt;= (50+10)),1,0)</f>
        <v>0</v>
      </c>
      <c r="E27" s="2">
        <f>IF(AND(feasible_mat!D6=1, VLOOKUP(Recharged_Feasible_matv3!$A27,'20Trips'!$A$24:$G$26, 3,FALSE)=VLOOKUP(E$1,'20Trips'!$A$3:$I$22,3,FALSE),VLOOKUP(E$1,'20Trips'!$A$3:$I$22,8,FALSE)-VLOOKUP($B27,'20Trips'!$A$3:$I$22, 9,FALSE) &gt;= (50+10)),1,0)</f>
        <v>0</v>
      </c>
      <c r="F27" s="2">
        <f>IF(AND(feasible_mat!E6=1, VLOOKUP(Recharged_Feasible_matv3!$A27,'20Trips'!$A$24:$G$26, 3,FALSE)=VLOOKUP(F$1,'20Trips'!$A$3:$I$22,3,FALSE),VLOOKUP(F$1,'20Trips'!$A$3:$I$22,8,FALSE)-VLOOKUP($B27,'20Trips'!$A$3:$I$22, 9,FALSE) &gt;= (50+10)),1,0)</f>
        <v>0</v>
      </c>
      <c r="G27" s="2">
        <f>IF(AND(feasible_mat!F6=1, VLOOKUP(Recharged_Feasible_matv3!$A27,'20Trips'!$A$24:$G$26, 3,FALSE)=VLOOKUP(G$1,'20Trips'!$A$3:$I$22,3,FALSE),VLOOKUP(G$1,'20Trips'!$A$3:$I$22,8,FALSE)-VLOOKUP($B27,'20Trips'!$A$3:$I$22, 9,FALSE) &gt;= (50+10)),1,0)</f>
        <v>0</v>
      </c>
      <c r="H27" s="2">
        <f>IF(AND(feasible_mat!G6=1, VLOOKUP(Recharged_Feasible_matv3!$A27,'20Trips'!$A$24:$G$26, 3,FALSE)=VLOOKUP(H$1,'20Trips'!$A$3:$I$22,3,FALSE),VLOOKUP(H$1,'20Trips'!$A$3:$I$22,8,FALSE)-VLOOKUP($B27,'20Trips'!$A$3:$I$22, 9,FALSE) &gt;= (50+10)),1,0)</f>
        <v>0</v>
      </c>
      <c r="I27" s="2">
        <f>IF(AND(feasible_mat!H6=1, VLOOKUP(Recharged_Feasible_matv3!$A27,'20Trips'!$A$24:$G$26, 3,FALSE)=VLOOKUP(I$1,'20Trips'!$A$3:$I$22,3,FALSE),VLOOKUP(I$1,'20Trips'!$A$3:$I$22,8,FALSE)-VLOOKUP($B27,'20Trips'!$A$3:$I$22, 9,FALSE) &gt;= (50+10)),1,0)</f>
        <v>0</v>
      </c>
      <c r="J27" s="2">
        <f>IF(AND(feasible_mat!I6=1, VLOOKUP(Recharged_Feasible_matv3!$A27,'20Trips'!$A$24:$G$26, 3,FALSE)=VLOOKUP(J$1,'20Trips'!$A$3:$I$22,3,FALSE),VLOOKUP(J$1,'20Trips'!$A$3:$I$22,8,FALSE)-VLOOKUP($B27,'20Trips'!$A$3:$I$22, 9,FALSE) &gt;= (50+10)),1,0)</f>
        <v>0</v>
      </c>
      <c r="K27" s="2">
        <f>IF(AND(feasible_mat!J6=1, VLOOKUP(Recharged_Feasible_matv3!$A27,'20Trips'!$A$24:$G$26, 3,FALSE)=VLOOKUP(K$1,'20Trips'!$A$3:$I$22,3,FALSE),VLOOKUP(K$1,'20Trips'!$A$3:$I$22,8,FALSE)-VLOOKUP($B27,'20Trips'!$A$3:$I$22, 9,FALSE) &gt;= (50+10)),1,0)</f>
        <v>0</v>
      </c>
      <c r="L27" s="2">
        <f>IF(AND(feasible_mat!K6=1, VLOOKUP(Recharged_Feasible_matv3!$A27,'20Trips'!$A$24:$G$26, 3,FALSE)=VLOOKUP(L$1,'20Trips'!$A$3:$I$22,3,FALSE),VLOOKUP(L$1,'20Trips'!$A$3:$I$22,8,FALSE)-VLOOKUP($B27,'20Trips'!$A$3:$I$22, 9,FALSE) &gt;= (50+10)),1,0)</f>
        <v>1</v>
      </c>
      <c r="M27" s="2">
        <f>IF(AND(feasible_mat!L6=1, VLOOKUP(Recharged_Feasible_matv3!$A27,'20Trips'!$A$24:$G$26, 3,FALSE)=VLOOKUP(M$1,'20Trips'!$A$3:$I$22,3,FALSE),VLOOKUP(M$1,'20Trips'!$A$3:$I$22,8,FALSE)-VLOOKUP($B27,'20Trips'!$A$3:$I$22, 9,FALSE) &gt;= (50+10)),1,0)</f>
        <v>1</v>
      </c>
      <c r="N27" s="2">
        <f>IF(AND(feasible_mat!M6=1, VLOOKUP(Recharged_Feasible_matv3!$A27,'20Trips'!$A$24:$G$26, 3,FALSE)=VLOOKUP(N$1,'20Trips'!$A$3:$I$22,3,FALSE),VLOOKUP(N$1,'20Trips'!$A$3:$I$22,8,FALSE)-VLOOKUP($B27,'20Trips'!$A$3:$I$22, 9,FALSE) &gt;= (50+10)),1,0)</f>
        <v>0</v>
      </c>
      <c r="O27" s="2">
        <f>IF(AND(feasible_mat!N6=1, VLOOKUP(Recharged_Feasible_matv3!$A27,'20Trips'!$A$24:$G$26, 3,FALSE)=VLOOKUP(O$1,'20Trips'!$A$3:$I$22,3,FALSE),VLOOKUP(O$1,'20Trips'!$A$3:$I$22,8,FALSE)-VLOOKUP($B27,'20Trips'!$A$3:$I$22, 9,FALSE) &gt;= (50+10)),1,0)</f>
        <v>0</v>
      </c>
      <c r="P27" s="2">
        <f>IF(AND(feasible_mat!O6=1, VLOOKUP(Recharged_Feasible_matv3!$A27,'20Trips'!$A$24:$G$26, 3,FALSE)=VLOOKUP(P$1,'20Trips'!$A$3:$I$22,3,FALSE),VLOOKUP(P$1,'20Trips'!$A$3:$I$22,8,FALSE)-VLOOKUP($B27,'20Trips'!$A$3:$I$22, 9,FALSE) &gt;= (50+10)),1,0)</f>
        <v>0</v>
      </c>
      <c r="Q27" s="2">
        <f>IF(AND(feasible_mat!P6=1, VLOOKUP(Recharged_Feasible_matv3!$A27,'20Trips'!$A$24:$G$26, 3,FALSE)=VLOOKUP(Q$1,'20Trips'!$A$3:$I$22,3,FALSE),VLOOKUP(Q$1,'20Trips'!$A$3:$I$22,8,FALSE)-VLOOKUP($B27,'20Trips'!$A$3:$I$22, 9,FALSE) &gt;= (50+10)),1,0)</f>
        <v>0</v>
      </c>
      <c r="R27" s="2">
        <f>IF(AND(feasible_mat!Q6=1, VLOOKUP(Recharged_Feasible_matv3!$A27,'20Trips'!$A$24:$G$26, 3,FALSE)=VLOOKUP(R$1,'20Trips'!$A$3:$I$22,3,FALSE),VLOOKUP(R$1,'20Trips'!$A$3:$I$22,8,FALSE)-VLOOKUP($B27,'20Trips'!$A$3:$I$22, 9,FALSE) &gt;= (50+10)),1,0)</f>
        <v>0</v>
      </c>
      <c r="S27" s="2">
        <f>IF(AND(feasible_mat!R6=1, VLOOKUP(Recharged_Feasible_matv3!$A27,'20Trips'!$A$24:$G$26, 3,FALSE)=VLOOKUP(S$1,'20Trips'!$A$3:$I$22,3,FALSE),VLOOKUP(S$1,'20Trips'!$A$3:$I$22,8,FALSE)-VLOOKUP($B27,'20Trips'!$A$3:$I$22, 9,FALSE) &gt;= (50+10)),1,0)</f>
        <v>0</v>
      </c>
      <c r="T27" s="2">
        <f>IF(AND(feasible_mat!S6=1, VLOOKUP(Recharged_Feasible_matv3!$A27,'20Trips'!$A$24:$G$26, 3,FALSE)=VLOOKUP(T$1,'20Trips'!$A$3:$I$22,3,FALSE),VLOOKUP(T$1,'20Trips'!$A$3:$I$22,8,FALSE)-VLOOKUP($B27,'20Trips'!$A$3:$I$22, 9,FALSE) &gt;= (50+10)),1,0)</f>
        <v>0</v>
      </c>
      <c r="U27" s="2">
        <f>IF(AND(feasible_mat!T6=1, VLOOKUP(Recharged_Feasible_matv3!$A27,'20Trips'!$A$24:$G$26, 3,FALSE)=VLOOKUP(U$1,'20Trips'!$A$3:$I$22,3,FALSE),VLOOKUP(U$1,'20Trips'!$A$3:$I$22,8,FALSE)-VLOOKUP($B27,'20Trips'!$A$3:$I$22, 9,FALSE) &gt;= (50+10)),1,0)</f>
        <v>0</v>
      </c>
      <c r="V27" s="2">
        <f>IF(AND(feasible_mat!U6=1, VLOOKUP(Recharged_Feasible_matv3!$A27,'20Trips'!$A$24:$G$26, 3,FALSE)=VLOOKUP(V$1,'20Trips'!$A$3:$I$22,3,FALSE),VLOOKUP(V$1,'20Trips'!$A$3:$I$22,8,FALSE)-VLOOKUP($B27,'20Trips'!$A$3:$I$22, 9,FALSE) &gt;= (50+10)),1,0)</f>
        <v>0</v>
      </c>
      <c r="W27" s="2">
        <f>IF(AND(feasible_mat!V6=1, VLOOKUP(Recharged_Feasible_matv3!$A27,'20Trips'!$A$24:$G$26, 3,FALSE)=VLOOKUP(W$1,'20Trips'!$A$3:$I$22,3,FALSE),VLOOKUP(W$1,'20Trips'!$A$3:$I$22,8,FALSE)-VLOOKUP($B27,'20Trips'!$A$3:$I$22, 9,FALSE) &gt;= (50+10)),1,0)</f>
        <v>0</v>
      </c>
    </row>
    <row r="28" spans="1:25" x14ac:dyDescent="0.25">
      <c r="A28" t="s">
        <v>62</v>
      </c>
      <c r="B28" t="s">
        <v>12</v>
      </c>
      <c r="C28">
        <v>0</v>
      </c>
      <c r="D28" s="2">
        <f>IF(AND(feasible_mat!C7=1, VLOOKUP(Recharged_Feasible_matv3!$A28,'20Trips'!$A$24:$G$26, 3,FALSE)=VLOOKUP(D$1,'20Trips'!$A$3:$I$22,3,FALSE),VLOOKUP(D$1,'20Trips'!$A$3:$I$22,8,FALSE)-VLOOKUP($B28,'20Trips'!$A$3:$I$22, 9,FALSE) &gt;= (50+10)),1,0)</f>
        <v>0</v>
      </c>
      <c r="E28" s="2">
        <f>IF(AND(feasible_mat!D7=1, VLOOKUP(Recharged_Feasible_matv3!$A28,'20Trips'!$A$24:$G$26, 3,FALSE)=VLOOKUP(E$1,'20Trips'!$A$3:$I$22,3,FALSE),VLOOKUP(E$1,'20Trips'!$A$3:$I$22,8,FALSE)-VLOOKUP($B28,'20Trips'!$A$3:$I$22, 9,FALSE) &gt;= (50+10)),1,0)</f>
        <v>0</v>
      </c>
      <c r="F28" s="2">
        <f>IF(AND(feasible_mat!E7=1, VLOOKUP(Recharged_Feasible_matv3!$A28,'20Trips'!$A$24:$G$26, 3,FALSE)=VLOOKUP(F$1,'20Trips'!$A$3:$I$22,3,FALSE),VLOOKUP(F$1,'20Trips'!$A$3:$I$22,8,FALSE)-VLOOKUP($B28,'20Trips'!$A$3:$I$22, 9,FALSE) &gt;= (50+10)),1,0)</f>
        <v>0</v>
      </c>
      <c r="G28" s="2">
        <f>IF(AND(feasible_mat!F7=1, VLOOKUP(Recharged_Feasible_matv3!$A28,'20Trips'!$A$24:$G$26, 3,FALSE)=VLOOKUP(G$1,'20Trips'!$A$3:$I$22,3,FALSE),VLOOKUP(G$1,'20Trips'!$A$3:$I$22,8,FALSE)-VLOOKUP($B28,'20Trips'!$A$3:$I$22, 9,FALSE) &gt;= (50+10)),1,0)</f>
        <v>0</v>
      </c>
      <c r="H28" s="2">
        <f>IF(AND(feasible_mat!G7=1, VLOOKUP(Recharged_Feasible_matv3!$A28,'20Trips'!$A$24:$G$26, 3,FALSE)=VLOOKUP(H$1,'20Trips'!$A$3:$I$22,3,FALSE),VLOOKUP(H$1,'20Trips'!$A$3:$I$22,8,FALSE)-VLOOKUP($B28,'20Trips'!$A$3:$I$22, 9,FALSE) &gt;= (50+10)),1,0)</f>
        <v>0</v>
      </c>
      <c r="I28" s="2">
        <f>IF(AND(feasible_mat!H7=1, VLOOKUP(Recharged_Feasible_matv3!$A28,'20Trips'!$A$24:$G$26, 3,FALSE)=VLOOKUP(I$1,'20Trips'!$A$3:$I$22,3,FALSE),VLOOKUP(I$1,'20Trips'!$A$3:$I$22,8,FALSE)-VLOOKUP($B28,'20Trips'!$A$3:$I$22, 9,FALSE) &gt;= (50+10)),1,0)</f>
        <v>0</v>
      </c>
      <c r="J28" s="2">
        <f>IF(AND(feasible_mat!I7=1, VLOOKUP(Recharged_Feasible_matv3!$A28,'20Trips'!$A$24:$G$26, 3,FALSE)=VLOOKUP(J$1,'20Trips'!$A$3:$I$22,3,FALSE),VLOOKUP(J$1,'20Trips'!$A$3:$I$22,8,FALSE)-VLOOKUP($B28,'20Trips'!$A$3:$I$22, 9,FALSE) &gt;= (50+10)),1,0)</f>
        <v>0</v>
      </c>
      <c r="K28" s="2">
        <f>IF(AND(feasible_mat!J7=1, VLOOKUP(Recharged_Feasible_matv3!$A28,'20Trips'!$A$24:$G$26, 3,FALSE)=VLOOKUP(K$1,'20Trips'!$A$3:$I$22,3,FALSE),VLOOKUP(K$1,'20Trips'!$A$3:$I$22,8,FALSE)-VLOOKUP($B28,'20Trips'!$A$3:$I$22, 9,FALSE) &gt;= (50+10)),1,0)</f>
        <v>0</v>
      </c>
      <c r="L28" s="2">
        <f>IF(AND(feasible_mat!K7=1, VLOOKUP(Recharged_Feasible_matv3!$A28,'20Trips'!$A$24:$G$26, 3,FALSE)=VLOOKUP(L$1,'20Trips'!$A$3:$I$22,3,FALSE),VLOOKUP(L$1,'20Trips'!$A$3:$I$22,8,FALSE)-VLOOKUP($B28,'20Trips'!$A$3:$I$22, 9,FALSE) &gt;= (50+10)),1,0)</f>
        <v>0</v>
      </c>
      <c r="M28" s="2">
        <f>IF(AND(feasible_mat!L7=1, VLOOKUP(Recharged_Feasible_matv3!$A28,'20Trips'!$A$24:$G$26, 3,FALSE)=VLOOKUP(M$1,'20Trips'!$A$3:$I$22,3,FALSE),VLOOKUP(M$1,'20Trips'!$A$3:$I$22,8,FALSE)-VLOOKUP($B28,'20Trips'!$A$3:$I$22, 9,FALSE) &gt;= (50+10)),1,0)</f>
        <v>1</v>
      </c>
      <c r="N28" s="2">
        <f>IF(AND(feasible_mat!M7=1, VLOOKUP(Recharged_Feasible_matv3!$A28,'20Trips'!$A$24:$G$26, 3,FALSE)=VLOOKUP(N$1,'20Trips'!$A$3:$I$22,3,FALSE),VLOOKUP(N$1,'20Trips'!$A$3:$I$22,8,FALSE)-VLOOKUP($B28,'20Trips'!$A$3:$I$22, 9,FALSE) &gt;= (50+10)),1,0)</f>
        <v>0</v>
      </c>
      <c r="O28" s="2">
        <f>IF(AND(feasible_mat!N7=1, VLOOKUP(Recharged_Feasible_matv3!$A28,'20Trips'!$A$24:$G$26, 3,FALSE)=VLOOKUP(O$1,'20Trips'!$A$3:$I$22,3,FALSE),VLOOKUP(O$1,'20Trips'!$A$3:$I$22,8,FALSE)-VLOOKUP($B28,'20Trips'!$A$3:$I$22, 9,FALSE) &gt;= (50+10)),1,0)</f>
        <v>0</v>
      </c>
      <c r="P28" s="2">
        <f>IF(AND(feasible_mat!O7=1, VLOOKUP(Recharged_Feasible_matv3!$A28,'20Trips'!$A$24:$G$26, 3,FALSE)=VLOOKUP(P$1,'20Trips'!$A$3:$I$22,3,FALSE),VLOOKUP(P$1,'20Trips'!$A$3:$I$22,8,FALSE)-VLOOKUP($B28,'20Trips'!$A$3:$I$22, 9,FALSE) &gt;= (50+10)),1,0)</f>
        <v>0</v>
      </c>
      <c r="Q28" s="2">
        <f>IF(AND(feasible_mat!P7=1, VLOOKUP(Recharged_Feasible_matv3!$A28,'20Trips'!$A$24:$G$26, 3,FALSE)=VLOOKUP(Q$1,'20Trips'!$A$3:$I$22,3,FALSE),VLOOKUP(Q$1,'20Trips'!$A$3:$I$22,8,FALSE)-VLOOKUP($B28,'20Trips'!$A$3:$I$22, 9,FALSE) &gt;= (50+10)),1,0)</f>
        <v>0</v>
      </c>
      <c r="R28" s="2">
        <f>IF(AND(feasible_mat!Q7=1, VLOOKUP(Recharged_Feasible_matv3!$A28,'20Trips'!$A$24:$G$26, 3,FALSE)=VLOOKUP(R$1,'20Trips'!$A$3:$I$22,3,FALSE),VLOOKUP(R$1,'20Trips'!$A$3:$I$22,8,FALSE)-VLOOKUP($B28,'20Trips'!$A$3:$I$22, 9,FALSE) &gt;= (50+10)),1,0)</f>
        <v>0</v>
      </c>
      <c r="S28" s="2">
        <f>IF(AND(feasible_mat!R7=1, VLOOKUP(Recharged_Feasible_matv3!$A28,'20Trips'!$A$24:$G$26, 3,FALSE)=VLOOKUP(S$1,'20Trips'!$A$3:$I$22,3,FALSE),VLOOKUP(S$1,'20Trips'!$A$3:$I$22,8,FALSE)-VLOOKUP($B28,'20Trips'!$A$3:$I$22, 9,FALSE) &gt;= (50+10)),1,0)</f>
        <v>0</v>
      </c>
      <c r="T28" s="2">
        <f>IF(AND(feasible_mat!S7=1, VLOOKUP(Recharged_Feasible_matv3!$A28,'20Trips'!$A$24:$G$26, 3,FALSE)=VLOOKUP(T$1,'20Trips'!$A$3:$I$22,3,FALSE),VLOOKUP(T$1,'20Trips'!$A$3:$I$22,8,FALSE)-VLOOKUP($B28,'20Trips'!$A$3:$I$22, 9,FALSE) &gt;= (50+10)),1,0)</f>
        <v>0</v>
      </c>
      <c r="U28" s="2">
        <f>IF(AND(feasible_mat!T7=1, VLOOKUP(Recharged_Feasible_matv3!$A28,'20Trips'!$A$24:$G$26, 3,FALSE)=VLOOKUP(U$1,'20Trips'!$A$3:$I$22,3,FALSE),VLOOKUP(U$1,'20Trips'!$A$3:$I$22,8,FALSE)-VLOOKUP($B28,'20Trips'!$A$3:$I$22, 9,FALSE) &gt;= (50+10)),1,0)</f>
        <v>0</v>
      </c>
      <c r="V28" s="2">
        <f>IF(AND(feasible_mat!U7=1, VLOOKUP(Recharged_Feasible_matv3!$A28,'20Trips'!$A$24:$G$26, 3,FALSE)=VLOOKUP(V$1,'20Trips'!$A$3:$I$22,3,FALSE),VLOOKUP(V$1,'20Trips'!$A$3:$I$22,8,FALSE)-VLOOKUP($B28,'20Trips'!$A$3:$I$22, 9,FALSE) &gt;= (50+10)),1,0)</f>
        <v>0</v>
      </c>
      <c r="W28" s="2">
        <f>IF(AND(feasible_mat!V7=1, VLOOKUP(Recharged_Feasible_matv3!$A28,'20Trips'!$A$24:$G$26, 3,FALSE)=VLOOKUP(W$1,'20Trips'!$A$3:$I$22,3,FALSE),VLOOKUP(W$1,'20Trips'!$A$3:$I$22,8,FALSE)-VLOOKUP($B28,'20Trips'!$A$3:$I$22, 9,FALSE) &gt;= (50+10)),1,0)</f>
        <v>0</v>
      </c>
    </row>
    <row r="29" spans="1:25" x14ac:dyDescent="0.25">
      <c r="A29" t="s">
        <v>62</v>
      </c>
      <c r="B29" t="s">
        <v>18</v>
      </c>
      <c r="C29">
        <v>0</v>
      </c>
      <c r="D29" s="2">
        <f>IF(AND(feasible_mat!C8=1, VLOOKUP(Recharged_Feasible_matv3!$A29,'20Trips'!$A$24:$G$26, 3,FALSE)=VLOOKUP(D$1,'20Trips'!$A$3:$I$22,3,FALSE),VLOOKUP(D$1,'20Trips'!$A$3:$I$22,8,FALSE)-VLOOKUP($B29,'20Trips'!$A$3:$I$22, 9,FALSE) &gt;= (50+10)),1,0)</f>
        <v>0</v>
      </c>
      <c r="E29" s="2">
        <f>IF(AND(feasible_mat!D8=1, VLOOKUP(Recharged_Feasible_matv3!$A29,'20Trips'!$A$24:$G$26, 3,FALSE)=VLOOKUP(E$1,'20Trips'!$A$3:$I$22,3,FALSE),VLOOKUP(E$1,'20Trips'!$A$3:$I$22,8,FALSE)-VLOOKUP($B29,'20Trips'!$A$3:$I$22, 9,FALSE) &gt;= (50+10)),1,0)</f>
        <v>0</v>
      </c>
      <c r="F29" s="2">
        <f>IF(AND(feasible_mat!E8=1, VLOOKUP(Recharged_Feasible_matv3!$A29,'20Trips'!$A$24:$G$26, 3,FALSE)=VLOOKUP(F$1,'20Trips'!$A$3:$I$22,3,FALSE),VLOOKUP(F$1,'20Trips'!$A$3:$I$22,8,FALSE)-VLOOKUP($B29,'20Trips'!$A$3:$I$22, 9,FALSE) &gt;= (50+10)),1,0)</f>
        <v>1</v>
      </c>
      <c r="G29" s="2">
        <f>IF(AND(feasible_mat!F8=1, VLOOKUP(Recharged_Feasible_matv3!$A29,'20Trips'!$A$24:$G$26, 3,FALSE)=VLOOKUP(G$1,'20Trips'!$A$3:$I$22,3,FALSE),VLOOKUP(G$1,'20Trips'!$A$3:$I$22,8,FALSE)-VLOOKUP($B29,'20Trips'!$A$3:$I$22, 9,FALSE) &gt;= (50+10)),1,0)</f>
        <v>1</v>
      </c>
      <c r="H29" s="2">
        <f>IF(AND(feasible_mat!G8=1, VLOOKUP(Recharged_Feasible_matv3!$A29,'20Trips'!$A$24:$G$26, 3,FALSE)=VLOOKUP(H$1,'20Trips'!$A$3:$I$22,3,FALSE),VLOOKUP(H$1,'20Trips'!$A$3:$I$22,8,FALSE)-VLOOKUP($B29,'20Trips'!$A$3:$I$22, 9,FALSE) &gt;= (50+10)),1,0)</f>
        <v>1</v>
      </c>
      <c r="I29" s="2">
        <f>IF(AND(feasible_mat!H8=1, VLOOKUP(Recharged_Feasible_matv3!$A29,'20Trips'!$A$24:$G$26, 3,FALSE)=VLOOKUP(I$1,'20Trips'!$A$3:$I$22,3,FALSE),VLOOKUP(I$1,'20Trips'!$A$3:$I$22,8,FALSE)-VLOOKUP($B29,'20Trips'!$A$3:$I$22, 9,FALSE) &gt;= (50+10)),1,0)</f>
        <v>0</v>
      </c>
      <c r="J29" s="2">
        <f>IF(AND(feasible_mat!I8=1, VLOOKUP(Recharged_Feasible_matv3!$A29,'20Trips'!$A$24:$G$26, 3,FALSE)=VLOOKUP(J$1,'20Trips'!$A$3:$I$22,3,FALSE),VLOOKUP(J$1,'20Trips'!$A$3:$I$22,8,FALSE)-VLOOKUP($B29,'20Trips'!$A$3:$I$22, 9,FALSE) &gt;= (50+10)),1,0)</f>
        <v>0</v>
      </c>
      <c r="K29" s="2">
        <f>IF(AND(feasible_mat!J8=1, VLOOKUP(Recharged_Feasible_matv3!$A29,'20Trips'!$A$24:$G$26, 3,FALSE)=VLOOKUP(K$1,'20Trips'!$A$3:$I$22,3,FALSE),VLOOKUP(K$1,'20Trips'!$A$3:$I$22,8,FALSE)-VLOOKUP($B29,'20Trips'!$A$3:$I$22, 9,FALSE) &gt;= (50+10)),1,0)</f>
        <v>1</v>
      </c>
      <c r="L29" s="2">
        <f>IF(AND(feasible_mat!K8=1, VLOOKUP(Recharged_Feasible_matv3!$A29,'20Trips'!$A$24:$G$26, 3,FALSE)=VLOOKUP(L$1,'20Trips'!$A$3:$I$22,3,FALSE),VLOOKUP(L$1,'20Trips'!$A$3:$I$22,8,FALSE)-VLOOKUP($B29,'20Trips'!$A$3:$I$22, 9,FALSE) &gt;= (50+10)),1,0)</f>
        <v>1</v>
      </c>
      <c r="M29" s="2">
        <f>IF(AND(feasible_mat!L8=1, VLOOKUP(Recharged_Feasible_matv3!$A29,'20Trips'!$A$24:$G$26, 3,FALSE)=VLOOKUP(M$1,'20Trips'!$A$3:$I$22,3,FALSE),VLOOKUP(M$1,'20Trips'!$A$3:$I$22,8,FALSE)-VLOOKUP($B29,'20Trips'!$A$3:$I$22, 9,FALSE) &gt;= (50+10)),1,0)</f>
        <v>1</v>
      </c>
      <c r="N29" s="2">
        <f>IF(AND(feasible_mat!M8=1, VLOOKUP(Recharged_Feasible_matv3!$A29,'20Trips'!$A$24:$G$26, 3,FALSE)=VLOOKUP(N$1,'20Trips'!$A$3:$I$22,3,FALSE),VLOOKUP(N$1,'20Trips'!$A$3:$I$22,8,FALSE)-VLOOKUP($B29,'20Trips'!$A$3:$I$22, 9,FALSE) &gt;= (50+10)),1,0)</f>
        <v>0</v>
      </c>
      <c r="O29" s="2">
        <f>IF(AND(feasible_mat!N8=1, VLOOKUP(Recharged_Feasible_matv3!$A29,'20Trips'!$A$24:$G$26, 3,FALSE)=VLOOKUP(O$1,'20Trips'!$A$3:$I$22,3,FALSE),VLOOKUP(O$1,'20Trips'!$A$3:$I$22,8,FALSE)-VLOOKUP($B29,'20Trips'!$A$3:$I$22, 9,FALSE) &gt;= (50+10)),1,0)</f>
        <v>0</v>
      </c>
      <c r="P29" s="2">
        <f>IF(AND(feasible_mat!O8=1, VLOOKUP(Recharged_Feasible_matv3!$A29,'20Trips'!$A$24:$G$26, 3,FALSE)=VLOOKUP(P$1,'20Trips'!$A$3:$I$22,3,FALSE),VLOOKUP(P$1,'20Trips'!$A$3:$I$22,8,FALSE)-VLOOKUP($B29,'20Trips'!$A$3:$I$22, 9,FALSE) &gt;= (50+10)),1,0)</f>
        <v>0</v>
      </c>
      <c r="Q29" s="2">
        <f>IF(AND(feasible_mat!P8=1, VLOOKUP(Recharged_Feasible_matv3!$A29,'20Trips'!$A$24:$G$26, 3,FALSE)=VLOOKUP(Q$1,'20Trips'!$A$3:$I$22,3,FALSE),VLOOKUP(Q$1,'20Trips'!$A$3:$I$22,8,FALSE)-VLOOKUP($B29,'20Trips'!$A$3:$I$22, 9,FALSE) &gt;= (50+10)),1,0)</f>
        <v>0</v>
      </c>
      <c r="R29" s="2">
        <f>IF(AND(feasible_mat!Q8=1, VLOOKUP(Recharged_Feasible_matv3!$A29,'20Trips'!$A$24:$G$26, 3,FALSE)=VLOOKUP(R$1,'20Trips'!$A$3:$I$22,3,FALSE),VLOOKUP(R$1,'20Trips'!$A$3:$I$22,8,FALSE)-VLOOKUP($B29,'20Trips'!$A$3:$I$22, 9,FALSE) &gt;= (50+10)),1,0)</f>
        <v>0</v>
      </c>
      <c r="S29" s="2">
        <f>IF(AND(feasible_mat!R8=1, VLOOKUP(Recharged_Feasible_matv3!$A29,'20Trips'!$A$24:$G$26, 3,FALSE)=VLOOKUP(S$1,'20Trips'!$A$3:$I$22,3,FALSE),VLOOKUP(S$1,'20Trips'!$A$3:$I$22,8,FALSE)-VLOOKUP($B29,'20Trips'!$A$3:$I$22, 9,FALSE) &gt;= (50+10)),1,0)</f>
        <v>0</v>
      </c>
      <c r="T29" s="2">
        <f>IF(AND(feasible_mat!S8=1, VLOOKUP(Recharged_Feasible_matv3!$A29,'20Trips'!$A$24:$G$26, 3,FALSE)=VLOOKUP(T$1,'20Trips'!$A$3:$I$22,3,FALSE),VLOOKUP(T$1,'20Trips'!$A$3:$I$22,8,FALSE)-VLOOKUP($B29,'20Trips'!$A$3:$I$22, 9,FALSE) &gt;= (50+10)),1,0)</f>
        <v>0</v>
      </c>
      <c r="U29" s="2">
        <f>IF(AND(feasible_mat!T8=1, VLOOKUP(Recharged_Feasible_matv3!$A29,'20Trips'!$A$24:$G$26, 3,FALSE)=VLOOKUP(U$1,'20Trips'!$A$3:$I$22,3,FALSE),VLOOKUP(U$1,'20Trips'!$A$3:$I$22,8,FALSE)-VLOOKUP($B29,'20Trips'!$A$3:$I$22, 9,FALSE) &gt;= (50+10)),1,0)</f>
        <v>0</v>
      </c>
      <c r="V29" s="2">
        <f>IF(AND(feasible_mat!U8=1, VLOOKUP(Recharged_Feasible_matv3!$A29,'20Trips'!$A$24:$G$26, 3,FALSE)=VLOOKUP(V$1,'20Trips'!$A$3:$I$22,3,FALSE),VLOOKUP(V$1,'20Trips'!$A$3:$I$22,8,FALSE)-VLOOKUP($B29,'20Trips'!$A$3:$I$22, 9,FALSE) &gt;= (50+10)),1,0)</f>
        <v>0</v>
      </c>
      <c r="W29" s="2">
        <f>IF(AND(feasible_mat!V8=1, VLOOKUP(Recharged_Feasible_matv3!$A29,'20Trips'!$A$24:$G$26, 3,FALSE)=VLOOKUP(W$1,'20Trips'!$A$3:$I$22,3,FALSE),VLOOKUP(W$1,'20Trips'!$A$3:$I$22,8,FALSE)-VLOOKUP($B29,'20Trips'!$A$3:$I$22, 9,FALSE) &gt;= (50+10)),1,0)</f>
        <v>0</v>
      </c>
    </row>
    <row r="30" spans="1:25" x14ac:dyDescent="0.25">
      <c r="A30" t="s">
        <v>62</v>
      </c>
      <c r="B30" t="s">
        <v>20</v>
      </c>
      <c r="C30">
        <v>0</v>
      </c>
      <c r="D30" s="2">
        <f>IF(AND(feasible_mat!C9=1, VLOOKUP(Recharged_Feasible_matv3!$A30,'20Trips'!$A$24:$G$26, 3,FALSE)=VLOOKUP(D$1,'20Trips'!$A$3:$I$22,3,FALSE),VLOOKUP(D$1,'20Trips'!$A$3:$I$22,8,FALSE)-VLOOKUP($B30,'20Trips'!$A$3:$I$22, 9,FALSE) &gt;= (50+10)),1,0)</f>
        <v>0</v>
      </c>
      <c r="E30" s="2">
        <f>IF(AND(feasible_mat!D9=1, VLOOKUP(Recharged_Feasible_matv3!$A30,'20Trips'!$A$24:$G$26, 3,FALSE)=VLOOKUP(E$1,'20Trips'!$A$3:$I$22,3,FALSE),VLOOKUP(E$1,'20Trips'!$A$3:$I$22,8,FALSE)-VLOOKUP($B30,'20Trips'!$A$3:$I$22, 9,FALSE) &gt;= (50+10)),1,0)</f>
        <v>0</v>
      </c>
      <c r="F30" s="2">
        <f>IF(AND(feasible_mat!E9=1, VLOOKUP(Recharged_Feasible_matv3!$A30,'20Trips'!$A$24:$G$26, 3,FALSE)=VLOOKUP(F$1,'20Trips'!$A$3:$I$22,3,FALSE),VLOOKUP(F$1,'20Trips'!$A$3:$I$22,8,FALSE)-VLOOKUP($B30,'20Trips'!$A$3:$I$22, 9,FALSE) &gt;= (50+10)),1,0)</f>
        <v>0</v>
      </c>
      <c r="G30" s="2">
        <f>IF(AND(feasible_mat!F9=1, VLOOKUP(Recharged_Feasible_matv3!$A30,'20Trips'!$A$24:$G$26, 3,FALSE)=VLOOKUP(G$1,'20Trips'!$A$3:$I$22,3,FALSE),VLOOKUP(G$1,'20Trips'!$A$3:$I$22,8,FALSE)-VLOOKUP($B30,'20Trips'!$A$3:$I$22, 9,FALSE) &gt;= (50+10)),1,0)</f>
        <v>1</v>
      </c>
      <c r="H30" s="2">
        <f>IF(AND(feasible_mat!G9=1, VLOOKUP(Recharged_Feasible_matv3!$A30,'20Trips'!$A$24:$G$26, 3,FALSE)=VLOOKUP(H$1,'20Trips'!$A$3:$I$22,3,FALSE),VLOOKUP(H$1,'20Trips'!$A$3:$I$22,8,FALSE)-VLOOKUP($B30,'20Trips'!$A$3:$I$22, 9,FALSE) &gt;= (50+10)),1,0)</f>
        <v>1</v>
      </c>
      <c r="I30" s="2">
        <f>IF(AND(feasible_mat!H9=1, VLOOKUP(Recharged_Feasible_matv3!$A30,'20Trips'!$A$24:$G$26, 3,FALSE)=VLOOKUP(I$1,'20Trips'!$A$3:$I$22,3,FALSE),VLOOKUP(I$1,'20Trips'!$A$3:$I$22,8,FALSE)-VLOOKUP($B30,'20Trips'!$A$3:$I$22, 9,FALSE) &gt;= (50+10)),1,0)</f>
        <v>0</v>
      </c>
      <c r="J30" s="2">
        <f>IF(AND(feasible_mat!I9=1, VLOOKUP(Recharged_Feasible_matv3!$A30,'20Trips'!$A$24:$G$26, 3,FALSE)=VLOOKUP(J$1,'20Trips'!$A$3:$I$22,3,FALSE),VLOOKUP(J$1,'20Trips'!$A$3:$I$22,8,FALSE)-VLOOKUP($B30,'20Trips'!$A$3:$I$22, 9,FALSE) &gt;= (50+10)),1,0)</f>
        <v>0</v>
      </c>
      <c r="K30" s="2">
        <f>IF(AND(feasible_mat!J9=1, VLOOKUP(Recharged_Feasible_matv3!$A30,'20Trips'!$A$24:$G$26, 3,FALSE)=VLOOKUP(K$1,'20Trips'!$A$3:$I$22,3,FALSE),VLOOKUP(K$1,'20Trips'!$A$3:$I$22,8,FALSE)-VLOOKUP($B30,'20Trips'!$A$3:$I$22, 9,FALSE) &gt;= (50+10)),1,0)</f>
        <v>0</v>
      </c>
      <c r="L30" s="2">
        <f>IF(AND(feasible_mat!K9=1, VLOOKUP(Recharged_Feasible_matv3!$A30,'20Trips'!$A$24:$G$26, 3,FALSE)=VLOOKUP(L$1,'20Trips'!$A$3:$I$22,3,FALSE),VLOOKUP(L$1,'20Trips'!$A$3:$I$22,8,FALSE)-VLOOKUP($B30,'20Trips'!$A$3:$I$22, 9,FALSE) &gt;= (50+10)),1,0)</f>
        <v>1</v>
      </c>
      <c r="M30" s="2">
        <f>IF(AND(feasible_mat!L9=1, VLOOKUP(Recharged_Feasible_matv3!$A30,'20Trips'!$A$24:$G$26, 3,FALSE)=VLOOKUP(M$1,'20Trips'!$A$3:$I$22,3,FALSE),VLOOKUP(M$1,'20Trips'!$A$3:$I$22,8,FALSE)-VLOOKUP($B30,'20Trips'!$A$3:$I$22, 9,FALSE) &gt;= (50+10)),1,0)</f>
        <v>1</v>
      </c>
      <c r="N30" s="2">
        <f>IF(AND(feasible_mat!M9=1, VLOOKUP(Recharged_Feasible_matv3!$A30,'20Trips'!$A$24:$G$26, 3,FALSE)=VLOOKUP(N$1,'20Trips'!$A$3:$I$22,3,FALSE),VLOOKUP(N$1,'20Trips'!$A$3:$I$22,8,FALSE)-VLOOKUP($B30,'20Trips'!$A$3:$I$22, 9,FALSE) &gt;= (50+10)),1,0)</f>
        <v>0</v>
      </c>
      <c r="O30" s="2">
        <f>IF(AND(feasible_mat!N9=1, VLOOKUP(Recharged_Feasible_matv3!$A30,'20Trips'!$A$24:$G$26, 3,FALSE)=VLOOKUP(O$1,'20Trips'!$A$3:$I$22,3,FALSE),VLOOKUP(O$1,'20Trips'!$A$3:$I$22,8,FALSE)-VLOOKUP($B30,'20Trips'!$A$3:$I$22, 9,FALSE) &gt;= (50+10)),1,0)</f>
        <v>0</v>
      </c>
      <c r="P30" s="2">
        <f>IF(AND(feasible_mat!O9=1, VLOOKUP(Recharged_Feasible_matv3!$A30,'20Trips'!$A$24:$G$26, 3,FALSE)=VLOOKUP(P$1,'20Trips'!$A$3:$I$22,3,FALSE),VLOOKUP(P$1,'20Trips'!$A$3:$I$22,8,FALSE)-VLOOKUP($B30,'20Trips'!$A$3:$I$22, 9,FALSE) &gt;= (50+10)),1,0)</f>
        <v>0</v>
      </c>
      <c r="Q30" s="2">
        <f>IF(AND(feasible_mat!P9=1, VLOOKUP(Recharged_Feasible_matv3!$A30,'20Trips'!$A$24:$G$26, 3,FALSE)=VLOOKUP(Q$1,'20Trips'!$A$3:$I$22,3,FALSE),VLOOKUP(Q$1,'20Trips'!$A$3:$I$22,8,FALSE)-VLOOKUP($B30,'20Trips'!$A$3:$I$22, 9,FALSE) &gt;= (50+10)),1,0)</f>
        <v>0</v>
      </c>
      <c r="R30" s="2">
        <f>IF(AND(feasible_mat!Q9=1, VLOOKUP(Recharged_Feasible_matv3!$A30,'20Trips'!$A$24:$G$26, 3,FALSE)=VLOOKUP(R$1,'20Trips'!$A$3:$I$22,3,FALSE),VLOOKUP(R$1,'20Trips'!$A$3:$I$22,8,FALSE)-VLOOKUP($B30,'20Trips'!$A$3:$I$22, 9,FALSE) &gt;= (50+10)),1,0)</f>
        <v>0</v>
      </c>
      <c r="S30" s="2">
        <f>IF(AND(feasible_mat!R9=1, VLOOKUP(Recharged_Feasible_matv3!$A30,'20Trips'!$A$24:$G$26, 3,FALSE)=VLOOKUP(S$1,'20Trips'!$A$3:$I$22,3,FALSE),VLOOKUP(S$1,'20Trips'!$A$3:$I$22,8,FALSE)-VLOOKUP($B30,'20Trips'!$A$3:$I$22, 9,FALSE) &gt;= (50+10)),1,0)</f>
        <v>0</v>
      </c>
      <c r="T30" s="2">
        <f>IF(AND(feasible_mat!S9=1, VLOOKUP(Recharged_Feasible_matv3!$A30,'20Trips'!$A$24:$G$26, 3,FALSE)=VLOOKUP(T$1,'20Trips'!$A$3:$I$22,3,FALSE),VLOOKUP(T$1,'20Trips'!$A$3:$I$22,8,FALSE)-VLOOKUP($B30,'20Trips'!$A$3:$I$22, 9,FALSE) &gt;= (50+10)),1,0)</f>
        <v>0</v>
      </c>
      <c r="U30" s="2">
        <f>IF(AND(feasible_mat!T9=1, VLOOKUP(Recharged_Feasible_matv3!$A30,'20Trips'!$A$24:$G$26, 3,FALSE)=VLOOKUP(U$1,'20Trips'!$A$3:$I$22,3,FALSE),VLOOKUP(U$1,'20Trips'!$A$3:$I$22,8,FALSE)-VLOOKUP($B30,'20Trips'!$A$3:$I$22, 9,FALSE) &gt;= (50+10)),1,0)</f>
        <v>0</v>
      </c>
      <c r="V30" s="2">
        <f>IF(AND(feasible_mat!U9=1, VLOOKUP(Recharged_Feasible_matv3!$A30,'20Trips'!$A$24:$G$26, 3,FALSE)=VLOOKUP(V$1,'20Trips'!$A$3:$I$22,3,FALSE),VLOOKUP(V$1,'20Trips'!$A$3:$I$22,8,FALSE)-VLOOKUP($B30,'20Trips'!$A$3:$I$22, 9,FALSE) &gt;= (50+10)),1,0)</f>
        <v>0</v>
      </c>
      <c r="W30" s="2">
        <f>IF(AND(feasible_mat!V9=1, VLOOKUP(Recharged_Feasible_matv3!$A30,'20Trips'!$A$24:$G$26, 3,FALSE)=VLOOKUP(W$1,'20Trips'!$A$3:$I$22,3,FALSE),VLOOKUP(W$1,'20Trips'!$A$3:$I$22,8,FALSE)-VLOOKUP($B30,'20Trips'!$A$3:$I$22, 9,FALSE) &gt;= (50+10)),1,0)</f>
        <v>0</v>
      </c>
    </row>
    <row r="31" spans="1:25" x14ac:dyDescent="0.25">
      <c r="A31" t="s">
        <v>62</v>
      </c>
      <c r="B31" t="s">
        <v>21</v>
      </c>
      <c r="C31">
        <v>0</v>
      </c>
      <c r="D31" s="2">
        <f>IF(AND(feasible_mat!C10=1, VLOOKUP(Recharged_Feasible_matv3!$A31,'20Trips'!$A$24:$G$26, 3,FALSE)=VLOOKUP(D$1,'20Trips'!$A$3:$I$22,3,FALSE),VLOOKUP(D$1,'20Trips'!$A$3:$I$22,8,FALSE)-VLOOKUP($B31,'20Trips'!$A$3:$I$22, 9,FALSE) &gt;= (50+10)),1,0)</f>
        <v>0</v>
      </c>
      <c r="E31" s="2">
        <f>IF(AND(feasible_mat!D10=1, VLOOKUP(Recharged_Feasible_matv3!$A31,'20Trips'!$A$24:$G$26, 3,FALSE)=VLOOKUP(E$1,'20Trips'!$A$3:$I$22,3,FALSE),VLOOKUP(E$1,'20Trips'!$A$3:$I$22,8,FALSE)-VLOOKUP($B31,'20Trips'!$A$3:$I$22, 9,FALSE) &gt;= (50+10)),1,0)</f>
        <v>0</v>
      </c>
      <c r="F31" s="2">
        <f>IF(AND(feasible_mat!E10=1, VLOOKUP(Recharged_Feasible_matv3!$A31,'20Trips'!$A$24:$G$26, 3,FALSE)=VLOOKUP(F$1,'20Trips'!$A$3:$I$22,3,FALSE),VLOOKUP(F$1,'20Trips'!$A$3:$I$22,8,FALSE)-VLOOKUP($B31,'20Trips'!$A$3:$I$22, 9,FALSE) &gt;= (50+10)),1,0)</f>
        <v>0</v>
      </c>
      <c r="G31" s="2">
        <f>IF(AND(feasible_mat!F10=1, VLOOKUP(Recharged_Feasible_matv3!$A31,'20Trips'!$A$24:$G$26, 3,FALSE)=VLOOKUP(G$1,'20Trips'!$A$3:$I$22,3,FALSE),VLOOKUP(G$1,'20Trips'!$A$3:$I$22,8,FALSE)-VLOOKUP($B31,'20Trips'!$A$3:$I$22, 9,FALSE) &gt;= (50+10)),1,0)</f>
        <v>0</v>
      </c>
      <c r="H31" s="2">
        <f>IF(AND(feasible_mat!G10=1, VLOOKUP(Recharged_Feasible_matv3!$A31,'20Trips'!$A$24:$G$26, 3,FALSE)=VLOOKUP(H$1,'20Trips'!$A$3:$I$22,3,FALSE),VLOOKUP(H$1,'20Trips'!$A$3:$I$22,8,FALSE)-VLOOKUP($B31,'20Trips'!$A$3:$I$22, 9,FALSE) &gt;= (50+10)),1,0)</f>
        <v>0</v>
      </c>
      <c r="I31" s="2">
        <f>IF(AND(feasible_mat!H10=1, VLOOKUP(Recharged_Feasible_matv3!$A31,'20Trips'!$A$24:$G$26, 3,FALSE)=VLOOKUP(I$1,'20Trips'!$A$3:$I$22,3,FALSE),VLOOKUP(I$1,'20Trips'!$A$3:$I$22,8,FALSE)-VLOOKUP($B31,'20Trips'!$A$3:$I$22, 9,FALSE) &gt;= (50+10)),1,0)</f>
        <v>0</v>
      </c>
      <c r="J31" s="2">
        <f>IF(AND(feasible_mat!I10=1, VLOOKUP(Recharged_Feasible_matv3!$A31,'20Trips'!$A$24:$G$26, 3,FALSE)=VLOOKUP(J$1,'20Trips'!$A$3:$I$22,3,FALSE),VLOOKUP(J$1,'20Trips'!$A$3:$I$22,8,FALSE)-VLOOKUP($B31,'20Trips'!$A$3:$I$22, 9,FALSE) &gt;= (50+10)),1,0)</f>
        <v>0</v>
      </c>
      <c r="K31" s="2">
        <f>IF(AND(feasible_mat!J10=1, VLOOKUP(Recharged_Feasible_matv3!$A31,'20Trips'!$A$24:$G$26, 3,FALSE)=VLOOKUP(K$1,'20Trips'!$A$3:$I$22,3,FALSE),VLOOKUP(K$1,'20Trips'!$A$3:$I$22,8,FALSE)-VLOOKUP($B31,'20Trips'!$A$3:$I$22, 9,FALSE) &gt;= (50+10)),1,0)</f>
        <v>0</v>
      </c>
      <c r="L31" s="2">
        <f>IF(AND(feasible_mat!K10=1, VLOOKUP(Recharged_Feasible_matv3!$A31,'20Trips'!$A$24:$G$26, 3,FALSE)=VLOOKUP(L$1,'20Trips'!$A$3:$I$22,3,FALSE),VLOOKUP(L$1,'20Trips'!$A$3:$I$22,8,FALSE)-VLOOKUP($B31,'20Trips'!$A$3:$I$22, 9,FALSE) &gt;= (50+10)),1,0)</f>
        <v>1</v>
      </c>
      <c r="M31" s="2">
        <f>IF(AND(feasible_mat!L10=1, VLOOKUP(Recharged_Feasible_matv3!$A31,'20Trips'!$A$24:$G$26, 3,FALSE)=VLOOKUP(M$1,'20Trips'!$A$3:$I$22,3,FALSE),VLOOKUP(M$1,'20Trips'!$A$3:$I$22,8,FALSE)-VLOOKUP($B31,'20Trips'!$A$3:$I$22, 9,FALSE) &gt;= (50+10)),1,0)</f>
        <v>1</v>
      </c>
      <c r="N31" s="2">
        <f>IF(AND(feasible_mat!M10=1, VLOOKUP(Recharged_Feasible_matv3!$A31,'20Trips'!$A$24:$G$26, 3,FALSE)=VLOOKUP(N$1,'20Trips'!$A$3:$I$22,3,FALSE),VLOOKUP(N$1,'20Trips'!$A$3:$I$22,8,FALSE)-VLOOKUP($B31,'20Trips'!$A$3:$I$22, 9,FALSE) &gt;= (50+10)),1,0)</f>
        <v>0</v>
      </c>
      <c r="O31" s="2">
        <f>IF(AND(feasible_mat!N10=1, VLOOKUP(Recharged_Feasible_matv3!$A31,'20Trips'!$A$24:$G$26, 3,FALSE)=VLOOKUP(O$1,'20Trips'!$A$3:$I$22,3,FALSE),VLOOKUP(O$1,'20Trips'!$A$3:$I$22,8,FALSE)-VLOOKUP($B31,'20Trips'!$A$3:$I$22, 9,FALSE) &gt;= (50+10)),1,0)</f>
        <v>0</v>
      </c>
      <c r="P31" s="2">
        <f>IF(AND(feasible_mat!O10=1, VLOOKUP(Recharged_Feasible_matv3!$A31,'20Trips'!$A$24:$G$26, 3,FALSE)=VLOOKUP(P$1,'20Trips'!$A$3:$I$22,3,FALSE),VLOOKUP(P$1,'20Trips'!$A$3:$I$22,8,FALSE)-VLOOKUP($B31,'20Trips'!$A$3:$I$22, 9,FALSE) &gt;= (50+10)),1,0)</f>
        <v>0</v>
      </c>
      <c r="Q31" s="2">
        <f>IF(AND(feasible_mat!P10=1, VLOOKUP(Recharged_Feasible_matv3!$A31,'20Trips'!$A$24:$G$26, 3,FALSE)=VLOOKUP(Q$1,'20Trips'!$A$3:$I$22,3,FALSE),VLOOKUP(Q$1,'20Trips'!$A$3:$I$22,8,FALSE)-VLOOKUP($B31,'20Trips'!$A$3:$I$22, 9,FALSE) &gt;= (50+10)),1,0)</f>
        <v>0</v>
      </c>
      <c r="R31" s="2">
        <f>IF(AND(feasible_mat!Q10=1, VLOOKUP(Recharged_Feasible_matv3!$A31,'20Trips'!$A$24:$G$26, 3,FALSE)=VLOOKUP(R$1,'20Trips'!$A$3:$I$22,3,FALSE),VLOOKUP(R$1,'20Trips'!$A$3:$I$22,8,FALSE)-VLOOKUP($B31,'20Trips'!$A$3:$I$22, 9,FALSE) &gt;= (50+10)),1,0)</f>
        <v>0</v>
      </c>
      <c r="S31" s="2">
        <f>IF(AND(feasible_mat!R10=1, VLOOKUP(Recharged_Feasible_matv3!$A31,'20Trips'!$A$24:$G$26, 3,FALSE)=VLOOKUP(S$1,'20Trips'!$A$3:$I$22,3,FALSE),VLOOKUP(S$1,'20Trips'!$A$3:$I$22,8,FALSE)-VLOOKUP($B31,'20Trips'!$A$3:$I$22, 9,FALSE) &gt;= (50+10)),1,0)</f>
        <v>0</v>
      </c>
      <c r="T31" s="2">
        <f>IF(AND(feasible_mat!S10=1, VLOOKUP(Recharged_Feasible_matv3!$A31,'20Trips'!$A$24:$G$26, 3,FALSE)=VLOOKUP(T$1,'20Trips'!$A$3:$I$22,3,FALSE),VLOOKUP(T$1,'20Trips'!$A$3:$I$22,8,FALSE)-VLOOKUP($B31,'20Trips'!$A$3:$I$22, 9,FALSE) &gt;= (50+10)),1,0)</f>
        <v>0</v>
      </c>
      <c r="U31" s="2">
        <f>IF(AND(feasible_mat!T10=1, VLOOKUP(Recharged_Feasible_matv3!$A31,'20Trips'!$A$24:$G$26, 3,FALSE)=VLOOKUP(U$1,'20Trips'!$A$3:$I$22,3,FALSE),VLOOKUP(U$1,'20Trips'!$A$3:$I$22,8,FALSE)-VLOOKUP($B31,'20Trips'!$A$3:$I$22, 9,FALSE) &gt;= (50+10)),1,0)</f>
        <v>0</v>
      </c>
      <c r="V31" s="2">
        <f>IF(AND(feasible_mat!U10=1, VLOOKUP(Recharged_Feasible_matv3!$A31,'20Trips'!$A$24:$G$26, 3,FALSE)=VLOOKUP(V$1,'20Trips'!$A$3:$I$22,3,FALSE),VLOOKUP(V$1,'20Trips'!$A$3:$I$22,8,FALSE)-VLOOKUP($B31,'20Trips'!$A$3:$I$22, 9,FALSE) &gt;= (50+10)),1,0)</f>
        <v>0</v>
      </c>
      <c r="W31" s="2">
        <f>IF(AND(feasible_mat!V10=1, VLOOKUP(Recharged_Feasible_matv3!$A31,'20Trips'!$A$24:$G$26, 3,FALSE)=VLOOKUP(W$1,'20Trips'!$A$3:$I$22,3,FALSE),VLOOKUP(W$1,'20Trips'!$A$3:$I$22,8,FALSE)-VLOOKUP($B31,'20Trips'!$A$3:$I$22, 9,FALSE) &gt;= (50+10)),1,0)</f>
        <v>0</v>
      </c>
    </row>
    <row r="32" spans="1:25" x14ac:dyDescent="0.25">
      <c r="A32" t="s">
        <v>62</v>
      </c>
      <c r="B32" t="s">
        <v>22</v>
      </c>
      <c r="C32">
        <v>0</v>
      </c>
      <c r="D32" s="2">
        <f>IF(AND(feasible_mat!C11=1, VLOOKUP(Recharged_Feasible_matv3!$A32,'20Trips'!$A$24:$G$26, 3,FALSE)=VLOOKUP(D$1,'20Trips'!$A$3:$I$22,3,FALSE),VLOOKUP(D$1,'20Trips'!$A$3:$I$22,8,FALSE)-VLOOKUP($B32,'20Trips'!$A$3:$I$22, 9,FALSE) &gt;= (50+10)),1,0)</f>
        <v>0</v>
      </c>
      <c r="E32" s="2">
        <f>IF(AND(feasible_mat!D11=1, VLOOKUP(Recharged_Feasible_matv3!$A32,'20Trips'!$A$24:$G$26, 3,FALSE)=VLOOKUP(E$1,'20Trips'!$A$3:$I$22,3,FALSE),VLOOKUP(E$1,'20Trips'!$A$3:$I$22,8,FALSE)-VLOOKUP($B32,'20Trips'!$A$3:$I$22, 9,FALSE) &gt;= (50+10)),1,0)</f>
        <v>0</v>
      </c>
      <c r="F32" s="2">
        <f>IF(AND(feasible_mat!E11=1, VLOOKUP(Recharged_Feasible_matv3!$A32,'20Trips'!$A$24:$G$26, 3,FALSE)=VLOOKUP(F$1,'20Trips'!$A$3:$I$22,3,FALSE),VLOOKUP(F$1,'20Trips'!$A$3:$I$22,8,FALSE)-VLOOKUP($B32,'20Trips'!$A$3:$I$22, 9,FALSE) &gt;= (50+10)),1,0)</f>
        <v>0</v>
      </c>
      <c r="G32" s="2">
        <f>IF(AND(feasible_mat!F11=1, VLOOKUP(Recharged_Feasible_matv3!$A32,'20Trips'!$A$24:$G$26, 3,FALSE)=VLOOKUP(G$1,'20Trips'!$A$3:$I$22,3,FALSE),VLOOKUP(G$1,'20Trips'!$A$3:$I$22,8,FALSE)-VLOOKUP($B32,'20Trips'!$A$3:$I$22, 9,FALSE) &gt;= (50+10)),1,0)</f>
        <v>0</v>
      </c>
      <c r="H32" s="2">
        <f>IF(AND(feasible_mat!G11=1, VLOOKUP(Recharged_Feasible_matv3!$A32,'20Trips'!$A$24:$G$26, 3,FALSE)=VLOOKUP(H$1,'20Trips'!$A$3:$I$22,3,FALSE),VLOOKUP(H$1,'20Trips'!$A$3:$I$22,8,FALSE)-VLOOKUP($B32,'20Trips'!$A$3:$I$22, 9,FALSE) &gt;= (50+10)),1,0)</f>
        <v>0</v>
      </c>
      <c r="I32" s="2">
        <f>IF(AND(feasible_mat!H11=1, VLOOKUP(Recharged_Feasible_matv3!$A32,'20Trips'!$A$24:$G$26, 3,FALSE)=VLOOKUP(I$1,'20Trips'!$A$3:$I$22,3,FALSE),VLOOKUP(I$1,'20Trips'!$A$3:$I$22,8,FALSE)-VLOOKUP($B32,'20Trips'!$A$3:$I$22, 9,FALSE) &gt;= (50+10)),1,0)</f>
        <v>0</v>
      </c>
      <c r="J32" s="2">
        <f>IF(AND(feasible_mat!I11=1, VLOOKUP(Recharged_Feasible_matv3!$A32,'20Trips'!$A$24:$G$26, 3,FALSE)=VLOOKUP(J$1,'20Trips'!$A$3:$I$22,3,FALSE),VLOOKUP(J$1,'20Trips'!$A$3:$I$22,8,FALSE)-VLOOKUP($B32,'20Trips'!$A$3:$I$22, 9,FALSE) &gt;= (50+10)),1,0)</f>
        <v>0</v>
      </c>
      <c r="K32" s="2">
        <f>IF(AND(feasible_mat!J11=1, VLOOKUP(Recharged_Feasible_matv3!$A32,'20Trips'!$A$24:$G$26, 3,FALSE)=VLOOKUP(K$1,'20Trips'!$A$3:$I$22,3,FALSE),VLOOKUP(K$1,'20Trips'!$A$3:$I$22,8,FALSE)-VLOOKUP($B32,'20Trips'!$A$3:$I$22, 9,FALSE) &gt;= (50+10)),1,0)</f>
        <v>0</v>
      </c>
      <c r="L32" s="2">
        <f>IF(AND(feasible_mat!K11=1, VLOOKUP(Recharged_Feasible_matv3!$A32,'20Trips'!$A$24:$G$26, 3,FALSE)=VLOOKUP(L$1,'20Trips'!$A$3:$I$22,3,FALSE),VLOOKUP(L$1,'20Trips'!$A$3:$I$22,8,FALSE)-VLOOKUP($B32,'20Trips'!$A$3:$I$22, 9,FALSE) &gt;= (50+10)),1,0)</f>
        <v>0</v>
      </c>
      <c r="M32" s="2">
        <f>IF(AND(feasible_mat!L11=1, VLOOKUP(Recharged_Feasible_matv3!$A32,'20Trips'!$A$24:$G$26, 3,FALSE)=VLOOKUP(M$1,'20Trips'!$A$3:$I$22,3,FALSE),VLOOKUP(M$1,'20Trips'!$A$3:$I$22,8,FALSE)-VLOOKUP($B32,'20Trips'!$A$3:$I$22, 9,FALSE) &gt;= (50+10)),1,0)</f>
        <v>0</v>
      </c>
      <c r="N32" s="2">
        <f>IF(AND(feasible_mat!M11=1, VLOOKUP(Recharged_Feasible_matv3!$A32,'20Trips'!$A$24:$G$26, 3,FALSE)=VLOOKUP(N$1,'20Trips'!$A$3:$I$22,3,FALSE),VLOOKUP(N$1,'20Trips'!$A$3:$I$22,8,FALSE)-VLOOKUP($B32,'20Trips'!$A$3:$I$22, 9,FALSE) &gt;= (50+10)),1,0)</f>
        <v>0</v>
      </c>
      <c r="O32" s="2">
        <f>IF(AND(feasible_mat!N11=1, VLOOKUP(Recharged_Feasible_matv3!$A32,'20Trips'!$A$24:$G$26, 3,FALSE)=VLOOKUP(O$1,'20Trips'!$A$3:$I$22,3,FALSE),VLOOKUP(O$1,'20Trips'!$A$3:$I$22,8,FALSE)-VLOOKUP($B32,'20Trips'!$A$3:$I$22, 9,FALSE) &gt;= (50+10)),1,0)</f>
        <v>0</v>
      </c>
      <c r="P32" s="2">
        <f>IF(AND(feasible_mat!O11=1, VLOOKUP(Recharged_Feasible_matv3!$A32,'20Trips'!$A$24:$G$26, 3,FALSE)=VLOOKUP(P$1,'20Trips'!$A$3:$I$22,3,FALSE),VLOOKUP(P$1,'20Trips'!$A$3:$I$22,8,FALSE)-VLOOKUP($B32,'20Trips'!$A$3:$I$22, 9,FALSE) &gt;= (50+10)),1,0)</f>
        <v>0</v>
      </c>
      <c r="Q32" s="2">
        <f>IF(AND(feasible_mat!P11=1, VLOOKUP(Recharged_Feasible_matv3!$A32,'20Trips'!$A$24:$G$26, 3,FALSE)=VLOOKUP(Q$1,'20Trips'!$A$3:$I$22,3,FALSE),VLOOKUP(Q$1,'20Trips'!$A$3:$I$22,8,FALSE)-VLOOKUP($B32,'20Trips'!$A$3:$I$22, 9,FALSE) &gt;= (50+10)),1,0)</f>
        <v>0</v>
      </c>
      <c r="R32" s="2">
        <f>IF(AND(feasible_mat!Q11=1, VLOOKUP(Recharged_Feasible_matv3!$A32,'20Trips'!$A$24:$G$26, 3,FALSE)=VLOOKUP(R$1,'20Trips'!$A$3:$I$22,3,FALSE),VLOOKUP(R$1,'20Trips'!$A$3:$I$22,8,FALSE)-VLOOKUP($B32,'20Trips'!$A$3:$I$22, 9,FALSE) &gt;= (50+10)),1,0)</f>
        <v>0</v>
      </c>
      <c r="S32" s="2">
        <f>IF(AND(feasible_mat!R11=1, VLOOKUP(Recharged_Feasible_matv3!$A32,'20Trips'!$A$24:$G$26, 3,FALSE)=VLOOKUP(S$1,'20Trips'!$A$3:$I$22,3,FALSE),VLOOKUP(S$1,'20Trips'!$A$3:$I$22,8,FALSE)-VLOOKUP($B32,'20Trips'!$A$3:$I$22, 9,FALSE) &gt;= (50+10)),1,0)</f>
        <v>0</v>
      </c>
      <c r="T32" s="2">
        <f>IF(AND(feasible_mat!S11=1, VLOOKUP(Recharged_Feasible_matv3!$A32,'20Trips'!$A$24:$G$26, 3,FALSE)=VLOOKUP(T$1,'20Trips'!$A$3:$I$22,3,FALSE),VLOOKUP(T$1,'20Trips'!$A$3:$I$22,8,FALSE)-VLOOKUP($B32,'20Trips'!$A$3:$I$22, 9,FALSE) &gt;= (50+10)),1,0)</f>
        <v>0</v>
      </c>
      <c r="U32" s="2">
        <f>IF(AND(feasible_mat!T11=1, VLOOKUP(Recharged_Feasible_matv3!$A32,'20Trips'!$A$24:$G$26, 3,FALSE)=VLOOKUP(U$1,'20Trips'!$A$3:$I$22,3,FALSE),VLOOKUP(U$1,'20Trips'!$A$3:$I$22,8,FALSE)-VLOOKUP($B32,'20Trips'!$A$3:$I$22, 9,FALSE) &gt;= (50+10)),1,0)</f>
        <v>0</v>
      </c>
      <c r="V32" s="2">
        <f>IF(AND(feasible_mat!U11=1, VLOOKUP(Recharged_Feasible_matv3!$A32,'20Trips'!$A$24:$G$26, 3,FALSE)=VLOOKUP(V$1,'20Trips'!$A$3:$I$22,3,FALSE),VLOOKUP(V$1,'20Trips'!$A$3:$I$22,8,FALSE)-VLOOKUP($B32,'20Trips'!$A$3:$I$22, 9,FALSE) &gt;= (50+10)),1,0)</f>
        <v>0</v>
      </c>
      <c r="W32" s="2">
        <f>IF(AND(feasible_mat!V11=1, VLOOKUP(Recharged_Feasible_matv3!$A32,'20Trips'!$A$24:$G$26, 3,FALSE)=VLOOKUP(W$1,'20Trips'!$A$3:$I$22,3,FALSE),VLOOKUP(W$1,'20Trips'!$A$3:$I$22,8,FALSE)-VLOOKUP($B32,'20Trips'!$A$3:$I$22, 9,FALSE) &gt;= (50+10)),1,0)</f>
        <v>0</v>
      </c>
      <c r="Y32" t="e">
        <f>VLOOKUP(D$1,'20Trips'!A3:I22,8,FALSE)-VLOOKUP($A45,'20Trips'!A3:I22, 9,FALSE) &gt;= (50+10)</f>
        <v>#N/A</v>
      </c>
    </row>
    <row r="33" spans="1:25" x14ac:dyDescent="0.25">
      <c r="A33" t="s">
        <v>62</v>
      </c>
      <c r="B33" t="s">
        <v>23</v>
      </c>
      <c r="C33">
        <v>0</v>
      </c>
      <c r="D33" s="2">
        <f>IF(AND(feasible_mat!C12=1, VLOOKUP(Recharged_Feasible_matv3!$A33,'20Trips'!$A$24:$G$26, 3,FALSE)=VLOOKUP(D$1,'20Trips'!$A$3:$I$22,3,FALSE),VLOOKUP(D$1,'20Trips'!$A$3:$I$22,8,FALSE)-VLOOKUP($B33,'20Trips'!$A$3:$I$22, 9,FALSE) &gt;= (50+10)),1,0)</f>
        <v>0</v>
      </c>
      <c r="E33" s="2">
        <f>IF(AND(feasible_mat!D12=1, VLOOKUP(Recharged_Feasible_matv3!$A33,'20Trips'!$A$24:$G$26, 3,FALSE)=VLOOKUP(E$1,'20Trips'!$A$3:$I$22,3,FALSE),VLOOKUP(E$1,'20Trips'!$A$3:$I$22,8,FALSE)-VLOOKUP($B33,'20Trips'!$A$3:$I$22, 9,FALSE) &gt;= (50+10)),1,0)</f>
        <v>0</v>
      </c>
      <c r="F33" s="2">
        <f>IF(AND(feasible_mat!E12=1, VLOOKUP(Recharged_Feasible_matv3!$A33,'20Trips'!$A$24:$G$26, 3,FALSE)=VLOOKUP(F$1,'20Trips'!$A$3:$I$22,3,FALSE),VLOOKUP(F$1,'20Trips'!$A$3:$I$22,8,FALSE)-VLOOKUP($B33,'20Trips'!$A$3:$I$22, 9,FALSE) &gt;= (50+10)),1,0)</f>
        <v>0</v>
      </c>
      <c r="G33" s="2">
        <f>IF(AND(feasible_mat!F12=1, VLOOKUP(Recharged_Feasible_matv3!$A33,'20Trips'!$A$24:$G$26, 3,FALSE)=VLOOKUP(G$1,'20Trips'!$A$3:$I$22,3,FALSE),VLOOKUP(G$1,'20Trips'!$A$3:$I$22,8,FALSE)-VLOOKUP($B33,'20Trips'!$A$3:$I$22, 9,FALSE) &gt;= (50+10)),1,0)</f>
        <v>0</v>
      </c>
      <c r="H33" s="2">
        <f>IF(AND(feasible_mat!G12=1, VLOOKUP(Recharged_Feasible_matv3!$A33,'20Trips'!$A$24:$G$26, 3,FALSE)=VLOOKUP(H$1,'20Trips'!$A$3:$I$22,3,FALSE),VLOOKUP(H$1,'20Trips'!$A$3:$I$22,8,FALSE)-VLOOKUP($B33,'20Trips'!$A$3:$I$22, 9,FALSE) &gt;= (50+10)),1,0)</f>
        <v>0</v>
      </c>
      <c r="I33" s="2">
        <f>IF(AND(feasible_mat!H12=1, VLOOKUP(Recharged_Feasible_matv3!$A33,'20Trips'!$A$24:$G$26, 3,FALSE)=VLOOKUP(I$1,'20Trips'!$A$3:$I$22,3,FALSE),VLOOKUP(I$1,'20Trips'!$A$3:$I$22,8,FALSE)-VLOOKUP($B33,'20Trips'!$A$3:$I$22, 9,FALSE) &gt;= (50+10)),1,0)</f>
        <v>0</v>
      </c>
      <c r="J33" s="2">
        <f>IF(AND(feasible_mat!I12=1, VLOOKUP(Recharged_Feasible_matv3!$A33,'20Trips'!$A$24:$G$26, 3,FALSE)=VLOOKUP(J$1,'20Trips'!$A$3:$I$22,3,FALSE),VLOOKUP(J$1,'20Trips'!$A$3:$I$22,8,FALSE)-VLOOKUP($B33,'20Trips'!$A$3:$I$22, 9,FALSE) &gt;= (50+10)),1,0)</f>
        <v>0</v>
      </c>
      <c r="K33" s="2">
        <f>IF(AND(feasible_mat!J12=1, VLOOKUP(Recharged_Feasible_matv3!$A33,'20Trips'!$A$24:$G$26, 3,FALSE)=VLOOKUP(K$1,'20Trips'!$A$3:$I$22,3,FALSE),VLOOKUP(K$1,'20Trips'!$A$3:$I$22,8,FALSE)-VLOOKUP($B33,'20Trips'!$A$3:$I$22, 9,FALSE) &gt;= (50+10)),1,0)</f>
        <v>0</v>
      </c>
      <c r="L33" s="2">
        <f>IF(AND(feasible_mat!K12=1, VLOOKUP(Recharged_Feasible_matv3!$A33,'20Trips'!$A$24:$G$26, 3,FALSE)=VLOOKUP(L$1,'20Trips'!$A$3:$I$22,3,FALSE),VLOOKUP(L$1,'20Trips'!$A$3:$I$22,8,FALSE)-VLOOKUP($B33,'20Trips'!$A$3:$I$22, 9,FALSE) &gt;= (50+10)),1,0)</f>
        <v>0</v>
      </c>
      <c r="M33" s="2">
        <f>IF(AND(feasible_mat!L12=1, VLOOKUP(Recharged_Feasible_matv3!$A33,'20Trips'!$A$24:$G$26, 3,FALSE)=VLOOKUP(M$1,'20Trips'!$A$3:$I$22,3,FALSE),VLOOKUP(M$1,'20Trips'!$A$3:$I$22,8,FALSE)-VLOOKUP($B33,'20Trips'!$A$3:$I$22, 9,FALSE) &gt;= (50+10)),1,0)</f>
        <v>0</v>
      </c>
      <c r="N33" s="2">
        <f>IF(AND(feasible_mat!M12=1, VLOOKUP(Recharged_Feasible_matv3!$A33,'20Trips'!$A$24:$G$26, 3,FALSE)=VLOOKUP(N$1,'20Trips'!$A$3:$I$22,3,FALSE),VLOOKUP(N$1,'20Trips'!$A$3:$I$22,8,FALSE)-VLOOKUP($B33,'20Trips'!$A$3:$I$22, 9,FALSE) &gt;= (50+10)),1,0)</f>
        <v>0</v>
      </c>
      <c r="O33" s="2">
        <f>IF(AND(feasible_mat!N12=1, VLOOKUP(Recharged_Feasible_matv3!$A33,'20Trips'!$A$24:$G$26, 3,FALSE)=VLOOKUP(O$1,'20Trips'!$A$3:$I$22,3,FALSE),VLOOKUP(O$1,'20Trips'!$A$3:$I$22,8,FALSE)-VLOOKUP($B33,'20Trips'!$A$3:$I$22, 9,FALSE) &gt;= (50+10)),1,0)</f>
        <v>0</v>
      </c>
      <c r="P33" s="2">
        <f>IF(AND(feasible_mat!O12=1, VLOOKUP(Recharged_Feasible_matv3!$A33,'20Trips'!$A$24:$G$26, 3,FALSE)=VLOOKUP(P$1,'20Trips'!$A$3:$I$22,3,FALSE),VLOOKUP(P$1,'20Trips'!$A$3:$I$22,8,FALSE)-VLOOKUP($B33,'20Trips'!$A$3:$I$22, 9,FALSE) &gt;= (50+10)),1,0)</f>
        <v>0</v>
      </c>
      <c r="Q33" s="2">
        <f>IF(AND(feasible_mat!P12=1, VLOOKUP(Recharged_Feasible_matv3!$A33,'20Trips'!$A$24:$G$26, 3,FALSE)=VLOOKUP(Q$1,'20Trips'!$A$3:$I$22,3,FALSE),VLOOKUP(Q$1,'20Trips'!$A$3:$I$22,8,FALSE)-VLOOKUP($B33,'20Trips'!$A$3:$I$22, 9,FALSE) &gt;= (50+10)),1,0)</f>
        <v>0</v>
      </c>
      <c r="R33" s="2">
        <f>IF(AND(feasible_mat!Q12=1, VLOOKUP(Recharged_Feasible_matv3!$A33,'20Trips'!$A$24:$G$26, 3,FALSE)=VLOOKUP(R$1,'20Trips'!$A$3:$I$22,3,FALSE),VLOOKUP(R$1,'20Trips'!$A$3:$I$22,8,FALSE)-VLOOKUP($B33,'20Trips'!$A$3:$I$22, 9,FALSE) &gt;= (50+10)),1,0)</f>
        <v>0</v>
      </c>
      <c r="S33" s="2">
        <f>IF(AND(feasible_mat!R12=1, VLOOKUP(Recharged_Feasible_matv3!$A33,'20Trips'!$A$24:$G$26, 3,FALSE)=VLOOKUP(S$1,'20Trips'!$A$3:$I$22,3,FALSE),VLOOKUP(S$1,'20Trips'!$A$3:$I$22,8,FALSE)-VLOOKUP($B33,'20Trips'!$A$3:$I$22, 9,FALSE) &gt;= (50+10)),1,0)</f>
        <v>0</v>
      </c>
      <c r="T33" s="2">
        <f>IF(AND(feasible_mat!S12=1, VLOOKUP(Recharged_Feasible_matv3!$A33,'20Trips'!$A$24:$G$26, 3,FALSE)=VLOOKUP(T$1,'20Trips'!$A$3:$I$22,3,FALSE),VLOOKUP(T$1,'20Trips'!$A$3:$I$22,8,FALSE)-VLOOKUP($B33,'20Trips'!$A$3:$I$22, 9,FALSE) &gt;= (50+10)),1,0)</f>
        <v>0</v>
      </c>
      <c r="U33" s="2">
        <f>IF(AND(feasible_mat!T12=1, VLOOKUP(Recharged_Feasible_matv3!$A33,'20Trips'!$A$24:$G$26, 3,FALSE)=VLOOKUP(U$1,'20Trips'!$A$3:$I$22,3,FALSE),VLOOKUP(U$1,'20Trips'!$A$3:$I$22,8,FALSE)-VLOOKUP($B33,'20Trips'!$A$3:$I$22, 9,FALSE) &gt;= (50+10)),1,0)</f>
        <v>0</v>
      </c>
      <c r="V33" s="2">
        <f>IF(AND(feasible_mat!U12=1, VLOOKUP(Recharged_Feasible_matv3!$A33,'20Trips'!$A$24:$G$26, 3,FALSE)=VLOOKUP(V$1,'20Trips'!$A$3:$I$22,3,FALSE),VLOOKUP(V$1,'20Trips'!$A$3:$I$22,8,FALSE)-VLOOKUP($B33,'20Trips'!$A$3:$I$22, 9,FALSE) &gt;= (50+10)),1,0)</f>
        <v>0</v>
      </c>
      <c r="W33" s="2">
        <f>IF(AND(feasible_mat!V12=1, VLOOKUP(Recharged_Feasible_matv3!$A33,'20Trips'!$A$24:$G$26, 3,FALSE)=VLOOKUP(W$1,'20Trips'!$A$3:$I$22,3,FALSE),VLOOKUP(W$1,'20Trips'!$A$3:$I$22,8,FALSE)-VLOOKUP($B33,'20Trips'!$A$3:$I$22, 9,FALSE) &gt;= (50+10)),1,0)</f>
        <v>0</v>
      </c>
      <c r="Y33">
        <f>VLOOKUP(D$1,'20Trips'!A3:I22,8,FALSE)</f>
        <v>560</v>
      </c>
    </row>
    <row r="34" spans="1:25" x14ac:dyDescent="0.25">
      <c r="A34" t="s">
        <v>62</v>
      </c>
      <c r="B34" t="s">
        <v>26</v>
      </c>
      <c r="C34">
        <v>0</v>
      </c>
      <c r="D34" s="2">
        <f>IF(AND(feasible_mat!C13=1, VLOOKUP(Recharged_Feasible_matv3!$A34,'20Trips'!$A$24:$G$26, 3,FALSE)=VLOOKUP(D$1,'20Trips'!$A$3:$I$22,3,FALSE),VLOOKUP(D$1,'20Trips'!$A$3:$I$22,8,FALSE)-VLOOKUP($B34,'20Trips'!$A$3:$I$22, 9,FALSE) &gt;= (50+10)),1,0)</f>
        <v>0</v>
      </c>
      <c r="E34" s="2">
        <f>IF(AND(feasible_mat!D13=1, VLOOKUP(Recharged_Feasible_matv3!$A34,'20Trips'!$A$24:$G$26, 3,FALSE)=VLOOKUP(E$1,'20Trips'!$A$3:$I$22,3,FALSE),VLOOKUP(E$1,'20Trips'!$A$3:$I$22,8,FALSE)-VLOOKUP($B34,'20Trips'!$A$3:$I$22, 9,FALSE) &gt;= (50+10)),1,0)</f>
        <v>1</v>
      </c>
      <c r="F34" s="2">
        <f>IF(AND(feasible_mat!E13=1, VLOOKUP(Recharged_Feasible_matv3!$A34,'20Trips'!$A$24:$G$26, 3,FALSE)=VLOOKUP(F$1,'20Trips'!$A$3:$I$22,3,FALSE),VLOOKUP(F$1,'20Trips'!$A$3:$I$22,8,FALSE)-VLOOKUP($B34,'20Trips'!$A$3:$I$22, 9,FALSE) &gt;= (50+10)),1,0)</f>
        <v>1</v>
      </c>
      <c r="G34" s="2">
        <f>IF(AND(feasible_mat!F13=1, VLOOKUP(Recharged_Feasible_matv3!$A34,'20Trips'!$A$24:$G$26, 3,FALSE)=VLOOKUP(G$1,'20Trips'!$A$3:$I$22,3,FALSE),VLOOKUP(G$1,'20Trips'!$A$3:$I$22,8,FALSE)-VLOOKUP($B34,'20Trips'!$A$3:$I$22, 9,FALSE) &gt;= (50+10)),1,0)</f>
        <v>1</v>
      </c>
      <c r="H34" s="2">
        <f>IF(AND(feasible_mat!G13=1, VLOOKUP(Recharged_Feasible_matv3!$A34,'20Trips'!$A$24:$G$26, 3,FALSE)=VLOOKUP(H$1,'20Trips'!$A$3:$I$22,3,FALSE),VLOOKUP(H$1,'20Trips'!$A$3:$I$22,8,FALSE)-VLOOKUP($B34,'20Trips'!$A$3:$I$22, 9,FALSE) &gt;= (50+10)),1,0)</f>
        <v>1</v>
      </c>
      <c r="I34" s="2">
        <f>IF(AND(feasible_mat!H13=1, VLOOKUP(Recharged_Feasible_matv3!$A34,'20Trips'!$A$24:$G$26, 3,FALSE)=VLOOKUP(I$1,'20Trips'!$A$3:$I$22,3,FALSE),VLOOKUP(I$1,'20Trips'!$A$3:$I$22,8,FALSE)-VLOOKUP($B34,'20Trips'!$A$3:$I$22, 9,FALSE) &gt;= (50+10)),1,0)</f>
        <v>0</v>
      </c>
      <c r="J34" s="2">
        <f>IF(AND(feasible_mat!I13=1, VLOOKUP(Recharged_Feasible_matv3!$A34,'20Trips'!$A$24:$G$26, 3,FALSE)=VLOOKUP(J$1,'20Trips'!$A$3:$I$22,3,FALSE),VLOOKUP(J$1,'20Trips'!$A$3:$I$22,8,FALSE)-VLOOKUP($B34,'20Trips'!$A$3:$I$22, 9,FALSE) &gt;= (50+10)),1,0)</f>
        <v>0</v>
      </c>
      <c r="K34" s="2">
        <f>IF(AND(feasible_mat!J13=1, VLOOKUP(Recharged_Feasible_matv3!$A34,'20Trips'!$A$24:$G$26, 3,FALSE)=VLOOKUP(K$1,'20Trips'!$A$3:$I$22,3,FALSE),VLOOKUP(K$1,'20Trips'!$A$3:$I$22,8,FALSE)-VLOOKUP($B34,'20Trips'!$A$3:$I$22, 9,FALSE) &gt;= (50+10)),1,0)</f>
        <v>1</v>
      </c>
      <c r="L34" s="2">
        <f>IF(AND(feasible_mat!K13=1, VLOOKUP(Recharged_Feasible_matv3!$A34,'20Trips'!$A$24:$G$26, 3,FALSE)=VLOOKUP(L$1,'20Trips'!$A$3:$I$22,3,FALSE),VLOOKUP(L$1,'20Trips'!$A$3:$I$22,8,FALSE)-VLOOKUP($B34,'20Trips'!$A$3:$I$22, 9,FALSE) &gt;= (50+10)),1,0)</f>
        <v>1</v>
      </c>
      <c r="M34" s="2">
        <f>IF(AND(feasible_mat!L13=1, VLOOKUP(Recharged_Feasible_matv3!$A34,'20Trips'!$A$24:$G$26, 3,FALSE)=VLOOKUP(M$1,'20Trips'!$A$3:$I$22,3,FALSE),VLOOKUP(M$1,'20Trips'!$A$3:$I$22,8,FALSE)-VLOOKUP($B34,'20Trips'!$A$3:$I$22, 9,FALSE) &gt;= (50+10)),1,0)</f>
        <v>1</v>
      </c>
      <c r="N34" s="2">
        <f>IF(AND(feasible_mat!M13=1, VLOOKUP(Recharged_Feasible_matv3!$A34,'20Trips'!$A$24:$G$26, 3,FALSE)=VLOOKUP(N$1,'20Trips'!$A$3:$I$22,3,FALSE),VLOOKUP(N$1,'20Trips'!$A$3:$I$22,8,FALSE)-VLOOKUP($B34,'20Trips'!$A$3:$I$22, 9,FALSE) &gt;= (50+10)),1,0)</f>
        <v>0</v>
      </c>
      <c r="O34" s="2">
        <f>IF(AND(feasible_mat!N13=1, VLOOKUP(Recharged_Feasible_matv3!$A34,'20Trips'!$A$24:$G$26, 3,FALSE)=VLOOKUP(O$1,'20Trips'!$A$3:$I$22,3,FALSE),VLOOKUP(O$1,'20Trips'!$A$3:$I$22,8,FALSE)-VLOOKUP($B34,'20Trips'!$A$3:$I$22, 9,FALSE) &gt;= (50+10)),1,0)</f>
        <v>0</v>
      </c>
      <c r="P34" s="2">
        <f>IF(AND(feasible_mat!O13=1, VLOOKUP(Recharged_Feasible_matv3!$A34,'20Trips'!$A$24:$G$26, 3,FALSE)=VLOOKUP(P$1,'20Trips'!$A$3:$I$22,3,FALSE),VLOOKUP(P$1,'20Trips'!$A$3:$I$22,8,FALSE)-VLOOKUP($B34,'20Trips'!$A$3:$I$22, 9,FALSE) &gt;= (50+10)),1,0)</f>
        <v>0</v>
      </c>
      <c r="Q34" s="2">
        <f>IF(AND(feasible_mat!P13=1, VLOOKUP(Recharged_Feasible_matv3!$A34,'20Trips'!$A$24:$G$26, 3,FALSE)=VLOOKUP(Q$1,'20Trips'!$A$3:$I$22,3,FALSE),VLOOKUP(Q$1,'20Trips'!$A$3:$I$22,8,FALSE)-VLOOKUP($B34,'20Trips'!$A$3:$I$22, 9,FALSE) &gt;= (50+10)),1,0)</f>
        <v>0</v>
      </c>
      <c r="R34" s="2">
        <f>IF(AND(feasible_mat!Q13=1, VLOOKUP(Recharged_Feasible_matv3!$A34,'20Trips'!$A$24:$G$26, 3,FALSE)=VLOOKUP(R$1,'20Trips'!$A$3:$I$22,3,FALSE),VLOOKUP(R$1,'20Trips'!$A$3:$I$22,8,FALSE)-VLOOKUP($B34,'20Trips'!$A$3:$I$22, 9,FALSE) &gt;= (50+10)),1,0)</f>
        <v>0</v>
      </c>
      <c r="S34" s="2">
        <f>IF(AND(feasible_mat!R13=1, VLOOKUP(Recharged_Feasible_matv3!$A34,'20Trips'!$A$24:$G$26, 3,FALSE)=VLOOKUP(S$1,'20Trips'!$A$3:$I$22,3,FALSE),VLOOKUP(S$1,'20Trips'!$A$3:$I$22,8,FALSE)-VLOOKUP($B34,'20Trips'!$A$3:$I$22, 9,FALSE) &gt;= (50+10)),1,0)</f>
        <v>0</v>
      </c>
      <c r="T34" s="2">
        <f>IF(AND(feasible_mat!S13=1, VLOOKUP(Recharged_Feasible_matv3!$A34,'20Trips'!$A$24:$G$26, 3,FALSE)=VLOOKUP(T$1,'20Trips'!$A$3:$I$22,3,FALSE),VLOOKUP(T$1,'20Trips'!$A$3:$I$22,8,FALSE)-VLOOKUP($B34,'20Trips'!$A$3:$I$22, 9,FALSE) &gt;= (50+10)),1,0)</f>
        <v>0</v>
      </c>
      <c r="U34" s="2">
        <f>IF(AND(feasible_mat!T13=1, VLOOKUP(Recharged_Feasible_matv3!$A34,'20Trips'!$A$24:$G$26, 3,FALSE)=VLOOKUP(U$1,'20Trips'!$A$3:$I$22,3,FALSE),VLOOKUP(U$1,'20Trips'!$A$3:$I$22,8,FALSE)-VLOOKUP($B34,'20Trips'!$A$3:$I$22, 9,FALSE) &gt;= (50+10)),1,0)</f>
        <v>0</v>
      </c>
      <c r="V34" s="2">
        <f>IF(AND(feasible_mat!U13=1, VLOOKUP(Recharged_Feasible_matv3!$A34,'20Trips'!$A$24:$G$26, 3,FALSE)=VLOOKUP(V$1,'20Trips'!$A$3:$I$22,3,FALSE),VLOOKUP(V$1,'20Trips'!$A$3:$I$22,8,FALSE)-VLOOKUP($B34,'20Trips'!$A$3:$I$22, 9,FALSE) &gt;= (50+10)),1,0)</f>
        <v>0</v>
      </c>
      <c r="W34" s="2">
        <f>IF(AND(feasible_mat!V13=1, VLOOKUP(Recharged_Feasible_matv3!$A34,'20Trips'!$A$24:$G$26, 3,FALSE)=VLOOKUP(W$1,'20Trips'!$A$3:$I$22,3,FALSE),VLOOKUP(W$1,'20Trips'!$A$3:$I$22,8,FALSE)-VLOOKUP($B34,'20Trips'!$A$3:$I$22, 9,FALSE) &gt;= (50+10)),1,0)</f>
        <v>0</v>
      </c>
      <c r="Y34">
        <f>VLOOKUP($B45,'20Trips'!A3:I22, 9,FALSE)</f>
        <v>695</v>
      </c>
    </row>
    <row r="35" spans="1:25" x14ac:dyDescent="0.25">
      <c r="A35" t="s">
        <v>62</v>
      </c>
      <c r="B35" t="s">
        <v>27</v>
      </c>
      <c r="C35">
        <v>0</v>
      </c>
      <c r="D35" s="2">
        <f>IF(AND(feasible_mat!C14=1, VLOOKUP(Recharged_Feasible_matv3!$A35,'20Trips'!$A$24:$G$26, 3,FALSE)=VLOOKUP(D$1,'20Trips'!$A$3:$I$22,3,FALSE),VLOOKUP(D$1,'20Trips'!$A$3:$I$22,8,FALSE)-VLOOKUP($B35,'20Trips'!$A$3:$I$22, 9,FALSE) &gt;= (50+10)),1,0)</f>
        <v>0</v>
      </c>
      <c r="E35" s="2">
        <f>IF(AND(feasible_mat!D14=1, VLOOKUP(Recharged_Feasible_matv3!$A35,'20Trips'!$A$24:$G$26, 3,FALSE)=VLOOKUP(E$1,'20Trips'!$A$3:$I$22,3,FALSE),VLOOKUP(E$1,'20Trips'!$A$3:$I$22,8,FALSE)-VLOOKUP($B35,'20Trips'!$A$3:$I$22, 9,FALSE) &gt;= (50+10)),1,0)</f>
        <v>0</v>
      </c>
      <c r="F35" s="2">
        <f>IF(AND(feasible_mat!E14=1, VLOOKUP(Recharged_Feasible_matv3!$A35,'20Trips'!$A$24:$G$26, 3,FALSE)=VLOOKUP(F$1,'20Trips'!$A$3:$I$22,3,FALSE),VLOOKUP(F$1,'20Trips'!$A$3:$I$22,8,FALSE)-VLOOKUP($B35,'20Trips'!$A$3:$I$22, 9,FALSE) &gt;= (50+10)),1,0)</f>
        <v>1</v>
      </c>
      <c r="G35" s="2">
        <f>IF(AND(feasible_mat!F14=1, VLOOKUP(Recharged_Feasible_matv3!$A35,'20Trips'!$A$24:$G$26, 3,FALSE)=VLOOKUP(G$1,'20Trips'!$A$3:$I$22,3,FALSE),VLOOKUP(G$1,'20Trips'!$A$3:$I$22,8,FALSE)-VLOOKUP($B35,'20Trips'!$A$3:$I$22, 9,FALSE) &gt;= (50+10)),1,0)</f>
        <v>1</v>
      </c>
      <c r="H35" s="2">
        <f>IF(AND(feasible_mat!G14=1, VLOOKUP(Recharged_Feasible_matv3!$A35,'20Trips'!$A$24:$G$26, 3,FALSE)=VLOOKUP(H$1,'20Trips'!$A$3:$I$22,3,FALSE),VLOOKUP(H$1,'20Trips'!$A$3:$I$22,8,FALSE)-VLOOKUP($B35,'20Trips'!$A$3:$I$22, 9,FALSE) &gt;= (50+10)),1,0)</f>
        <v>1</v>
      </c>
      <c r="I35" s="2">
        <f>IF(AND(feasible_mat!H14=1, VLOOKUP(Recharged_Feasible_matv3!$A35,'20Trips'!$A$24:$G$26, 3,FALSE)=VLOOKUP(I$1,'20Trips'!$A$3:$I$22,3,FALSE),VLOOKUP(I$1,'20Trips'!$A$3:$I$22,8,FALSE)-VLOOKUP($B35,'20Trips'!$A$3:$I$22, 9,FALSE) &gt;= (50+10)),1,0)</f>
        <v>0</v>
      </c>
      <c r="J35" s="2">
        <f>IF(AND(feasible_mat!I14=1, VLOOKUP(Recharged_Feasible_matv3!$A35,'20Trips'!$A$24:$G$26, 3,FALSE)=VLOOKUP(J$1,'20Trips'!$A$3:$I$22,3,FALSE),VLOOKUP(J$1,'20Trips'!$A$3:$I$22,8,FALSE)-VLOOKUP($B35,'20Trips'!$A$3:$I$22, 9,FALSE) &gt;= (50+10)),1,0)</f>
        <v>0</v>
      </c>
      <c r="K35" s="2">
        <f>IF(AND(feasible_mat!J14=1, VLOOKUP(Recharged_Feasible_matv3!$A35,'20Trips'!$A$24:$G$26, 3,FALSE)=VLOOKUP(K$1,'20Trips'!$A$3:$I$22,3,FALSE),VLOOKUP(K$1,'20Trips'!$A$3:$I$22,8,FALSE)-VLOOKUP($B35,'20Trips'!$A$3:$I$22, 9,FALSE) &gt;= (50+10)),1,0)</f>
        <v>0</v>
      </c>
      <c r="L35" s="2">
        <f>IF(AND(feasible_mat!K14=1, VLOOKUP(Recharged_Feasible_matv3!$A35,'20Trips'!$A$24:$G$26, 3,FALSE)=VLOOKUP(L$1,'20Trips'!$A$3:$I$22,3,FALSE),VLOOKUP(L$1,'20Trips'!$A$3:$I$22,8,FALSE)-VLOOKUP($B35,'20Trips'!$A$3:$I$22, 9,FALSE) &gt;= (50+10)),1,0)</f>
        <v>1</v>
      </c>
      <c r="M35" s="2">
        <f>IF(AND(feasible_mat!L14=1, VLOOKUP(Recharged_Feasible_matv3!$A35,'20Trips'!$A$24:$G$26, 3,FALSE)=VLOOKUP(M$1,'20Trips'!$A$3:$I$22,3,FALSE),VLOOKUP(M$1,'20Trips'!$A$3:$I$22,8,FALSE)-VLOOKUP($B35,'20Trips'!$A$3:$I$22, 9,FALSE) &gt;= (50+10)),1,0)</f>
        <v>1</v>
      </c>
      <c r="N35" s="2">
        <f>IF(AND(feasible_mat!M14=1, VLOOKUP(Recharged_Feasible_matv3!$A35,'20Trips'!$A$24:$G$26, 3,FALSE)=VLOOKUP(N$1,'20Trips'!$A$3:$I$22,3,FALSE),VLOOKUP(N$1,'20Trips'!$A$3:$I$22,8,FALSE)-VLOOKUP($B35,'20Trips'!$A$3:$I$22, 9,FALSE) &gt;= (50+10)),1,0)</f>
        <v>0</v>
      </c>
      <c r="O35" s="2">
        <f>IF(AND(feasible_mat!N14=1, VLOOKUP(Recharged_Feasible_matv3!$A35,'20Trips'!$A$24:$G$26, 3,FALSE)=VLOOKUP(O$1,'20Trips'!$A$3:$I$22,3,FALSE),VLOOKUP(O$1,'20Trips'!$A$3:$I$22,8,FALSE)-VLOOKUP($B35,'20Trips'!$A$3:$I$22, 9,FALSE) &gt;= (50+10)),1,0)</f>
        <v>0</v>
      </c>
      <c r="P35" s="2">
        <f>IF(AND(feasible_mat!O14=1, VLOOKUP(Recharged_Feasible_matv3!$A35,'20Trips'!$A$24:$G$26, 3,FALSE)=VLOOKUP(P$1,'20Trips'!$A$3:$I$22,3,FALSE),VLOOKUP(P$1,'20Trips'!$A$3:$I$22,8,FALSE)-VLOOKUP($B35,'20Trips'!$A$3:$I$22, 9,FALSE) &gt;= (50+10)),1,0)</f>
        <v>0</v>
      </c>
      <c r="Q35" s="2">
        <f>IF(AND(feasible_mat!P14=1, VLOOKUP(Recharged_Feasible_matv3!$A35,'20Trips'!$A$24:$G$26, 3,FALSE)=VLOOKUP(Q$1,'20Trips'!$A$3:$I$22,3,FALSE),VLOOKUP(Q$1,'20Trips'!$A$3:$I$22,8,FALSE)-VLOOKUP($B35,'20Trips'!$A$3:$I$22, 9,FALSE) &gt;= (50+10)),1,0)</f>
        <v>0</v>
      </c>
      <c r="R35" s="2">
        <f>IF(AND(feasible_mat!Q14=1, VLOOKUP(Recharged_Feasible_matv3!$A35,'20Trips'!$A$24:$G$26, 3,FALSE)=VLOOKUP(R$1,'20Trips'!$A$3:$I$22,3,FALSE),VLOOKUP(R$1,'20Trips'!$A$3:$I$22,8,FALSE)-VLOOKUP($B35,'20Trips'!$A$3:$I$22, 9,FALSE) &gt;= (50+10)),1,0)</f>
        <v>0</v>
      </c>
      <c r="S35" s="2">
        <f>IF(AND(feasible_mat!R14=1, VLOOKUP(Recharged_Feasible_matv3!$A35,'20Trips'!$A$24:$G$26, 3,FALSE)=VLOOKUP(S$1,'20Trips'!$A$3:$I$22,3,FALSE),VLOOKUP(S$1,'20Trips'!$A$3:$I$22,8,FALSE)-VLOOKUP($B35,'20Trips'!$A$3:$I$22, 9,FALSE) &gt;= (50+10)),1,0)</f>
        <v>0</v>
      </c>
      <c r="T35" s="2">
        <f>IF(AND(feasible_mat!S14=1, VLOOKUP(Recharged_Feasible_matv3!$A35,'20Trips'!$A$24:$G$26, 3,FALSE)=VLOOKUP(T$1,'20Trips'!$A$3:$I$22,3,FALSE),VLOOKUP(T$1,'20Trips'!$A$3:$I$22,8,FALSE)-VLOOKUP($B35,'20Trips'!$A$3:$I$22, 9,FALSE) &gt;= (50+10)),1,0)</f>
        <v>0</v>
      </c>
      <c r="U35" s="2">
        <f>IF(AND(feasible_mat!T14=1, VLOOKUP(Recharged_Feasible_matv3!$A35,'20Trips'!$A$24:$G$26, 3,FALSE)=VLOOKUP(U$1,'20Trips'!$A$3:$I$22,3,FALSE),VLOOKUP(U$1,'20Trips'!$A$3:$I$22,8,FALSE)-VLOOKUP($B35,'20Trips'!$A$3:$I$22, 9,FALSE) &gt;= (50+10)),1,0)</f>
        <v>0</v>
      </c>
      <c r="V35" s="2">
        <f>IF(AND(feasible_mat!U14=1, VLOOKUP(Recharged_Feasible_matv3!$A35,'20Trips'!$A$24:$G$26, 3,FALSE)=VLOOKUP(V$1,'20Trips'!$A$3:$I$22,3,FALSE),VLOOKUP(V$1,'20Trips'!$A$3:$I$22,8,FALSE)-VLOOKUP($B35,'20Trips'!$A$3:$I$22, 9,FALSE) &gt;= (50+10)),1,0)</f>
        <v>0</v>
      </c>
      <c r="W35" s="2">
        <f>IF(AND(feasible_mat!V14=1, VLOOKUP(Recharged_Feasible_matv3!$A35,'20Trips'!$A$24:$G$26, 3,FALSE)=VLOOKUP(W$1,'20Trips'!$A$3:$I$22,3,FALSE),VLOOKUP(W$1,'20Trips'!$A$3:$I$22,8,FALSE)-VLOOKUP($B35,'20Trips'!$A$3:$I$22, 9,FALSE) &gt;= (50+10)),1,0)</f>
        <v>0</v>
      </c>
    </row>
    <row r="36" spans="1:25" x14ac:dyDescent="0.25">
      <c r="A36" t="s">
        <v>62</v>
      </c>
      <c r="B36" t="s">
        <v>28</v>
      </c>
      <c r="C36">
        <v>0</v>
      </c>
      <c r="D36" s="2">
        <f>IF(AND(feasible_mat!C15=1, VLOOKUP(Recharged_Feasible_matv3!$A36,'20Trips'!$A$24:$G$26, 3,FALSE)=VLOOKUP(D$1,'20Trips'!$A$3:$I$22,3,FALSE),VLOOKUP(D$1,'20Trips'!$A$3:$I$22,8,FALSE)-VLOOKUP($B36,'20Trips'!$A$3:$I$22, 9,FALSE) &gt;= (50+10)),1,0)</f>
        <v>0</v>
      </c>
      <c r="E36" s="2">
        <f>IF(AND(feasible_mat!D15=1, VLOOKUP(Recharged_Feasible_matv3!$A36,'20Trips'!$A$24:$G$26, 3,FALSE)=VLOOKUP(E$1,'20Trips'!$A$3:$I$22,3,FALSE),VLOOKUP(E$1,'20Trips'!$A$3:$I$22,8,FALSE)-VLOOKUP($B36,'20Trips'!$A$3:$I$22, 9,FALSE) &gt;= (50+10)),1,0)</f>
        <v>0</v>
      </c>
      <c r="F36" s="2">
        <f>IF(AND(feasible_mat!E15=1, VLOOKUP(Recharged_Feasible_matv3!$A36,'20Trips'!$A$24:$G$26, 3,FALSE)=VLOOKUP(F$1,'20Trips'!$A$3:$I$22,3,FALSE),VLOOKUP(F$1,'20Trips'!$A$3:$I$22,8,FALSE)-VLOOKUP($B36,'20Trips'!$A$3:$I$22, 9,FALSE) &gt;= (50+10)),1,0)</f>
        <v>0</v>
      </c>
      <c r="G36" s="2">
        <f>IF(AND(feasible_mat!F15=1, VLOOKUP(Recharged_Feasible_matv3!$A36,'20Trips'!$A$24:$G$26, 3,FALSE)=VLOOKUP(G$1,'20Trips'!$A$3:$I$22,3,FALSE),VLOOKUP(G$1,'20Trips'!$A$3:$I$22,8,FALSE)-VLOOKUP($B36,'20Trips'!$A$3:$I$22, 9,FALSE) &gt;= (50+10)),1,0)</f>
        <v>1</v>
      </c>
      <c r="H36" s="2">
        <f>IF(AND(feasible_mat!G15=1, VLOOKUP(Recharged_Feasible_matv3!$A36,'20Trips'!$A$24:$G$26, 3,FALSE)=VLOOKUP(H$1,'20Trips'!$A$3:$I$22,3,FALSE),VLOOKUP(H$1,'20Trips'!$A$3:$I$22,8,FALSE)-VLOOKUP($B36,'20Trips'!$A$3:$I$22, 9,FALSE) &gt;= (50+10)),1,0)</f>
        <v>1</v>
      </c>
      <c r="I36" s="2">
        <f>IF(AND(feasible_mat!H15=1, VLOOKUP(Recharged_Feasible_matv3!$A36,'20Trips'!$A$24:$G$26, 3,FALSE)=VLOOKUP(I$1,'20Trips'!$A$3:$I$22,3,FALSE),VLOOKUP(I$1,'20Trips'!$A$3:$I$22,8,FALSE)-VLOOKUP($B36,'20Trips'!$A$3:$I$22, 9,FALSE) &gt;= (50+10)),1,0)</f>
        <v>0</v>
      </c>
      <c r="J36" s="2">
        <f>IF(AND(feasible_mat!I15=1, VLOOKUP(Recharged_Feasible_matv3!$A36,'20Trips'!$A$24:$G$26, 3,FALSE)=VLOOKUP(J$1,'20Trips'!$A$3:$I$22,3,FALSE),VLOOKUP(J$1,'20Trips'!$A$3:$I$22,8,FALSE)-VLOOKUP($B36,'20Trips'!$A$3:$I$22, 9,FALSE) &gt;= (50+10)),1,0)</f>
        <v>0</v>
      </c>
      <c r="K36" s="2">
        <f>IF(AND(feasible_mat!J15=1, VLOOKUP(Recharged_Feasible_matv3!$A36,'20Trips'!$A$24:$G$26, 3,FALSE)=VLOOKUP(K$1,'20Trips'!$A$3:$I$22,3,FALSE),VLOOKUP(K$1,'20Trips'!$A$3:$I$22,8,FALSE)-VLOOKUP($B36,'20Trips'!$A$3:$I$22, 9,FALSE) &gt;= (50+10)),1,0)</f>
        <v>0</v>
      </c>
      <c r="L36" s="2">
        <f>IF(AND(feasible_mat!K15=1, VLOOKUP(Recharged_Feasible_matv3!$A36,'20Trips'!$A$24:$G$26, 3,FALSE)=VLOOKUP(L$1,'20Trips'!$A$3:$I$22,3,FALSE),VLOOKUP(L$1,'20Trips'!$A$3:$I$22,8,FALSE)-VLOOKUP($B36,'20Trips'!$A$3:$I$22, 9,FALSE) &gt;= (50+10)),1,0)</f>
        <v>1</v>
      </c>
      <c r="M36" s="2">
        <f>IF(AND(feasible_mat!L15=1, VLOOKUP(Recharged_Feasible_matv3!$A36,'20Trips'!$A$24:$G$26, 3,FALSE)=VLOOKUP(M$1,'20Trips'!$A$3:$I$22,3,FALSE),VLOOKUP(M$1,'20Trips'!$A$3:$I$22,8,FALSE)-VLOOKUP($B36,'20Trips'!$A$3:$I$22, 9,FALSE) &gt;= (50+10)),1,0)</f>
        <v>1</v>
      </c>
      <c r="N36" s="2">
        <f>IF(AND(feasible_mat!M15=1, VLOOKUP(Recharged_Feasible_matv3!$A36,'20Trips'!$A$24:$G$26, 3,FALSE)=VLOOKUP(N$1,'20Trips'!$A$3:$I$22,3,FALSE),VLOOKUP(N$1,'20Trips'!$A$3:$I$22,8,FALSE)-VLOOKUP($B36,'20Trips'!$A$3:$I$22, 9,FALSE) &gt;= (50+10)),1,0)</f>
        <v>0</v>
      </c>
      <c r="O36" s="2">
        <f>IF(AND(feasible_mat!N15=1, VLOOKUP(Recharged_Feasible_matv3!$A36,'20Trips'!$A$24:$G$26, 3,FALSE)=VLOOKUP(O$1,'20Trips'!$A$3:$I$22,3,FALSE),VLOOKUP(O$1,'20Trips'!$A$3:$I$22,8,FALSE)-VLOOKUP($B36,'20Trips'!$A$3:$I$22, 9,FALSE) &gt;= (50+10)),1,0)</f>
        <v>0</v>
      </c>
      <c r="P36" s="2">
        <f>IF(AND(feasible_mat!O15=1, VLOOKUP(Recharged_Feasible_matv3!$A36,'20Trips'!$A$24:$G$26, 3,FALSE)=VLOOKUP(P$1,'20Trips'!$A$3:$I$22,3,FALSE),VLOOKUP(P$1,'20Trips'!$A$3:$I$22,8,FALSE)-VLOOKUP($B36,'20Trips'!$A$3:$I$22, 9,FALSE) &gt;= (50+10)),1,0)</f>
        <v>0</v>
      </c>
      <c r="Q36" s="2">
        <f>IF(AND(feasible_mat!P15=1, VLOOKUP(Recharged_Feasible_matv3!$A36,'20Trips'!$A$24:$G$26, 3,FALSE)=VLOOKUP(Q$1,'20Trips'!$A$3:$I$22,3,FALSE),VLOOKUP(Q$1,'20Trips'!$A$3:$I$22,8,FALSE)-VLOOKUP($B36,'20Trips'!$A$3:$I$22, 9,FALSE) &gt;= (50+10)),1,0)</f>
        <v>0</v>
      </c>
      <c r="R36" s="2">
        <f>IF(AND(feasible_mat!Q15=1, VLOOKUP(Recharged_Feasible_matv3!$A36,'20Trips'!$A$24:$G$26, 3,FALSE)=VLOOKUP(R$1,'20Trips'!$A$3:$I$22,3,FALSE),VLOOKUP(R$1,'20Trips'!$A$3:$I$22,8,FALSE)-VLOOKUP($B36,'20Trips'!$A$3:$I$22, 9,FALSE) &gt;= (50+10)),1,0)</f>
        <v>0</v>
      </c>
      <c r="S36" s="2">
        <f>IF(AND(feasible_mat!R15=1, VLOOKUP(Recharged_Feasible_matv3!$A36,'20Trips'!$A$24:$G$26, 3,FALSE)=VLOOKUP(S$1,'20Trips'!$A$3:$I$22,3,FALSE),VLOOKUP(S$1,'20Trips'!$A$3:$I$22,8,FALSE)-VLOOKUP($B36,'20Trips'!$A$3:$I$22, 9,FALSE) &gt;= (50+10)),1,0)</f>
        <v>0</v>
      </c>
      <c r="T36" s="2">
        <f>IF(AND(feasible_mat!S15=1, VLOOKUP(Recharged_Feasible_matv3!$A36,'20Trips'!$A$24:$G$26, 3,FALSE)=VLOOKUP(T$1,'20Trips'!$A$3:$I$22,3,FALSE),VLOOKUP(T$1,'20Trips'!$A$3:$I$22,8,FALSE)-VLOOKUP($B36,'20Trips'!$A$3:$I$22, 9,FALSE) &gt;= (50+10)),1,0)</f>
        <v>0</v>
      </c>
      <c r="U36" s="2">
        <f>IF(AND(feasible_mat!T15=1, VLOOKUP(Recharged_Feasible_matv3!$A36,'20Trips'!$A$24:$G$26, 3,FALSE)=VLOOKUP(U$1,'20Trips'!$A$3:$I$22,3,FALSE),VLOOKUP(U$1,'20Trips'!$A$3:$I$22,8,FALSE)-VLOOKUP($B36,'20Trips'!$A$3:$I$22, 9,FALSE) &gt;= (50+10)),1,0)</f>
        <v>0</v>
      </c>
      <c r="V36" s="2">
        <f>IF(AND(feasible_mat!U15=1, VLOOKUP(Recharged_Feasible_matv3!$A36,'20Trips'!$A$24:$G$26, 3,FALSE)=VLOOKUP(V$1,'20Trips'!$A$3:$I$22,3,FALSE),VLOOKUP(V$1,'20Trips'!$A$3:$I$22,8,FALSE)-VLOOKUP($B36,'20Trips'!$A$3:$I$22, 9,FALSE) &gt;= (50+10)),1,0)</f>
        <v>0</v>
      </c>
      <c r="W36" s="2">
        <f>IF(AND(feasible_mat!V15=1, VLOOKUP(Recharged_Feasible_matv3!$A36,'20Trips'!$A$24:$G$26, 3,FALSE)=VLOOKUP(W$1,'20Trips'!$A$3:$I$22,3,FALSE),VLOOKUP(W$1,'20Trips'!$A$3:$I$22,8,FALSE)-VLOOKUP($B36,'20Trips'!$A$3:$I$22, 9,FALSE) &gt;= (50+10)),1,0)</f>
        <v>0</v>
      </c>
    </row>
    <row r="37" spans="1:25" x14ac:dyDescent="0.25">
      <c r="A37" t="s">
        <v>62</v>
      </c>
      <c r="B37" t="s">
        <v>29</v>
      </c>
      <c r="C37">
        <v>0</v>
      </c>
      <c r="D37" s="2">
        <f>IF(AND(feasible_mat!C16=1, VLOOKUP(Recharged_Feasible_matv3!$A37,'20Trips'!$A$24:$G$26, 3,FALSE)=VLOOKUP(D$1,'20Trips'!$A$3:$I$22,3,FALSE),VLOOKUP(D$1,'20Trips'!$A$3:$I$22,8,FALSE)-VLOOKUP($B37,'20Trips'!$A$3:$I$22, 9,FALSE) &gt;= (50+10)),1,0)</f>
        <v>0</v>
      </c>
      <c r="E37" s="2">
        <f>IF(AND(feasible_mat!D16=1, VLOOKUP(Recharged_Feasible_matv3!$A37,'20Trips'!$A$24:$G$26, 3,FALSE)=VLOOKUP(E$1,'20Trips'!$A$3:$I$22,3,FALSE),VLOOKUP(E$1,'20Trips'!$A$3:$I$22,8,FALSE)-VLOOKUP($B37,'20Trips'!$A$3:$I$22, 9,FALSE) &gt;= (50+10)),1,0)</f>
        <v>0</v>
      </c>
      <c r="F37" s="2">
        <f>IF(AND(feasible_mat!E16=1, VLOOKUP(Recharged_Feasible_matv3!$A37,'20Trips'!$A$24:$G$26, 3,FALSE)=VLOOKUP(F$1,'20Trips'!$A$3:$I$22,3,FALSE),VLOOKUP(F$1,'20Trips'!$A$3:$I$22,8,FALSE)-VLOOKUP($B37,'20Trips'!$A$3:$I$22, 9,FALSE) &gt;= (50+10)),1,0)</f>
        <v>0</v>
      </c>
      <c r="G37" s="2">
        <f>IF(AND(feasible_mat!F16=1, VLOOKUP(Recharged_Feasible_matv3!$A37,'20Trips'!$A$24:$G$26, 3,FALSE)=VLOOKUP(G$1,'20Trips'!$A$3:$I$22,3,FALSE),VLOOKUP(G$1,'20Trips'!$A$3:$I$22,8,FALSE)-VLOOKUP($B37,'20Trips'!$A$3:$I$22, 9,FALSE) &gt;= (50+10)),1,0)</f>
        <v>0</v>
      </c>
      <c r="H37" s="2">
        <f>IF(AND(feasible_mat!G16=1, VLOOKUP(Recharged_Feasible_matv3!$A37,'20Trips'!$A$24:$G$26, 3,FALSE)=VLOOKUP(H$1,'20Trips'!$A$3:$I$22,3,FALSE),VLOOKUP(H$1,'20Trips'!$A$3:$I$22,8,FALSE)-VLOOKUP($B37,'20Trips'!$A$3:$I$22, 9,FALSE) &gt;= (50+10)),1,0)</f>
        <v>0</v>
      </c>
      <c r="I37" s="2">
        <f>IF(AND(feasible_mat!H16=1, VLOOKUP(Recharged_Feasible_matv3!$A37,'20Trips'!$A$24:$G$26, 3,FALSE)=VLOOKUP(I$1,'20Trips'!$A$3:$I$22,3,FALSE),VLOOKUP(I$1,'20Trips'!$A$3:$I$22,8,FALSE)-VLOOKUP($B37,'20Trips'!$A$3:$I$22, 9,FALSE) &gt;= (50+10)),1,0)</f>
        <v>0</v>
      </c>
      <c r="J37" s="2">
        <f>IF(AND(feasible_mat!I16=1, VLOOKUP(Recharged_Feasible_matv3!$A37,'20Trips'!$A$24:$G$26, 3,FALSE)=VLOOKUP(J$1,'20Trips'!$A$3:$I$22,3,FALSE),VLOOKUP(J$1,'20Trips'!$A$3:$I$22,8,FALSE)-VLOOKUP($B37,'20Trips'!$A$3:$I$22, 9,FALSE) &gt;= (50+10)),1,0)</f>
        <v>0</v>
      </c>
      <c r="K37" s="2">
        <f>IF(AND(feasible_mat!J16=1, VLOOKUP(Recharged_Feasible_matv3!$A37,'20Trips'!$A$24:$G$26, 3,FALSE)=VLOOKUP(K$1,'20Trips'!$A$3:$I$22,3,FALSE),VLOOKUP(K$1,'20Trips'!$A$3:$I$22,8,FALSE)-VLOOKUP($B37,'20Trips'!$A$3:$I$22, 9,FALSE) &gt;= (50+10)),1,0)</f>
        <v>0</v>
      </c>
      <c r="L37" s="2">
        <f>IF(AND(feasible_mat!K16=1, VLOOKUP(Recharged_Feasible_matv3!$A37,'20Trips'!$A$24:$G$26, 3,FALSE)=VLOOKUP(L$1,'20Trips'!$A$3:$I$22,3,FALSE),VLOOKUP(L$1,'20Trips'!$A$3:$I$22,8,FALSE)-VLOOKUP($B37,'20Trips'!$A$3:$I$22, 9,FALSE) &gt;= (50+10)),1,0)</f>
        <v>1</v>
      </c>
      <c r="M37" s="2">
        <f>IF(AND(feasible_mat!L16=1, VLOOKUP(Recharged_Feasible_matv3!$A37,'20Trips'!$A$24:$G$26, 3,FALSE)=VLOOKUP(M$1,'20Trips'!$A$3:$I$22,3,FALSE),VLOOKUP(M$1,'20Trips'!$A$3:$I$22,8,FALSE)-VLOOKUP($B37,'20Trips'!$A$3:$I$22, 9,FALSE) &gt;= (50+10)),1,0)</f>
        <v>1</v>
      </c>
      <c r="N37" s="2">
        <f>IF(AND(feasible_mat!M16=1, VLOOKUP(Recharged_Feasible_matv3!$A37,'20Trips'!$A$24:$G$26, 3,FALSE)=VLOOKUP(N$1,'20Trips'!$A$3:$I$22,3,FALSE),VLOOKUP(N$1,'20Trips'!$A$3:$I$22,8,FALSE)-VLOOKUP($B37,'20Trips'!$A$3:$I$22, 9,FALSE) &gt;= (50+10)),1,0)</f>
        <v>0</v>
      </c>
      <c r="O37" s="2">
        <f>IF(AND(feasible_mat!N16=1, VLOOKUP(Recharged_Feasible_matv3!$A37,'20Trips'!$A$24:$G$26, 3,FALSE)=VLOOKUP(O$1,'20Trips'!$A$3:$I$22,3,FALSE),VLOOKUP(O$1,'20Trips'!$A$3:$I$22,8,FALSE)-VLOOKUP($B37,'20Trips'!$A$3:$I$22, 9,FALSE) &gt;= (50+10)),1,0)</f>
        <v>0</v>
      </c>
      <c r="P37" s="2">
        <f>IF(AND(feasible_mat!O16=1, VLOOKUP(Recharged_Feasible_matv3!$A37,'20Trips'!$A$24:$G$26, 3,FALSE)=VLOOKUP(P$1,'20Trips'!$A$3:$I$22,3,FALSE),VLOOKUP(P$1,'20Trips'!$A$3:$I$22,8,FALSE)-VLOOKUP($B37,'20Trips'!$A$3:$I$22, 9,FALSE) &gt;= (50+10)),1,0)</f>
        <v>0</v>
      </c>
      <c r="Q37" s="2">
        <f>IF(AND(feasible_mat!P16=1, VLOOKUP(Recharged_Feasible_matv3!$A37,'20Trips'!$A$24:$G$26, 3,FALSE)=VLOOKUP(Q$1,'20Trips'!$A$3:$I$22,3,FALSE),VLOOKUP(Q$1,'20Trips'!$A$3:$I$22,8,FALSE)-VLOOKUP($B37,'20Trips'!$A$3:$I$22, 9,FALSE) &gt;= (50+10)),1,0)</f>
        <v>0</v>
      </c>
      <c r="R37" s="2">
        <f>IF(AND(feasible_mat!Q16=1, VLOOKUP(Recharged_Feasible_matv3!$A37,'20Trips'!$A$24:$G$26, 3,FALSE)=VLOOKUP(R$1,'20Trips'!$A$3:$I$22,3,FALSE),VLOOKUP(R$1,'20Trips'!$A$3:$I$22,8,FALSE)-VLOOKUP($B37,'20Trips'!$A$3:$I$22, 9,FALSE) &gt;= (50+10)),1,0)</f>
        <v>0</v>
      </c>
      <c r="S37" s="2">
        <f>IF(AND(feasible_mat!R16=1, VLOOKUP(Recharged_Feasible_matv3!$A37,'20Trips'!$A$24:$G$26, 3,FALSE)=VLOOKUP(S$1,'20Trips'!$A$3:$I$22,3,FALSE),VLOOKUP(S$1,'20Trips'!$A$3:$I$22,8,FALSE)-VLOOKUP($B37,'20Trips'!$A$3:$I$22, 9,FALSE) &gt;= (50+10)),1,0)</f>
        <v>0</v>
      </c>
      <c r="T37" s="2">
        <f>IF(AND(feasible_mat!S16=1, VLOOKUP(Recharged_Feasible_matv3!$A37,'20Trips'!$A$24:$G$26, 3,FALSE)=VLOOKUP(T$1,'20Trips'!$A$3:$I$22,3,FALSE),VLOOKUP(T$1,'20Trips'!$A$3:$I$22,8,FALSE)-VLOOKUP($B37,'20Trips'!$A$3:$I$22, 9,FALSE) &gt;= (50+10)),1,0)</f>
        <v>0</v>
      </c>
      <c r="U37" s="2">
        <f>IF(AND(feasible_mat!T16=1, VLOOKUP(Recharged_Feasible_matv3!$A37,'20Trips'!$A$24:$G$26, 3,FALSE)=VLOOKUP(U$1,'20Trips'!$A$3:$I$22,3,FALSE),VLOOKUP(U$1,'20Trips'!$A$3:$I$22,8,FALSE)-VLOOKUP($B37,'20Trips'!$A$3:$I$22, 9,FALSE) &gt;= (50+10)),1,0)</f>
        <v>0</v>
      </c>
      <c r="V37" s="2">
        <f>IF(AND(feasible_mat!U16=1, VLOOKUP(Recharged_Feasible_matv3!$A37,'20Trips'!$A$24:$G$26, 3,FALSE)=VLOOKUP(V$1,'20Trips'!$A$3:$I$22,3,FALSE),VLOOKUP(V$1,'20Trips'!$A$3:$I$22,8,FALSE)-VLOOKUP($B37,'20Trips'!$A$3:$I$22, 9,FALSE) &gt;= (50+10)),1,0)</f>
        <v>0</v>
      </c>
      <c r="W37" s="2">
        <f>IF(AND(feasible_mat!V16=1, VLOOKUP(Recharged_Feasible_matv3!$A37,'20Trips'!$A$24:$G$26, 3,FALSE)=VLOOKUP(W$1,'20Trips'!$A$3:$I$22,3,FALSE),VLOOKUP(W$1,'20Trips'!$A$3:$I$22,8,FALSE)-VLOOKUP($B37,'20Trips'!$A$3:$I$22, 9,FALSE) &gt;= (50+10)),1,0)</f>
        <v>0</v>
      </c>
    </row>
    <row r="38" spans="1:25" x14ac:dyDescent="0.25">
      <c r="A38" t="s">
        <v>62</v>
      </c>
      <c r="B38" t="s">
        <v>30</v>
      </c>
      <c r="C38">
        <v>0</v>
      </c>
      <c r="D38" s="2">
        <f>IF(AND(feasible_mat!C17=1, VLOOKUP(Recharged_Feasible_matv3!$A38,'20Trips'!$A$24:$G$26, 3,FALSE)=VLOOKUP(D$1,'20Trips'!$A$3:$I$22,3,FALSE),VLOOKUP(D$1,'20Trips'!$A$3:$I$22,8,FALSE)-VLOOKUP($B38,'20Trips'!$A$3:$I$22, 9,FALSE) &gt;= (50+10)),1,0)</f>
        <v>0</v>
      </c>
      <c r="E38" s="2">
        <f>IF(AND(feasible_mat!D17=1, VLOOKUP(Recharged_Feasible_matv3!$A38,'20Trips'!$A$24:$G$26, 3,FALSE)=VLOOKUP(E$1,'20Trips'!$A$3:$I$22,3,FALSE),VLOOKUP(E$1,'20Trips'!$A$3:$I$22,8,FALSE)-VLOOKUP($B38,'20Trips'!$A$3:$I$22, 9,FALSE) &gt;= (50+10)),1,0)</f>
        <v>0</v>
      </c>
      <c r="F38" s="2">
        <f>IF(AND(feasible_mat!E17=1, VLOOKUP(Recharged_Feasible_matv3!$A38,'20Trips'!$A$24:$G$26, 3,FALSE)=VLOOKUP(F$1,'20Trips'!$A$3:$I$22,3,FALSE),VLOOKUP(F$1,'20Trips'!$A$3:$I$22,8,FALSE)-VLOOKUP($B38,'20Trips'!$A$3:$I$22, 9,FALSE) &gt;= (50+10)),1,0)</f>
        <v>0</v>
      </c>
      <c r="G38" s="2">
        <f>IF(AND(feasible_mat!F17=1, VLOOKUP(Recharged_Feasible_matv3!$A38,'20Trips'!$A$24:$G$26, 3,FALSE)=VLOOKUP(G$1,'20Trips'!$A$3:$I$22,3,FALSE),VLOOKUP(G$1,'20Trips'!$A$3:$I$22,8,FALSE)-VLOOKUP($B38,'20Trips'!$A$3:$I$22, 9,FALSE) &gt;= (50+10)),1,0)</f>
        <v>0</v>
      </c>
      <c r="H38" s="2">
        <f>IF(AND(feasible_mat!G17=1, VLOOKUP(Recharged_Feasible_matv3!$A38,'20Trips'!$A$24:$G$26, 3,FALSE)=VLOOKUP(H$1,'20Trips'!$A$3:$I$22,3,FALSE),VLOOKUP(H$1,'20Trips'!$A$3:$I$22,8,FALSE)-VLOOKUP($B38,'20Trips'!$A$3:$I$22, 9,FALSE) &gt;= (50+10)),1,0)</f>
        <v>0</v>
      </c>
      <c r="I38" s="2">
        <f>IF(AND(feasible_mat!H17=1, VLOOKUP(Recharged_Feasible_matv3!$A38,'20Trips'!$A$24:$G$26, 3,FALSE)=VLOOKUP(I$1,'20Trips'!$A$3:$I$22,3,FALSE),VLOOKUP(I$1,'20Trips'!$A$3:$I$22,8,FALSE)-VLOOKUP($B38,'20Trips'!$A$3:$I$22, 9,FALSE) &gt;= (50+10)),1,0)</f>
        <v>0</v>
      </c>
      <c r="J38" s="2">
        <f>IF(AND(feasible_mat!I17=1, VLOOKUP(Recharged_Feasible_matv3!$A38,'20Trips'!$A$24:$G$26, 3,FALSE)=VLOOKUP(J$1,'20Trips'!$A$3:$I$22,3,FALSE),VLOOKUP(J$1,'20Trips'!$A$3:$I$22,8,FALSE)-VLOOKUP($B38,'20Trips'!$A$3:$I$22, 9,FALSE) &gt;= (50+10)),1,0)</f>
        <v>0</v>
      </c>
      <c r="K38" s="2">
        <f>IF(AND(feasible_mat!J17=1, VLOOKUP(Recharged_Feasible_matv3!$A38,'20Trips'!$A$24:$G$26, 3,FALSE)=VLOOKUP(K$1,'20Trips'!$A$3:$I$22,3,FALSE),VLOOKUP(K$1,'20Trips'!$A$3:$I$22,8,FALSE)-VLOOKUP($B38,'20Trips'!$A$3:$I$22, 9,FALSE) &gt;= (50+10)),1,0)</f>
        <v>0</v>
      </c>
      <c r="L38" s="2">
        <f>IF(AND(feasible_mat!K17=1, VLOOKUP(Recharged_Feasible_matv3!$A38,'20Trips'!$A$24:$G$26, 3,FALSE)=VLOOKUP(L$1,'20Trips'!$A$3:$I$22,3,FALSE),VLOOKUP(L$1,'20Trips'!$A$3:$I$22,8,FALSE)-VLOOKUP($B38,'20Trips'!$A$3:$I$22, 9,FALSE) &gt;= (50+10)),1,0)</f>
        <v>1</v>
      </c>
      <c r="M38" s="2">
        <f>IF(AND(feasible_mat!L17=1, VLOOKUP(Recharged_Feasible_matv3!$A38,'20Trips'!$A$24:$G$26, 3,FALSE)=VLOOKUP(M$1,'20Trips'!$A$3:$I$22,3,FALSE),VLOOKUP(M$1,'20Trips'!$A$3:$I$22,8,FALSE)-VLOOKUP($B38,'20Trips'!$A$3:$I$22, 9,FALSE) &gt;= (50+10)),1,0)</f>
        <v>1</v>
      </c>
      <c r="N38" s="2">
        <f>IF(AND(feasible_mat!M17=1, VLOOKUP(Recharged_Feasible_matv3!$A38,'20Trips'!$A$24:$G$26, 3,FALSE)=VLOOKUP(N$1,'20Trips'!$A$3:$I$22,3,FALSE),VLOOKUP(N$1,'20Trips'!$A$3:$I$22,8,FALSE)-VLOOKUP($B38,'20Trips'!$A$3:$I$22, 9,FALSE) &gt;= (50+10)),1,0)</f>
        <v>0</v>
      </c>
      <c r="O38" s="2">
        <f>IF(AND(feasible_mat!N17=1, VLOOKUP(Recharged_Feasible_matv3!$A38,'20Trips'!$A$24:$G$26, 3,FALSE)=VLOOKUP(O$1,'20Trips'!$A$3:$I$22,3,FALSE),VLOOKUP(O$1,'20Trips'!$A$3:$I$22,8,FALSE)-VLOOKUP($B38,'20Trips'!$A$3:$I$22, 9,FALSE) &gt;= (50+10)),1,0)</f>
        <v>0</v>
      </c>
      <c r="P38" s="2">
        <f>IF(AND(feasible_mat!O17=1, VLOOKUP(Recharged_Feasible_matv3!$A38,'20Trips'!$A$24:$G$26, 3,FALSE)=VLOOKUP(P$1,'20Trips'!$A$3:$I$22,3,FALSE),VLOOKUP(P$1,'20Trips'!$A$3:$I$22,8,FALSE)-VLOOKUP($B38,'20Trips'!$A$3:$I$22, 9,FALSE) &gt;= (50+10)),1,0)</f>
        <v>0</v>
      </c>
      <c r="Q38" s="2">
        <f>IF(AND(feasible_mat!P17=1, VLOOKUP(Recharged_Feasible_matv3!$A38,'20Trips'!$A$24:$G$26, 3,FALSE)=VLOOKUP(Q$1,'20Trips'!$A$3:$I$22,3,FALSE),VLOOKUP(Q$1,'20Trips'!$A$3:$I$22,8,FALSE)-VLOOKUP($B38,'20Trips'!$A$3:$I$22, 9,FALSE) &gt;= (50+10)),1,0)</f>
        <v>0</v>
      </c>
      <c r="R38" s="2">
        <f>IF(AND(feasible_mat!Q17=1, VLOOKUP(Recharged_Feasible_matv3!$A38,'20Trips'!$A$24:$G$26, 3,FALSE)=VLOOKUP(R$1,'20Trips'!$A$3:$I$22,3,FALSE),VLOOKUP(R$1,'20Trips'!$A$3:$I$22,8,FALSE)-VLOOKUP($B38,'20Trips'!$A$3:$I$22, 9,FALSE) &gt;= (50+10)),1,0)</f>
        <v>0</v>
      </c>
      <c r="S38" s="2">
        <f>IF(AND(feasible_mat!R17=1, VLOOKUP(Recharged_Feasible_matv3!$A38,'20Trips'!$A$24:$G$26, 3,FALSE)=VLOOKUP(S$1,'20Trips'!$A$3:$I$22,3,FALSE),VLOOKUP(S$1,'20Trips'!$A$3:$I$22,8,FALSE)-VLOOKUP($B38,'20Trips'!$A$3:$I$22, 9,FALSE) &gt;= (50+10)),1,0)</f>
        <v>0</v>
      </c>
      <c r="T38" s="2">
        <f>IF(AND(feasible_mat!S17=1, VLOOKUP(Recharged_Feasible_matv3!$A38,'20Trips'!$A$24:$G$26, 3,FALSE)=VLOOKUP(T$1,'20Trips'!$A$3:$I$22,3,FALSE),VLOOKUP(T$1,'20Trips'!$A$3:$I$22,8,FALSE)-VLOOKUP($B38,'20Trips'!$A$3:$I$22, 9,FALSE) &gt;= (50+10)),1,0)</f>
        <v>0</v>
      </c>
      <c r="U38" s="2">
        <f>IF(AND(feasible_mat!T17=1, VLOOKUP(Recharged_Feasible_matv3!$A38,'20Trips'!$A$24:$G$26, 3,FALSE)=VLOOKUP(U$1,'20Trips'!$A$3:$I$22,3,FALSE),VLOOKUP(U$1,'20Trips'!$A$3:$I$22,8,FALSE)-VLOOKUP($B38,'20Trips'!$A$3:$I$22, 9,FALSE) &gt;= (50+10)),1,0)</f>
        <v>0</v>
      </c>
      <c r="V38" s="2">
        <f>IF(AND(feasible_mat!U17=1, VLOOKUP(Recharged_Feasible_matv3!$A38,'20Trips'!$A$24:$G$26, 3,FALSE)=VLOOKUP(V$1,'20Trips'!$A$3:$I$22,3,FALSE),VLOOKUP(V$1,'20Trips'!$A$3:$I$22,8,FALSE)-VLOOKUP($B38,'20Trips'!$A$3:$I$22, 9,FALSE) &gt;= (50+10)),1,0)</f>
        <v>0</v>
      </c>
      <c r="W38" s="2">
        <f>IF(AND(feasible_mat!V17=1, VLOOKUP(Recharged_Feasible_matv3!$A38,'20Trips'!$A$24:$G$26, 3,FALSE)=VLOOKUP(W$1,'20Trips'!$A$3:$I$22,3,FALSE),VLOOKUP(W$1,'20Trips'!$A$3:$I$22,8,FALSE)-VLOOKUP($B38,'20Trips'!$A$3:$I$22, 9,FALSE) &gt;= (50+10)),1,0)</f>
        <v>0</v>
      </c>
    </row>
    <row r="39" spans="1:25" x14ac:dyDescent="0.25">
      <c r="A39" t="s">
        <v>62</v>
      </c>
      <c r="B39" t="s">
        <v>34</v>
      </c>
      <c r="C39">
        <v>0</v>
      </c>
      <c r="D39" s="2">
        <f>IF(AND(feasible_mat!C18=1, VLOOKUP(Recharged_Feasible_matv3!$A39,'20Trips'!$A$24:$G$26, 3,FALSE)=VLOOKUP(D$1,'20Trips'!$A$3:$I$22,3,FALSE),VLOOKUP(D$1,'20Trips'!$A$3:$I$22,8,FALSE)-VLOOKUP($B39,'20Trips'!$A$3:$I$22, 9,FALSE) &gt;= (50+10)),1,0)</f>
        <v>0</v>
      </c>
      <c r="E39" s="2">
        <f>IF(AND(feasible_mat!D18=1, VLOOKUP(Recharged_Feasible_matv3!$A39,'20Trips'!$A$24:$G$26, 3,FALSE)=VLOOKUP(E$1,'20Trips'!$A$3:$I$22,3,FALSE),VLOOKUP(E$1,'20Trips'!$A$3:$I$22,8,FALSE)-VLOOKUP($B39,'20Trips'!$A$3:$I$22, 9,FALSE) &gt;= (50+10)),1,0)</f>
        <v>0</v>
      </c>
      <c r="F39" s="2">
        <f>IF(AND(feasible_mat!E18=1, VLOOKUP(Recharged_Feasible_matv3!$A39,'20Trips'!$A$24:$G$26, 3,FALSE)=VLOOKUP(F$1,'20Trips'!$A$3:$I$22,3,FALSE),VLOOKUP(F$1,'20Trips'!$A$3:$I$22,8,FALSE)-VLOOKUP($B39,'20Trips'!$A$3:$I$22, 9,FALSE) &gt;= (50+10)),1,0)</f>
        <v>1</v>
      </c>
      <c r="G39" s="2">
        <f>IF(AND(feasible_mat!F18=1, VLOOKUP(Recharged_Feasible_matv3!$A39,'20Trips'!$A$24:$G$26, 3,FALSE)=VLOOKUP(G$1,'20Trips'!$A$3:$I$22,3,FALSE),VLOOKUP(G$1,'20Trips'!$A$3:$I$22,8,FALSE)-VLOOKUP($B39,'20Trips'!$A$3:$I$22, 9,FALSE) &gt;= (50+10)),1,0)</f>
        <v>1</v>
      </c>
      <c r="H39" s="2">
        <f>IF(AND(feasible_mat!G18=1, VLOOKUP(Recharged_Feasible_matv3!$A39,'20Trips'!$A$24:$G$26, 3,FALSE)=VLOOKUP(H$1,'20Trips'!$A$3:$I$22,3,FALSE),VLOOKUP(H$1,'20Trips'!$A$3:$I$22,8,FALSE)-VLOOKUP($B39,'20Trips'!$A$3:$I$22, 9,FALSE) &gt;= (50+10)),1,0)</f>
        <v>1</v>
      </c>
      <c r="I39" s="2">
        <f>IF(AND(feasible_mat!H18=1, VLOOKUP(Recharged_Feasible_matv3!$A39,'20Trips'!$A$24:$G$26, 3,FALSE)=VLOOKUP(I$1,'20Trips'!$A$3:$I$22,3,FALSE),VLOOKUP(I$1,'20Trips'!$A$3:$I$22,8,FALSE)-VLOOKUP($B39,'20Trips'!$A$3:$I$22, 9,FALSE) &gt;= (50+10)),1,0)</f>
        <v>0</v>
      </c>
      <c r="J39" s="2">
        <f>IF(AND(feasible_mat!I18=1, VLOOKUP(Recharged_Feasible_matv3!$A39,'20Trips'!$A$24:$G$26, 3,FALSE)=VLOOKUP(J$1,'20Trips'!$A$3:$I$22,3,FALSE),VLOOKUP(J$1,'20Trips'!$A$3:$I$22,8,FALSE)-VLOOKUP($B39,'20Trips'!$A$3:$I$22, 9,FALSE) &gt;= (50+10)),1,0)</f>
        <v>0</v>
      </c>
      <c r="K39" s="2">
        <f>IF(AND(feasible_mat!J18=1, VLOOKUP(Recharged_Feasible_matv3!$A39,'20Trips'!$A$24:$G$26, 3,FALSE)=VLOOKUP(K$1,'20Trips'!$A$3:$I$22,3,FALSE),VLOOKUP(K$1,'20Trips'!$A$3:$I$22,8,FALSE)-VLOOKUP($B39,'20Trips'!$A$3:$I$22, 9,FALSE) &gt;= (50+10)),1,0)</f>
        <v>1</v>
      </c>
      <c r="L39" s="2">
        <f>IF(AND(feasible_mat!K18=1, VLOOKUP(Recharged_Feasible_matv3!$A39,'20Trips'!$A$24:$G$26, 3,FALSE)=VLOOKUP(L$1,'20Trips'!$A$3:$I$22,3,FALSE),VLOOKUP(L$1,'20Trips'!$A$3:$I$22,8,FALSE)-VLOOKUP($B39,'20Trips'!$A$3:$I$22, 9,FALSE) &gt;= (50+10)),1,0)</f>
        <v>1</v>
      </c>
      <c r="M39" s="2">
        <f>IF(AND(feasible_mat!L18=1, VLOOKUP(Recharged_Feasible_matv3!$A39,'20Trips'!$A$24:$G$26, 3,FALSE)=VLOOKUP(M$1,'20Trips'!$A$3:$I$22,3,FALSE),VLOOKUP(M$1,'20Trips'!$A$3:$I$22,8,FALSE)-VLOOKUP($B39,'20Trips'!$A$3:$I$22, 9,FALSE) &gt;= (50+10)),1,0)</f>
        <v>1</v>
      </c>
      <c r="N39" s="2">
        <f>IF(AND(feasible_mat!M18=1, VLOOKUP(Recharged_Feasible_matv3!$A39,'20Trips'!$A$24:$G$26, 3,FALSE)=VLOOKUP(N$1,'20Trips'!$A$3:$I$22,3,FALSE),VLOOKUP(N$1,'20Trips'!$A$3:$I$22,8,FALSE)-VLOOKUP($B39,'20Trips'!$A$3:$I$22, 9,FALSE) &gt;= (50+10)),1,0)</f>
        <v>0</v>
      </c>
      <c r="O39" s="2">
        <f>IF(AND(feasible_mat!N18=1, VLOOKUP(Recharged_Feasible_matv3!$A39,'20Trips'!$A$24:$G$26, 3,FALSE)=VLOOKUP(O$1,'20Trips'!$A$3:$I$22,3,FALSE),VLOOKUP(O$1,'20Trips'!$A$3:$I$22,8,FALSE)-VLOOKUP($B39,'20Trips'!$A$3:$I$22, 9,FALSE) &gt;= (50+10)),1,0)</f>
        <v>0</v>
      </c>
      <c r="P39" s="2">
        <f>IF(AND(feasible_mat!O18=1, VLOOKUP(Recharged_Feasible_matv3!$A39,'20Trips'!$A$24:$G$26, 3,FALSE)=VLOOKUP(P$1,'20Trips'!$A$3:$I$22,3,FALSE),VLOOKUP(P$1,'20Trips'!$A$3:$I$22,8,FALSE)-VLOOKUP($B39,'20Trips'!$A$3:$I$22, 9,FALSE) &gt;= (50+10)),1,0)</f>
        <v>0</v>
      </c>
      <c r="Q39" s="2">
        <f>IF(AND(feasible_mat!P18=1, VLOOKUP(Recharged_Feasible_matv3!$A39,'20Trips'!$A$24:$G$26, 3,FALSE)=VLOOKUP(Q$1,'20Trips'!$A$3:$I$22,3,FALSE),VLOOKUP(Q$1,'20Trips'!$A$3:$I$22,8,FALSE)-VLOOKUP($B39,'20Trips'!$A$3:$I$22, 9,FALSE) &gt;= (50+10)),1,0)</f>
        <v>0</v>
      </c>
      <c r="R39" s="2">
        <f>IF(AND(feasible_mat!Q18=1, VLOOKUP(Recharged_Feasible_matv3!$A39,'20Trips'!$A$24:$G$26, 3,FALSE)=VLOOKUP(R$1,'20Trips'!$A$3:$I$22,3,FALSE),VLOOKUP(R$1,'20Trips'!$A$3:$I$22,8,FALSE)-VLOOKUP($B39,'20Trips'!$A$3:$I$22, 9,FALSE) &gt;= (50+10)),1,0)</f>
        <v>0</v>
      </c>
      <c r="S39" s="2">
        <f>IF(AND(feasible_mat!R18=1, VLOOKUP(Recharged_Feasible_matv3!$A39,'20Trips'!$A$24:$G$26, 3,FALSE)=VLOOKUP(S$1,'20Trips'!$A$3:$I$22,3,FALSE),VLOOKUP(S$1,'20Trips'!$A$3:$I$22,8,FALSE)-VLOOKUP($B39,'20Trips'!$A$3:$I$22, 9,FALSE) &gt;= (50+10)),1,0)</f>
        <v>0</v>
      </c>
      <c r="T39" s="2">
        <f>IF(AND(feasible_mat!S18=1, VLOOKUP(Recharged_Feasible_matv3!$A39,'20Trips'!$A$24:$G$26, 3,FALSE)=VLOOKUP(T$1,'20Trips'!$A$3:$I$22,3,FALSE),VLOOKUP(T$1,'20Trips'!$A$3:$I$22,8,FALSE)-VLOOKUP($B39,'20Trips'!$A$3:$I$22, 9,FALSE) &gt;= (50+10)),1,0)</f>
        <v>0</v>
      </c>
      <c r="U39" s="2">
        <f>IF(AND(feasible_mat!T18=1, VLOOKUP(Recharged_Feasible_matv3!$A39,'20Trips'!$A$24:$G$26, 3,FALSE)=VLOOKUP(U$1,'20Trips'!$A$3:$I$22,3,FALSE),VLOOKUP(U$1,'20Trips'!$A$3:$I$22,8,FALSE)-VLOOKUP($B39,'20Trips'!$A$3:$I$22, 9,FALSE) &gt;= (50+10)),1,0)</f>
        <v>0</v>
      </c>
      <c r="V39" s="2">
        <f>IF(AND(feasible_mat!U18=1, VLOOKUP(Recharged_Feasible_matv3!$A39,'20Trips'!$A$24:$G$26, 3,FALSE)=VLOOKUP(V$1,'20Trips'!$A$3:$I$22,3,FALSE),VLOOKUP(V$1,'20Trips'!$A$3:$I$22,8,FALSE)-VLOOKUP($B39,'20Trips'!$A$3:$I$22, 9,FALSE) &gt;= (50+10)),1,0)</f>
        <v>0</v>
      </c>
      <c r="W39" s="2">
        <f>IF(AND(feasible_mat!V18=1, VLOOKUP(Recharged_Feasible_matv3!$A39,'20Trips'!$A$24:$G$26, 3,FALSE)=VLOOKUP(W$1,'20Trips'!$A$3:$I$22,3,FALSE),VLOOKUP(W$1,'20Trips'!$A$3:$I$22,8,FALSE)-VLOOKUP($B39,'20Trips'!$A$3:$I$22, 9,FALSE) &gt;= (50+10)),1,0)</f>
        <v>0</v>
      </c>
    </row>
    <row r="40" spans="1:25" x14ac:dyDescent="0.25">
      <c r="A40" t="s">
        <v>62</v>
      </c>
      <c r="B40" t="s">
        <v>35</v>
      </c>
      <c r="C40">
        <v>0</v>
      </c>
      <c r="D40" s="2">
        <f>IF(AND(feasible_mat!C19=1, VLOOKUP(Recharged_Feasible_matv3!$A40,'20Trips'!$A$24:$G$26, 3,FALSE)=VLOOKUP(D$1,'20Trips'!$A$3:$I$22,3,FALSE),VLOOKUP(D$1,'20Trips'!$A$3:$I$22,8,FALSE)-VLOOKUP($B40,'20Trips'!$A$3:$I$22, 9,FALSE) &gt;= (50+10)),1,0)</f>
        <v>0</v>
      </c>
      <c r="E40" s="2">
        <f>IF(AND(feasible_mat!D19=1, VLOOKUP(Recharged_Feasible_matv3!$A40,'20Trips'!$A$24:$G$26, 3,FALSE)=VLOOKUP(E$1,'20Trips'!$A$3:$I$22,3,FALSE),VLOOKUP(E$1,'20Trips'!$A$3:$I$22,8,FALSE)-VLOOKUP($B40,'20Trips'!$A$3:$I$22, 9,FALSE) &gt;= (50+10)),1,0)</f>
        <v>0</v>
      </c>
      <c r="F40" s="2">
        <f>IF(AND(feasible_mat!E19=1, VLOOKUP(Recharged_Feasible_matv3!$A40,'20Trips'!$A$24:$G$26, 3,FALSE)=VLOOKUP(F$1,'20Trips'!$A$3:$I$22,3,FALSE),VLOOKUP(F$1,'20Trips'!$A$3:$I$22,8,FALSE)-VLOOKUP($B40,'20Trips'!$A$3:$I$22, 9,FALSE) &gt;= (50+10)),1,0)</f>
        <v>0</v>
      </c>
      <c r="G40" s="2">
        <f>IF(AND(feasible_mat!F19=1, VLOOKUP(Recharged_Feasible_matv3!$A40,'20Trips'!$A$24:$G$26, 3,FALSE)=VLOOKUP(G$1,'20Trips'!$A$3:$I$22,3,FALSE),VLOOKUP(G$1,'20Trips'!$A$3:$I$22,8,FALSE)-VLOOKUP($B40,'20Trips'!$A$3:$I$22, 9,FALSE) &gt;= (50+10)),1,0)</f>
        <v>0</v>
      </c>
      <c r="H40" s="2">
        <f>IF(AND(feasible_mat!G19=1, VLOOKUP(Recharged_Feasible_matv3!$A40,'20Trips'!$A$24:$G$26, 3,FALSE)=VLOOKUP(H$1,'20Trips'!$A$3:$I$22,3,FALSE),VLOOKUP(H$1,'20Trips'!$A$3:$I$22,8,FALSE)-VLOOKUP($B40,'20Trips'!$A$3:$I$22, 9,FALSE) &gt;= (50+10)),1,0)</f>
        <v>1</v>
      </c>
      <c r="I40" s="2">
        <f>IF(AND(feasible_mat!H19=1, VLOOKUP(Recharged_Feasible_matv3!$A40,'20Trips'!$A$24:$G$26, 3,FALSE)=VLOOKUP(I$1,'20Trips'!$A$3:$I$22,3,FALSE),VLOOKUP(I$1,'20Trips'!$A$3:$I$22,8,FALSE)-VLOOKUP($B40,'20Trips'!$A$3:$I$22, 9,FALSE) &gt;= (50+10)),1,0)</f>
        <v>0</v>
      </c>
      <c r="J40" s="2">
        <f>IF(AND(feasible_mat!I19=1, VLOOKUP(Recharged_Feasible_matv3!$A40,'20Trips'!$A$24:$G$26, 3,FALSE)=VLOOKUP(J$1,'20Trips'!$A$3:$I$22,3,FALSE),VLOOKUP(J$1,'20Trips'!$A$3:$I$22,8,FALSE)-VLOOKUP($B40,'20Trips'!$A$3:$I$22, 9,FALSE) &gt;= (50+10)),1,0)</f>
        <v>0</v>
      </c>
      <c r="K40" s="2">
        <f>IF(AND(feasible_mat!J19=1, VLOOKUP(Recharged_Feasible_matv3!$A40,'20Trips'!$A$24:$G$26, 3,FALSE)=VLOOKUP(K$1,'20Trips'!$A$3:$I$22,3,FALSE),VLOOKUP(K$1,'20Trips'!$A$3:$I$22,8,FALSE)-VLOOKUP($B40,'20Trips'!$A$3:$I$22, 9,FALSE) &gt;= (50+10)),1,0)</f>
        <v>0</v>
      </c>
      <c r="L40" s="2">
        <f>IF(AND(feasible_mat!K19=1, VLOOKUP(Recharged_Feasible_matv3!$A40,'20Trips'!$A$24:$G$26, 3,FALSE)=VLOOKUP(L$1,'20Trips'!$A$3:$I$22,3,FALSE),VLOOKUP(L$1,'20Trips'!$A$3:$I$22,8,FALSE)-VLOOKUP($B40,'20Trips'!$A$3:$I$22, 9,FALSE) &gt;= (50+10)),1,0)</f>
        <v>1</v>
      </c>
      <c r="M40" s="2">
        <f>IF(AND(feasible_mat!L19=1, VLOOKUP(Recharged_Feasible_matv3!$A40,'20Trips'!$A$24:$G$26, 3,FALSE)=VLOOKUP(M$1,'20Trips'!$A$3:$I$22,3,FALSE),VLOOKUP(M$1,'20Trips'!$A$3:$I$22,8,FALSE)-VLOOKUP($B40,'20Trips'!$A$3:$I$22, 9,FALSE) &gt;= (50+10)),1,0)</f>
        <v>1</v>
      </c>
      <c r="N40" s="2">
        <f>IF(AND(feasible_mat!M19=1, VLOOKUP(Recharged_Feasible_matv3!$A40,'20Trips'!$A$24:$G$26, 3,FALSE)=VLOOKUP(N$1,'20Trips'!$A$3:$I$22,3,FALSE),VLOOKUP(N$1,'20Trips'!$A$3:$I$22,8,FALSE)-VLOOKUP($B40,'20Trips'!$A$3:$I$22, 9,FALSE) &gt;= (50+10)),1,0)</f>
        <v>0</v>
      </c>
      <c r="O40" s="2">
        <f>IF(AND(feasible_mat!N19=1, VLOOKUP(Recharged_Feasible_matv3!$A40,'20Trips'!$A$24:$G$26, 3,FALSE)=VLOOKUP(O$1,'20Trips'!$A$3:$I$22,3,FALSE),VLOOKUP(O$1,'20Trips'!$A$3:$I$22,8,FALSE)-VLOOKUP($B40,'20Trips'!$A$3:$I$22, 9,FALSE) &gt;= (50+10)),1,0)</f>
        <v>0</v>
      </c>
      <c r="P40" s="2">
        <f>IF(AND(feasible_mat!O19=1, VLOOKUP(Recharged_Feasible_matv3!$A40,'20Trips'!$A$24:$G$26, 3,FALSE)=VLOOKUP(P$1,'20Trips'!$A$3:$I$22,3,FALSE),VLOOKUP(P$1,'20Trips'!$A$3:$I$22,8,FALSE)-VLOOKUP($B40,'20Trips'!$A$3:$I$22, 9,FALSE) &gt;= (50+10)),1,0)</f>
        <v>0</v>
      </c>
      <c r="Q40" s="2">
        <f>IF(AND(feasible_mat!P19=1, VLOOKUP(Recharged_Feasible_matv3!$A40,'20Trips'!$A$24:$G$26, 3,FALSE)=VLOOKUP(Q$1,'20Trips'!$A$3:$I$22,3,FALSE),VLOOKUP(Q$1,'20Trips'!$A$3:$I$22,8,FALSE)-VLOOKUP($B40,'20Trips'!$A$3:$I$22, 9,FALSE) &gt;= (50+10)),1,0)</f>
        <v>0</v>
      </c>
      <c r="R40" s="2">
        <f>IF(AND(feasible_mat!Q19=1, VLOOKUP(Recharged_Feasible_matv3!$A40,'20Trips'!$A$24:$G$26, 3,FALSE)=VLOOKUP(R$1,'20Trips'!$A$3:$I$22,3,FALSE),VLOOKUP(R$1,'20Trips'!$A$3:$I$22,8,FALSE)-VLOOKUP($B40,'20Trips'!$A$3:$I$22, 9,FALSE) &gt;= (50+10)),1,0)</f>
        <v>0</v>
      </c>
      <c r="S40" s="2">
        <f>IF(AND(feasible_mat!R19=1, VLOOKUP(Recharged_Feasible_matv3!$A40,'20Trips'!$A$24:$G$26, 3,FALSE)=VLOOKUP(S$1,'20Trips'!$A$3:$I$22,3,FALSE),VLOOKUP(S$1,'20Trips'!$A$3:$I$22,8,FALSE)-VLOOKUP($B40,'20Trips'!$A$3:$I$22, 9,FALSE) &gt;= (50+10)),1,0)</f>
        <v>0</v>
      </c>
      <c r="T40" s="2">
        <f>IF(AND(feasible_mat!S19=1, VLOOKUP(Recharged_Feasible_matv3!$A40,'20Trips'!$A$24:$G$26, 3,FALSE)=VLOOKUP(T$1,'20Trips'!$A$3:$I$22,3,FALSE),VLOOKUP(T$1,'20Trips'!$A$3:$I$22,8,FALSE)-VLOOKUP($B40,'20Trips'!$A$3:$I$22, 9,FALSE) &gt;= (50+10)),1,0)</f>
        <v>0</v>
      </c>
      <c r="U40" s="2">
        <f>IF(AND(feasible_mat!T19=1, VLOOKUP(Recharged_Feasible_matv3!$A40,'20Trips'!$A$24:$G$26, 3,FALSE)=VLOOKUP(U$1,'20Trips'!$A$3:$I$22,3,FALSE),VLOOKUP(U$1,'20Trips'!$A$3:$I$22,8,FALSE)-VLOOKUP($B40,'20Trips'!$A$3:$I$22, 9,FALSE) &gt;= (50+10)),1,0)</f>
        <v>0</v>
      </c>
      <c r="V40" s="2">
        <f>IF(AND(feasible_mat!U19=1, VLOOKUP(Recharged_Feasible_matv3!$A40,'20Trips'!$A$24:$G$26, 3,FALSE)=VLOOKUP(V$1,'20Trips'!$A$3:$I$22,3,FALSE),VLOOKUP(V$1,'20Trips'!$A$3:$I$22,8,FALSE)-VLOOKUP($B40,'20Trips'!$A$3:$I$22, 9,FALSE) &gt;= (50+10)),1,0)</f>
        <v>0</v>
      </c>
      <c r="W40" s="2">
        <f>IF(AND(feasible_mat!V19=1, VLOOKUP(Recharged_Feasible_matv3!$A40,'20Trips'!$A$24:$G$26, 3,FALSE)=VLOOKUP(W$1,'20Trips'!$A$3:$I$22,3,FALSE),VLOOKUP(W$1,'20Trips'!$A$3:$I$22,8,FALSE)-VLOOKUP($B40,'20Trips'!$A$3:$I$22, 9,FALSE) &gt;= (50+10)),1,0)</f>
        <v>0</v>
      </c>
    </row>
    <row r="41" spans="1:25" x14ac:dyDescent="0.25">
      <c r="A41" t="s">
        <v>62</v>
      </c>
      <c r="B41" t="s">
        <v>36</v>
      </c>
      <c r="C41">
        <v>0</v>
      </c>
      <c r="D41" s="2">
        <f>IF(AND(feasible_mat!C20=1, VLOOKUP(Recharged_Feasible_matv3!$A41,'20Trips'!$A$24:$G$26, 3,FALSE)=VLOOKUP(D$1,'20Trips'!$A$3:$I$22,3,FALSE),VLOOKUP(D$1,'20Trips'!$A$3:$I$22,8,FALSE)-VLOOKUP($B41,'20Trips'!$A$3:$I$22, 9,FALSE) &gt;= (50+10)),1,0)</f>
        <v>0</v>
      </c>
      <c r="E41" s="2">
        <f>IF(AND(feasible_mat!D20=1, VLOOKUP(Recharged_Feasible_matv3!$A41,'20Trips'!$A$24:$G$26, 3,FALSE)=VLOOKUP(E$1,'20Trips'!$A$3:$I$22,3,FALSE),VLOOKUP(E$1,'20Trips'!$A$3:$I$22,8,FALSE)-VLOOKUP($B41,'20Trips'!$A$3:$I$22, 9,FALSE) &gt;= (50+10)),1,0)</f>
        <v>0</v>
      </c>
      <c r="F41" s="2">
        <f>IF(AND(feasible_mat!E20=1, VLOOKUP(Recharged_Feasible_matv3!$A41,'20Trips'!$A$24:$G$26, 3,FALSE)=VLOOKUP(F$1,'20Trips'!$A$3:$I$22,3,FALSE),VLOOKUP(F$1,'20Trips'!$A$3:$I$22,8,FALSE)-VLOOKUP($B41,'20Trips'!$A$3:$I$22, 9,FALSE) &gt;= (50+10)),1,0)</f>
        <v>0</v>
      </c>
      <c r="G41" s="2">
        <f>IF(AND(feasible_mat!F20=1, VLOOKUP(Recharged_Feasible_matv3!$A41,'20Trips'!$A$24:$G$26, 3,FALSE)=VLOOKUP(G$1,'20Trips'!$A$3:$I$22,3,FALSE),VLOOKUP(G$1,'20Trips'!$A$3:$I$22,8,FALSE)-VLOOKUP($B41,'20Trips'!$A$3:$I$22, 9,FALSE) &gt;= (50+10)),1,0)</f>
        <v>0</v>
      </c>
      <c r="H41" s="2">
        <f>IF(AND(feasible_mat!G20=1, VLOOKUP(Recharged_Feasible_matv3!$A41,'20Trips'!$A$24:$G$26, 3,FALSE)=VLOOKUP(H$1,'20Trips'!$A$3:$I$22,3,FALSE),VLOOKUP(H$1,'20Trips'!$A$3:$I$22,8,FALSE)-VLOOKUP($B41,'20Trips'!$A$3:$I$22, 9,FALSE) &gt;= (50+10)),1,0)</f>
        <v>0</v>
      </c>
      <c r="I41" s="2">
        <f>IF(AND(feasible_mat!H20=1, VLOOKUP(Recharged_Feasible_matv3!$A41,'20Trips'!$A$24:$G$26, 3,FALSE)=VLOOKUP(I$1,'20Trips'!$A$3:$I$22,3,FALSE),VLOOKUP(I$1,'20Trips'!$A$3:$I$22,8,FALSE)-VLOOKUP($B41,'20Trips'!$A$3:$I$22, 9,FALSE) &gt;= (50+10)),1,0)</f>
        <v>0</v>
      </c>
      <c r="J41" s="2">
        <f>IF(AND(feasible_mat!I20=1, VLOOKUP(Recharged_Feasible_matv3!$A41,'20Trips'!$A$24:$G$26, 3,FALSE)=VLOOKUP(J$1,'20Trips'!$A$3:$I$22,3,FALSE),VLOOKUP(J$1,'20Trips'!$A$3:$I$22,8,FALSE)-VLOOKUP($B41,'20Trips'!$A$3:$I$22, 9,FALSE) &gt;= (50+10)),1,0)</f>
        <v>0</v>
      </c>
      <c r="K41" s="2">
        <f>IF(AND(feasible_mat!J20=1, VLOOKUP(Recharged_Feasible_matv3!$A41,'20Trips'!$A$24:$G$26, 3,FALSE)=VLOOKUP(K$1,'20Trips'!$A$3:$I$22,3,FALSE),VLOOKUP(K$1,'20Trips'!$A$3:$I$22,8,FALSE)-VLOOKUP($B41,'20Trips'!$A$3:$I$22, 9,FALSE) &gt;= (50+10)),1,0)</f>
        <v>0</v>
      </c>
      <c r="L41" s="2">
        <f>IF(AND(feasible_mat!K20=1, VLOOKUP(Recharged_Feasible_matv3!$A41,'20Trips'!$A$24:$G$26, 3,FALSE)=VLOOKUP(L$1,'20Trips'!$A$3:$I$22,3,FALSE),VLOOKUP(L$1,'20Trips'!$A$3:$I$22,8,FALSE)-VLOOKUP($B41,'20Trips'!$A$3:$I$22, 9,FALSE) &gt;= (50+10)),1,0)</f>
        <v>1</v>
      </c>
      <c r="M41" s="2">
        <f>IF(AND(feasible_mat!L20=1, VLOOKUP(Recharged_Feasible_matv3!$A41,'20Trips'!$A$24:$G$26, 3,FALSE)=VLOOKUP(M$1,'20Trips'!$A$3:$I$22,3,FALSE),VLOOKUP(M$1,'20Trips'!$A$3:$I$22,8,FALSE)-VLOOKUP($B41,'20Trips'!$A$3:$I$22, 9,FALSE) &gt;= (50+10)),1,0)</f>
        <v>1</v>
      </c>
      <c r="N41" s="2">
        <f>IF(AND(feasible_mat!M20=1, VLOOKUP(Recharged_Feasible_matv3!$A41,'20Trips'!$A$24:$G$26, 3,FALSE)=VLOOKUP(N$1,'20Trips'!$A$3:$I$22,3,FALSE),VLOOKUP(N$1,'20Trips'!$A$3:$I$22,8,FALSE)-VLOOKUP($B41,'20Trips'!$A$3:$I$22, 9,FALSE) &gt;= (50+10)),1,0)</f>
        <v>0</v>
      </c>
      <c r="O41" s="2">
        <f>IF(AND(feasible_mat!N20=1, VLOOKUP(Recharged_Feasible_matv3!$A41,'20Trips'!$A$24:$G$26, 3,FALSE)=VLOOKUP(O$1,'20Trips'!$A$3:$I$22,3,FALSE),VLOOKUP(O$1,'20Trips'!$A$3:$I$22,8,FALSE)-VLOOKUP($B41,'20Trips'!$A$3:$I$22, 9,FALSE) &gt;= (50+10)),1,0)</f>
        <v>0</v>
      </c>
      <c r="P41" s="2">
        <f>IF(AND(feasible_mat!O20=1, VLOOKUP(Recharged_Feasible_matv3!$A41,'20Trips'!$A$24:$G$26, 3,FALSE)=VLOOKUP(P$1,'20Trips'!$A$3:$I$22,3,FALSE),VLOOKUP(P$1,'20Trips'!$A$3:$I$22,8,FALSE)-VLOOKUP($B41,'20Trips'!$A$3:$I$22, 9,FALSE) &gt;= (50+10)),1,0)</f>
        <v>0</v>
      </c>
      <c r="Q41" s="2">
        <f>IF(AND(feasible_mat!P20=1, VLOOKUP(Recharged_Feasible_matv3!$A41,'20Trips'!$A$24:$G$26, 3,FALSE)=VLOOKUP(Q$1,'20Trips'!$A$3:$I$22,3,FALSE),VLOOKUP(Q$1,'20Trips'!$A$3:$I$22,8,FALSE)-VLOOKUP($B41,'20Trips'!$A$3:$I$22, 9,FALSE) &gt;= (50+10)),1,0)</f>
        <v>0</v>
      </c>
      <c r="R41" s="2">
        <f>IF(AND(feasible_mat!Q20=1, VLOOKUP(Recharged_Feasible_matv3!$A41,'20Trips'!$A$24:$G$26, 3,FALSE)=VLOOKUP(R$1,'20Trips'!$A$3:$I$22,3,FALSE),VLOOKUP(R$1,'20Trips'!$A$3:$I$22,8,FALSE)-VLOOKUP($B41,'20Trips'!$A$3:$I$22, 9,FALSE) &gt;= (50+10)),1,0)</f>
        <v>0</v>
      </c>
      <c r="S41" s="2">
        <f>IF(AND(feasible_mat!R20=1, VLOOKUP(Recharged_Feasible_matv3!$A41,'20Trips'!$A$24:$G$26, 3,FALSE)=VLOOKUP(S$1,'20Trips'!$A$3:$I$22,3,FALSE),VLOOKUP(S$1,'20Trips'!$A$3:$I$22,8,FALSE)-VLOOKUP($B41,'20Trips'!$A$3:$I$22, 9,FALSE) &gt;= (50+10)),1,0)</f>
        <v>0</v>
      </c>
      <c r="T41" s="2">
        <f>IF(AND(feasible_mat!S20=1, VLOOKUP(Recharged_Feasible_matv3!$A41,'20Trips'!$A$24:$G$26, 3,FALSE)=VLOOKUP(T$1,'20Trips'!$A$3:$I$22,3,FALSE),VLOOKUP(T$1,'20Trips'!$A$3:$I$22,8,FALSE)-VLOOKUP($B41,'20Trips'!$A$3:$I$22, 9,FALSE) &gt;= (50+10)),1,0)</f>
        <v>0</v>
      </c>
      <c r="U41" s="2">
        <f>IF(AND(feasible_mat!T20=1, VLOOKUP(Recharged_Feasible_matv3!$A41,'20Trips'!$A$24:$G$26, 3,FALSE)=VLOOKUP(U$1,'20Trips'!$A$3:$I$22,3,FALSE),VLOOKUP(U$1,'20Trips'!$A$3:$I$22,8,FALSE)-VLOOKUP($B41,'20Trips'!$A$3:$I$22, 9,FALSE) &gt;= (50+10)),1,0)</f>
        <v>0</v>
      </c>
      <c r="V41" s="2">
        <f>IF(AND(feasible_mat!U20=1, VLOOKUP(Recharged_Feasible_matv3!$A41,'20Trips'!$A$24:$G$26, 3,FALSE)=VLOOKUP(V$1,'20Trips'!$A$3:$I$22,3,FALSE),VLOOKUP(V$1,'20Trips'!$A$3:$I$22,8,FALSE)-VLOOKUP($B41,'20Trips'!$A$3:$I$22, 9,FALSE) &gt;= (50+10)),1,0)</f>
        <v>0</v>
      </c>
      <c r="W41" s="2">
        <f>IF(AND(feasible_mat!V20=1, VLOOKUP(Recharged_Feasible_matv3!$A41,'20Trips'!$A$24:$G$26, 3,FALSE)=VLOOKUP(W$1,'20Trips'!$A$3:$I$22,3,FALSE),VLOOKUP(W$1,'20Trips'!$A$3:$I$22,8,FALSE)-VLOOKUP($B41,'20Trips'!$A$3:$I$22, 9,FALSE) &gt;= (50+10)),1,0)</f>
        <v>0</v>
      </c>
    </row>
    <row r="42" spans="1:25" x14ac:dyDescent="0.25">
      <c r="A42" t="s">
        <v>62</v>
      </c>
      <c r="B42" t="s">
        <v>37</v>
      </c>
      <c r="C42">
        <v>0</v>
      </c>
      <c r="D42" s="2">
        <f>IF(AND(feasible_mat!C21=1, VLOOKUP(Recharged_Feasible_matv3!$A42,'20Trips'!$A$24:$G$26, 3,FALSE)=VLOOKUP(D$1,'20Trips'!$A$3:$I$22,3,FALSE),VLOOKUP(D$1,'20Trips'!$A$3:$I$22,8,FALSE)-VLOOKUP($B42,'20Trips'!$A$3:$I$22, 9,FALSE) &gt;= (50+10)),1,0)</f>
        <v>0</v>
      </c>
      <c r="E42" s="2">
        <f>IF(AND(feasible_mat!D21=1, VLOOKUP(Recharged_Feasible_matv3!$A42,'20Trips'!$A$24:$G$26, 3,FALSE)=VLOOKUP(E$1,'20Trips'!$A$3:$I$22,3,FALSE),VLOOKUP(E$1,'20Trips'!$A$3:$I$22,8,FALSE)-VLOOKUP($B42,'20Trips'!$A$3:$I$22, 9,FALSE) &gt;= (50+10)),1,0)</f>
        <v>0</v>
      </c>
      <c r="F42" s="2">
        <f>IF(AND(feasible_mat!E21=1, VLOOKUP(Recharged_Feasible_matv3!$A42,'20Trips'!$A$24:$G$26, 3,FALSE)=VLOOKUP(F$1,'20Trips'!$A$3:$I$22,3,FALSE),VLOOKUP(F$1,'20Trips'!$A$3:$I$22,8,FALSE)-VLOOKUP($B42,'20Trips'!$A$3:$I$22, 9,FALSE) &gt;= (50+10)),1,0)</f>
        <v>0</v>
      </c>
      <c r="G42" s="2">
        <f>IF(AND(feasible_mat!F21=1, VLOOKUP(Recharged_Feasible_matv3!$A42,'20Trips'!$A$24:$G$26, 3,FALSE)=VLOOKUP(G$1,'20Trips'!$A$3:$I$22,3,FALSE),VLOOKUP(G$1,'20Trips'!$A$3:$I$22,8,FALSE)-VLOOKUP($B42,'20Trips'!$A$3:$I$22, 9,FALSE) &gt;= (50+10)),1,0)</f>
        <v>0</v>
      </c>
      <c r="H42" s="2">
        <f>IF(AND(feasible_mat!G21=1, VLOOKUP(Recharged_Feasible_matv3!$A42,'20Trips'!$A$24:$G$26, 3,FALSE)=VLOOKUP(H$1,'20Trips'!$A$3:$I$22,3,FALSE),VLOOKUP(H$1,'20Trips'!$A$3:$I$22,8,FALSE)-VLOOKUP($B42,'20Trips'!$A$3:$I$22, 9,FALSE) &gt;= (50+10)),1,0)</f>
        <v>0</v>
      </c>
      <c r="I42" s="2">
        <f>IF(AND(feasible_mat!H21=1, VLOOKUP(Recharged_Feasible_matv3!$A42,'20Trips'!$A$24:$G$26, 3,FALSE)=VLOOKUP(I$1,'20Trips'!$A$3:$I$22,3,FALSE),VLOOKUP(I$1,'20Trips'!$A$3:$I$22,8,FALSE)-VLOOKUP($B42,'20Trips'!$A$3:$I$22, 9,FALSE) &gt;= (50+10)),1,0)</f>
        <v>0</v>
      </c>
      <c r="J42" s="2">
        <f>IF(AND(feasible_mat!I21=1, VLOOKUP(Recharged_Feasible_matv3!$A42,'20Trips'!$A$24:$G$26, 3,FALSE)=VLOOKUP(J$1,'20Trips'!$A$3:$I$22,3,FALSE),VLOOKUP(J$1,'20Trips'!$A$3:$I$22,8,FALSE)-VLOOKUP($B42,'20Trips'!$A$3:$I$22, 9,FALSE) &gt;= (50+10)),1,0)</f>
        <v>0</v>
      </c>
      <c r="K42" s="2">
        <f>IF(AND(feasible_mat!J21=1, VLOOKUP(Recharged_Feasible_matv3!$A42,'20Trips'!$A$24:$G$26, 3,FALSE)=VLOOKUP(K$1,'20Trips'!$A$3:$I$22,3,FALSE),VLOOKUP(K$1,'20Trips'!$A$3:$I$22,8,FALSE)-VLOOKUP($B42,'20Trips'!$A$3:$I$22, 9,FALSE) &gt;= (50+10)),1,0)</f>
        <v>0</v>
      </c>
      <c r="L42" s="2">
        <f>IF(AND(feasible_mat!K21=1, VLOOKUP(Recharged_Feasible_matv3!$A42,'20Trips'!$A$24:$G$26, 3,FALSE)=VLOOKUP(L$1,'20Trips'!$A$3:$I$22,3,FALSE),VLOOKUP(L$1,'20Trips'!$A$3:$I$22,8,FALSE)-VLOOKUP($B42,'20Trips'!$A$3:$I$22, 9,FALSE) &gt;= (50+10)),1,0)</f>
        <v>1</v>
      </c>
      <c r="M42" s="2">
        <f>IF(AND(feasible_mat!L21=1, VLOOKUP(Recharged_Feasible_matv3!$A42,'20Trips'!$A$24:$G$26, 3,FALSE)=VLOOKUP(M$1,'20Trips'!$A$3:$I$22,3,FALSE),VLOOKUP(M$1,'20Trips'!$A$3:$I$22,8,FALSE)-VLOOKUP($B42,'20Trips'!$A$3:$I$22, 9,FALSE) &gt;= (50+10)),1,0)</f>
        <v>1</v>
      </c>
      <c r="N42" s="2">
        <f>IF(AND(feasible_mat!M21=1, VLOOKUP(Recharged_Feasible_matv3!$A42,'20Trips'!$A$24:$G$26, 3,FALSE)=VLOOKUP(N$1,'20Trips'!$A$3:$I$22,3,FALSE),VLOOKUP(N$1,'20Trips'!$A$3:$I$22,8,FALSE)-VLOOKUP($B42,'20Trips'!$A$3:$I$22, 9,FALSE) &gt;= (50+10)),1,0)</f>
        <v>0</v>
      </c>
      <c r="O42" s="2">
        <f>IF(AND(feasible_mat!N21=1, VLOOKUP(Recharged_Feasible_matv3!$A42,'20Trips'!$A$24:$G$26, 3,FALSE)=VLOOKUP(O$1,'20Trips'!$A$3:$I$22,3,FALSE),VLOOKUP(O$1,'20Trips'!$A$3:$I$22,8,FALSE)-VLOOKUP($B42,'20Trips'!$A$3:$I$22, 9,FALSE) &gt;= (50+10)),1,0)</f>
        <v>0</v>
      </c>
      <c r="P42" s="2">
        <f>IF(AND(feasible_mat!O21=1, VLOOKUP(Recharged_Feasible_matv3!$A42,'20Trips'!$A$24:$G$26, 3,FALSE)=VLOOKUP(P$1,'20Trips'!$A$3:$I$22,3,FALSE),VLOOKUP(P$1,'20Trips'!$A$3:$I$22,8,FALSE)-VLOOKUP($B42,'20Trips'!$A$3:$I$22, 9,FALSE) &gt;= (50+10)),1,0)</f>
        <v>0</v>
      </c>
      <c r="Q42" s="2">
        <f>IF(AND(feasible_mat!P21=1, VLOOKUP(Recharged_Feasible_matv3!$A42,'20Trips'!$A$24:$G$26, 3,FALSE)=VLOOKUP(Q$1,'20Trips'!$A$3:$I$22,3,FALSE),VLOOKUP(Q$1,'20Trips'!$A$3:$I$22,8,FALSE)-VLOOKUP($B42,'20Trips'!$A$3:$I$22, 9,FALSE) &gt;= (50+10)),1,0)</f>
        <v>0</v>
      </c>
      <c r="R42" s="2">
        <f>IF(AND(feasible_mat!Q21=1, VLOOKUP(Recharged_Feasible_matv3!$A42,'20Trips'!$A$24:$G$26, 3,FALSE)=VLOOKUP(R$1,'20Trips'!$A$3:$I$22,3,FALSE),VLOOKUP(R$1,'20Trips'!$A$3:$I$22,8,FALSE)-VLOOKUP($B42,'20Trips'!$A$3:$I$22, 9,FALSE) &gt;= (50+10)),1,0)</f>
        <v>0</v>
      </c>
      <c r="S42" s="2">
        <f>IF(AND(feasible_mat!R21=1, VLOOKUP(Recharged_Feasible_matv3!$A42,'20Trips'!$A$24:$G$26, 3,FALSE)=VLOOKUP(S$1,'20Trips'!$A$3:$I$22,3,FALSE),VLOOKUP(S$1,'20Trips'!$A$3:$I$22,8,FALSE)-VLOOKUP($B42,'20Trips'!$A$3:$I$22, 9,FALSE) &gt;= (50+10)),1,0)</f>
        <v>0</v>
      </c>
      <c r="T42" s="2">
        <f>IF(AND(feasible_mat!S21=1, VLOOKUP(Recharged_Feasible_matv3!$A42,'20Trips'!$A$24:$G$26, 3,FALSE)=VLOOKUP(T$1,'20Trips'!$A$3:$I$22,3,FALSE),VLOOKUP(T$1,'20Trips'!$A$3:$I$22,8,FALSE)-VLOOKUP($B42,'20Trips'!$A$3:$I$22, 9,FALSE) &gt;= (50+10)),1,0)</f>
        <v>0</v>
      </c>
      <c r="U42" s="2">
        <f>IF(AND(feasible_mat!T21=1, VLOOKUP(Recharged_Feasible_matv3!$A42,'20Trips'!$A$24:$G$26, 3,FALSE)=VLOOKUP(U$1,'20Trips'!$A$3:$I$22,3,FALSE),VLOOKUP(U$1,'20Trips'!$A$3:$I$22,8,FALSE)-VLOOKUP($B42,'20Trips'!$A$3:$I$22, 9,FALSE) &gt;= (50+10)),1,0)</f>
        <v>0</v>
      </c>
      <c r="V42" s="2">
        <f>IF(AND(feasible_mat!U21=1, VLOOKUP(Recharged_Feasible_matv3!$A42,'20Trips'!$A$24:$G$26, 3,FALSE)=VLOOKUP(V$1,'20Trips'!$A$3:$I$22,3,FALSE),VLOOKUP(V$1,'20Trips'!$A$3:$I$22,8,FALSE)-VLOOKUP($B42,'20Trips'!$A$3:$I$22, 9,FALSE) &gt;= (50+10)),1,0)</f>
        <v>0</v>
      </c>
      <c r="W42" s="2">
        <f>IF(AND(feasible_mat!V21=1, VLOOKUP(Recharged_Feasible_matv3!$A42,'20Trips'!$A$24:$G$26, 3,FALSE)=VLOOKUP(W$1,'20Trips'!$A$3:$I$22,3,FALSE),VLOOKUP(W$1,'20Trips'!$A$3:$I$22,8,FALSE)-VLOOKUP($B42,'20Trips'!$A$3:$I$22, 9,FALSE) &gt;= (50+10)),1,0)</f>
        <v>0</v>
      </c>
    </row>
    <row r="43" spans="1:25" x14ac:dyDescent="0.25">
      <c r="A43" t="s">
        <v>62</v>
      </c>
      <c r="B43" t="s">
        <v>38</v>
      </c>
      <c r="C43">
        <v>0</v>
      </c>
      <c r="D43" s="2">
        <f>IF(AND(feasible_mat!C22=1, VLOOKUP(Recharged_Feasible_matv3!$A43,'20Trips'!$A$24:$G$26, 3,FALSE)=VLOOKUP(D$1,'20Trips'!$A$3:$I$22,3,FALSE),VLOOKUP(D$1,'20Trips'!$A$3:$I$22,8,FALSE)-VLOOKUP($B43,'20Trips'!$A$3:$I$22, 9,FALSE) &gt;= (50+10)),1,0)</f>
        <v>0</v>
      </c>
      <c r="E43" s="2">
        <f>IF(AND(feasible_mat!D22=1, VLOOKUP(Recharged_Feasible_matv3!$A43,'20Trips'!$A$24:$G$26, 3,FALSE)=VLOOKUP(E$1,'20Trips'!$A$3:$I$22,3,FALSE),VLOOKUP(E$1,'20Trips'!$A$3:$I$22,8,FALSE)-VLOOKUP($B43,'20Trips'!$A$3:$I$22, 9,FALSE) &gt;= (50+10)),1,0)</f>
        <v>0</v>
      </c>
      <c r="F43" s="2">
        <f>IF(AND(feasible_mat!E22=1, VLOOKUP(Recharged_Feasible_matv3!$A43,'20Trips'!$A$24:$G$26, 3,FALSE)=VLOOKUP(F$1,'20Trips'!$A$3:$I$22,3,FALSE),VLOOKUP(F$1,'20Trips'!$A$3:$I$22,8,FALSE)-VLOOKUP($B43,'20Trips'!$A$3:$I$22, 9,FALSE) &gt;= (50+10)),1,0)</f>
        <v>0</v>
      </c>
      <c r="G43" s="2">
        <f>IF(AND(feasible_mat!F22=1, VLOOKUP(Recharged_Feasible_matv3!$A43,'20Trips'!$A$24:$G$26, 3,FALSE)=VLOOKUP(G$1,'20Trips'!$A$3:$I$22,3,FALSE),VLOOKUP(G$1,'20Trips'!$A$3:$I$22,8,FALSE)-VLOOKUP($B43,'20Trips'!$A$3:$I$22, 9,FALSE) &gt;= (50+10)),1,0)</f>
        <v>0</v>
      </c>
      <c r="H43" s="2">
        <f>IF(AND(feasible_mat!G22=1, VLOOKUP(Recharged_Feasible_matv3!$A43,'20Trips'!$A$24:$G$26, 3,FALSE)=VLOOKUP(H$1,'20Trips'!$A$3:$I$22,3,FALSE),VLOOKUP(H$1,'20Trips'!$A$3:$I$22,8,FALSE)-VLOOKUP($B43,'20Trips'!$A$3:$I$22, 9,FALSE) &gt;= (50+10)),1,0)</f>
        <v>0</v>
      </c>
      <c r="I43" s="2">
        <f>IF(AND(feasible_mat!H22=1, VLOOKUP(Recharged_Feasible_matv3!$A43,'20Trips'!$A$24:$G$26, 3,FALSE)=VLOOKUP(I$1,'20Trips'!$A$3:$I$22,3,FALSE),VLOOKUP(I$1,'20Trips'!$A$3:$I$22,8,FALSE)-VLOOKUP($B43,'20Trips'!$A$3:$I$22, 9,FALSE) &gt;= (50+10)),1,0)</f>
        <v>0</v>
      </c>
      <c r="J43" s="2">
        <f>IF(AND(feasible_mat!I22=1, VLOOKUP(Recharged_Feasible_matv3!$A43,'20Trips'!$A$24:$G$26, 3,FALSE)=VLOOKUP(J$1,'20Trips'!$A$3:$I$22,3,FALSE),VLOOKUP(J$1,'20Trips'!$A$3:$I$22,8,FALSE)-VLOOKUP($B43,'20Trips'!$A$3:$I$22, 9,FALSE) &gt;= (50+10)),1,0)</f>
        <v>0</v>
      </c>
      <c r="K43" s="2">
        <f>IF(AND(feasible_mat!J22=1, VLOOKUP(Recharged_Feasible_matv3!$A43,'20Trips'!$A$24:$G$26, 3,FALSE)=VLOOKUP(K$1,'20Trips'!$A$3:$I$22,3,FALSE),VLOOKUP(K$1,'20Trips'!$A$3:$I$22,8,FALSE)-VLOOKUP($B43,'20Trips'!$A$3:$I$22, 9,FALSE) &gt;= (50+10)),1,0)</f>
        <v>0</v>
      </c>
      <c r="L43" s="2">
        <f>IF(AND(feasible_mat!K22=1, VLOOKUP(Recharged_Feasible_matv3!$A43,'20Trips'!$A$24:$G$26, 3,FALSE)=VLOOKUP(L$1,'20Trips'!$A$3:$I$22,3,FALSE),VLOOKUP(L$1,'20Trips'!$A$3:$I$22,8,FALSE)-VLOOKUP($B43,'20Trips'!$A$3:$I$22, 9,FALSE) &gt;= (50+10)),1,0)</f>
        <v>0</v>
      </c>
      <c r="M43" s="2">
        <f>IF(AND(feasible_mat!L22=1, VLOOKUP(Recharged_Feasible_matv3!$A43,'20Trips'!$A$24:$G$26, 3,FALSE)=VLOOKUP(M$1,'20Trips'!$A$3:$I$22,3,FALSE),VLOOKUP(M$1,'20Trips'!$A$3:$I$22,8,FALSE)-VLOOKUP($B43,'20Trips'!$A$3:$I$22, 9,FALSE) &gt;= (50+10)),1,0)</f>
        <v>0</v>
      </c>
      <c r="N43" s="2">
        <f>IF(AND(feasible_mat!M22=1, VLOOKUP(Recharged_Feasible_matv3!$A43,'20Trips'!$A$24:$G$26, 3,FALSE)=VLOOKUP(N$1,'20Trips'!$A$3:$I$22,3,FALSE),VLOOKUP(N$1,'20Trips'!$A$3:$I$22,8,FALSE)-VLOOKUP($B43,'20Trips'!$A$3:$I$22, 9,FALSE) &gt;= (50+10)),1,0)</f>
        <v>0</v>
      </c>
      <c r="O43" s="2">
        <f>IF(AND(feasible_mat!N22=1, VLOOKUP(Recharged_Feasible_matv3!$A43,'20Trips'!$A$24:$G$26, 3,FALSE)=VLOOKUP(O$1,'20Trips'!$A$3:$I$22,3,FALSE),VLOOKUP(O$1,'20Trips'!$A$3:$I$22,8,FALSE)-VLOOKUP($B43,'20Trips'!$A$3:$I$22, 9,FALSE) &gt;= (50+10)),1,0)</f>
        <v>0</v>
      </c>
      <c r="P43" s="2">
        <f>IF(AND(feasible_mat!O22=1, VLOOKUP(Recharged_Feasible_matv3!$A43,'20Trips'!$A$24:$G$26, 3,FALSE)=VLOOKUP(P$1,'20Trips'!$A$3:$I$22,3,FALSE),VLOOKUP(P$1,'20Trips'!$A$3:$I$22,8,FALSE)-VLOOKUP($B43,'20Trips'!$A$3:$I$22, 9,FALSE) &gt;= (50+10)),1,0)</f>
        <v>0</v>
      </c>
      <c r="Q43" s="2">
        <f>IF(AND(feasible_mat!P22=1, VLOOKUP(Recharged_Feasible_matv3!$A43,'20Trips'!$A$24:$G$26, 3,FALSE)=VLOOKUP(Q$1,'20Trips'!$A$3:$I$22,3,FALSE),VLOOKUP(Q$1,'20Trips'!$A$3:$I$22,8,FALSE)-VLOOKUP($B43,'20Trips'!$A$3:$I$22, 9,FALSE) &gt;= (50+10)),1,0)</f>
        <v>0</v>
      </c>
      <c r="R43" s="2">
        <f>IF(AND(feasible_mat!Q22=1, VLOOKUP(Recharged_Feasible_matv3!$A43,'20Trips'!$A$24:$G$26, 3,FALSE)=VLOOKUP(R$1,'20Trips'!$A$3:$I$22,3,FALSE),VLOOKUP(R$1,'20Trips'!$A$3:$I$22,8,FALSE)-VLOOKUP($B43,'20Trips'!$A$3:$I$22, 9,FALSE) &gt;= (50+10)),1,0)</f>
        <v>0</v>
      </c>
      <c r="S43" s="2">
        <f>IF(AND(feasible_mat!R22=1, VLOOKUP(Recharged_Feasible_matv3!$A43,'20Trips'!$A$24:$G$26, 3,FALSE)=VLOOKUP(S$1,'20Trips'!$A$3:$I$22,3,FALSE),VLOOKUP(S$1,'20Trips'!$A$3:$I$22,8,FALSE)-VLOOKUP($B43,'20Trips'!$A$3:$I$22, 9,FALSE) &gt;= (50+10)),1,0)</f>
        <v>0</v>
      </c>
      <c r="T43" s="2">
        <f>IF(AND(feasible_mat!S22=1, VLOOKUP(Recharged_Feasible_matv3!$A43,'20Trips'!$A$24:$G$26, 3,FALSE)=VLOOKUP(T$1,'20Trips'!$A$3:$I$22,3,FALSE),VLOOKUP(T$1,'20Trips'!$A$3:$I$22,8,FALSE)-VLOOKUP($B43,'20Trips'!$A$3:$I$22, 9,FALSE) &gt;= (50+10)),1,0)</f>
        <v>0</v>
      </c>
      <c r="U43" s="2">
        <f>IF(AND(feasible_mat!T22=1, VLOOKUP(Recharged_Feasible_matv3!$A43,'20Trips'!$A$24:$G$26, 3,FALSE)=VLOOKUP(U$1,'20Trips'!$A$3:$I$22,3,FALSE),VLOOKUP(U$1,'20Trips'!$A$3:$I$22,8,FALSE)-VLOOKUP($B43,'20Trips'!$A$3:$I$22, 9,FALSE) &gt;= (50+10)),1,0)</f>
        <v>0</v>
      </c>
      <c r="V43" s="2">
        <f>IF(AND(feasible_mat!U22=1, VLOOKUP(Recharged_Feasible_matv3!$A43,'20Trips'!$A$24:$G$26, 3,FALSE)=VLOOKUP(V$1,'20Trips'!$A$3:$I$22,3,FALSE),VLOOKUP(V$1,'20Trips'!$A$3:$I$22,8,FALSE)-VLOOKUP($B43,'20Trips'!$A$3:$I$22, 9,FALSE) &gt;= (50+10)),1,0)</f>
        <v>0</v>
      </c>
      <c r="W43" s="2">
        <f>IF(AND(feasible_mat!V22=1, VLOOKUP(Recharged_Feasible_matv3!$A43,'20Trips'!$A$24:$G$26, 3,FALSE)=VLOOKUP(W$1,'20Trips'!$A$3:$I$22,3,FALSE),VLOOKUP(W$1,'20Trips'!$A$3:$I$22,8,FALSE)-VLOOKUP($B43,'20Trips'!$A$3:$I$22, 9,FALSE) &gt;= (50+10)),1,0)</f>
        <v>0</v>
      </c>
    </row>
    <row r="44" spans="1:25" x14ac:dyDescent="0.25">
      <c r="A44" t="s">
        <v>67</v>
      </c>
      <c r="B44" t="s">
        <v>46</v>
      </c>
      <c r="C44">
        <v>0</v>
      </c>
      <c r="D44" s="2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5" x14ac:dyDescent="0.25">
      <c r="A45" t="s">
        <v>67</v>
      </c>
      <c r="B45" t="s">
        <v>6</v>
      </c>
      <c r="C45">
        <v>0</v>
      </c>
      <c r="D45" s="2">
        <f>IF(AND(feasible_mat!C3, VLOOKUP($A45,'20Trips'!$A$24:$G$26, 3,FALSE)=VLOOKUP(D$1,'20Trips'!$A$3:$I$22,3,FALSE),VLOOKUP(D$1,'20Trips'!$A$3:$I$22,8,FALSE)-VLOOKUP($B45,'20Trips'!$A$3:$I$22, 9,FALSE) &gt;= (50+10)),1,0)</f>
        <v>0</v>
      </c>
      <c r="E45" s="2">
        <f>IF(AND(feasible_mat!D3, VLOOKUP($A45,'20Trips'!$A$24:$G$26, 3,FALSE)=VLOOKUP(E$1,'20Trips'!$A$3:$I$22,3,FALSE),VLOOKUP(E$1,'20Trips'!$A$3:$I$22,8,FALSE)-VLOOKUP($B45,'20Trips'!$A$3:$I$22, 9,FALSE) &gt;= (50+10)),1,0)</f>
        <v>0</v>
      </c>
      <c r="F45" s="2">
        <f>IF(AND(feasible_mat!E3, VLOOKUP($A45,'20Trips'!$A$24:$G$26, 3,FALSE)=VLOOKUP(F$1,'20Trips'!$A$3:$I$22,3,FALSE),VLOOKUP(F$1,'20Trips'!$A$3:$I$22,8,FALSE)-VLOOKUP($B45,'20Trips'!$A$3:$I$22, 9,FALSE) &gt;= (50+10)),1,0)</f>
        <v>0</v>
      </c>
      <c r="G45" s="2">
        <f>IF(AND(feasible_mat!F3, VLOOKUP($A45,'20Trips'!$A$24:$G$26, 3,FALSE)=VLOOKUP(G$1,'20Trips'!$A$3:$I$22,3,FALSE),VLOOKUP(G$1,'20Trips'!$A$3:$I$22,8,FALSE)-VLOOKUP($B45,'20Trips'!$A$3:$I$22, 9,FALSE) &gt;= (50+10)),1,0)</f>
        <v>0</v>
      </c>
      <c r="H45" s="2">
        <f>IF(AND(feasible_mat!G3, VLOOKUP($A45,'20Trips'!$A$24:$G$26, 3,FALSE)=VLOOKUP(H$1,'20Trips'!$A$3:$I$22,3,FALSE),VLOOKUP(H$1,'20Trips'!$A$3:$I$22,8,FALSE)-VLOOKUP($B45,'20Trips'!$A$3:$I$22, 9,FALSE) &gt;= (50+10)),1,0)</f>
        <v>0</v>
      </c>
      <c r="I45" s="2">
        <f>IF(AND(feasible_mat!H3, VLOOKUP($A45,'20Trips'!$A$24:$G$26, 3,FALSE)=VLOOKUP(I$1,'20Trips'!$A$3:$I$22,3,FALSE),VLOOKUP(I$1,'20Trips'!$A$3:$I$22,8,FALSE)-VLOOKUP($B45,'20Trips'!$A$3:$I$22, 9,FALSE) &gt;= (50+10)),1,0)</f>
        <v>0</v>
      </c>
      <c r="J45" s="2">
        <f>IF(AND(feasible_mat!I3, VLOOKUP($A45,'20Trips'!$A$24:$G$26, 3,FALSE)=VLOOKUP(J$1,'20Trips'!$A$3:$I$22,3,FALSE),VLOOKUP(J$1,'20Trips'!$A$3:$I$22,8,FALSE)-VLOOKUP($B45,'20Trips'!$A$3:$I$22, 9,FALSE) &gt;= (50+10)),1,0)</f>
        <v>0</v>
      </c>
      <c r="K45" s="2">
        <f>IF(AND(feasible_mat!J3, VLOOKUP($A45,'20Trips'!$A$24:$G$26, 3,FALSE)=VLOOKUP(K$1,'20Trips'!$A$3:$I$22,3,FALSE),VLOOKUP(K$1,'20Trips'!$A$3:$I$22,8,FALSE)-VLOOKUP($B45,'20Trips'!$A$3:$I$22, 9,FALSE) &gt;= (50+10)),1,0)</f>
        <v>0</v>
      </c>
      <c r="L45" s="2">
        <f>IF(AND(feasible_mat!K3, VLOOKUP($A45,'20Trips'!$A$24:$G$26, 3,FALSE)=VLOOKUP(L$1,'20Trips'!$A$3:$I$22,3,FALSE),VLOOKUP(L$1,'20Trips'!$A$3:$I$22,8,FALSE)-VLOOKUP($B45,'20Trips'!$A$3:$I$22, 9,FALSE) &gt;= (50+10)),1,0)</f>
        <v>0</v>
      </c>
      <c r="M45" s="2">
        <f>IF(AND(feasible_mat!L3, VLOOKUP($A45,'20Trips'!$A$24:$G$26, 3,FALSE)=VLOOKUP(M$1,'20Trips'!$A$3:$I$22,3,FALSE),VLOOKUP(M$1,'20Trips'!$A$3:$I$22,8,FALSE)-VLOOKUP($B45,'20Trips'!$A$3:$I$22, 9,FALSE) &gt;= (50+10)),1,0)</f>
        <v>0</v>
      </c>
      <c r="N45" s="2">
        <f>IF(AND(feasible_mat!M3, VLOOKUP($A45,'20Trips'!$A$24:$G$26, 3,FALSE)=VLOOKUP(N$1,'20Trips'!$A$3:$I$22,3,FALSE),VLOOKUP(N$1,'20Trips'!$A$3:$I$22,8,FALSE)-VLOOKUP($B45,'20Trips'!$A$3:$I$22, 9,FALSE) &gt;= (50+10)),1,0)</f>
        <v>0</v>
      </c>
      <c r="O45" s="2">
        <f>IF(AND(feasible_mat!N3, VLOOKUP($A45,'20Trips'!$A$24:$G$26, 3,FALSE)=VLOOKUP(O$1,'20Trips'!$A$3:$I$22,3,FALSE),VLOOKUP(O$1,'20Trips'!$A$3:$I$22,8,FALSE)-VLOOKUP($B45,'20Trips'!$A$3:$I$22, 9,FALSE) &gt;= (50+10)),1,0)</f>
        <v>0</v>
      </c>
      <c r="P45" s="2">
        <f>IF(AND(feasible_mat!O3, VLOOKUP($A45,'20Trips'!$A$24:$G$26, 3,FALSE)=VLOOKUP(P$1,'20Trips'!$A$3:$I$22,3,FALSE),VLOOKUP(P$1,'20Trips'!$A$3:$I$22,8,FALSE)-VLOOKUP($B45,'20Trips'!$A$3:$I$22, 9,FALSE) &gt;= (50+10)),1,0)</f>
        <v>0</v>
      </c>
      <c r="Q45" s="2">
        <f>IF(AND(feasible_mat!P3, VLOOKUP($A45,'20Trips'!$A$24:$G$26, 3,FALSE)=VLOOKUP(Q$1,'20Trips'!$A$3:$I$22,3,FALSE),VLOOKUP(Q$1,'20Trips'!$A$3:$I$22,8,FALSE)-VLOOKUP($B45,'20Trips'!$A$3:$I$22, 9,FALSE) &gt;= (50+10)),1,0)</f>
        <v>1</v>
      </c>
      <c r="R45" s="2">
        <f>IF(AND(feasible_mat!Q3, VLOOKUP($A45,'20Trips'!$A$24:$G$26, 3,FALSE)=VLOOKUP(R$1,'20Trips'!$A$3:$I$22,3,FALSE),VLOOKUP(R$1,'20Trips'!$A$3:$I$22,8,FALSE)-VLOOKUP($B45,'20Trips'!$A$3:$I$22, 9,FALSE) &gt;= (50+10)),1,0)</f>
        <v>1</v>
      </c>
      <c r="S45" s="2">
        <f>IF(AND(feasible_mat!R3, VLOOKUP($A45,'20Trips'!$A$24:$G$26, 3,FALSE)=VLOOKUP(S$1,'20Trips'!$A$3:$I$22,3,FALSE),VLOOKUP(S$1,'20Trips'!$A$3:$I$22,8,FALSE)-VLOOKUP($B45,'20Trips'!$A$3:$I$22, 9,FALSE) &gt;= (50+10)),1,0)</f>
        <v>0</v>
      </c>
      <c r="T45" s="2">
        <f>IF(AND(feasible_mat!S3, VLOOKUP($A45,'20Trips'!$A$24:$G$26, 3,FALSE)=VLOOKUP(T$1,'20Trips'!$A$3:$I$22,3,FALSE),VLOOKUP(T$1,'20Trips'!$A$3:$I$22,8,FALSE)-VLOOKUP($B45,'20Trips'!$A$3:$I$22, 9,FALSE) &gt;= (50+10)),1,0)</f>
        <v>0</v>
      </c>
      <c r="U45" s="2">
        <f>IF(AND(feasible_mat!T3, VLOOKUP($A45,'20Trips'!$A$24:$G$26, 3,FALSE)=VLOOKUP(U$1,'20Trips'!$A$3:$I$22,3,FALSE),VLOOKUP(U$1,'20Trips'!$A$3:$I$22,8,FALSE)-VLOOKUP($B45,'20Trips'!$A$3:$I$22, 9,FALSE) &gt;= (50+10)),1,0)</f>
        <v>0</v>
      </c>
      <c r="V45" s="2">
        <f>IF(AND(feasible_mat!U3, VLOOKUP($A45,'20Trips'!$A$24:$G$26, 3,FALSE)=VLOOKUP(V$1,'20Trips'!$A$3:$I$22,3,FALSE),VLOOKUP(V$1,'20Trips'!$A$3:$I$22,8,FALSE)-VLOOKUP($B45,'20Trips'!$A$3:$I$22, 9,FALSE) &gt;= (50+10)),1,0)</f>
        <v>0</v>
      </c>
      <c r="W45" s="2">
        <f>IF(AND(feasible_mat!V3, VLOOKUP($A45,'20Trips'!$A$24:$G$26, 3,FALSE)=VLOOKUP(W$1,'20Trips'!$A$3:$I$22,3,FALSE),VLOOKUP(W$1,'20Trips'!$A$3:$I$22,8,FALSE)-VLOOKUP($B45,'20Trips'!$A$3:$I$22, 9,FALSE) &gt;= (50+10)),1,0)</f>
        <v>0</v>
      </c>
    </row>
    <row r="46" spans="1:25" x14ac:dyDescent="0.25">
      <c r="A46" t="s">
        <v>67</v>
      </c>
      <c r="B46" t="s">
        <v>9</v>
      </c>
      <c r="C46">
        <v>0</v>
      </c>
      <c r="D46" s="2">
        <f>IF(AND(feasible_mat!C4, VLOOKUP($A46,'20Trips'!$A$24:$G$26, 3,FALSE)=VLOOKUP(D$1,'20Trips'!$A$3:$I$22,3,FALSE),VLOOKUP(D$1,'20Trips'!$A$3:$I$22,8,FALSE)-VLOOKUP($B46,'20Trips'!$A$3:$I$22, 9,FALSE) &gt;= (50+10)),1,0)</f>
        <v>0</v>
      </c>
      <c r="E46" s="2">
        <f>IF(AND(feasible_mat!D4, VLOOKUP($A46,'20Trips'!$A$24:$G$26, 3,FALSE)=VLOOKUP(E$1,'20Trips'!$A$3:$I$22,3,FALSE),VLOOKUP(E$1,'20Trips'!$A$3:$I$22,8,FALSE)-VLOOKUP($B46,'20Trips'!$A$3:$I$22, 9,FALSE) &gt;= (50+10)),1,0)</f>
        <v>0</v>
      </c>
      <c r="F46" s="2">
        <f>IF(AND(feasible_mat!E4, VLOOKUP($A46,'20Trips'!$A$24:$G$26, 3,FALSE)=VLOOKUP(F$1,'20Trips'!$A$3:$I$22,3,FALSE),VLOOKUP(F$1,'20Trips'!$A$3:$I$22,8,FALSE)-VLOOKUP($B46,'20Trips'!$A$3:$I$22, 9,FALSE) &gt;= (50+10)),1,0)</f>
        <v>0</v>
      </c>
      <c r="G46" s="2">
        <f>IF(AND(feasible_mat!F4, VLOOKUP($A46,'20Trips'!$A$24:$G$26, 3,FALSE)=VLOOKUP(G$1,'20Trips'!$A$3:$I$22,3,FALSE),VLOOKUP(G$1,'20Trips'!$A$3:$I$22,8,FALSE)-VLOOKUP($B46,'20Trips'!$A$3:$I$22, 9,FALSE) &gt;= (50+10)),1,0)</f>
        <v>0</v>
      </c>
      <c r="H46" s="2">
        <f>IF(AND(feasible_mat!G4, VLOOKUP($A46,'20Trips'!$A$24:$G$26, 3,FALSE)=VLOOKUP(H$1,'20Trips'!$A$3:$I$22,3,FALSE),VLOOKUP(H$1,'20Trips'!$A$3:$I$22,8,FALSE)-VLOOKUP($B46,'20Trips'!$A$3:$I$22, 9,FALSE) &gt;= (50+10)),1,0)</f>
        <v>0</v>
      </c>
      <c r="I46" s="2">
        <f>IF(AND(feasible_mat!H4, VLOOKUP($A46,'20Trips'!$A$24:$G$26, 3,FALSE)=VLOOKUP(I$1,'20Trips'!$A$3:$I$22,3,FALSE),VLOOKUP(I$1,'20Trips'!$A$3:$I$22,8,FALSE)-VLOOKUP($B46,'20Trips'!$A$3:$I$22, 9,FALSE) &gt;= (50+10)),1,0)</f>
        <v>0</v>
      </c>
      <c r="J46" s="2">
        <f>IF(AND(feasible_mat!I4, VLOOKUP($A46,'20Trips'!$A$24:$G$26, 3,FALSE)=VLOOKUP(J$1,'20Trips'!$A$3:$I$22,3,FALSE),VLOOKUP(J$1,'20Trips'!$A$3:$I$22,8,FALSE)-VLOOKUP($B46,'20Trips'!$A$3:$I$22, 9,FALSE) &gt;= (50+10)),1,0)</f>
        <v>0</v>
      </c>
      <c r="K46" s="2">
        <f>IF(AND(feasible_mat!J4, VLOOKUP($A46,'20Trips'!$A$24:$G$26, 3,FALSE)=VLOOKUP(K$1,'20Trips'!$A$3:$I$22,3,FALSE),VLOOKUP(K$1,'20Trips'!$A$3:$I$22,8,FALSE)-VLOOKUP($B46,'20Trips'!$A$3:$I$22, 9,FALSE) &gt;= (50+10)),1,0)</f>
        <v>0</v>
      </c>
      <c r="L46" s="2">
        <f>IF(AND(feasible_mat!K4, VLOOKUP($A46,'20Trips'!$A$24:$G$26, 3,FALSE)=VLOOKUP(L$1,'20Trips'!$A$3:$I$22,3,FALSE),VLOOKUP(L$1,'20Trips'!$A$3:$I$22,8,FALSE)-VLOOKUP($B46,'20Trips'!$A$3:$I$22, 9,FALSE) &gt;= (50+10)),1,0)</f>
        <v>0</v>
      </c>
      <c r="M46" s="2">
        <f>IF(AND(feasible_mat!L4, VLOOKUP($A46,'20Trips'!$A$24:$G$26, 3,FALSE)=VLOOKUP(M$1,'20Trips'!$A$3:$I$22,3,FALSE),VLOOKUP(M$1,'20Trips'!$A$3:$I$22,8,FALSE)-VLOOKUP($B46,'20Trips'!$A$3:$I$22, 9,FALSE) &gt;= (50+10)),1,0)</f>
        <v>0</v>
      </c>
      <c r="N46" s="2">
        <f>IF(AND(feasible_mat!M4, VLOOKUP($A46,'20Trips'!$A$24:$G$26, 3,FALSE)=VLOOKUP(N$1,'20Trips'!$A$3:$I$22,3,FALSE),VLOOKUP(N$1,'20Trips'!$A$3:$I$22,8,FALSE)-VLOOKUP($B46,'20Trips'!$A$3:$I$22, 9,FALSE) &gt;= (50+10)),1,0)</f>
        <v>0</v>
      </c>
      <c r="O46" s="2">
        <f>IF(AND(feasible_mat!N4, VLOOKUP($A46,'20Trips'!$A$24:$G$26, 3,FALSE)=VLOOKUP(O$1,'20Trips'!$A$3:$I$22,3,FALSE),VLOOKUP(O$1,'20Trips'!$A$3:$I$22,8,FALSE)-VLOOKUP($B46,'20Trips'!$A$3:$I$22, 9,FALSE) &gt;= (50+10)),1,0)</f>
        <v>0</v>
      </c>
      <c r="P46" s="2">
        <f>IF(AND(feasible_mat!O4, VLOOKUP($A46,'20Trips'!$A$24:$G$26, 3,FALSE)=VLOOKUP(P$1,'20Trips'!$A$3:$I$22,3,FALSE),VLOOKUP(P$1,'20Trips'!$A$3:$I$22,8,FALSE)-VLOOKUP($B46,'20Trips'!$A$3:$I$22, 9,FALSE) &gt;= (50+10)),1,0)</f>
        <v>0</v>
      </c>
      <c r="Q46" s="2">
        <f>IF(AND(feasible_mat!P4, VLOOKUP($A46,'20Trips'!$A$24:$G$26, 3,FALSE)=VLOOKUP(Q$1,'20Trips'!$A$3:$I$22,3,FALSE),VLOOKUP(Q$1,'20Trips'!$A$3:$I$22,8,FALSE)-VLOOKUP($B46,'20Trips'!$A$3:$I$22, 9,FALSE) &gt;= (50+10)),1,0)</f>
        <v>0</v>
      </c>
      <c r="R46" s="2">
        <f>IF(AND(feasible_mat!Q4, VLOOKUP($A46,'20Trips'!$A$24:$G$26, 3,FALSE)=VLOOKUP(R$1,'20Trips'!$A$3:$I$22,3,FALSE),VLOOKUP(R$1,'20Trips'!$A$3:$I$22,8,FALSE)-VLOOKUP($B46,'20Trips'!$A$3:$I$22, 9,FALSE) &gt;= (50+10)),1,0)</f>
        <v>0</v>
      </c>
      <c r="S46" s="2">
        <f>IF(AND(feasible_mat!R4, VLOOKUP($A46,'20Trips'!$A$24:$G$26, 3,FALSE)=VLOOKUP(S$1,'20Trips'!$A$3:$I$22,3,FALSE),VLOOKUP(S$1,'20Trips'!$A$3:$I$22,8,FALSE)-VLOOKUP($B46,'20Trips'!$A$3:$I$22, 9,FALSE) &gt;= (50+10)),1,0)</f>
        <v>0</v>
      </c>
      <c r="T46" s="2">
        <f>IF(AND(feasible_mat!S4, VLOOKUP($A46,'20Trips'!$A$24:$G$26, 3,FALSE)=VLOOKUP(T$1,'20Trips'!$A$3:$I$22,3,FALSE),VLOOKUP(T$1,'20Trips'!$A$3:$I$22,8,FALSE)-VLOOKUP($B46,'20Trips'!$A$3:$I$22, 9,FALSE) &gt;= (50+10)),1,0)</f>
        <v>0</v>
      </c>
      <c r="U46" s="2">
        <f>IF(AND(feasible_mat!T4, VLOOKUP($A46,'20Trips'!$A$24:$G$26, 3,FALSE)=VLOOKUP(U$1,'20Trips'!$A$3:$I$22,3,FALSE),VLOOKUP(U$1,'20Trips'!$A$3:$I$22,8,FALSE)-VLOOKUP($B46,'20Trips'!$A$3:$I$22, 9,FALSE) &gt;= (50+10)),1,0)</f>
        <v>0</v>
      </c>
      <c r="V46" s="2">
        <f>IF(AND(feasible_mat!U4, VLOOKUP($A46,'20Trips'!$A$24:$G$26, 3,FALSE)=VLOOKUP(V$1,'20Trips'!$A$3:$I$22,3,FALSE),VLOOKUP(V$1,'20Trips'!$A$3:$I$22,8,FALSE)-VLOOKUP($B46,'20Trips'!$A$3:$I$22, 9,FALSE) &gt;= (50+10)),1,0)</f>
        <v>0</v>
      </c>
      <c r="W46" s="2">
        <f>IF(AND(feasible_mat!V4, VLOOKUP($A46,'20Trips'!$A$24:$G$26, 3,FALSE)=VLOOKUP(W$1,'20Trips'!$A$3:$I$22,3,FALSE),VLOOKUP(W$1,'20Trips'!$A$3:$I$22,8,FALSE)-VLOOKUP($B46,'20Trips'!$A$3:$I$22, 9,FALSE) &gt;= (50+10)),1,0)</f>
        <v>0</v>
      </c>
    </row>
    <row r="47" spans="1:25" x14ac:dyDescent="0.25">
      <c r="A47" t="s">
        <v>67</v>
      </c>
      <c r="B47" t="s">
        <v>10</v>
      </c>
      <c r="C47">
        <v>0</v>
      </c>
      <c r="D47" s="2">
        <f>IF(AND(feasible_mat!C5, VLOOKUP($A47,'20Trips'!$A$24:$G$26, 3,FALSE)=VLOOKUP(D$1,'20Trips'!$A$3:$I$22,3,FALSE),VLOOKUP(D$1,'20Trips'!$A$3:$I$22,8,FALSE)-VLOOKUP($B47,'20Trips'!$A$3:$I$22, 9,FALSE) &gt;= (50+10)),1,0)</f>
        <v>0</v>
      </c>
      <c r="E47" s="2">
        <f>IF(AND(feasible_mat!D5, VLOOKUP($A47,'20Trips'!$A$24:$G$26, 3,FALSE)=VLOOKUP(E$1,'20Trips'!$A$3:$I$22,3,FALSE),VLOOKUP(E$1,'20Trips'!$A$3:$I$22,8,FALSE)-VLOOKUP($B47,'20Trips'!$A$3:$I$22, 9,FALSE) &gt;= (50+10)),1,0)</f>
        <v>0</v>
      </c>
      <c r="F47" s="2">
        <f>IF(AND(feasible_mat!E5, VLOOKUP($A47,'20Trips'!$A$24:$G$26, 3,FALSE)=VLOOKUP(F$1,'20Trips'!$A$3:$I$22,3,FALSE),VLOOKUP(F$1,'20Trips'!$A$3:$I$22,8,FALSE)-VLOOKUP($B47,'20Trips'!$A$3:$I$22, 9,FALSE) &gt;= (50+10)),1,0)</f>
        <v>0</v>
      </c>
      <c r="G47" s="2">
        <f>IF(AND(feasible_mat!F5, VLOOKUP($A47,'20Trips'!$A$24:$G$26, 3,FALSE)=VLOOKUP(G$1,'20Trips'!$A$3:$I$22,3,FALSE),VLOOKUP(G$1,'20Trips'!$A$3:$I$22,8,FALSE)-VLOOKUP($B47,'20Trips'!$A$3:$I$22, 9,FALSE) &gt;= (50+10)),1,0)</f>
        <v>0</v>
      </c>
      <c r="H47" s="2">
        <f>IF(AND(feasible_mat!G5, VLOOKUP($A47,'20Trips'!$A$24:$G$26, 3,FALSE)=VLOOKUP(H$1,'20Trips'!$A$3:$I$22,3,FALSE),VLOOKUP(H$1,'20Trips'!$A$3:$I$22,8,FALSE)-VLOOKUP($B47,'20Trips'!$A$3:$I$22, 9,FALSE) &gt;= (50+10)),1,0)</f>
        <v>0</v>
      </c>
      <c r="I47" s="2">
        <f>IF(AND(feasible_mat!H5, VLOOKUP($A47,'20Trips'!$A$24:$G$26, 3,FALSE)=VLOOKUP(I$1,'20Trips'!$A$3:$I$22,3,FALSE),VLOOKUP(I$1,'20Trips'!$A$3:$I$22,8,FALSE)-VLOOKUP($B47,'20Trips'!$A$3:$I$22, 9,FALSE) &gt;= (50+10)),1,0)</f>
        <v>0</v>
      </c>
      <c r="J47" s="2">
        <f>IF(AND(feasible_mat!I5, VLOOKUP($A47,'20Trips'!$A$24:$G$26, 3,FALSE)=VLOOKUP(J$1,'20Trips'!$A$3:$I$22,3,FALSE),VLOOKUP(J$1,'20Trips'!$A$3:$I$22,8,FALSE)-VLOOKUP($B47,'20Trips'!$A$3:$I$22, 9,FALSE) &gt;= (50+10)),1,0)</f>
        <v>0</v>
      </c>
      <c r="K47" s="2">
        <f>IF(AND(feasible_mat!J5, VLOOKUP($A47,'20Trips'!$A$24:$G$26, 3,FALSE)=VLOOKUP(K$1,'20Trips'!$A$3:$I$22,3,FALSE),VLOOKUP(K$1,'20Trips'!$A$3:$I$22,8,FALSE)-VLOOKUP($B47,'20Trips'!$A$3:$I$22, 9,FALSE) &gt;= (50+10)),1,0)</f>
        <v>0</v>
      </c>
      <c r="L47" s="2">
        <f>IF(AND(feasible_mat!K5, VLOOKUP($A47,'20Trips'!$A$24:$G$26, 3,FALSE)=VLOOKUP(L$1,'20Trips'!$A$3:$I$22,3,FALSE),VLOOKUP(L$1,'20Trips'!$A$3:$I$22,8,FALSE)-VLOOKUP($B47,'20Trips'!$A$3:$I$22, 9,FALSE) &gt;= (50+10)),1,0)</f>
        <v>0</v>
      </c>
      <c r="M47" s="2">
        <f>IF(AND(feasible_mat!L5, VLOOKUP($A47,'20Trips'!$A$24:$G$26, 3,FALSE)=VLOOKUP(M$1,'20Trips'!$A$3:$I$22,3,FALSE),VLOOKUP(M$1,'20Trips'!$A$3:$I$22,8,FALSE)-VLOOKUP($B47,'20Trips'!$A$3:$I$22, 9,FALSE) &gt;= (50+10)),1,0)</f>
        <v>0</v>
      </c>
      <c r="N47" s="2">
        <f>IF(AND(feasible_mat!M5, VLOOKUP($A47,'20Trips'!$A$24:$G$26, 3,FALSE)=VLOOKUP(N$1,'20Trips'!$A$3:$I$22,3,FALSE),VLOOKUP(N$1,'20Trips'!$A$3:$I$22,8,FALSE)-VLOOKUP($B47,'20Trips'!$A$3:$I$22, 9,FALSE) &gt;= (50+10)),1,0)</f>
        <v>0</v>
      </c>
      <c r="O47" s="2">
        <f>IF(AND(feasible_mat!N5, VLOOKUP($A47,'20Trips'!$A$24:$G$26, 3,FALSE)=VLOOKUP(O$1,'20Trips'!$A$3:$I$22,3,FALSE),VLOOKUP(O$1,'20Trips'!$A$3:$I$22,8,FALSE)-VLOOKUP($B47,'20Trips'!$A$3:$I$22, 9,FALSE) &gt;= (50+10)),1,0)</f>
        <v>0</v>
      </c>
      <c r="P47" s="2">
        <f>IF(AND(feasible_mat!O5, VLOOKUP($A47,'20Trips'!$A$24:$G$26, 3,FALSE)=VLOOKUP(P$1,'20Trips'!$A$3:$I$22,3,FALSE),VLOOKUP(P$1,'20Trips'!$A$3:$I$22,8,FALSE)-VLOOKUP($B47,'20Trips'!$A$3:$I$22, 9,FALSE) &gt;= (50+10)),1,0)</f>
        <v>0</v>
      </c>
      <c r="Q47" s="2">
        <f>IF(AND(feasible_mat!P5, VLOOKUP($A47,'20Trips'!$A$24:$G$26, 3,FALSE)=VLOOKUP(Q$1,'20Trips'!$A$3:$I$22,3,FALSE),VLOOKUP(Q$1,'20Trips'!$A$3:$I$22,8,FALSE)-VLOOKUP($B47,'20Trips'!$A$3:$I$22, 9,FALSE) &gt;= (50+10)),1,0)</f>
        <v>0</v>
      </c>
      <c r="R47" s="2">
        <f>IF(AND(feasible_mat!Q5, VLOOKUP($A47,'20Trips'!$A$24:$G$26, 3,FALSE)=VLOOKUP(R$1,'20Trips'!$A$3:$I$22,3,FALSE),VLOOKUP(R$1,'20Trips'!$A$3:$I$22,8,FALSE)-VLOOKUP($B47,'20Trips'!$A$3:$I$22, 9,FALSE) &gt;= (50+10)),1,0)</f>
        <v>0</v>
      </c>
      <c r="S47" s="2">
        <f>IF(AND(feasible_mat!R5, VLOOKUP($A47,'20Trips'!$A$24:$G$26, 3,FALSE)=VLOOKUP(S$1,'20Trips'!$A$3:$I$22,3,FALSE),VLOOKUP(S$1,'20Trips'!$A$3:$I$22,8,FALSE)-VLOOKUP($B47,'20Trips'!$A$3:$I$22, 9,FALSE) &gt;= (50+10)),1,0)</f>
        <v>0</v>
      </c>
      <c r="T47" s="2">
        <f>IF(AND(feasible_mat!S5, VLOOKUP($A47,'20Trips'!$A$24:$G$26, 3,FALSE)=VLOOKUP(T$1,'20Trips'!$A$3:$I$22,3,FALSE),VLOOKUP(T$1,'20Trips'!$A$3:$I$22,8,FALSE)-VLOOKUP($B47,'20Trips'!$A$3:$I$22, 9,FALSE) &gt;= (50+10)),1,0)</f>
        <v>0</v>
      </c>
      <c r="U47" s="2">
        <f>IF(AND(feasible_mat!T5, VLOOKUP($A47,'20Trips'!$A$24:$G$26, 3,FALSE)=VLOOKUP(U$1,'20Trips'!$A$3:$I$22,3,FALSE),VLOOKUP(U$1,'20Trips'!$A$3:$I$22,8,FALSE)-VLOOKUP($B47,'20Trips'!$A$3:$I$22, 9,FALSE) &gt;= (50+10)),1,0)</f>
        <v>0</v>
      </c>
      <c r="V47" s="2">
        <f>IF(AND(feasible_mat!U5, VLOOKUP($A47,'20Trips'!$A$24:$G$26, 3,FALSE)=VLOOKUP(V$1,'20Trips'!$A$3:$I$22,3,FALSE),VLOOKUP(V$1,'20Trips'!$A$3:$I$22,8,FALSE)-VLOOKUP($B47,'20Trips'!$A$3:$I$22, 9,FALSE) &gt;= (50+10)),1,0)</f>
        <v>0</v>
      </c>
      <c r="W47" s="2">
        <f>IF(AND(feasible_mat!V5, VLOOKUP($A47,'20Trips'!$A$24:$G$26, 3,FALSE)=VLOOKUP(W$1,'20Trips'!$A$3:$I$22,3,FALSE),VLOOKUP(W$1,'20Trips'!$A$3:$I$22,8,FALSE)-VLOOKUP($B47,'20Trips'!$A$3:$I$22, 9,FALSE) &gt;= (50+10)),1,0)</f>
        <v>0</v>
      </c>
    </row>
    <row r="48" spans="1:25" x14ac:dyDescent="0.25">
      <c r="A48" t="s">
        <v>67</v>
      </c>
      <c r="B48" t="s">
        <v>11</v>
      </c>
      <c r="C48">
        <v>0</v>
      </c>
      <c r="D48" s="2">
        <f>IF(AND(feasible_mat!C6, VLOOKUP($A48,'20Trips'!$A$24:$G$26, 3,FALSE)=VLOOKUP(D$1,'20Trips'!$A$3:$I$22,3,FALSE),VLOOKUP(D$1,'20Trips'!$A$3:$I$22,8,FALSE)-VLOOKUP($B48,'20Trips'!$A$3:$I$22, 9,FALSE) &gt;= (50+10)),1,0)</f>
        <v>0</v>
      </c>
      <c r="E48" s="2">
        <f>IF(AND(feasible_mat!D6, VLOOKUP($A48,'20Trips'!$A$24:$G$26, 3,FALSE)=VLOOKUP(E$1,'20Trips'!$A$3:$I$22,3,FALSE),VLOOKUP(E$1,'20Trips'!$A$3:$I$22,8,FALSE)-VLOOKUP($B48,'20Trips'!$A$3:$I$22, 9,FALSE) &gt;= (50+10)),1,0)</f>
        <v>0</v>
      </c>
      <c r="F48" s="2">
        <f>IF(AND(feasible_mat!E6, VLOOKUP($A48,'20Trips'!$A$24:$G$26, 3,FALSE)=VLOOKUP(F$1,'20Trips'!$A$3:$I$22,3,FALSE),VLOOKUP(F$1,'20Trips'!$A$3:$I$22,8,FALSE)-VLOOKUP($B48,'20Trips'!$A$3:$I$22, 9,FALSE) &gt;= (50+10)),1,0)</f>
        <v>0</v>
      </c>
      <c r="G48" s="2">
        <f>IF(AND(feasible_mat!F6, VLOOKUP($A48,'20Trips'!$A$24:$G$26, 3,FALSE)=VLOOKUP(G$1,'20Trips'!$A$3:$I$22,3,FALSE),VLOOKUP(G$1,'20Trips'!$A$3:$I$22,8,FALSE)-VLOOKUP($B48,'20Trips'!$A$3:$I$22, 9,FALSE) &gt;= (50+10)),1,0)</f>
        <v>0</v>
      </c>
      <c r="H48" s="2">
        <f>IF(AND(feasible_mat!G6, VLOOKUP($A48,'20Trips'!$A$24:$G$26, 3,FALSE)=VLOOKUP(H$1,'20Trips'!$A$3:$I$22,3,FALSE),VLOOKUP(H$1,'20Trips'!$A$3:$I$22,8,FALSE)-VLOOKUP($B48,'20Trips'!$A$3:$I$22, 9,FALSE) &gt;= (50+10)),1,0)</f>
        <v>0</v>
      </c>
      <c r="I48" s="2">
        <f>IF(AND(feasible_mat!H6, VLOOKUP($A48,'20Trips'!$A$24:$G$26, 3,FALSE)=VLOOKUP(I$1,'20Trips'!$A$3:$I$22,3,FALSE),VLOOKUP(I$1,'20Trips'!$A$3:$I$22,8,FALSE)-VLOOKUP($B48,'20Trips'!$A$3:$I$22, 9,FALSE) &gt;= (50+10)),1,0)</f>
        <v>0</v>
      </c>
      <c r="J48" s="2">
        <f>IF(AND(feasible_mat!I6, VLOOKUP($A48,'20Trips'!$A$24:$G$26, 3,FALSE)=VLOOKUP(J$1,'20Trips'!$A$3:$I$22,3,FALSE),VLOOKUP(J$1,'20Trips'!$A$3:$I$22,8,FALSE)-VLOOKUP($B48,'20Trips'!$A$3:$I$22, 9,FALSE) &gt;= (50+10)),1,0)</f>
        <v>0</v>
      </c>
      <c r="K48" s="2">
        <f>IF(AND(feasible_mat!J6, VLOOKUP($A48,'20Trips'!$A$24:$G$26, 3,FALSE)=VLOOKUP(K$1,'20Trips'!$A$3:$I$22,3,FALSE),VLOOKUP(K$1,'20Trips'!$A$3:$I$22,8,FALSE)-VLOOKUP($B48,'20Trips'!$A$3:$I$22, 9,FALSE) &gt;= (50+10)),1,0)</f>
        <v>0</v>
      </c>
      <c r="L48" s="2">
        <f>IF(AND(feasible_mat!K6, VLOOKUP($A48,'20Trips'!$A$24:$G$26, 3,FALSE)=VLOOKUP(L$1,'20Trips'!$A$3:$I$22,3,FALSE),VLOOKUP(L$1,'20Trips'!$A$3:$I$22,8,FALSE)-VLOOKUP($B48,'20Trips'!$A$3:$I$22, 9,FALSE) &gt;= (50+10)),1,0)</f>
        <v>0</v>
      </c>
      <c r="M48" s="2">
        <f>IF(AND(feasible_mat!L6, VLOOKUP($A48,'20Trips'!$A$24:$G$26, 3,FALSE)=VLOOKUP(M$1,'20Trips'!$A$3:$I$22,3,FALSE),VLOOKUP(M$1,'20Trips'!$A$3:$I$22,8,FALSE)-VLOOKUP($B48,'20Trips'!$A$3:$I$22, 9,FALSE) &gt;= (50+10)),1,0)</f>
        <v>0</v>
      </c>
      <c r="N48" s="2">
        <f>IF(AND(feasible_mat!M6, VLOOKUP($A48,'20Trips'!$A$24:$G$26, 3,FALSE)=VLOOKUP(N$1,'20Trips'!$A$3:$I$22,3,FALSE),VLOOKUP(N$1,'20Trips'!$A$3:$I$22,8,FALSE)-VLOOKUP($B48,'20Trips'!$A$3:$I$22, 9,FALSE) &gt;= (50+10)),1,0)</f>
        <v>0</v>
      </c>
      <c r="O48" s="2">
        <f>IF(AND(feasible_mat!N6, VLOOKUP($A48,'20Trips'!$A$24:$G$26, 3,FALSE)=VLOOKUP(O$1,'20Trips'!$A$3:$I$22,3,FALSE),VLOOKUP(O$1,'20Trips'!$A$3:$I$22,8,FALSE)-VLOOKUP($B48,'20Trips'!$A$3:$I$22, 9,FALSE) &gt;= (50+10)),1,0)</f>
        <v>0</v>
      </c>
      <c r="P48" s="2">
        <f>IF(AND(feasible_mat!O6, VLOOKUP($A48,'20Trips'!$A$24:$G$26, 3,FALSE)=VLOOKUP(P$1,'20Trips'!$A$3:$I$22,3,FALSE),VLOOKUP(P$1,'20Trips'!$A$3:$I$22,8,FALSE)-VLOOKUP($B48,'20Trips'!$A$3:$I$22, 9,FALSE) &gt;= (50+10)),1,0)</f>
        <v>0</v>
      </c>
      <c r="Q48" s="2">
        <f>IF(AND(feasible_mat!P6, VLOOKUP($A48,'20Trips'!$A$24:$G$26, 3,FALSE)=VLOOKUP(Q$1,'20Trips'!$A$3:$I$22,3,FALSE),VLOOKUP(Q$1,'20Trips'!$A$3:$I$22,8,FALSE)-VLOOKUP($B48,'20Trips'!$A$3:$I$22, 9,FALSE) &gt;= (50+10)),1,0)</f>
        <v>0</v>
      </c>
      <c r="R48" s="2">
        <f>IF(AND(feasible_mat!Q6, VLOOKUP($A48,'20Trips'!$A$24:$G$26, 3,FALSE)=VLOOKUP(R$1,'20Trips'!$A$3:$I$22,3,FALSE),VLOOKUP(R$1,'20Trips'!$A$3:$I$22,8,FALSE)-VLOOKUP($B48,'20Trips'!$A$3:$I$22, 9,FALSE) &gt;= (50+10)),1,0)</f>
        <v>0</v>
      </c>
      <c r="S48" s="2">
        <f>IF(AND(feasible_mat!R6, VLOOKUP($A48,'20Trips'!$A$24:$G$26, 3,FALSE)=VLOOKUP(S$1,'20Trips'!$A$3:$I$22,3,FALSE),VLOOKUP(S$1,'20Trips'!$A$3:$I$22,8,FALSE)-VLOOKUP($B48,'20Trips'!$A$3:$I$22, 9,FALSE) &gt;= (50+10)),1,0)</f>
        <v>0</v>
      </c>
      <c r="T48" s="2">
        <f>IF(AND(feasible_mat!S6, VLOOKUP($A48,'20Trips'!$A$24:$G$26, 3,FALSE)=VLOOKUP(T$1,'20Trips'!$A$3:$I$22,3,FALSE),VLOOKUP(T$1,'20Trips'!$A$3:$I$22,8,FALSE)-VLOOKUP($B48,'20Trips'!$A$3:$I$22, 9,FALSE) &gt;= (50+10)),1,0)</f>
        <v>0</v>
      </c>
      <c r="U48" s="2">
        <f>IF(AND(feasible_mat!T6, VLOOKUP($A48,'20Trips'!$A$24:$G$26, 3,FALSE)=VLOOKUP(U$1,'20Trips'!$A$3:$I$22,3,FALSE),VLOOKUP(U$1,'20Trips'!$A$3:$I$22,8,FALSE)-VLOOKUP($B48,'20Trips'!$A$3:$I$22, 9,FALSE) &gt;= (50+10)),1,0)</f>
        <v>0</v>
      </c>
      <c r="V48" s="2">
        <f>IF(AND(feasible_mat!U6, VLOOKUP($A48,'20Trips'!$A$24:$G$26, 3,FALSE)=VLOOKUP(V$1,'20Trips'!$A$3:$I$22,3,FALSE),VLOOKUP(V$1,'20Trips'!$A$3:$I$22,8,FALSE)-VLOOKUP($B48,'20Trips'!$A$3:$I$22, 9,FALSE) &gt;= (50+10)),1,0)</f>
        <v>0</v>
      </c>
      <c r="W48" s="2">
        <f>IF(AND(feasible_mat!V6, VLOOKUP($A48,'20Trips'!$A$24:$G$26, 3,FALSE)=VLOOKUP(W$1,'20Trips'!$A$3:$I$22,3,FALSE),VLOOKUP(W$1,'20Trips'!$A$3:$I$22,8,FALSE)-VLOOKUP($B48,'20Trips'!$A$3:$I$22, 9,FALSE) &gt;= (50+10)),1,0)</f>
        <v>0</v>
      </c>
    </row>
    <row r="49" spans="1:23" x14ac:dyDescent="0.25">
      <c r="A49" t="s">
        <v>67</v>
      </c>
      <c r="B49" t="s">
        <v>12</v>
      </c>
      <c r="C49">
        <v>0</v>
      </c>
      <c r="D49" s="2">
        <f>IF(AND(feasible_mat!C7, VLOOKUP($A49,'20Trips'!$A$24:$G$26, 3,FALSE)=VLOOKUP(D$1,'20Trips'!$A$3:$I$22,3,FALSE),VLOOKUP(D$1,'20Trips'!$A$3:$I$22,8,FALSE)-VLOOKUP($B49,'20Trips'!$A$3:$I$22, 9,FALSE) &gt;= (50+10)),1,0)</f>
        <v>0</v>
      </c>
      <c r="E49" s="2">
        <f>IF(AND(feasible_mat!D7, VLOOKUP($A49,'20Trips'!$A$24:$G$26, 3,FALSE)=VLOOKUP(E$1,'20Trips'!$A$3:$I$22,3,FALSE),VLOOKUP(E$1,'20Trips'!$A$3:$I$22,8,FALSE)-VLOOKUP($B49,'20Trips'!$A$3:$I$22, 9,FALSE) &gt;= (50+10)),1,0)</f>
        <v>0</v>
      </c>
      <c r="F49" s="2">
        <f>IF(AND(feasible_mat!E7, VLOOKUP($A49,'20Trips'!$A$24:$G$26, 3,FALSE)=VLOOKUP(F$1,'20Trips'!$A$3:$I$22,3,FALSE),VLOOKUP(F$1,'20Trips'!$A$3:$I$22,8,FALSE)-VLOOKUP($B49,'20Trips'!$A$3:$I$22, 9,FALSE) &gt;= (50+10)),1,0)</f>
        <v>0</v>
      </c>
      <c r="G49" s="2">
        <f>IF(AND(feasible_mat!F7, VLOOKUP($A49,'20Trips'!$A$24:$G$26, 3,FALSE)=VLOOKUP(G$1,'20Trips'!$A$3:$I$22,3,FALSE),VLOOKUP(G$1,'20Trips'!$A$3:$I$22,8,FALSE)-VLOOKUP($B49,'20Trips'!$A$3:$I$22, 9,FALSE) &gt;= (50+10)),1,0)</f>
        <v>0</v>
      </c>
      <c r="H49" s="2">
        <f>IF(AND(feasible_mat!G7, VLOOKUP($A49,'20Trips'!$A$24:$G$26, 3,FALSE)=VLOOKUP(H$1,'20Trips'!$A$3:$I$22,3,FALSE),VLOOKUP(H$1,'20Trips'!$A$3:$I$22,8,FALSE)-VLOOKUP($B49,'20Trips'!$A$3:$I$22, 9,FALSE) &gt;= (50+10)),1,0)</f>
        <v>0</v>
      </c>
      <c r="I49" s="2">
        <f>IF(AND(feasible_mat!H7, VLOOKUP($A49,'20Trips'!$A$24:$G$26, 3,FALSE)=VLOOKUP(I$1,'20Trips'!$A$3:$I$22,3,FALSE),VLOOKUP(I$1,'20Trips'!$A$3:$I$22,8,FALSE)-VLOOKUP($B49,'20Trips'!$A$3:$I$22, 9,FALSE) &gt;= (50+10)),1,0)</f>
        <v>0</v>
      </c>
      <c r="J49" s="2">
        <f>IF(AND(feasible_mat!I7, VLOOKUP($A49,'20Trips'!$A$24:$G$26, 3,FALSE)=VLOOKUP(J$1,'20Trips'!$A$3:$I$22,3,FALSE),VLOOKUP(J$1,'20Trips'!$A$3:$I$22,8,FALSE)-VLOOKUP($B49,'20Trips'!$A$3:$I$22, 9,FALSE) &gt;= (50+10)),1,0)</f>
        <v>0</v>
      </c>
      <c r="K49" s="2">
        <f>IF(AND(feasible_mat!J7, VLOOKUP($A49,'20Trips'!$A$24:$G$26, 3,FALSE)=VLOOKUP(K$1,'20Trips'!$A$3:$I$22,3,FALSE),VLOOKUP(K$1,'20Trips'!$A$3:$I$22,8,FALSE)-VLOOKUP($B49,'20Trips'!$A$3:$I$22, 9,FALSE) &gt;= (50+10)),1,0)</f>
        <v>0</v>
      </c>
      <c r="L49" s="2">
        <f>IF(AND(feasible_mat!K7, VLOOKUP($A49,'20Trips'!$A$24:$G$26, 3,FALSE)=VLOOKUP(L$1,'20Trips'!$A$3:$I$22,3,FALSE),VLOOKUP(L$1,'20Trips'!$A$3:$I$22,8,FALSE)-VLOOKUP($B49,'20Trips'!$A$3:$I$22, 9,FALSE) &gt;= (50+10)),1,0)</f>
        <v>0</v>
      </c>
      <c r="M49" s="2">
        <f>IF(AND(feasible_mat!L7, VLOOKUP($A49,'20Trips'!$A$24:$G$26, 3,FALSE)=VLOOKUP(M$1,'20Trips'!$A$3:$I$22,3,FALSE),VLOOKUP(M$1,'20Trips'!$A$3:$I$22,8,FALSE)-VLOOKUP($B49,'20Trips'!$A$3:$I$22, 9,FALSE) &gt;= (50+10)),1,0)</f>
        <v>0</v>
      </c>
      <c r="N49" s="2">
        <f>IF(AND(feasible_mat!M7, VLOOKUP($A49,'20Trips'!$A$24:$G$26, 3,FALSE)=VLOOKUP(N$1,'20Trips'!$A$3:$I$22,3,FALSE),VLOOKUP(N$1,'20Trips'!$A$3:$I$22,8,FALSE)-VLOOKUP($B49,'20Trips'!$A$3:$I$22, 9,FALSE) &gt;= (50+10)),1,0)</f>
        <v>0</v>
      </c>
      <c r="O49" s="2">
        <f>IF(AND(feasible_mat!N7, VLOOKUP($A49,'20Trips'!$A$24:$G$26, 3,FALSE)=VLOOKUP(O$1,'20Trips'!$A$3:$I$22,3,FALSE),VLOOKUP(O$1,'20Trips'!$A$3:$I$22,8,FALSE)-VLOOKUP($B49,'20Trips'!$A$3:$I$22, 9,FALSE) &gt;= (50+10)),1,0)</f>
        <v>0</v>
      </c>
      <c r="P49" s="2">
        <f>IF(AND(feasible_mat!O7, VLOOKUP($A49,'20Trips'!$A$24:$G$26, 3,FALSE)=VLOOKUP(P$1,'20Trips'!$A$3:$I$22,3,FALSE),VLOOKUP(P$1,'20Trips'!$A$3:$I$22,8,FALSE)-VLOOKUP($B49,'20Trips'!$A$3:$I$22, 9,FALSE) &gt;= (50+10)),1,0)</f>
        <v>0</v>
      </c>
      <c r="Q49" s="2">
        <f>IF(AND(feasible_mat!P7, VLOOKUP($A49,'20Trips'!$A$24:$G$26, 3,FALSE)=VLOOKUP(Q$1,'20Trips'!$A$3:$I$22,3,FALSE),VLOOKUP(Q$1,'20Trips'!$A$3:$I$22,8,FALSE)-VLOOKUP($B49,'20Trips'!$A$3:$I$22, 9,FALSE) &gt;= (50+10)),1,0)</f>
        <v>0</v>
      </c>
      <c r="R49" s="2">
        <f>IF(AND(feasible_mat!Q7, VLOOKUP($A49,'20Trips'!$A$24:$G$26, 3,FALSE)=VLOOKUP(R$1,'20Trips'!$A$3:$I$22,3,FALSE),VLOOKUP(R$1,'20Trips'!$A$3:$I$22,8,FALSE)-VLOOKUP($B49,'20Trips'!$A$3:$I$22, 9,FALSE) &gt;= (50+10)),1,0)</f>
        <v>0</v>
      </c>
      <c r="S49" s="2">
        <f>IF(AND(feasible_mat!R7, VLOOKUP($A49,'20Trips'!$A$24:$G$26, 3,FALSE)=VLOOKUP(S$1,'20Trips'!$A$3:$I$22,3,FALSE),VLOOKUP(S$1,'20Trips'!$A$3:$I$22,8,FALSE)-VLOOKUP($B49,'20Trips'!$A$3:$I$22, 9,FALSE) &gt;= (50+10)),1,0)</f>
        <v>0</v>
      </c>
      <c r="T49" s="2">
        <f>IF(AND(feasible_mat!S7, VLOOKUP($A49,'20Trips'!$A$24:$G$26, 3,FALSE)=VLOOKUP(T$1,'20Trips'!$A$3:$I$22,3,FALSE),VLOOKUP(T$1,'20Trips'!$A$3:$I$22,8,FALSE)-VLOOKUP($B49,'20Trips'!$A$3:$I$22, 9,FALSE) &gt;= (50+10)),1,0)</f>
        <v>0</v>
      </c>
      <c r="U49" s="2">
        <f>IF(AND(feasible_mat!T7, VLOOKUP($A49,'20Trips'!$A$24:$G$26, 3,FALSE)=VLOOKUP(U$1,'20Trips'!$A$3:$I$22,3,FALSE),VLOOKUP(U$1,'20Trips'!$A$3:$I$22,8,FALSE)-VLOOKUP($B49,'20Trips'!$A$3:$I$22, 9,FALSE) &gt;= (50+10)),1,0)</f>
        <v>0</v>
      </c>
      <c r="V49" s="2">
        <f>IF(AND(feasible_mat!U7, VLOOKUP($A49,'20Trips'!$A$24:$G$26, 3,FALSE)=VLOOKUP(V$1,'20Trips'!$A$3:$I$22,3,FALSE),VLOOKUP(V$1,'20Trips'!$A$3:$I$22,8,FALSE)-VLOOKUP($B49,'20Trips'!$A$3:$I$22, 9,FALSE) &gt;= (50+10)),1,0)</f>
        <v>0</v>
      </c>
      <c r="W49" s="2">
        <f>IF(AND(feasible_mat!V7, VLOOKUP($A49,'20Trips'!$A$24:$G$26, 3,FALSE)=VLOOKUP(W$1,'20Trips'!$A$3:$I$22,3,FALSE),VLOOKUP(W$1,'20Trips'!$A$3:$I$22,8,FALSE)-VLOOKUP($B49,'20Trips'!$A$3:$I$22, 9,FALSE) &gt;= (50+10)),1,0)</f>
        <v>0</v>
      </c>
    </row>
    <row r="50" spans="1:23" x14ac:dyDescent="0.25">
      <c r="A50" t="s">
        <v>67</v>
      </c>
      <c r="B50" t="s">
        <v>18</v>
      </c>
      <c r="C50">
        <v>0</v>
      </c>
      <c r="D50" s="2">
        <f>IF(AND(feasible_mat!C8, VLOOKUP($A50,'20Trips'!$A$24:$G$26, 3,FALSE)=VLOOKUP(D$1,'20Trips'!$A$3:$I$22,3,FALSE),VLOOKUP(D$1,'20Trips'!$A$3:$I$22,8,FALSE)-VLOOKUP($B50,'20Trips'!$A$3:$I$22, 9,FALSE) &gt;= (50+10)),1,0)</f>
        <v>0</v>
      </c>
      <c r="E50" s="2">
        <f>IF(AND(feasible_mat!D8, VLOOKUP($A50,'20Trips'!$A$24:$G$26, 3,FALSE)=VLOOKUP(E$1,'20Trips'!$A$3:$I$22,3,FALSE),VLOOKUP(E$1,'20Trips'!$A$3:$I$22,8,FALSE)-VLOOKUP($B50,'20Trips'!$A$3:$I$22, 9,FALSE) &gt;= (50+10)),1,0)</f>
        <v>0</v>
      </c>
      <c r="F50" s="2">
        <f>IF(AND(feasible_mat!E8, VLOOKUP($A50,'20Trips'!$A$24:$G$26, 3,FALSE)=VLOOKUP(F$1,'20Trips'!$A$3:$I$22,3,FALSE),VLOOKUP(F$1,'20Trips'!$A$3:$I$22,8,FALSE)-VLOOKUP($B50,'20Trips'!$A$3:$I$22, 9,FALSE) &gt;= (50+10)),1,0)</f>
        <v>0</v>
      </c>
      <c r="G50" s="2">
        <f>IF(AND(feasible_mat!F8, VLOOKUP($A50,'20Trips'!$A$24:$G$26, 3,FALSE)=VLOOKUP(G$1,'20Trips'!$A$3:$I$22,3,FALSE),VLOOKUP(G$1,'20Trips'!$A$3:$I$22,8,FALSE)-VLOOKUP($B50,'20Trips'!$A$3:$I$22, 9,FALSE) &gt;= (50+10)),1,0)</f>
        <v>0</v>
      </c>
      <c r="H50" s="2">
        <f>IF(AND(feasible_mat!G8, VLOOKUP($A50,'20Trips'!$A$24:$G$26, 3,FALSE)=VLOOKUP(H$1,'20Trips'!$A$3:$I$22,3,FALSE),VLOOKUP(H$1,'20Trips'!$A$3:$I$22,8,FALSE)-VLOOKUP($B50,'20Trips'!$A$3:$I$22, 9,FALSE) &gt;= (50+10)),1,0)</f>
        <v>0</v>
      </c>
      <c r="I50" s="2">
        <f>IF(AND(feasible_mat!H8, VLOOKUP($A50,'20Trips'!$A$24:$G$26, 3,FALSE)=VLOOKUP(I$1,'20Trips'!$A$3:$I$22,3,FALSE),VLOOKUP(I$1,'20Trips'!$A$3:$I$22,8,FALSE)-VLOOKUP($B50,'20Trips'!$A$3:$I$22, 9,FALSE) &gt;= (50+10)),1,0)</f>
        <v>0</v>
      </c>
      <c r="J50" s="2">
        <f>IF(AND(feasible_mat!I8, VLOOKUP($A50,'20Trips'!$A$24:$G$26, 3,FALSE)=VLOOKUP(J$1,'20Trips'!$A$3:$I$22,3,FALSE),VLOOKUP(J$1,'20Trips'!$A$3:$I$22,8,FALSE)-VLOOKUP($B50,'20Trips'!$A$3:$I$22, 9,FALSE) &gt;= (50+10)),1,0)</f>
        <v>0</v>
      </c>
      <c r="K50" s="2">
        <f>IF(AND(feasible_mat!J8, VLOOKUP($A50,'20Trips'!$A$24:$G$26, 3,FALSE)=VLOOKUP(K$1,'20Trips'!$A$3:$I$22,3,FALSE),VLOOKUP(K$1,'20Trips'!$A$3:$I$22,8,FALSE)-VLOOKUP($B50,'20Trips'!$A$3:$I$22, 9,FALSE) &gt;= (50+10)),1,0)</f>
        <v>0</v>
      </c>
      <c r="L50" s="2">
        <f>IF(AND(feasible_mat!K8, VLOOKUP($A50,'20Trips'!$A$24:$G$26, 3,FALSE)=VLOOKUP(L$1,'20Trips'!$A$3:$I$22,3,FALSE),VLOOKUP(L$1,'20Trips'!$A$3:$I$22,8,FALSE)-VLOOKUP($B50,'20Trips'!$A$3:$I$22, 9,FALSE) &gt;= (50+10)),1,0)</f>
        <v>0</v>
      </c>
      <c r="M50" s="2">
        <f>IF(AND(feasible_mat!L8, VLOOKUP($A50,'20Trips'!$A$24:$G$26, 3,FALSE)=VLOOKUP(M$1,'20Trips'!$A$3:$I$22,3,FALSE),VLOOKUP(M$1,'20Trips'!$A$3:$I$22,8,FALSE)-VLOOKUP($B50,'20Trips'!$A$3:$I$22, 9,FALSE) &gt;= (50+10)),1,0)</f>
        <v>0</v>
      </c>
      <c r="N50" s="2">
        <f>IF(AND(feasible_mat!M8, VLOOKUP($A50,'20Trips'!$A$24:$G$26, 3,FALSE)=VLOOKUP(N$1,'20Trips'!$A$3:$I$22,3,FALSE),VLOOKUP(N$1,'20Trips'!$A$3:$I$22,8,FALSE)-VLOOKUP($B50,'20Trips'!$A$3:$I$22, 9,FALSE) &gt;= (50+10)),1,0)</f>
        <v>0</v>
      </c>
      <c r="O50" s="2">
        <f>IF(AND(feasible_mat!N8, VLOOKUP($A50,'20Trips'!$A$24:$G$26, 3,FALSE)=VLOOKUP(O$1,'20Trips'!$A$3:$I$22,3,FALSE),VLOOKUP(O$1,'20Trips'!$A$3:$I$22,8,FALSE)-VLOOKUP($B50,'20Trips'!$A$3:$I$22, 9,FALSE) &gt;= (50+10)),1,0)</f>
        <v>0</v>
      </c>
      <c r="P50" s="2">
        <f>IF(AND(feasible_mat!O8, VLOOKUP($A50,'20Trips'!$A$24:$G$26, 3,FALSE)=VLOOKUP(P$1,'20Trips'!$A$3:$I$22,3,FALSE),VLOOKUP(P$1,'20Trips'!$A$3:$I$22,8,FALSE)-VLOOKUP($B50,'20Trips'!$A$3:$I$22, 9,FALSE) &gt;= (50+10)),1,0)</f>
        <v>0</v>
      </c>
      <c r="Q50" s="2">
        <f>IF(AND(feasible_mat!P8, VLOOKUP($A50,'20Trips'!$A$24:$G$26, 3,FALSE)=VLOOKUP(Q$1,'20Trips'!$A$3:$I$22,3,FALSE),VLOOKUP(Q$1,'20Trips'!$A$3:$I$22,8,FALSE)-VLOOKUP($B50,'20Trips'!$A$3:$I$22, 9,FALSE) &gt;= (50+10)),1,0)</f>
        <v>1</v>
      </c>
      <c r="R50" s="2">
        <f>IF(AND(feasible_mat!Q8, VLOOKUP($A50,'20Trips'!$A$24:$G$26, 3,FALSE)=VLOOKUP(R$1,'20Trips'!$A$3:$I$22,3,FALSE),VLOOKUP(R$1,'20Trips'!$A$3:$I$22,8,FALSE)-VLOOKUP($B50,'20Trips'!$A$3:$I$22, 9,FALSE) &gt;= (50+10)),1,0)</f>
        <v>1</v>
      </c>
      <c r="S50" s="2">
        <f>IF(AND(feasible_mat!R8, VLOOKUP($A50,'20Trips'!$A$24:$G$26, 3,FALSE)=VLOOKUP(S$1,'20Trips'!$A$3:$I$22,3,FALSE),VLOOKUP(S$1,'20Trips'!$A$3:$I$22,8,FALSE)-VLOOKUP($B50,'20Trips'!$A$3:$I$22, 9,FALSE) &gt;= (50+10)),1,0)</f>
        <v>0</v>
      </c>
      <c r="T50" s="2">
        <f>IF(AND(feasible_mat!S8, VLOOKUP($A50,'20Trips'!$A$24:$G$26, 3,FALSE)=VLOOKUP(T$1,'20Trips'!$A$3:$I$22,3,FALSE),VLOOKUP(T$1,'20Trips'!$A$3:$I$22,8,FALSE)-VLOOKUP($B50,'20Trips'!$A$3:$I$22, 9,FALSE) &gt;= (50+10)),1,0)</f>
        <v>0</v>
      </c>
      <c r="U50" s="2">
        <f>IF(AND(feasible_mat!T8, VLOOKUP($A50,'20Trips'!$A$24:$G$26, 3,FALSE)=VLOOKUP(U$1,'20Trips'!$A$3:$I$22,3,FALSE),VLOOKUP(U$1,'20Trips'!$A$3:$I$22,8,FALSE)-VLOOKUP($B50,'20Trips'!$A$3:$I$22, 9,FALSE) &gt;= (50+10)),1,0)</f>
        <v>0</v>
      </c>
      <c r="V50" s="2">
        <f>IF(AND(feasible_mat!U8, VLOOKUP($A50,'20Trips'!$A$24:$G$26, 3,FALSE)=VLOOKUP(V$1,'20Trips'!$A$3:$I$22,3,FALSE),VLOOKUP(V$1,'20Trips'!$A$3:$I$22,8,FALSE)-VLOOKUP($B50,'20Trips'!$A$3:$I$22, 9,FALSE) &gt;= (50+10)),1,0)</f>
        <v>0</v>
      </c>
      <c r="W50" s="2">
        <f>IF(AND(feasible_mat!V8, VLOOKUP($A50,'20Trips'!$A$24:$G$26, 3,FALSE)=VLOOKUP(W$1,'20Trips'!$A$3:$I$22,3,FALSE),VLOOKUP(W$1,'20Trips'!$A$3:$I$22,8,FALSE)-VLOOKUP($B50,'20Trips'!$A$3:$I$22, 9,FALSE) &gt;= (50+10)),1,0)</f>
        <v>0</v>
      </c>
    </row>
    <row r="51" spans="1:23" x14ac:dyDescent="0.25">
      <c r="A51" t="s">
        <v>67</v>
      </c>
      <c r="B51" t="s">
        <v>20</v>
      </c>
      <c r="C51">
        <v>0</v>
      </c>
      <c r="D51" s="2">
        <f>IF(AND(feasible_mat!C9, VLOOKUP($A51,'20Trips'!$A$24:$G$26, 3,FALSE)=VLOOKUP(D$1,'20Trips'!$A$3:$I$22,3,FALSE),VLOOKUP(D$1,'20Trips'!$A$3:$I$22,8,FALSE)-VLOOKUP($B51,'20Trips'!$A$3:$I$22, 9,FALSE) &gt;= (50+10)),1,0)</f>
        <v>0</v>
      </c>
      <c r="E51" s="2">
        <f>IF(AND(feasible_mat!D9, VLOOKUP($A51,'20Trips'!$A$24:$G$26, 3,FALSE)=VLOOKUP(E$1,'20Trips'!$A$3:$I$22,3,FALSE),VLOOKUP(E$1,'20Trips'!$A$3:$I$22,8,FALSE)-VLOOKUP($B51,'20Trips'!$A$3:$I$22, 9,FALSE) &gt;= (50+10)),1,0)</f>
        <v>0</v>
      </c>
      <c r="F51" s="2">
        <f>IF(AND(feasible_mat!E9, VLOOKUP($A51,'20Trips'!$A$24:$G$26, 3,FALSE)=VLOOKUP(F$1,'20Trips'!$A$3:$I$22,3,FALSE),VLOOKUP(F$1,'20Trips'!$A$3:$I$22,8,FALSE)-VLOOKUP($B51,'20Trips'!$A$3:$I$22, 9,FALSE) &gt;= (50+10)),1,0)</f>
        <v>0</v>
      </c>
      <c r="G51" s="2">
        <f>IF(AND(feasible_mat!F9, VLOOKUP($A51,'20Trips'!$A$24:$G$26, 3,FALSE)=VLOOKUP(G$1,'20Trips'!$A$3:$I$22,3,FALSE),VLOOKUP(G$1,'20Trips'!$A$3:$I$22,8,FALSE)-VLOOKUP($B51,'20Trips'!$A$3:$I$22, 9,FALSE) &gt;= (50+10)),1,0)</f>
        <v>0</v>
      </c>
      <c r="H51" s="2">
        <f>IF(AND(feasible_mat!G9, VLOOKUP($A51,'20Trips'!$A$24:$G$26, 3,FALSE)=VLOOKUP(H$1,'20Trips'!$A$3:$I$22,3,FALSE),VLOOKUP(H$1,'20Trips'!$A$3:$I$22,8,FALSE)-VLOOKUP($B51,'20Trips'!$A$3:$I$22, 9,FALSE) &gt;= (50+10)),1,0)</f>
        <v>0</v>
      </c>
      <c r="I51" s="2">
        <f>IF(AND(feasible_mat!H9, VLOOKUP($A51,'20Trips'!$A$24:$G$26, 3,FALSE)=VLOOKUP(I$1,'20Trips'!$A$3:$I$22,3,FALSE),VLOOKUP(I$1,'20Trips'!$A$3:$I$22,8,FALSE)-VLOOKUP($B51,'20Trips'!$A$3:$I$22, 9,FALSE) &gt;= (50+10)),1,0)</f>
        <v>0</v>
      </c>
      <c r="J51" s="2">
        <f>IF(AND(feasible_mat!I9, VLOOKUP($A51,'20Trips'!$A$24:$G$26, 3,FALSE)=VLOOKUP(J$1,'20Trips'!$A$3:$I$22,3,FALSE),VLOOKUP(J$1,'20Trips'!$A$3:$I$22,8,FALSE)-VLOOKUP($B51,'20Trips'!$A$3:$I$22, 9,FALSE) &gt;= (50+10)),1,0)</f>
        <v>0</v>
      </c>
      <c r="K51" s="2">
        <f>IF(AND(feasible_mat!J9, VLOOKUP($A51,'20Trips'!$A$24:$G$26, 3,FALSE)=VLOOKUP(K$1,'20Trips'!$A$3:$I$22,3,FALSE),VLOOKUP(K$1,'20Trips'!$A$3:$I$22,8,FALSE)-VLOOKUP($B51,'20Trips'!$A$3:$I$22, 9,FALSE) &gt;= (50+10)),1,0)</f>
        <v>0</v>
      </c>
      <c r="L51" s="2">
        <f>IF(AND(feasible_mat!K9, VLOOKUP($A51,'20Trips'!$A$24:$G$26, 3,FALSE)=VLOOKUP(L$1,'20Trips'!$A$3:$I$22,3,FALSE),VLOOKUP(L$1,'20Trips'!$A$3:$I$22,8,FALSE)-VLOOKUP($B51,'20Trips'!$A$3:$I$22, 9,FALSE) &gt;= (50+10)),1,0)</f>
        <v>0</v>
      </c>
      <c r="M51" s="2">
        <f>IF(AND(feasible_mat!L9, VLOOKUP($A51,'20Trips'!$A$24:$G$26, 3,FALSE)=VLOOKUP(M$1,'20Trips'!$A$3:$I$22,3,FALSE),VLOOKUP(M$1,'20Trips'!$A$3:$I$22,8,FALSE)-VLOOKUP($B51,'20Trips'!$A$3:$I$22, 9,FALSE) &gt;= (50+10)),1,0)</f>
        <v>0</v>
      </c>
      <c r="N51" s="2">
        <f>IF(AND(feasible_mat!M9, VLOOKUP($A51,'20Trips'!$A$24:$G$26, 3,FALSE)=VLOOKUP(N$1,'20Trips'!$A$3:$I$22,3,FALSE),VLOOKUP(N$1,'20Trips'!$A$3:$I$22,8,FALSE)-VLOOKUP($B51,'20Trips'!$A$3:$I$22, 9,FALSE) &gt;= (50+10)),1,0)</f>
        <v>0</v>
      </c>
      <c r="O51" s="2">
        <f>IF(AND(feasible_mat!N9, VLOOKUP($A51,'20Trips'!$A$24:$G$26, 3,FALSE)=VLOOKUP(O$1,'20Trips'!$A$3:$I$22,3,FALSE),VLOOKUP(O$1,'20Trips'!$A$3:$I$22,8,FALSE)-VLOOKUP($B51,'20Trips'!$A$3:$I$22, 9,FALSE) &gt;= (50+10)),1,0)</f>
        <v>0</v>
      </c>
      <c r="P51" s="2">
        <f>IF(AND(feasible_mat!O9, VLOOKUP($A51,'20Trips'!$A$24:$G$26, 3,FALSE)=VLOOKUP(P$1,'20Trips'!$A$3:$I$22,3,FALSE),VLOOKUP(P$1,'20Trips'!$A$3:$I$22,8,FALSE)-VLOOKUP($B51,'20Trips'!$A$3:$I$22, 9,FALSE) &gt;= (50+10)),1,0)</f>
        <v>0</v>
      </c>
      <c r="Q51" s="2">
        <f>IF(AND(feasible_mat!P9, VLOOKUP($A51,'20Trips'!$A$24:$G$26, 3,FALSE)=VLOOKUP(Q$1,'20Trips'!$A$3:$I$22,3,FALSE),VLOOKUP(Q$1,'20Trips'!$A$3:$I$22,8,FALSE)-VLOOKUP($B51,'20Trips'!$A$3:$I$22, 9,FALSE) &gt;= (50+10)),1,0)</f>
        <v>0</v>
      </c>
      <c r="R51" s="2">
        <f>IF(AND(feasible_mat!Q9, VLOOKUP($A51,'20Trips'!$A$24:$G$26, 3,FALSE)=VLOOKUP(R$1,'20Trips'!$A$3:$I$22,3,FALSE),VLOOKUP(R$1,'20Trips'!$A$3:$I$22,8,FALSE)-VLOOKUP($B51,'20Trips'!$A$3:$I$22, 9,FALSE) &gt;= (50+10)),1,0)</f>
        <v>1</v>
      </c>
      <c r="S51" s="2">
        <f>IF(AND(feasible_mat!R9, VLOOKUP($A51,'20Trips'!$A$24:$G$26, 3,FALSE)=VLOOKUP(S$1,'20Trips'!$A$3:$I$22,3,FALSE),VLOOKUP(S$1,'20Trips'!$A$3:$I$22,8,FALSE)-VLOOKUP($B51,'20Trips'!$A$3:$I$22, 9,FALSE) &gt;= (50+10)),1,0)</f>
        <v>0</v>
      </c>
      <c r="T51" s="2">
        <f>IF(AND(feasible_mat!S9, VLOOKUP($A51,'20Trips'!$A$24:$G$26, 3,FALSE)=VLOOKUP(T$1,'20Trips'!$A$3:$I$22,3,FALSE),VLOOKUP(T$1,'20Trips'!$A$3:$I$22,8,FALSE)-VLOOKUP($B51,'20Trips'!$A$3:$I$22, 9,FALSE) &gt;= (50+10)),1,0)</f>
        <v>0</v>
      </c>
      <c r="U51" s="2">
        <f>IF(AND(feasible_mat!T9, VLOOKUP($A51,'20Trips'!$A$24:$G$26, 3,FALSE)=VLOOKUP(U$1,'20Trips'!$A$3:$I$22,3,FALSE),VLOOKUP(U$1,'20Trips'!$A$3:$I$22,8,FALSE)-VLOOKUP($B51,'20Trips'!$A$3:$I$22, 9,FALSE) &gt;= (50+10)),1,0)</f>
        <v>0</v>
      </c>
      <c r="V51" s="2">
        <f>IF(AND(feasible_mat!U9, VLOOKUP($A51,'20Trips'!$A$24:$G$26, 3,FALSE)=VLOOKUP(V$1,'20Trips'!$A$3:$I$22,3,FALSE),VLOOKUP(V$1,'20Trips'!$A$3:$I$22,8,FALSE)-VLOOKUP($B51,'20Trips'!$A$3:$I$22, 9,FALSE) &gt;= (50+10)),1,0)</f>
        <v>0</v>
      </c>
      <c r="W51" s="2">
        <f>IF(AND(feasible_mat!V9, VLOOKUP($A51,'20Trips'!$A$24:$G$26, 3,FALSE)=VLOOKUP(W$1,'20Trips'!$A$3:$I$22,3,FALSE),VLOOKUP(W$1,'20Trips'!$A$3:$I$22,8,FALSE)-VLOOKUP($B51,'20Trips'!$A$3:$I$22, 9,FALSE) &gt;= (50+10)),1,0)</f>
        <v>0</v>
      </c>
    </row>
    <row r="52" spans="1:23" x14ac:dyDescent="0.25">
      <c r="A52" t="s">
        <v>67</v>
      </c>
      <c r="B52" t="s">
        <v>21</v>
      </c>
      <c r="C52">
        <v>0</v>
      </c>
      <c r="D52" s="2">
        <f>IF(AND(feasible_mat!C10, VLOOKUP($A52,'20Trips'!$A$24:$G$26, 3,FALSE)=VLOOKUP(D$1,'20Trips'!$A$3:$I$22,3,FALSE),VLOOKUP(D$1,'20Trips'!$A$3:$I$22,8,FALSE)-VLOOKUP($B52,'20Trips'!$A$3:$I$22, 9,FALSE) &gt;= (50+10)),1,0)</f>
        <v>0</v>
      </c>
      <c r="E52" s="2">
        <f>IF(AND(feasible_mat!D10, VLOOKUP($A52,'20Trips'!$A$24:$G$26, 3,FALSE)=VLOOKUP(E$1,'20Trips'!$A$3:$I$22,3,FALSE),VLOOKUP(E$1,'20Trips'!$A$3:$I$22,8,FALSE)-VLOOKUP($B52,'20Trips'!$A$3:$I$22, 9,FALSE) &gt;= (50+10)),1,0)</f>
        <v>0</v>
      </c>
      <c r="F52" s="2">
        <f>IF(AND(feasible_mat!E10, VLOOKUP($A52,'20Trips'!$A$24:$G$26, 3,FALSE)=VLOOKUP(F$1,'20Trips'!$A$3:$I$22,3,FALSE),VLOOKUP(F$1,'20Trips'!$A$3:$I$22,8,FALSE)-VLOOKUP($B52,'20Trips'!$A$3:$I$22, 9,FALSE) &gt;= (50+10)),1,0)</f>
        <v>0</v>
      </c>
      <c r="G52" s="2">
        <f>IF(AND(feasible_mat!F10, VLOOKUP($A52,'20Trips'!$A$24:$G$26, 3,FALSE)=VLOOKUP(G$1,'20Trips'!$A$3:$I$22,3,FALSE),VLOOKUP(G$1,'20Trips'!$A$3:$I$22,8,FALSE)-VLOOKUP($B52,'20Trips'!$A$3:$I$22, 9,FALSE) &gt;= (50+10)),1,0)</f>
        <v>0</v>
      </c>
      <c r="H52" s="2">
        <f>IF(AND(feasible_mat!G10, VLOOKUP($A52,'20Trips'!$A$24:$G$26, 3,FALSE)=VLOOKUP(H$1,'20Trips'!$A$3:$I$22,3,FALSE),VLOOKUP(H$1,'20Trips'!$A$3:$I$22,8,FALSE)-VLOOKUP($B52,'20Trips'!$A$3:$I$22, 9,FALSE) &gt;= (50+10)),1,0)</f>
        <v>0</v>
      </c>
      <c r="I52" s="2">
        <f>IF(AND(feasible_mat!H10, VLOOKUP($A52,'20Trips'!$A$24:$G$26, 3,FALSE)=VLOOKUP(I$1,'20Trips'!$A$3:$I$22,3,FALSE),VLOOKUP(I$1,'20Trips'!$A$3:$I$22,8,FALSE)-VLOOKUP($B52,'20Trips'!$A$3:$I$22, 9,FALSE) &gt;= (50+10)),1,0)</f>
        <v>0</v>
      </c>
      <c r="J52" s="2">
        <f>IF(AND(feasible_mat!I10, VLOOKUP($A52,'20Trips'!$A$24:$G$26, 3,FALSE)=VLOOKUP(J$1,'20Trips'!$A$3:$I$22,3,FALSE),VLOOKUP(J$1,'20Trips'!$A$3:$I$22,8,FALSE)-VLOOKUP($B52,'20Trips'!$A$3:$I$22, 9,FALSE) &gt;= (50+10)),1,0)</f>
        <v>0</v>
      </c>
      <c r="K52" s="2">
        <f>IF(AND(feasible_mat!J10, VLOOKUP($A52,'20Trips'!$A$24:$G$26, 3,FALSE)=VLOOKUP(K$1,'20Trips'!$A$3:$I$22,3,FALSE),VLOOKUP(K$1,'20Trips'!$A$3:$I$22,8,FALSE)-VLOOKUP($B52,'20Trips'!$A$3:$I$22, 9,FALSE) &gt;= (50+10)),1,0)</f>
        <v>0</v>
      </c>
      <c r="L52" s="2">
        <f>IF(AND(feasible_mat!K10, VLOOKUP($A52,'20Trips'!$A$24:$G$26, 3,FALSE)=VLOOKUP(L$1,'20Trips'!$A$3:$I$22,3,FALSE),VLOOKUP(L$1,'20Trips'!$A$3:$I$22,8,FALSE)-VLOOKUP($B52,'20Trips'!$A$3:$I$22, 9,FALSE) &gt;= (50+10)),1,0)</f>
        <v>0</v>
      </c>
      <c r="M52" s="2">
        <f>IF(AND(feasible_mat!L10, VLOOKUP($A52,'20Trips'!$A$24:$G$26, 3,FALSE)=VLOOKUP(M$1,'20Trips'!$A$3:$I$22,3,FALSE),VLOOKUP(M$1,'20Trips'!$A$3:$I$22,8,FALSE)-VLOOKUP($B52,'20Trips'!$A$3:$I$22, 9,FALSE) &gt;= (50+10)),1,0)</f>
        <v>0</v>
      </c>
      <c r="N52" s="2">
        <f>IF(AND(feasible_mat!M10, VLOOKUP($A52,'20Trips'!$A$24:$G$26, 3,FALSE)=VLOOKUP(N$1,'20Trips'!$A$3:$I$22,3,FALSE),VLOOKUP(N$1,'20Trips'!$A$3:$I$22,8,FALSE)-VLOOKUP($B52,'20Trips'!$A$3:$I$22, 9,FALSE) &gt;= (50+10)),1,0)</f>
        <v>0</v>
      </c>
      <c r="O52" s="2">
        <f>IF(AND(feasible_mat!N10, VLOOKUP($A52,'20Trips'!$A$24:$G$26, 3,FALSE)=VLOOKUP(O$1,'20Trips'!$A$3:$I$22,3,FALSE),VLOOKUP(O$1,'20Trips'!$A$3:$I$22,8,FALSE)-VLOOKUP($B52,'20Trips'!$A$3:$I$22, 9,FALSE) &gt;= (50+10)),1,0)</f>
        <v>0</v>
      </c>
      <c r="P52" s="2">
        <f>IF(AND(feasible_mat!O10, VLOOKUP($A52,'20Trips'!$A$24:$G$26, 3,FALSE)=VLOOKUP(P$1,'20Trips'!$A$3:$I$22,3,FALSE),VLOOKUP(P$1,'20Trips'!$A$3:$I$22,8,FALSE)-VLOOKUP($B52,'20Trips'!$A$3:$I$22, 9,FALSE) &gt;= (50+10)),1,0)</f>
        <v>0</v>
      </c>
      <c r="Q52" s="2">
        <f>IF(AND(feasible_mat!P10, VLOOKUP($A52,'20Trips'!$A$24:$G$26, 3,FALSE)=VLOOKUP(Q$1,'20Trips'!$A$3:$I$22,3,FALSE),VLOOKUP(Q$1,'20Trips'!$A$3:$I$22,8,FALSE)-VLOOKUP($B52,'20Trips'!$A$3:$I$22, 9,FALSE) &gt;= (50+10)),1,0)</f>
        <v>0</v>
      </c>
      <c r="R52" s="2">
        <f>IF(AND(feasible_mat!Q10, VLOOKUP($A52,'20Trips'!$A$24:$G$26, 3,FALSE)=VLOOKUP(R$1,'20Trips'!$A$3:$I$22,3,FALSE),VLOOKUP(R$1,'20Trips'!$A$3:$I$22,8,FALSE)-VLOOKUP($B52,'20Trips'!$A$3:$I$22, 9,FALSE) &gt;= (50+10)),1,0)</f>
        <v>0</v>
      </c>
      <c r="S52" s="2">
        <f>IF(AND(feasible_mat!R10, VLOOKUP($A52,'20Trips'!$A$24:$G$26, 3,FALSE)=VLOOKUP(S$1,'20Trips'!$A$3:$I$22,3,FALSE),VLOOKUP(S$1,'20Trips'!$A$3:$I$22,8,FALSE)-VLOOKUP($B52,'20Trips'!$A$3:$I$22, 9,FALSE) &gt;= (50+10)),1,0)</f>
        <v>0</v>
      </c>
      <c r="T52" s="2">
        <f>IF(AND(feasible_mat!S10, VLOOKUP($A52,'20Trips'!$A$24:$G$26, 3,FALSE)=VLOOKUP(T$1,'20Trips'!$A$3:$I$22,3,FALSE),VLOOKUP(T$1,'20Trips'!$A$3:$I$22,8,FALSE)-VLOOKUP($B52,'20Trips'!$A$3:$I$22, 9,FALSE) &gt;= (50+10)),1,0)</f>
        <v>0</v>
      </c>
      <c r="U52" s="2">
        <f>IF(AND(feasible_mat!T10, VLOOKUP($A52,'20Trips'!$A$24:$G$26, 3,FALSE)=VLOOKUP(U$1,'20Trips'!$A$3:$I$22,3,FALSE),VLOOKUP(U$1,'20Trips'!$A$3:$I$22,8,FALSE)-VLOOKUP($B52,'20Trips'!$A$3:$I$22, 9,FALSE) &gt;= (50+10)),1,0)</f>
        <v>0</v>
      </c>
      <c r="V52" s="2">
        <f>IF(AND(feasible_mat!U10, VLOOKUP($A52,'20Trips'!$A$24:$G$26, 3,FALSE)=VLOOKUP(V$1,'20Trips'!$A$3:$I$22,3,FALSE),VLOOKUP(V$1,'20Trips'!$A$3:$I$22,8,FALSE)-VLOOKUP($B52,'20Trips'!$A$3:$I$22, 9,FALSE) &gt;= (50+10)),1,0)</f>
        <v>0</v>
      </c>
      <c r="W52" s="2">
        <f>IF(AND(feasible_mat!V10, VLOOKUP($A52,'20Trips'!$A$24:$G$26, 3,FALSE)=VLOOKUP(W$1,'20Trips'!$A$3:$I$22,3,FALSE),VLOOKUP(W$1,'20Trips'!$A$3:$I$22,8,FALSE)-VLOOKUP($B52,'20Trips'!$A$3:$I$22, 9,FALSE) &gt;= (50+10)),1,0)</f>
        <v>0</v>
      </c>
    </row>
    <row r="53" spans="1:23" x14ac:dyDescent="0.25">
      <c r="A53" t="s">
        <v>67</v>
      </c>
      <c r="B53" t="s">
        <v>22</v>
      </c>
      <c r="C53">
        <v>0</v>
      </c>
      <c r="D53" s="2">
        <f>IF(AND(feasible_mat!C11, VLOOKUP($A53,'20Trips'!$A$24:$G$26, 3,FALSE)=VLOOKUP(D$1,'20Trips'!$A$3:$I$22,3,FALSE),VLOOKUP(D$1,'20Trips'!$A$3:$I$22,8,FALSE)-VLOOKUP($B53,'20Trips'!$A$3:$I$22, 9,FALSE) &gt;= (50+10)),1,0)</f>
        <v>0</v>
      </c>
      <c r="E53" s="2">
        <f>IF(AND(feasible_mat!D11, VLOOKUP($A53,'20Trips'!$A$24:$G$26, 3,FALSE)=VLOOKUP(E$1,'20Trips'!$A$3:$I$22,3,FALSE),VLOOKUP(E$1,'20Trips'!$A$3:$I$22,8,FALSE)-VLOOKUP($B53,'20Trips'!$A$3:$I$22, 9,FALSE) &gt;= (50+10)),1,0)</f>
        <v>0</v>
      </c>
      <c r="F53" s="2">
        <f>IF(AND(feasible_mat!E11, VLOOKUP($A53,'20Trips'!$A$24:$G$26, 3,FALSE)=VLOOKUP(F$1,'20Trips'!$A$3:$I$22,3,FALSE),VLOOKUP(F$1,'20Trips'!$A$3:$I$22,8,FALSE)-VLOOKUP($B53,'20Trips'!$A$3:$I$22, 9,FALSE) &gt;= (50+10)),1,0)</f>
        <v>0</v>
      </c>
      <c r="G53" s="2">
        <f>IF(AND(feasible_mat!F11, VLOOKUP($A53,'20Trips'!$A$24:$G$26, 3,FALSE)=VLOOKUP(G$1,'20Trips'!$A$3:$I$22,3,FALSE),VLOOKUP(G$1,'20Trips'!$A$3:$I$22,8,FALSE)-VLOOKUP($B53,'20Trips'!$A$3:$I$22, 9,FALSE) &gt;= (50+10)),1,0)</f>
        <v>0</v>
      </c>
      <c r="H53" s="2">
        <f>IF(AND(feasible_mat!G11, VLOOKUP($A53,'20Trips'!$A$24:$G$26, 3,FALSE)=VLOOKUP(H$1,'20Trips'!$A$3:$I$22,3,FALSE),VLOOKUP(H$1,'20Trips'!$A$3:$I$22,8,FALSE)-VLOOKUP($B53,'20Trips'!$A$3:$I$22, 9,FALSE) &gt;= (50+10)),1,0)</f>
        <v>0</v>
      </c>
      <c r="I53" s="2">
        <f>IF(AND(feasible_mat!H11, VLOOKUP($A53,'20Trips'!$A$24:$G$26, 3,FALSE)=VLOOKUP(I$1,'20Trips'!$A$3:$I$22,3,FALSE),VLOOKUP(I$1,'20Trips'!$A$3:$I$22,8,FALSE)-VLOOKUP($B53,'20Trips'!$A$3:$I$22, 9,FALSE) &gt;= (50+10)),1,0)</f>
        <v>0</v>
      </c>
      <c r="J53" s="2">
        <f>IF(AND(feasible_mat!I11, VLOOKUP($A53,'20Trips'!$A$24:$G$26, 3,FALSE)=VLOOKUP(J$1,'20Trips'!$A$3:$I$22,3,FALSE),VLOOKUP(J$1,'20Trips'!$A$3:$I$22,8,FALSE)-VLOOKUP($B53,'20Trips'!$A$3:$I$22, 9,FALSE) &gt;= (50+10)),1,0)</f>
        <v>0</v>
      </c>
      <c r="K53" s="2">
        <f>IF(AND(feasible_mat!J11, VLOOKUP($A53,'20Trips'!$A$24:$G$26, 3,FALSE)=VLOOKUP(K$1,'20Trips'!$A$3:$I$22,3,FALSE),VLOOKUP(K$1,'20Trips'!$A$3:$I$22,8,FALSE)-VLOOKUP($B53,'20Trips'!$A$3:$I$22, 9,FALSE) &gt;= (50+10)),1,0)</f>
        <v>0</v>
      </c>
      <c r="L53" s="2">
        <f>IF(AND(feasible_mat!K11, VLOOKUP($A53,'20Trips'!$A$24:$G$26, 3,FALSE)=VLOOKUP(L$1,'20Trips'!$A$3:$I$22,3,FALSE),VLOOKUP(L$1,'20Trips'!$A$3:$I$22,8,FALSE)-VLOOKUP($B53,'20Trips'!$A$3:$I$22, 9,FALSE) &gt;= (50+10)),1,0)</f>
        <v>0</v>
      </c>
      <c r="M53" s="2">
        <f>IF(AND(feasible_mat!L11, VLOOKUP($A53,'20Trips'!$A$24:$G$26, 3,FALSE)=VLOOKUP(M$1,'20Trips'!$A$3:$I$22,3,FALSE),VLOOKUP(M$1,'20Trips'!$A$3:$I$22,8,FALSE)-VLOOKUP($B53,'20Trips'!$A$3:$I$22, 9,FALSE) &gt;= (50+10)),1,0)</f>
        <v>0</v>
      </c>
      <c r="N53" s="2">
        <f>IF(AND(feasible_mat!M11, VLOOKUP($A53,'20Trips'!$A$24:$G$26, 3,FALSE)=VLOOKUP(N$1,'20Trips'!$A$3:$I$22,3,FALSE),VLOOKUP(N$1,'20Trips'!$A$3:$I$22,8,FALSE)-VLOOKUP($B53,'20Trips'!$A$3:$I$22, 9,FALSE) &gt;= (50+10)),1,0)</f>
        <v>0</v>
      </c>
      <c r="O53" s="2">
        <f>IF(AND(feasible_mat!N11, VLOOKUP($A53,'20Trips'!$A$24:$G$26, 3,FALSE)=VLOOKUP(O$1,'20Trips'!$A$3:$I$22,3,FALSE),VLOOKUP(O$1,'20Trips'!$A$3:$I$22,8,FALSE)-VLOOKUP($B53,'20Trips'!$A$3:$I$22, 9,FALSE) &gt;= (50+10)),1,0)</f>
        <v>0</v>
      </c>
      <c r="P53" s="2">
        <f>IF(AND(feasible_mat!O11, VLOOKUP($A53,'20Trips'!$A$24:$G$26, 3,FALSE)=VLOOKUP(P$1,'20Trips'!$A$3:$I$22,3,FALSE),VLOOKUP(P$1,'20Trips'!$A$3:$I$22,8,FALSE)-VLOOKUP($B53,'20Trips'!$A$3:$I$22, 9,FALSE) &gt;= (50+10)),1,0)</f>
        <v>0</v>
      </c>
      <c r="Q53" s="2">
        <f>IF(AND(feasible_mat!P11, VLOOKUP($A53,'20Trips'!$A$24:$G$26, 3,FALSE)=VLOOKUP(Q$1,'20Trips'!$A$3:$I$22,3,FALSE),VLOOKUP(Q$1,'20Trips'!$A$3:$I$22,8,FALSE)-VLOOKUP($B53,'20Trips'!$A$3:$I$22, 9,FALSE) &gt;= (50+10)),1,0)</f>
        <v>0</v>
      </c>
      <c r="R53" s="2">
        <f>IF(AND(feasible_mat!Q11, VLOOKUP($A53,'20Trips'!$A$24:$G$26, 3,FALSE)=VLOOKUP(R$1,'20Trips'!$A$3:$I$22,3,FALSE),VLOOKUP(R$1,'20Trips'!$A$3:$I$22,8,FALSE)-VLOOKUP($B53,'20Trips'!$A$3:$I$22, 9,FALSE) &gt;= (50+10)),1,0)</f>
        <v>0</v>
      </c>
      <c r="S53" s="2">
        <f>IF(AND(feasible_mat!R11, VLOOKUP($A53,'20Trips'!$A$24:$G$26, 3,FALSE)=VLOOKUP(S$1,'20Trips'!$A$3:$I$22,3,FALSE),VLOOKUP(S$1,'20Trips'!$A$3:$I$22,8,FALSE)-VLOOKUP($B53,'20Trips'!$A$3:$I$22, 9,FALSE) &gt;= (50+10)),1,0)</f>
        <v>0</v>
      </c>
      <c r="T53" s="2">
        <f>IF(AND(feasible_mat!S11, VLOOKUP($A53,'20Trips'!$A$24:$G$26, 3,FALSE)=VLOOKUP(T$1,'20Trips'!$A$3:$I$22,3,FALSE),VLOOKUP(T$1,'20Trips'!$A$3:$I$22,8,FALSE)-VLOOKUP($B53,'20Trips'!$A$3:$I$22, 9,FALSE) &gt;= (50+10)),1,0)</f>
        <v>0</v>
      </c>
      <c r="U53" s="2">
        <f>IF(AND(feasible_mat!T11, VLOOKUP($A53,'20Trips'!$A$24:$G$26, 3,FALSE)=VLOOKUP(U$1,'20Trips'!$A$3:$I$22,3,FALSE),VLOOKUP(U$1,'20Trips'!$A$3:$I$22,8,FALSE)-VLOOKUP($B53,'20Trips'!$A$3:$I$22, 9,FALSE) &gt;= (50+10)),1,0)</f>
        <v>0</v>
      </c>
      <c r="V53" s="2">
        <f>IF(AND(feasible_mat!U11, VLOOKUP($A53,'20Trips'!$A$24:$G$26, 3,FALSE)=VLOOKUP(V$1,'20Trips'!$A$3:$I$22,3,FALSE),VLOOKUP(V$1,'20Trips'!$A$3:$I$22,8,FALSE)-VLOOKUP($B53,'20Trips'!$A$3:$I$22, 9,FALSE) &gt;= (50+10)),1,0)</f>
        <v>0</v>
      </c>
      <c r="W53" s="2">
        <f>IF(AND(feasible_mat!V11, VLOOKUP($A53,'20Trips'!$A$24:$G$26, 3,FALSE)=VLOOKUP(W$1,'20Trips'!$A$3:$I$22,3,FALSE),VLOOKUP(W$1,'20Trips'!$A$3:$I$22,8,FALSE)-VLOOKUP($B53,'20Trips'!$A$3:$I$22, 9,FALSE) &gt;= (50+10)),1,0)</f>
        <v>0</v>
      </c>
    </row>
    <row r="54" spans="1:23" x14ac:dyDescent="0.25">
      <c r="A54" t="s">
        <v>67</v>
      </c>
      <c r="B54" t="s">
        <v>23</v>
      </c>
      <c r="C54">
        <v>0</v>
      </c>
      <c r="D54" s="2">
        <f>IF(AND(feasible_mat!C12, VLOOKUP($A54,'20Trips'!$A$24:$G$26, 3,FALSE)=VLOOKUP(D$1,'20Trips'!$A$3:$I$22,3,FALSE),VLOOKUP(D$1,'20Trips'!$A$3:$I$22,8,FALSE)-VLOOKUP($B54,'20Trips'!$A$3:$I$22, 9,FALSE) &gt;= (50+10)),1,0)</f>
        <v>0</v>
      </c>
      <c r="E54" s="2">
        <f>IF(AND(feasible_mat!D12, VLOOKUP($A54,'20Trips'!$A$24:$G$26, 3,FALSE)=VLOOKUP(E$1,'20Trips'!$A$3:$I$22,3,FALSE),VLOOKUP(E$1,'20Trips'!$A$3:$I$22,8,FALSE)-VLOOKUP($B54,'20Trips'!$A$3:$I$22, 9,FALSE) &gt;= (50+10)),1,0)</f>
        <v>0</v>
      </c>
      <c r="F54" s="2">
        <f>IF(AND(feasible_mat!E12, VLOOKUP($A54,'20Trips'!$A$24:$G$26, 3,FALSE)=VLOOKUP(F$1,'20Trips'!$A$3:$I$22,3,FALSE),VLOOKUP(F$1,'20Trips'!$A$3:$I$22,8,FALSE)-VLOOKUP($B54,'20Trips'!$A$3:$I$22, 9,FALSE) &gt;= (50+10)),1,0)</f>
        <v>0</v>
      </c>
      <c r="G54" s="2">
        <f>IF(AND(feasible_mat!F12, VLOOKUP($A54,'20Trips'!$A$24:$G$26, 3,FALSE)=VLOOKUP(G$1,'20Trips'!$A$3:$I$22,3,FALSE),VLOOKUP(G$1,'20Trips'!$A$3:$I$22,8,FALSE)-VLOOKUP($B54,'20Trips'!$A$3:$I$22, 9,FALSE) &gt;= (50+10)),1,0)</f>
        <v>0</v>
      </c>
      <c r="H54" s="2">
        <f>IF(AND(feasible_mat!G12, VLOOKUP($A54,'20Trips'!$A$24:$G$26, 3,FALSE)=VLOOKUP(H$1,'20Trips'!$A$3:$I$22,3,FALSE),VLOOKUP(H$1,'20Trips'!$A$3:$I$22,8,FALSE)-VLOOKUP($B54,'20Trips'!$A$3:$I$22, 9,FALSE) &gt;= (50+10)),1,0)</f>
        <v>0</v>
      </c>
      <c r="I54" s="2">
        <f>IF(AND(feasible_mat!H12, VLOOKUP($A54,'20Trips'!$A$24:$G$26, 3,FALSE)=VLOOKUP(I$1,'20Trips'!$A$3:$I$22,3,FALSE),VLOOKUP(I$1,'20Trips'!$A$3:$I$22,8,FALSE)-VLOOKUP($B54,'20Trips'!$A$3:$I$22, 9,FALSE) &gt;= (50+10)),1,0)</f>
        <v>0</v>
      </c>
      <c r="J54" s="2">
        <f>IF(AND(feasible_mat!I12, VLOOKUP($A54,'20Trips'!$A$24:$G$26, 3,FALSE)=VLOOKUP(J$1,'20Trips'!$A$3:$I$22,3,FALSE),VLOOKUP(J$1,'20Trips'!$A$3:$I$22,8,FALSE)-VLOOKUP($B54,'20Trips'!$A$3:$I$22, 9,FALSE) &gt;= (50+10)),1,0)</f>
        <v>0</v>
      </c>
      <c r="K54" s="2">
        <f>IF(AND(feasible_mat!J12, VLOOKUP($A54,'20Trips'!$A$24:$G$26, 3,FALSE)=VLOOKUP(K$1,'20Trips'!$A$3:$I$22,3,FALSE),VLOOKUP(K$1,'20Trips'!$A$3:$I$22,8,FALSE)-VLOOKUP($B54,'20Trips'!$A$3:$I$22, 9,FALSE) &gt;= (50+10)),1,0)</f>
        <v>0</v>
      </c>
      <c r="L54" s="2">
        <f>IF(AND(feasible_mat!K12, VLOOKUP($A54,'20Trips'!$A$24:$G$26, 3,FALSE)=VLOOKUP(L$1,'20Trips'!$A$3:$I$22,3,FALSE),VLOOKUP(L$1,'20Trips'!$A$3:$I$22,8,FALSE)-VLOOKUP($B54,'20Trips'!$A$3:$I$22, 9,FALSE) &gt;= (50+10)),1,0)</f>
        <v>0</v>
      </c>
      <c r="M54" s="2">
        <f>IF(AND(feasible_mat!L12, VLOOKUP($A54,'20Trips'!$A$24:$G$26, 3,FALSE)=VLOOKUP(M$1,'20Trips'!$A$3:$I$22,3,FALSE),VLOOKUP(M$1,'20Trips'!$A$3:$I$22,8,FALSE)-VLOOKUP($B54,'20Trips'!$A$3:$I$22, 9,FALSE) &gt;= (50+10)),1,0)</f>
        <v>0</v>
      </c>
      <c r="N54" s="2">
        <f>IF(AND(feasible_mat!M12, VLOOKUP($A54,'20Trips'!$A$24:$G$26, 3,FALSE)=VLOOKUP(N$1,'20Trips'!$A$3:$I$22,3,FALSE),VLOOKUP(N$1,'20Trips'!$A$3:$I$22,8,FALSE)-VLOOKUP($B54,'20Trips'!$A$3:$I$22, 9,FALSE) &gt;= (50+10)),1,0)</f>
        <v>0</v>
      </c>
      <c r="O54" s="2">
        <f>IF(AND(feasible_mat!N12, VLOOKUP($A54,'20Trips'!$A$24:$G$26, 3,FALSE)=VLOOKUP(O$1,'20Trips'!$A$3:$I$22,3,FALSE),VLOOKUP(O$1,'20Trips'!$A$3:$I$22,8,FALSE)-VLOOKUP($B54,'20Trips'!$A$3:$I$22, 9,FALSE) &gt;= (50+10)),1,0)</f>
        <v>0</v>
      </c>
      <c r="P54" s="2">
        <f>IF(AND(feasible_mat!O12, VLOOKUP($A54,'20Trips'!$A$24:$G$26, 3,FALSE)=VLOOKUP(P$1,'20Trips'!$A$3:$I$22,3,FALSE),VLOOKUP(P$1,'20Trips'!$A$3:$I$22,8,FALSE)-VLOOKUP($B54,'20Trips'!$A$3:$I$22, 9,FALSE) &gt;= (50+10)),1,0)</f>
        <v>0</v>
      </c>
      <c r="Q54" s="2">
        <f>IF(AND(feasible_mat!P12, VLOOKUP($A54,'20Trips'!$A$24:$G$26, 3,FALSE)=VLOOKUP(Q$1,'20Trips'!$A$3:$I$22,3,FALSE),VLOOKUP(Q$1,'20Trips'!$A$3:$I$22,8,FALSE)-VLOOKUP($B54,'20Trips'!$A$3:$I$22, 9,FALSE) &gt;= (50+10)),1,0)</f>
        <v>0</v>
      </c>
      <c r="R54" s="2">
        <f>IF(AND(feasible_mat!Q12, VLOOKUP($A54,'20Trips'!$A$24:$G$26, 3,FALSE)=VLOOKUP(R$1,'20Trips'!$A$3:$I$22,3,FALSE),VLOOKUP(R$1,'20Trips'!$A$3:$I$22,8,FALSE)-VLOOKUP($B54,'20Trips'!$A$3:$I$22, 9,FALSE) &gt;= (50+10)),1,0)</f>
        <v>0</v>
      </c>
      <c r="S54" s="2">
        <f>IF(AND(feasible_mat!R12, VLOOKUP($A54,'20Trips'!$A$24:$G$26, 3,FALSE)=VLOOKUP(S$1,'20Trips'!$A$3:$I$22,3,FALSE),VLOOKUP(S$1,'20Trips'!$A$3:$I$22,8,FALSE)-VLOOKUP($B54,'20Trips'!$A$3:$I$22, 9,FALSE) &gt;= (50+10)),1,0)</f>
        <v>0</v>
      </c>
      <c r="T54" s="2">
        <f>IF(AND(feasible_mat!S12, VLOOKUP($A54,'20Trips'!$A$24:$G$26, 3,FALSE)=VLOOKUP(T$1,'20Trips'!$A$3:$I$22,3,FALSE),VLOOKUP(T$1,'20Trips'!$A$3:$I$22,8,FALSE)-VLOOKUP($B54,'20Trips'!$A$3:$I$22, 9,FALSE) &gt;= (50+10)),1,0)</f>
        <v>0</v>
      </c>
      <c r="U54" s="2">
        <f>IF(AND(feasible_mat!T12, VLOOKUP($A54,'20Trips'!$A$24:$G$26, 3,FALSE)=VLOOKUP(U$1,'20Trips'!$A$3:$I$22,3,FALSE),VLOOKUP(U$1,'20Trips'!$A$3:$I$22,8,FALSE)-VLOOKUP($B54,'20Trips'!$A$3:$I$22, 9,FALSE) &gt;= (50+10)),1,0)</f>
        <v>0</v>
      </c>
      <c r="V54" s="2">
        <f>IF(AND(feasible_mat!U12, VLOOKUP($A54,'20Trips'!$A$24:$G$26, 3,FALSE)=VLOOKUP(V$1,'20Trips'!$A$3:$I$22,3,FALSE),VLOOKUP(V$1,'20Trips'!$A$3:$I$22,8,FALSE)-VLOOKUP($B54,'20Trips'!$A$3:$I$22, 9,FALSE) &gt;= (50+10)),1,0)</f>
        <v>0</v>
      </c>
      <c r="W54" s="2">
        <f>IF(AND(feasible_mat!V12, VLOOKUP($A54,'20Trips'!$A$24:$G$26, 3,FALSE)=VLOOKUP(W$1,'20Trips'!$A$3:$I$22,3,FALSE),VLOOKUP(W$1,'20Trips'!$A$3:$I$22,8,FALSE)-VLOOKUP($B54,'20Trips'!$A$3:$I$22, 9,FALSE) &gt;= (50+10)),1,0)</f>
        <v>0</v>
      </c>
    </row>
    <row r="55" spans="1:23" x14ac:dyDescent="0.25">
      <c r="A55" t="s">
        <v>67</v>
      </c>
      <c r="B55" t="s">
        <v>26</v>
      </c>
      <c r="C55">
        <v>0</v>
      </c>
      <c r="D55" s="2">
        <f>IF(AND(feasible_mat!C13, VLOOKUP($A55,'20Trips'!$A$24:$G$26, 3,FALSE)=VLOOKUP(D$1,'20Trips'!$A$3:$I$22,3,FALSE),VLOOKUP(D$1,'20Trips'!$A$3:$I$22,8,FALSE)-VLOOKUP($B55,'20Trips'!$A$3:$I$22, 9,FALSE) &gt;= (50+10)),1,0)</f>
        <v>0</v>
      </c>
      <c r="E55" s="2">
        <f>IF(AND(feasible_mat!D13, VLOOKUP($A55,'20Trips'!$A$24:$G$26, 3,FALSE)=VLOOKUP(E$1,'20Trips'!$A$3:$I$22,3,FALSE),VLOOKUP(E$1,'20Trips'!$A$3:$I$22,8,FALSE)-VLOOKUP($B55,'20Trips'!$A$3:$I$22, 9,FALSE) &gt;= (50+10)),1,0)</f>
        <v>0</v>
      </c>
      <c r="F55" s="2">
        <f>IF(AND(feasible_mat!E13, VLOOKUP($A55,'20Trips'!$A$24:$G$26, 3,FALSE)=VLOOKUP(F$1,'20Trips'!$A$3:$I$22,3,FALSE),VLOOKUP(F$1,'20Trips'!$A$3:$I$22,8,FALSE)-VLOOKUP($B55,'20Trips'!$A$3:$I$22, 9,FALSE) &gt;= (50+10)),1,0)</f>
        <v>0</v>
      </c>
      <c r="G55" s="2">
        <f>IF(AND(feasible_mat!F13, VLOOKUP($A55,'20Trips'!$A$24:$G$26, 3,FALSE)=VLOOKUP(G$1,'20Trips'!$A$3:$I$22,3,FALSE),VLOOKUP(G$1,'20Trips'!$A$3:$I$22,8,FALSE)-VLOOKUP($B55,'20Trips'!$A$3:$I$22, 9,FALSE) &gt;= (50+10)),1,0)</f>
        <v>0</v>
      </c>
      <c r="H55" s="2">
        <f>IF(AND(feasible_mat!G13, VLOOKUP($A55,'20Trips'!$A$24:$G$26, 3,FALSE)=VLOOKUP(H$1,'20Trips'!$A$3:$I$22,3,FALSE),VLOOKUP(H$1,'20Trips'!$A$3:$I$22,8,FALSE)-VLOOKUP($B55,'20Trips'!$A$3:$I$22, 9,FALSE) &gt;= (50+10)),1,0)</f>
        <v>0</v>
      </c>
      <c r="I55" s="2">
        <f>IF(AND(feasible_mat!H13, VLOOKUP($A55,'20Trips'!$A$24:$G$26, 3,FALSE)=VLOOKUP(I$1,'20Trips'!$A$3:$I$22,3,FALSE),VLOOKUP(I$1,'20Trips'!$A$3:$I$22,8,FALSE)-VLOOKUP($B55,'20Trips'!$A$3:$I$22, 9,FALSE) &gt;= (50+10)),1,0)</f>
        <v>0</v>
      </c>
      <c r="J55" s="2">
        <f>IF(AND(feasible_mat!I13, VLOOKUP($A55,'20Trips'!$A$24:$G$26, 3,FALSE)=VLOOKUP(J$1,'20Trips'!$A$3:$I$22,3,FALSE),VLOOKUP(J$1,'20Trips'!$A$3:$I$22,8,FALSE)-VLOOKUP($B55,'20Trips'!$A$3:$I$22, 9,FALSE) &gt;= (50+10)),1,0)</f>
        <v>0</v>
      </c>
      <c r="K55" s="2">
        <f>IF(AND(feasible_mat!J13, VLOOKUP($A55,'20Trips'!$A$24:$G$26, 3,FALSE)=VLOOKUP(K$1,'20Trips'!$A$3:$I$22,3,FALSE),VLOOKUP(K$1,'20Trips'!$A$3:$I$22,8,FALSE)-VLOOKUP($B55,'20Trips'!$A$3:$I$22, 9,FALSE) &gt;= (50+10)),1,0)</f>
        <v>0</v>
      </c>
      <c r="L55" s="2">
        <f>IF(AND(feasible_mat!K13, VLOOKUP($A55,'20Trips'!$A$24:$G$26, 3,FALSE)=VLOOKUP(L$1,'20Trips'!$A$3:$I$22,3,FALSE),VLOOKUP(L$1,'20Trips'!$A$3:$I$22,8,FALSE)-VLOOKUP($B55,'20Trips'!$A$3:$I$22, 9,FALSE) &gt;= (50+10)),1,0)</f>
        <v>0</v>
      </c>
      <c r="M55" s="2">
        <f>IF(AND(feasible_mat!L13, VLOOKUP($A55,'20Trips'!$A$24:$G$26, 3,FALSE)=VLOOKUP(M$1,'20Trips'!$A$3:$I$22,3,FALSE),VLOOKUP(M$1,'20Trips'!$A$3:$I$22,8,FALSE)-VLOOKUP($B55,'20Trips'!$A$3:$I$22, 9,FALSE) &gt;= (50+10)),1,0)</f>
        <v>0</v>
      </c>
      <c r="N55" s="2">
        <f>IF(AND(feasible_mat!M13, VLOOKUP($A55,'20Trips'!$A$24:$G$26, 3,FALSE)=VLOOKUP(N$1,'20Trips'!$A$3:$I$22,3,FALSE),VLOOKUP(N$1,'20Trips'!$A$3:$I$22,8,FALSE)-VLOOKUP($B55,'20Trips'!$A$3:$I$22, 9,FALSE) &gt;= (50+10)),1,0)</f>
        <v>0</v>
      </c>
      <c r="O55" s="2">
        <f>IF(AND(feasible_mat!N13, VLOOKUP($A55,'20Trips'!$A$24:$G$26, 3,FALSE)=VLOOKUP(O$1,'20Trips'!$A$3:$I$22,3,FALSE),VLOOKUP(O$1,'20Trips'!$A$3:$I$22,8,FALSE)-VLOOKUP($B55,'20Trips'!$A$3:$I$22, 9,FALSE) &gt;= (50+10)),1,0)</f>
        <v>0</v>
      </c>
      <c r="P55" s="2">
        <f>IF(AND(feasible_mat!O13, VLOOKUP($A55,'20Trips'!$A$24:$G$26, 3,FALSE)=VLOOKUP(P$1,'20Trips'!$A$3:$I$22,3,FALSE),VLOOKUP(P$1,'20Trips'!$A$3:$I$22,8,FALSE)-VLOOKUP($B55,'20Trips'!$A$3:$I$22, 9,FALSE) &gt;= (50+10)),1,0)</f>
        <v>0</v>
      </c>
      <c r="Q55" s="2">
        <f>IF(AND(feasible_mat!P13, VLOOKUP($A55,'20Trips'!$A$24:$G$26, 3,FALSE)=VLOOKUP(Q$1,'20Trips'!$A$3:$I$22,3,FALSE),VLOOKUP(Q$1,'20Trips'!$A$3:$I$22,8,FALSE)-VLOOKUP($B55,'20Trips'!$A$3:$I$22, 9,FALSE) &gt;= (50+10)),1,0)</f>
        <v>1</v>
      </c>
      <c r="R55" s="2">
        <f>IF(AND(feasible_mat!Q13, VLOOKUP($A55,'20Trips'!$A$24:$G$26, 3,FALSE)=VLOOKUP(R$1,'20Trips'!$A$3:$I$22,3,FALSE),VLOOKUP(R$1,'20Trips'!$A$3:$I$22,8,FALSE)-VLOOKUP($B55,'20Trips'!$A$3:$I$22, 9,FALSE) &gt;= (50+10)),1,0)</f>
        <v>1</v>
      </c>
      <c r="S55" s="2">
        <f>IF(AND(feasible_mat!R13, VLOOKUP($A55,'20Trips'!$A$24:$G$26, 3,FALSE)=VLOOKUP(S$1,'20Trips'!$A$3:$I$22,3,FALSE),VLOOKUP(S$1,'20Trips'!$A$3:$I$22,8,FALSE)-VLOOKUP($B55,'20Trips'!$A$3:$I$22, 9,FALSE) &gt;= (50+10)),1,0)</f>
        <v>0</v>
      </c>
      <c r="T55" s="2">
        <f>IF(AND(feasible_mat!S13, VLOOKUP($A55,'20Trips'!$A$24:$G$26, 3,FALSE)=VLOOKUP(T$1,'20Trips'!$A$3:$I$22,3,FALSE),VLOOKUP(T$1,'20Trips'!$A$3:$I$22,8,FALSE)-VLOOKUP($B55,'20Trips'!$A$3:$I$22, 9,FALSE) &gt;= (50+10)),1,0)</f>
        <v>0</v>
      </c>
      <c r="U55" s="2">
        <f>IF(AND(feasible_mat!T13, VLOOKUP($A55,'20Trips'!$A$24:$G$26, 3,FALSE)=VLOOKUP(U$1,'20Trips'!$A$3:$I$22,3,FALSE),VLOOKUP(U$1,'20Trips'!$A$3:$I$22,8,FALSE)-VLOOKUP($B55,'20Trips'!$A$3:$I$22, 9,FALSE) &gt;= (50+10)),1,0)</f>
        <v>0</v>
      </c>
      <c r="V55" s="2">
        <f>IF(AND(feasible_mat!U13, VLOOKUP($A55,'20Trips'!$A$24:$G$26, 3,FALSE)=VLOOKUP(V$1,'20Trips'!$A$3:$I$22,3,FALSE),VLOOKUP(V$1,'20Trips'!$A$3:$I$22,8,FALSE)-VLOOKUP($B55,'20Trips'!$A$3:$I$22, 9,FALSE) &gt;= (50+10)),1,0)</f>
        <v>0</v>
      </c>
      <c r="W55" s="2">
        <f>IF(AND(feasible_mat!V13, VLOOKUP($A55,'20Trips'!$A$24:$G$26, 3,FALSE)=VLOOKUP(W$1,'20Trips'!$A$3:$I$22,3,FALSE),VLOOKUP(W$1,'20Trips'!$A$3:$I$22,8,FALSE)-VLOOKUP($B55,'20Trips'!$A$3:$I$22, 9,FALSE) &gt;= (50+10)),1,0)</f>
        <v>0</v>
      </c>
    </row>
    <row r="56" spans="1:23" x14ac:dyDescent="0.25">
      <c r="A56" t="s">
        <v>67</v>
      </c>
      <c r="B56" t="s">
        <v>27</v>
      </c>
      <c r="C56">
        <v>0</v>
      </c>
      <c r="D56" s="2">
        <f>IF(AND(feasible_mat!C14, VLOOKUP($A56,'20Trips'!$A$24:$G$26, 3,FALSE)=VLOOKUP(D$1,'20Trips'!$A$3:$I$22,3,FALSE),VLOOKUP(D$1,'20Trips'!$A$3:$I$22,8,FALSE)-VLOOKUP($B56,'20Trips'!$A$3:$I$22, 9,FALSE) &gt;= (50+10)),1,0)</f>
        <v>0</v>
      </c>
      <c r="E56" s="2">
        <f>IF(AND(feasible_mat!D14, VLOOKUP($A56,'20Trips'!$A$24:$G$26, 3,FALSE)=VLOOKUP(E$1,'20Trips'!$A$3:$I$22,3,FALSE),VLOOKUP(E$1,'20Trips'!$A$3:$I$22,8,FALSE)-VLOOKUP($B56,'20Trips'!$A$3:$I$22, 9,FALSE) &gt;= (50+10)),1,0)</f>
        <v>0</v>
      </c>
      <c r="F56" s="2">
        <f>IF(AND(feasible_mat!E14, VLOOKUP($A56,'20Trips'!$A$24:$G$26, 3,FALSE)=VLOOKUP(F$1,'20Trips'!$A$3:$I$22,3,FALSE),VLOOKUP(F$1,'20Trips'!$A$3:$I$22,8,FALSE)-VLOOKUP($B56,'20Trips'!$A$3:$I$22, 9,FALSE) &gt;= (50+10)),1,0)</f>
        <v>0</v>
      </c>
      <c r="G56" s="2">
        <f>IF(AND(feasible_mat!F14, VLOOKUP($A56,'20Trips'!$A$24:$G$26, 3,FALSE)=VLOOKUP(G$1,'20Trips'!$A$3:$I$22,3,FALSE),VLOOKUP(G$1,'20Trips'!$A$3:$I$22,8,FALSE)-VLOOKUP($B56,'20Trips'!$A$3:$I$22, 9,FALSE) &gt;= (50+10)),1,0)</f>
        <v>0</v>
      </c>
      <c r="H56" s="2">
        <f>IF(AND(feasible_mat!G14, VLOOKUP($A56,'20Trips'!$A$24:$G$26, 3,FALSE)=VLOOKUP(H$1,'20Trips'!$A$3:$I$22,3,FALSE),VLOOKUP(H$1,'20Trips'!$A$3:$I$22,8,FALSE)-VLOOKUP($B56,'20Trips'!$A$3:$I$22, 9,FALSE) &gt;= (50+10)),1,0)</f>
        <v>0</v>
      </c>
      <c r="I56" s="2">
        <f>IF(AND(feasible_mat!H14, VLOOKUP($A56,'20Trips'!$A$24:$G$26, 3,FALSE)=VLOOKUP(I$1,'20Trips'!$A$3:$I$22,3,FALSE),VLOOKUP(I$1,'20Trips'!$A$3:$I$22,8,FALSE)-VLOOKUP($B56,'20Trips'!$A$3:$I$22, 9,FALSE) &gt;= (50+10)),1,0)</f>
        <v>0</v>
      </c>
      <c r="J56" s="2">
        <f>IF(AND(feasible_mat!I14, VLOOKUP($A56,'20Trips'!$A$24:$G$26, 3,FALSE)=VLOOKUP(J$1,'20Trips'!$A$3:$I$22,3,FALSE),VLOOKUP(J$1,'20Trips'!$A$3:$I$22,8,FALSE)-VLOOKUP($B56,'20Trips'!$A$3:$I$22, 9,FALSE) &gt;= (50+10)),1,0)</f>
        <v>0</v>
      </c>
      <c r="K56" s="2">
        <f>IF(AND(feasible_mat!J14, VLOOKUP($A56,'20Trips'!$A$24:$G$26, 3,FALSE)=VLOOKUP(K$1,'20Trips'!$A$3:$I$22,3,FALSE),VLOOKUP(K$1,'20Trips'!$A$3:$I$22,8,FALSE)-VLOOKUP($B56,'20Trips'!$A$3:$I$22, 9,FALSE) &gt;= (50+10)),1,0)</f>
        <v>0</v>
      </c>
      <c r="L56" s="2">
        <f>IF(AND(feasible_mat!K14, VLOOKUP($A56,'20Trips'!$A$24:$G$26, 3,FALSE)=VLOOKUP(L$1,'20Trips'!$A$3:$I$22,3,FALSE),VLOOKUP(L$1,'20Trips'!$A$3:$I$22,8,FALSE)-VLOOKUP($B56,'20Trips'!$A$3:$I$22, 9,FALSE) &gt;= (50+10)),1,0)</f>
        <v>0</v>
      </c>
      <c r="M56" s="2">
        <f>IF(AND(feasible_mat!L14, VLOOKUP($A56,'20Trips'!$A$24:$G$26, 3,FALSE)=VLOOKUP(M$1,'20Trips'!$A$3:$I$22,3,FALSE),VLOOKUP(M$1,'20Trips'!$A$3:$I$22,8,FALSE)-VLOOKUP($B56,'20Trips'!$A$3:$I$22, 9,FALSE) &gt;= (50+10)),1,0)</f>
        <v>0</v>
      </c>
      <c r="N56" s="2">
        <f>IF(AND(feasible_mat!M14, VLOOKUP($A56,'20Trips'!$A$24:$G$26, 3,FALSE)=VLOOKUP(N$1,'20Trips'!$A$3:$I$22,3,FALSE),VLOOKUP(N$1,'20Trips'!$A$3:$I$22,8,FALSE)-VLOOKUP($B56,'20Trips'!$A$3:$I$22, 9,FALSE) &gt;= (50+10)),1,0)</f>
        <v>0</v>
      </c>
      <c r="O56" s="2">
        <f>IF(AND(feasible_mat!N14, VLOOKUP($A56,'20Trips'!$A$24:$G$26, 3,FALSE)=VLOOKUP(O$1,'20Trips'!$A$3:$I$22,3,FALSE),VLOOKUP(O$1,'20Trips'!$A$3:$I$22,8,FALSE)-VLOOKUP($B56,'20Trips'!$A$3:$I$22, 9,FALSE) &gt;= (50+10)),1,0)</f>
        <v>0</v>
      </c>
      <c r="P56" s="2">
        <f>IF(AND(feasible_mat!O14, VLOOKUP($A56,'20Trips'!$A$24:$G$26, 3,FALSE)=VLOOKUP(P$1,'20Trips'!$A$3:$I$22,3,FALSE),VLOOKUP(P$1,'20Trips'!$A$3:$I$22,8,FALSE)-VLOOKUP($B56,'20Trips'!$A$3:$I$22, 9,FALSE) &gt;= (50+10)),1,0)</f>
        <v>0</v>
      </c>
      <c r="Q56" s="2">
        <f>IF(AND(feasible_mat!P14, VLOOKUP($A56,'20Trips'!$A$24:$G$26, 3,FALSE)=VLOOKUP(Q$1,'20Trips'!$A$3:$I$22,3,FALSE),VLOOKUP(Q$1,'20Trips'!$A$3:$I$22,8,FALSE)-VLOOKUP($B56,'20Trips'!$A$3:$I$22, 9,FALSE) &gt;= (50+10)),1,0)</f>
        <v>0</v>
      </c>
      <c r="R56" s="2">
        <f>IF(AND(feasible_mat!Q14, VLOOKUP($A56,'20Trips'!$A$24:$G$26, 3,FALSE)=VLOOKUP(R$1,'20Trips'!$A$3:$I$22,3,FALSE),VLOOKUP(R$1,'20Trips'!$A$3:$I$22,8,FALSE)-VLOOKUP($B56,'20Trips'!$A$3:$I$22, 9,FALSE) &gt;= (50+10)),1,0)</f>
        <v>1</v>
      </c>
      <c r="S56" s="2">
        <f>IF(AND(feasible_mat!R14, VLOOKUP($A56,'20Trips'!$A$24:$G$26, 3,FALSE)=VLOOKUP(S$1,'20Trips'!$A$3:$I$22,3,FALSE),VLOOKUP(S$1,'20Trips'!$A$3:$I$22,8,FALSE)-VLOOKUP($B56,'20Trips'!$A$3:$I$22, 9,FALSE) &gt;= (50+10)),1,0)</f>
        <v>0</v>
      </c>
      <c r="T56" s="2">
        <f>IF(AND(feasible_mat!S14, VLOOKUP($A56,'20Trips'!$A$24:$G$26, 3,FALSE)=VLOOKUP(T$1,'20Trips'!$A$3:$I$22,3,FALSE),VLOOKUP(T$1,'20Trips'!$A$3:$I$22,8,FALSE)-VLOOKUP($B56,'20Trips'!$A$3:$I$22, 9,FALSE) &gt;= (50+10)),1,0)</f>
        <v>0</v>
      </c>
      <c r="U56" s="2">
        <f>IF(AND(feasible_mat!T14, VLOOKUP($A56,'20Trips'!$A$24:$G$26, 3,FALSE)=VLOOKUP(U$1,'20Trips'!$A$3:$I$22,3,FALSE),VLOOKUP(U$1,'20Trips'!$A$3:$I$22,8,FALSE)-VLOOKUP($B56,'20Trips'!$A$3:$I$22, 9,FALSE) &gt;= (50+10)),1,0)</f>
        <v>0</v>
      </c>
      <c r="V56" s="2">
        <f>IF(AND(feasible_mat!U14, VLOOKUP($A56,'20Trips'!$A$24:$G$26, 3,FALSE)=VLOOKUP(V$1,'20Trips'!$A$3:$I$22,3,FALSE),VLOOKUP(V$1,'20Trips'!$A$3:$I$22,8,FALSE)-VLOOKUP($B56,'20Trips'!$A$3:$I$22, 9,FALSE) &gt;= (50+10)),1,0)</f>
        <v>0</v>
      </c>
      <c r="W56" s="2">
        <f>IF(AND(feasible_mat!V14, VLOOKUP($A56,'20Trips'!$A$24:$G$26, 3,FALSE)=VLOOKUP(W$1,'20Trips'!$A$3:$I$22,3,FALSE),VLOOKUP(W$1,'20Trips'!$A$3:$I$22,8,FALSE)-VLOOKUP($B56,'20Trips'!$A$3:$I$22, 9,FALSE) &gt;= (50+10)),1,0)</f>
        <v>0</v>
      </c>
    </row>
    <row r="57" spans="1:23" x14ac:dyDescent="0.25">
      <c r="A57" t="s">
        <v>67</v>
      </c>
      <c r="B57" t="s">
        <v>28</v>
      </c>
      <c r="C57">
        <v>0</v>
      </c>
      <c r="D57" s="2">
        <f>IF(AND(feasible_mat!C15, VLOOKUP($A57,'20Trips'!$A$24:$G$26, 3,FALSE)=VLOOKUP(D$1,'20Trips'!$A$3:$I$22,3,FALSE),VLOOKUP(D$1,'20Trips'!$A$3:$I$22,8,FALSE)-VLOOKUP($B57,'20Trips'!$A$3:$I$22, 9,FALSE) &gt;= (50+10)),1,0)</f>
        <v>0</v>
      </c>
      <c r="E57" s="2">
        <f>IF(AND(feasible_mat!D15, VLOOKUP($A57,'20Trips'!$A$24:$G$26, 3,FALSE)=VLOOKUP(E$1,'20Trips'!$A$3:$I$22,3,FALSE),VLOOKUP(E$1,'20Trips'!$A$3:$I$22,8,FALSE)-VLOOKUP($B57,'20Trips'!$A$3:$I$22, 9,FALSE) &gt;= (50+10)),1,0)</f>
        <v>0</v>
      </c>
      <c r="F57" s="2">
        <f>IF(AND(feasible_mat!E15, VLOOKUP($A57,'20Trips'!$A$24:$G$26, 3,FALSE)=VLOOKUP(F$1,'20Trips'!$A$3:$I$22,3,FALSE),VLOOKUP(F$1,'20Trips'!$A$3:$I$22,8,FALSE)-VLOOKUP($B57,'20Trips'!$A$3:$I$22, 9,FALSE) &gt;= (50+10)),1,0)</f>
        <v>0</v>
      </c>
      <c r="G57" s="2">
        <f>IF(AND(feasible_mat!F15, VLOOKUP($A57,'20Trips'!$A$24:$G$26, 3,FALSE)=VLOOKUP(G$1,'20Trips'!$A$3:$I$22,3,FALSE),VLOOKUP(G$1,'20Trips'!$A$3:$I$22,8,FALSE)-VLOOKUP($B57,'20Trips'!$A$3:$I$22, 9,FALSE) &gt;= (50+10)),1,0)</f>
        <v>0</v>
      </c>
      <c r="H57" s="2">
        <f>IF(AND(feasible_mat!G15, VLOOKUP($A57,'20Trips'!$A$24:$G$26, 3,FALSE)=VLOOKUP(H$1,'20Trips'!$A$3:$I$22,3,FALSE),VLOOKUP(H$1,'20Trips'!$A$3:$I$22,8,FALSE)-VLOOKUP($B57,'20Trips'!$A$3:$I$22, 9,FALSE) &gt;= (50+10)),1,0)</f>
        <v>0</v>
      </c>
      <c r="I57" s="2">
        <f>IF(AND(feasible_mat!H15, VLOOKUP($A57,'20Trips'!$A$24:$G$26, 3,FALSE)=VLOOKUP(I$1,'20Trips'!$A$3:$I$22,3,FALSE),VLOOKUP(I$1,'20Trips'!$A$3:$I$22,8,FALSE)-VLOOKUP($B57,'20Trips'!$A$3:$I$22, 9,FALSE) &gt;= (50+10)),1,0)</f>
        <v>0</v>
      </c>
      <c r="J57" s="2">
        <f>IF(AND(feasible_mat!I15, VLOOKUP($A57,'20Trips'!$A$24:$G$26, 3,FALSE)=VLOOKUP(J$1,'20Trips'!$A$3:$I$22,3,FALSE),VLOOKUP(J$1,'20Trips'!$A$3:$I$22,8,FALSE)-VLOOKUP($B57,'20Trips'!$A$3:$I$22, 9,FALSE) &gt;= (50+10)),1,0)</f>
        <v>0</v>
      </c>
      <c r="K57" s="2">
        <f>IF(AND(feasible_mat!J15, VLOOKUP($A57,'20Trips'!$A$24:$G$26, 3,FALSE)=VLOOKUP(K$1,'20Trips'!$A$3:$I$22,3,FALSE),VLOOKUP(K$1,'20Trips'!$A$3:$I$22,8,FALSE)-VLOOKUP($B57,'20Trips'!$A$3:$I$22, 9,FALSE) &gt;= (50+10)),1,0)</f>
        <v>0</v>
      </c>
      <c r="L57" s="2">
        <f>IF(AND(feasible_mat!K15, VLOOKUP($A57,'20Trips'!$A$24:$G$26, 3,FALSE)=VLOOKUP(L$1,'20Trips'!$A$3:$I$22,3,FALSE),VLOOKUP(L$1,'20Trips'!$A$3:$I$22,8,FALSE)-VLOOKUP($B57,'20Trips'!$A$3:$I$22, 9,FALSE) &gt;= (50+10)),1,0)</f>
        <v>0</v>
      </c>
      <c r="M57" s="2">
        <f>IF(AND(feasible_mat!L15, VLOOKUP($A57,'20Trips'!$A$24:$G$26, 3,FALSE)=VLOOKUP(M$1,'20Trips'!$A$3:$I$22,3,FALSE),VLOOKUP(M$1,'20Trips'!$A$3:$I$22,8,FALSE)-VLOOKUP($B57,'20Trips'!$A$3:$I$22, 9,FALSE) &gt;= (50+10)),1,0)</f>
        <v>0</v>
      </c>
      <c r="N57" s="2">
        <f>IF(AND(feasible_mat!M15, VLOOKUP($A57,'20Trips'!$A$24:$G$26, 3,FALSE)=VLOOKUP(N$1,'20Trips'!$A$3:$I$22,3,FALSE),VLOOKUP(N$1,'20Trips'!$A$3:$I$22,8,FALSE)-VLOOKUP($B57,'20Trips'!$A$3:$I$22, 9,FALSE) &gt;= (50+10)),1,0)</f>
        <v>0</v>
      </c>
      <c r="O57" s="2">
        <f>IF(AND(feasible_mat!N15, VLOOKUP($A57,'20Trips'!$A$24:$G$26, 3,FALSE)=VLOOKUP(O$1,'20Trips'!$A$3:$I$22,3,FALSE),VLOOKUP(O$1,'20Trips'!$A$3:$I$22,8,FALSE)-VLOOKUP($B57,'20Trips'!$A$3:$I$22, 9,FALSE) &gt;= (50+10)),1,0)</f>
        <v>0</v>
      </c>
      <c r="P57" s="2">
        <f>IF(AND(feasible_mat!O15, VLOOKUP($A57,'20Trips'!$A$24:$G$26, 3,FALSE)=VLOOKUP(P$1,'20Trips'!$A$3:$I$22,3,FALSE),VLOOKUP(P$1,'20Trips'!$A$3:$I$22,8,FALSE)-VLOOKUP($B57,'20Trips'!$A$3:$I$22, 9,FALSE) &gt;= (50+10)),1,0)</f>
        <v>0</v>
      </c>
      <c r="Q57" s="2">
        <f>IF(AND(feasible_mat!P15, VLOOKUP($A57,'20Trips'!$A$24:$G$26, 3,FALSE)=VLOOKUP(Q$1,'20Trips'!$A$3:$I$22,3,FALSE),VLOOKUP(Q$1,'20Trips'!$A$3:$I$22,8,FALSE)-VLOOKUP($B57,'20Trips'!$A$3:$I$22, 9,FALSE) &gt;= (50+10)),1,0)</f>
        <v>0</v>
      </c>
      <c r="R57" s="2">
        <f>IF(AND(feasible_mat!Q15, VLOOKUP($A57,'20Trips'!$A$24:$G$26, 3,FALSE)=VLOOKUP(R$1,'20Trips'!$A$3:$I$22,3,FALSE),VLOOKUP(R$1,'20Trips'!$A$3:$I$22,8,FALSE)-VLOOKUP($B57,'20Trips'!$A$3:$I$22, 9,FALSE) &gt;= (50+10)),1,0)</f>
        <v>0</v>
      </c>
      <c r="S57" s="2">
        <f>IF(AND(feasible_mat!R15, VLOOKUP($A57,'20Trips'!$A$24:$G$26, 3,FALSE)=VLOOKUP(S$1,'20Trips'!$A$3:$I$22,3,FALSE),VLOOKUP(S$1,'20Trips'!$A$3:$I$22,8,FALSE)-VLOOKUP($B57,'20Trips'!$A$3:$I$22, 9,FALSE) &gt;= (50+10)),1,0)</f>
        <v>0</v>
      </c>
      <c r="T57" s="2">
        <f>IF(AND(feasible_mat!S15, VLOOKUP($A57,'20Trips'!$A$24:$G$26, 3,FALSE)=VLOOKUP(T$1,'20Trips'!$A$3:$I$22,3,FALSE),VLOOKUP(T$1,'20Trips'!$A$3:$I$22,8,FALSE)-VLOOKUP($B57,'20Trips'!$A$3:$I$22, 9,FALSE) &gt;= (50+10)),1,0)</f>
        <v>0</v>
      </c>
      <c r="U57" s="2">
        <f>IF(AND(feasible_mat!T15, VLOOKUP($A57,'20Trips'!$A$24:$G$26, 3,FALSE)=VLOOKUP(U$1,'20Trips'!$A$3:$I$22,3,FALSE),VLOOKUP(U$1,'20Trips'!$A$3:$I$22,8,FALSE)-VLOOKUP($B57,'20Trips'!$A$3:$I$22, 9,FALSE) &gt;= (50+10)),1,0)</f>
        <v>0</v>
      </c>
      <c r="V57" s="2">
        <f>IF(AND(feasible_mat!U15, VLOOKUP($A57,'20Trips'!$A$24:$G$26, 3,FALSE)=VLOOKUP(V$1,'20Trips'!$A$3:$I$22,3,FALSE),VLOOKUP(V$1,'20Trips'!$A$3:$I$22,8,FALSE)-VLOOKUP($B57,'20Trips'!$A$3:$I$22, 9,FALSE) &gt;= (50+10)),1,0)</f>
        <v>0</v>
      </c>
      <c r="W57" s="2">
        <f>IF(AND(feasible_mat!V15, VLOOKUP($A57,'20Trips'!$A$24:$G$26, 3,FALSE)=VLOOKUP(W$1,'20Trips'!$A$3:$I$22,3,FALSE),VLOOKUP(W$1,'20Trips'!$A$3:$I$22,8,FALSE)-VLOOKUP($B57,'20Trips'!$A$3:$I$22, 9,FALSE) &gt;= (50+10)),1,0)</f>
        <v>0</v>
      </c>
    </row>
    <row r="58" spans="1:23" x14ac:dyDescent="0.25">
      <c r="A58" t="s">
        <v>67</v>
      </c>
      <c r="B58" t="s">
        <v>29</v>
      </c>
      <c r="C58">
        <v>0</v>
      </c>
      <c r="D58" s="2">
        <f>IF(AND(feasible_mat!C16, VLOOKUP($A58,'20Trips'!$A$24:$G$26, 3,FALSE)=VLOOKUP(D$1,'20Trips'!$A$3:$I$22,3,FALSE),VLOOKUP(D$1,'20Trips'!$A$3:$I$22,8,FALSE)-VLOOKUP($B58,'20Trips'!$A$3:$I$22, 9,FALSE) &gt;= (50+10)),1,0)</f>
        <v>0</v>
      </c>
      <c r="E58" s="2">
        <f>IF(AND(feasible_mat!D16, VLOOKUP($A58,'20Trips'!$A$24:$G$26, 3,FALSE)=VLOOKUP(E$1,'20Trips'!$A$3:$I$22,3,FALSE),VLOOKUP(E$1,'20Trips'!$A$3:$I$22,8,FALSE)-VLOOKUP($B58,'20Trips'!$A$3:$I$22, 9,FALSE) &gt;= (50+10)),1,0)</f>
        <v>0</v>
      </c>
      <c r="F58" s="2">
        <f>IF(AND(feasible_mat!E16, VLOOKUP($A58,'20Trips'!$A$24:$G$26, 3,FALSE)=VLOOKUP(F$1,'20Trips'!$A$3:$I$22,3,FALSE),VLOOKUP(F$1,'20Trips'!$A$3:$I$22,8,FALSE)-VLOOKUP($B58,'20Trips'!$A$3:$I$22, 9,FALSE) &gt;= (50+10)),1,0)</f>
        <v>0</v>
      </c>
      <c r="G58" s="2">
        <f>IF(AND(feasible_mat!F16, VLOOKUP($A58,'20Trips'!$A$24:$G$26, 3,FALSE)=VLOOKUP(G$1,'20Trips'!$A$3:$I$22,3,FALSE),VLOOKUP(G$1,'20Trips'!$A$3:$I$22,8,FALSE)-VLOOKUP($B58,'20Trips'!$A$3:$I$22, 9,FALSE) &gt;= (50+10)),1,0)</f>
        <v>0</v>
      </c>
      <c r="H58" s="2">
        <f>IF(AND(feasible_mat!G16, VLOOKUP($A58,'20Trips'!$A$24:$G$26, 3,FALSE)=VLOOKUP(H$1,'20Trips'!$A$3:$I$22,3,FALSE),VLOOKUP(H$1,'20Trips'!$A$3:$I$22,8,FALSE)-VLOOKUP($B58,'20Trips'!$A$3:$I$22, 9,FALSE) &gt;= (50+10)),1,0)</f>
        <v>0</v>
      </c>
      <c r="I58" s="2">
        <f>IF(AND(feasible_mat!H16, VLOOKUP($A58,'20Trips'!$A$24:$G$26, 3,FALSE)=VLOOKUP(I$1,'20Trips'!$A$3:$I$22,3,FALSE),VLOOKUP(I$1,'20Trips'!$A$3:$I$22,8,FALSE)-VLOOKUP($B58,'20Trips'!$A$3:$I$22, 9,FALSE) &gt;= (50+10)),1,0)</f>
        <v>0</v>
      </c>
      <c r="J58" s="2">
        <f>IF(AND(feasible_mat!I16, VLOOKUP($A58,'20Trips'!$A$24:$G$26, 3,FALSE)=VLOOKUP(J$1,'20Trips'!$A$3:$I$22,3,FALSE),VLOOKUP(J$1,'20Trips'!$A$3:$I$22,8,FALSE)-VLOOKUP($B58,'20Trips'!$A$3:$I$22, 9,FALSE) &gt;= (50+10)),1,0)</f>
        <v>0</v>
      </c>
      <c r="K58" s="2">
        <f>IF(AND(feasible_mat!J16, VLOOKUP($A58,'20Trips'!$A$24:$G$26, 3,FALSE)=VLOOKUP(K$1,'20Trips'!$A$3:$I$22,3,FALSE),VLOOKUP(K$1,'20Trips'!$A$3:$I$22,8,FALSE)-VLOOKUP($B58,'20Trips'!$A$3:$I$22, 9,FALSE) &gt;= (50+10)),1,0)</f>
        <v>0</v>
      </c>
      <c r="L58" s="2">
        <f>IF(AND(feasible_mat!K16, VLOOKUP($A58,'20Trips'!$A$24:$G$26, 3,FALSE)=VLOOKUP(L$1,'20Trips'!$A$3:$I$22,3,FALSE),VLOOKUP(L$1,'20Trips'!$A$3:$I$22,8,FALSE)-VLOOKUP($B58,'20Trips'!$A$3:$I$22, 9,FALSE) &gt;= (50+10)),1,0)</f>
        <v>0</v>
      </c>
      <c r="M58" s="2">
        <f>IF(AND(feasible_mat!L16, VLOOKUP($A58,'20Trips'!$A$24:$G$26, 3,FALSE)=VLOOKUP(M$1,'20Trips'!$A$3:$I$22,3,FALSE),VLOOKUP(M$1,'20Trips'!$A$3:$I$22,8,FALSE)-VLOOKUP($B58,'20Trips'!$A$3:$I$22, 9,FALSE) &gt;= (50+10)),1,0)</f>
        <v>0</v>
      </c>
      <c r="N58" s="2">
        <f>IF(AND(feasible_mat!M16, VLOOKUP($A58,'20Trips'!$A$24:$G$26, 3,FALSE)=VLOOKUP(N$1,'20Trips'!$A$3:$I$22,3,FALSE),VLOOKUP(N$1,'20Trips'!$A$3:$I$22,8,FALSE)-VLOOKUP($B58,'20Trips'!$A$3:$I$22, 9,FALSE) &gt;= (50+10)),1,0)</f>
        <v>0</v>
      </c>
      <c r="O58" s="2">
        <f>IF(AND(feasible_mat!N16, VLOOKUP($A58,'20Trips'!$A$24:$G$26, 3,FALSE)=VLOOKUP(O$1,'20Trips'!$A$3:$I$22,3,FALSE),VLOOKUP(O$1,'20Trips'!$A$3:$I$22,8,FALSE)-VLOOKUP($B58,'20Trips'!$A$3:$I$22, 9,FALSE) &gt;= (50+10)),1,0)</f>
        <v>0</v>
      </c>
      <c r="P58" s="2">
        <f>IF(AND(feasible_mat!O16, VLOOKUP($A58,'20Trips'!$A$24:$G$26, 3,FALSE)=VLOOKUP(P$1,'20Trips'!$A$3:$I$22,3,FALSE),VLOOKUP(P$1,'20Trips'!$A$3:$I$22,8,FALSE)-VLOOKUP($B58,'20Trips'!$A$3:$I$22, 9,FALSE) &gt;= (50+10)),1,0)</f>
        <v>0</v>
      </c>
      <c r="Q58" s="2">
        <f>IF(AND(feasible_mat!P16, VLOOKUP($A58,'20Trips'!$A$24:$G$26, 3,FALSE)=VLOOKUP(Q$1,'20Trips'!$A$3:$I$22,3,FALSE),VLOOKUP(Q$1,'20Trips'!$A$3:$I$22,8,FALSE)-VLOOKUP($B58,'20Trips'!$A$3:$I$22, 9,FALSE) &gt;= (50+10)),1,0)</f>
        <v>0</v>
      </c>
      <c r="R58" s="2">
        <f>IF(AND(feasible_mat!Q16, VLOOKUP($A58,'20Trips'!$A$24:$G$26, 3,FALSE)=VLOOKUP(R$1,'20Trips'!$A$3:$I$22,3,FALSE),VLOOKUP(R$1,'20Trips'!$A$3:$I$22,8,FALSE)-VLOOKUP($B58,'20Trips'!$A$3:$I$22, 9,FALSE) &gt;= (50+10)),1,0)</f>
        <v>0</v>
      </c>
      <c r="S58" s="2">
        <f>IF(AND(feasible_mat!R16, VLOOKUP($A58,'20Trips'!$A$24:$G$26, 3,FALSE)=VLOOKUP(S$1,'20Trips'!$A$3:$I$22,3,FALSE),VLOOKUP(S$1,'20Trips'!$A$3:$I$22,8,FALSE)-VLOOKUP($B58,'20Trips'!$A$3:$I$22, 9,FALSE) &gt;= (50+10)),1,0)</f>
        <v>0</v>
      </c>
      <c r="T58" s="2">
        <f>IF(AND(feasible_mat!S16, VLOOKUP($A58,'20Trips'!$A$24:$G$26, 3,FALSE)=VLOOKUP(T$1,'20Trips'!$A$3:$I$22,3,FALSE),VLOOKUP(T$1,'20Trips'!$A$3:$I$22,8,FALSE)-VLOOKUP($B58,'20Trips'!$A$3:$I$22, 9,FALSE) &gt;= (50+10)),1,0)</f>
        <v>0</v>
      </c>
      <c r="U58" s="2">
        <f>IF(AND(feasible_mat!T16, VLOOKUP($A58,'20Trips'!$A$24:$G$26, 3,FALSE)=VLOOKUP(U$1,'20Trips'!$A$3:$I$22,3,FALSE),VLOOKUP(U$1,'20Trips'!$A$3:$I$22,8,FALSE)-VLOOKUP($B58,'20Trips'!$A$3:$I$22, 9,FALSE) &gt;= (50+10)),1,0)</f>
        <v>0</v>
      </c>
      <c r="V58" s="2">
        <f>IF(AND(feasible_mat!U16, VLOOKUP($A58,'20Trips'!$A$24:$G$26, 3,FALSE)=VLOOKUP(V$1,'20Trips'!$A$3:$I$22,3,FALSE),VLOOKUP(V$1,'20Trips'!$A$3:$I$22,8,FALSE)-VLOOKUP($B58,'20Trips'!$A$3:$I$22, 9,FALSE) &gt;= (50+10)),1,0)</f>
        <v>0</v>
      </c>
      <c r="W58" s="2">
        <f>IF(AND(feasible_mat!V16, VLOOKUP($A58,'20Trips'!$A$24:$G$26, 3,FALSE)=VLOOKUP(W$1,'20Trips'!$A$3:$I$22,3,FALSE),VLOOKUP(W$1,'20Trips'!$A$3:$I$22,8,FALSE)-VLOOKUP($B58,'20Trips'!$A$3:$I$22, 9,FALSE) &gt;= (50+10)),1,0)</f>
        <v>0</v>
      </c>
    </row>
    <row r="59" spans="1:23" x14ac:dyDescent="0.25">
      <c r="A59" t="s">
        <v>67</v>
      </c>
      <c r="B59" t="s">
        <v>30</v>
      </c>
      <c r="C59">
        <v>0</v>
      </c>
      <c r="D59" s="2">
        <f>IF(AND(feasible_mat!C17, VLOOKUP($A59,'20Trips'!$A$24:$G$26, 3,FALSE)=VLOOKUP(D$1,'20Trips'!$A$3:$I$22,3,FALSE),VLOOKUP(D$1,'20Trips'!$A$3:$I$22,8,FALSE)-VLOOKUP($B59,'20Trips'!$A$3:$I$22, 9,FALSE) &gt;= (50+10)),1,0)</f>
        <v>0</v>
      </c>
      <c r="E59" s="2">
        <f>IF(AND(feasible_mat!D17, VLOOKUP($A59,'20Trips'!$A$24:$G$26, 3,FALSE)=VLOOKUP(E$1,'20Trips'!$A$3:$I$22,3,FALSE),VLOOKUP(E$1,'20Trips'!$A$3:$I$22,8,FALSE)-VLOOKUP($B59,'20Trips'!$A$3:$I$22, 9,FALSE) &gt;= (50+10)),1,0)</f>
        <v>0</v>
      </c>
      <c r="F59" s="2">
        <f>IF(AND(feasible_mat!E17, VLOOKUP($A59,'20Trips'!$A$24:$G$26, 3,FALSE)=VLOOKUP(F$1,'20Trips'!$A$3:$I$22,3,FALSE),VLOOKUP(F$1,'20Trips'!$A$3:$I$22,8,FALSE)-VLOOKUP($B59,'20Trips'!$A$3:$I$22, 9,FALSE) &gt;= (50+10)),1,0)</f>
        <v>0</v>
      </c>
      <c r="G59" s="2">
        <f>IF(AND(feasible_mat!F17, VLOOKUP($A59,'20Trips'!$A$24:$G$26, 3,FALSE)=VLOOKUP(G$1,'20Trips'!$A$3:$I$22,3,FALSE),VLOOKUP(G$1,'20Trips'!$A$3:$I$22,8,FALSE)-VLOOKUP($B59,'20Trips'!$A$3:$I$22, 9,FALSE) &gt;= (50+10)),1,0)</f>
        <v>0</v>
      </c>
      <c r="H59" s="2">
        <f>IF(AND(feasible_mat!G17, VLOOKUP($A59,'20Trips'!$A$24:$G$26, 3,FALSE)=VLOOKUP(H$1,'20Trips'!$A$3:$I$22,3,FALSE),VLOOKUP(H$1,'20Trips'!$A$3:$I$22,8,FALSE)-VLOOKUP($B59,'20Trips'!$A$3:$I$22, 9,FALSE) &gt;= (50+10)),1,0)</f>
        <v>0</v>
      </c>
      <c r="I59" s="2">
        <f>IF(AND(feasible_mat!H17, VLOOKUP($A59,'20Trips'!$A$24:$G$26, 3,FALSE)=VLOOKUP(I$1,'20Trips'!$A$3:$I$22,3,FALSE),VLOOKUP(I$1,'20Trips'!$A$3:$I$22,8,FALSE)-VLOOKUP($B59,'20Trips'!$A$3:$I$22, 9,FALSE) &gt;= (50+10)),1,0)</f>
        <v>0</v>
      </c>
      <c r="J59" s="2">
        <f>IF(AND(feasible_mat!I17, VLOOKUP($A59,'20Trips'!$A$24:$G$26, 3,FALSE)=VLOOKUP(J$1,'20Trips'!$A$3:$I$22,3,FALSE),VLOOKUP(J$1,'20Trips'!$A$3:$I$22,8,FALSE)-VLOOKUP($B59,'20Trips'!$A$3:$I$22, 9,FALSE) &gt;= (50+10)),1,0)</f>
        <v>0</v>
      </c>
      <c r="K59" s="2">
        <f>IF(AND(feasible_mat!J17, VLOOKUP($A59,'20Trips'!$A$24:$G$26, 3,FALSE)=VLOOKUP(K$1,'20Trips'!$A$3:$I$22,3,FALSE),VLOOKUP(K$1,'20Trips'!$A$3:$I$22,8,FALSE)-VLOOKUP($B59,'20Trips'!$A$3:$I$22, 9,FALSE) &gt;= (50+10)),1,0)</f>
        <v>0</v>
      </c>
      <c r="L59" s="2">
        <f>IF(AND(feasible_mat!K17, VLOOKUP($A59,'20Trips'!$A$24:$G$26, 3,FALSE)=VLOOKUP(L$1,'20Trips'!$A$3:$I$22,3,FALSE),VLOOKUP(L$1,'20Trips'!$A$3:$I$22,8,FALSE)-VLOOKUP($B59,'20Trips'!$A$3:$I$22, 9,FALSE) &gt;= (50+10)),1,0)</f>
        <v>0</v>
      </c>
      <c r="M59" s="2">
        <f>IF(AND(feasible_mat!L17, VLOOKUP($A59,'20Trips'!$A$24:$G$26, 3,FALSE)=VLOOKUP(M$1,'20Trips'!$A$3:$I$22,3,FALSE),VLOOKUP(M$1,'20Trips'!$A$3:$I$22,8,FALSE)-VLOOKUP($B59,'20Trips'!$A$3:$I$22, 9,FALSE) &gt;= (50+10)),1,0)</f>
        <v>0</v>
      </c>
      <c r="N59" s="2">
        <f>IF(AND(feasible_mat!M17, VLOOKUP($A59,'20Trips'!$A$24:$G$26, 3,FALSE)=VLOOKUP(N$1,'20Trips'!$A$3:$I$22,3,FALSE),VLOOKUP(N$1,'20Trips'!$A$3:$I$22,8,FALSE)-VLOOKUP($B59,'20Trips'!$A$3:$I$22, 9,FALSE) &gt;= (50+10)),1,0)</f>
        <v>0</v>
      </c>
      <c r="O59" s="2">
        <f>IF(AND(feasible_mat!N17, VLOOKUP($A59,'20Trips'!$A$24:$G$26, 3,FALSE)=VLOOKUP(O$1,'20Trips'!$A$3:$I$22,3,FALSE),VLOOKUP(O$1,'20Trips'!$A$3:$I$22,8,FALSE)-VLOOKUP($B59,'20Trips'!$A$3:$I$22, 9,FALSE) &gt;= (50+10)),1,0)</f>
        <v>0</v>
      </c>
      <c r="P59" s="2">
        <f>IF(AND(feasible_mat!O17, VLOOKUP($A59,'20Trips'!$A$24:$G$26, 3,FALSE)=VLOOKUP(P$1,'20Trips'!$A$3:$I$22,3,FALSE),VLOOKUP(P$1,'20Trips'!$A$3:$I$22,8,FALSE)-VLOOKUP($B59,'20Trips'!$A$3:$I$22, 9,FALSE) &gt;= (50+10)),1,0)</f>
        <v>0</v>
      </c>
      <c r="Q59" s="2">
        <f>IF(AND(feasible_mat!P17, VLOOKUP($A59,'20Trips'!$A$24:$G$26, 3,FALSE)=VLOOKUP(Q$1,'20Trips'!$A$3:$I$22,3,FALSE),VLOOKUP(Q$1,'20Trips'!$A$3:$I$22,8,FALSE)-VLOOKUP($B59,'20Trips'!$A$3:$I$22, 9,FALSE) &gt;= (50+10)),1,0)</f>
        <v>0</v>
      </c>
      <c r="R59" s="2">
        <f>IF(AND(feasible_mat!Q17, VLOOKUP($A59,'20Trips'!$A$24:$G$26, 3,FALSE)=VLOOKUP(R$1,'20Trips'!$A$3:$I$22,3,FALSE),VLOOKUP(R$1,'20Trips'!$A$3:$I$22,8,FALSE)-VLOOKUP($B59,'20Trips'!$A$3:$I$22, 9,FALSE) &gt;= (50+10)),1,0)</f>
        <v>0</v>
      </c>
      <c r="S59" s="2">
        <f>IF(AND(feasible_mat!R17, VLOOKUP($A59,'20Trips'!$A$24:$G$26, 3,FALSE)=VLOOKUP(S$1,'20Trips'!$A$3:$I$22,3,FALSE),VLOOKUP(S$1,'20Trips'!$A$3:$I$22,8,FALSE)-VLOOKUP($B59,'20Trips'!$A$3:$I$22, 9,FALSE) &gt;= (50+10)),1,0)</f>
        <v>0</v>
      </c>
      <c r="T59" s="2">
        <f>IF(AND(feasible_mat!S17, VLOOKUP($A59,'20Trips'!$A$24:$G$26, 3,FALSE)=VLOOKUP(T$1,'20Trips'!$A$3:$I$22,3,FALSE),VLOOKUP(T$1,'20Trips'!$A$3:$I$22,8,FALSE)-VLOOKUP($B59,'20Trips'!$A$3:$I$22, 9,FALSE) &gt;= (50+10)),1,0)</f>
        <v>0</v>
      </c>
      <c r="U59" s="2">
        <f>IF(AND(feasible_mat!T17, VLOOKUP($A59,'20Trips'!$A$24:$G$26, 3,FALSE)=VLOOKUP(U$1,'20Trips'!$A$3:$I$22,3,FALSE),VLOOKUP(U$1,'20Trips'!$A$3:$I$22,8,FALSE)-VLOOKUP($B59,'20Trips'!$A$3:$I$22, 9,FALSE) &gt;= (50+10)),1,0)</f>
        <v>0</v>
      </c>
      <c r="V59" s="2">
        <f>IF(AND(feasible_mat!U17, VLOOKUP($A59,'20Trips'!$A$24:$G$26, 3,FALSE)=VLOOKUP(V$1,'20Trips'!$A$3:$I$22,3,FALSE),VLOOKUP(V$1,'20Trips'!$A$3:$I$22,8,FALSE)-VLOOKUP($B59,'20Trips'!$A$3:$I$22, 9,FALSE) &gt;= (50+10)),1,0)</f>
        <v>0</v>
      </c>
      <c r="W59" s="2">
        <f>IF(AND(feasible_mat!V17, VLOOKUP($A59,'20Trips'!$A$24:$G$26, 3,FALSE)=VLOOKUP(W$1,'20Trips'!$A$3:$I$22,3,FALSE),VLOOKUP(W$1,'20Trips'!$A$3:$I$22,8,FALSE)-VLOOKUP($B59,'20Trips'!$A$3:$I$22, 9,FALSE) &gt;= (50+10)),1,0)</f>
        <v>0</v>
      </c>
    </row>
    <row r="60" spans="1:23" x14ac:dyDescent="0.25">
      <c r="A60" t="s">
        <v>67</v>
      </c>
      <c r="B60" t="s">
        <v>34</v>
      </c>
      <c r="C60">
        <v>0</v>
      </c>
      <c r="D60" s="2">
        <f>IF(AND(feasible_mat!C18, VLOOKUP($A60,'20Trips'!$A$24:$G$26, 3,FALSE)=VLOOKUP(D$1,'20Trips'!$A$3:$I$22,3,FALSE),VLOOKUP(D$1,'20Trips'!$A$3:$I$22,8,FALSE)-VLOOKUP($B60,'20Trips'!$A$3:$I$22, 9,FALSE) &gt;= (50+10)),1,0)</f>
        <v>0</v>
      </c>
      <c r="E60" s="2">
        <f>IF(AND(feasible_mat!D18, VLOOKUP($A60,'20Trips'!$A$24:$G$26, 3,FALSE)=VLOOKUP(E$1,'20Trips'!$A$3:$I$22,3,FALSE),VLOOKUP(E$1,'20Trips'!$A$3:$I$22,8,FALSE)-VLOOKUP($B60,'20Trips'!$A$3:$I$22, 9,FALSE) &gt;= (50+10)),1,0)</f>
        <v>0</v>
      </c>
      <c r="F60" s="2">
        <f>IF(AND(feasible_mat!E18, VLOOKUP($A60,'20Trips'!$A$24:$G$26, 3,FALSE)=VLOOKUP(F$1,'20Trips'!$A$3:$I$22,3,FALSE),VLOOKUP(F$1,'20Trips'!$A$3:$I$22,8,FALSE)-VLOOKUP($B60,'20Trips'!$A$3:$I$22, 9,FALSE) &gt;= (50+10)),1,0)</f>
        <v>0</v>
      </c>
      <c r="G60" s="2">
        <f>IF(AND(feasible_mat!F18, VLOOKUP($A60,'20Trips'!$A$24:$G$26, 3,FALSE)=VLOOKUP(G$1,'20Trips'!$A$3:$I$22,3,FALSE),VLOOKUP(G$1,'20Trips'!$A$3:$I$22,8,FALSE)-VLOOKUP($B60,'20Trips'!$A$3:$I$22, 9,FALSE) &gt;= (50+10)),1,0)</f>
        <v>0</v>
      </c>
      <c r="H60" s="2">
        <f>IF(AND(feasible_mat!G18, VLOOKUP($A60,'20Trips'!$A$24:$G$26, 3,FALSE)=VLOOKUP(H$1,'20Trips'!$A$3:$I$22,3,FALSE),VLOOKUP(H$1,'20Trips'!$A$3:$I$22,8,FALSE)-VLOOKUP($B60,'20Trips'!$A$3:$I$22, 9,FALSE) &gt;= (50+10)),1,0)</f>
        <v>0</v>
      </c>
      <c r="I60" s="2">
        <f>IF(AND(feasible_mat!H18, VLOOKUP($A60,'20Trips'!$A$24:$G$26, 3,FALSE)=VLOOKUP(I$1,'20Trips'!$A$3:$I$22,3,FALSE),VLOOKUP(I$1,'20Trips'!$A$3:$I$22,8,FALSE)-VLOOKUP($B60,'20Trips'!$A$3:$I$22, 9,FALSE) &gt;= (50+10)),1,0)</f>
        <v>0</v>
      </c>
      <c r="J60" s="2">
        <f>IF(AND(feasible_mat!I18, VLOOKUP($A60,'20Trips'!$A$24:$G$26, 3,FALSE)=VLOOKUP(J$1,'20Trips'!$A$3:$I$22,3,FALSE),VLOOKUP(J$1,'20Trips'!$A$3:$I$22,8,FALSE)-VLOOKUP($B60,'20Trips'!$A$3:$I$22, 9,FALSE) &gt;= (50+10)),1,0)</f>
        <v>0</v>
      </c>
      <c r="K60" s="2">
        <f>IF(AND(feasible_mat!J18, VLOOKUP($A60,'20Trips'!$A$24:$G$26, 3,FALSE)=VLOOKUP(K$1,'20Trips'!$A$3:$I$22,3,FALSE),VLOOKUP(K$1,'20Trips'!$A$3:$I$22,8,FALSE)-VLOOKUP($B60,'20Trips'!$A$3:$I$22, 9,FALSE) &gt;= (50+10)),1,0)</f>
        <v>0</v>
      </c>
      <c r="L60" s="2">
        <f>IF(AND(feasible_mat!K18, VLOOKUP($A60,'20Trips'!$A$24:$G$26, 3,FALSE)=VLOOKUP(L$1,'20Trips'!$A$3:$I$22,3,FALSE),VLOOKUP(L$1,'20Trips'!$A$3:$I$22,8,FALSE)-VLOOKUP($B60,'20Trips'!$A$3:$I$22, 9,FALSE) &gt;= (50+10)),1,0)</f>
        <v>0</v>
      </c>
      <c r="M60" s="2">
        <f>IF(AND(feasible_mat!L18, VLOOKUP($A60,'20Trips'!$A$24:$G$26, 3,FALSE)=VLOOKUP(M$1,'20Trips'!$A$3:$I$22,3,FALSE),VLOOKUP(M$1,'20Trips'!$A$3:$I$22,8,FALSE)-VLOOKUP($B60,'20Trips'!$A$3:$I$22, 9,FALSE) &gt;= (50+10)),1,0)</f>
        <v>0</v>
      </c>
      <c r="N60" s="2">
        <f>IF(AND(feasible_mat!M18, VLOOKUP($A60,'20Trips'!$A$24:$G$26, 3,FALSE)=VLOOKUP(N$1,'20Trips'!$A$3:$I$22,3,FALSE),VLOOKUP(N$1,'20Trips'!$A$3:$I$22,8,FALSE)-VLOOKUP($B60,'20Trips'!$A$3:$I$22, 9,FALSE) &gt;= (50+10)),1,0)</f>
        <v>0</v>
      </c>
      <c r="O60" s="2">
        <f>IF(AND(feasible_mat!N18, VLOOKUP($A60,'20Trips'!$A$24:$G$26, 3,FALSE)=VLOOKUP(O$1,'20Trips'!$A$3:$I$22,3,FALSE),VLOOKUP(O$1,'20Trips'!$A$3:$I$22,8,FALSE)-VLOOKUP($B60,'20Trips'!$A$3:$I$22, 9,FALSE) &gt;= (50+10)),1,0)</f>
        <v>0</v>
      </c>
      <c r="P60" s="2">
        <f>IF(AND(feasible_mat!O18, VLOOKUP($A60,'20Trips'!$A$24:$G$26, 3,FALSE)=VLOOKUP(P$1,'20Trips'!$A$3:$I$22,3,FALSE),VLOOKUP(P$1,'20Trips'!$A$3:$I$22,8,FALSE)-VLOOKUP($B60,'20Trips'!$A$3:$I$22, 9,FALSE) &gt;= (50+10)),1,0)</f>
        <v>0</v>
      </c>
      <c r="Q60" s="2">
        <f>IF(AND(feasible_mat!P18, VLOOKUP($A60,'20Trips'!$A$24:$G$26, 3,FALSE)=VLOOKUP(Q$1,'20Trips'!$A$3:$I$22,3,FALSE),VLOOKUP(Q$1,'20Trips'!$A$3:$I$22,8,FALSE)-VLOOKUP($B60,'20Trips'!$A$3:$I$22, 9,FALSE) &gt;= (50+10)),1,0)</f>
        <v>1</v>
      </c>
      <c r="R60" s="2">
        <f>IF(AND(feasible_mat!Q18, VLOOKUP($A60,'20Trips'!$A$24:$G$26, 3,FALSE)=VLOOKUP(R$1,'20Trips'!$A$3:$I$22,3,FALSE),VLOOKUP(R$1,'20Trips'!$A$3:$I$22,8,FALSE)-VLOOKUP($B60,'20Trips'!$A$3:$I$22, 9,FALSE) &gt;= (50+10)),1,0)</f>
        <v>1</v>
      </c>
      <c r="S60" s="2">
        <f>IF(AND(feasible_mat!R18, VLOOKUP($A60,'20Trips'!$A$24:$G$26, 3,FALSE)=VLOOKUP(S$1,'20Trips'!$A$3:$I$22,3,FALSE),VLOOKUP(S$1,'20Trips'!$A$3:$I$22,8,FALSE)-VLOOKUP($B60,'20Trips'!$A$3:$I$22, 9,FALSE) &gt;= (50+10)),1,0)</f>
        <v>0</v>
      </c>
      <c r="T60" s="2">
        <f>IF(AND(feasible_mat!S18, VLOOKUP($A60,'20Trips'!$A$24:$G$26, 3,FALSE)=VLOOKUP(T$1,'20Trips'!$A$3:$I$22,3,FALSE),VLOOKUP(T$1,'20Trips'!$A$3:$I$22,8,FALSE)-VLOOKUP($B60,'20Trips'!$A$3:$I$22, 9,FALSE) &gt;= (50+10)),1,0)</f>
        <v>0</v>
      </c>
      <c r="U60" s="2">
        <f>IF(AND(feasible_mat!T18, VLOOKUP($A60,'20Trips'!$A$24:$G$26, 3,FALSE)=VLOOKUP(U$1,'20Trips'!$A$3:$I$22,3,FALSE),VLOOKUP(U$1,'20Trips'!$A$3:$I$22,8,FALSE)-VLOOKUP($B60,'20Trips'!$A$3:$I$22, 9,FALSE) &gt;= (50+10)),1,0)</f>
        <v>0</v>
      </c>
      <c r="V60" s="2">
        <f>IF(AND(feasible_mat!U18, VLOOKUP($A60,'20Trips'!$A$24:$G$26, 3,FALSE)=VLOOKUP(V$1,'20Trips'!$A$3:$I$22,3,FALSE),VLOOKUP(V$1,'20Trips'!$A$3:$I$22,8,FALSE)-VLOOKUP($B60,'20Trips'!$A$3:$I$22, 9,FALSE) &gt;= (50+10)),1,0)</f>
        <v>0</v>
      </c>
      <c r="W60" s="2">
        <f>IF(AND(feasible_mat!V18, VLOOKUP($A60,'20Trips'!$A$24:$G$26, 3,FALSE)=VLOOKUP(W$1,'20Trips'!$A$3:$I$22,3,FALSE),VLOOKUP(W$1,'20Trips'!$A$3:$I$22,8,FALSE)-VLOOKUP($B60,'20Trips'!$A$3:$I$22, 9,FALSE) &gt;= (50+10)),1,0)</f>
        <v>0</v>
      </c>
    </row>
    <row r="61" spans="1:23" x14ac:dyDescent="0.25">
      <c r="A61" t="s">
        <v>67</v>
      </c>
      <c r="B61" t="s">
        <v>35</v>
      </c>
      <c r="C61">
        <v>0</v>
      </c>
      <c r="D61" s="2">
        <f>IF(AND(feasible_mat!C19, VLOOKUP($A61,'20Trips'!$A$24:$G$26, 3,FALSE)=VLOOKUP(D$1,'20Trips'!$A$3:$I$22,3,FALSE),VLOOKUP(D$1,'20Trips'!$A$3:$I$22,8,FALSE)-VLOOKUP($B61,'20Trips'!$A$3:$I$22, 9,FALSE) &gt;= (50+10)),1,0)</f>
        <v>0</v>
      </c>
      <c r="E61" s="2">
        <f>IF(AND(feasible_mat!D19, VLOOKUP($A61,'20Trips'!$A$24:$G$26, 3,FALSE)=VLOOKUP(E$1,'20Trips'!$A$3:$I$22,3,FALSE),VLOOKUP(E$1,'20Trips'!$A$3:$I$22,8,FALSE)-VLOOKUP($B61,'20Trips'!$A$3:$I$22, 9,FALSE) &gt;= (50+10)),1,0)</f>
        <v>0</v>
      </c>
      <c r="F61" s="2">
        <f>IF(AND(feasible_mat!E19, VLOOKUP($A61,'20Trips'!$A$24:$G$26, 3,FALSE)=VLOOKUP(F$1,'20Trips'!$A$3:$I$22,3,FALSE),VLOOKUP(F$1,'20Trips'!$A$3:$I$22,8,FALSE)-VLOOKUP($B61,'20Trips'!$A$3:$I$22, 9,FALSE) &gt;= (50+10)),1,0)</f>
        <v>0</v>
      </c>
      <c r="G61" s="2">
        <f>IF(AND(feasible_mat!F19, VLOOKUP($A61,'20Trips'!$A$24:$G$26, 3,FALSE)=VLOOKUP(G$1,'20Trips'!$A$3:$I$22,3,FALSE),VLOOKUP(G$1,'20Trips'!$A$3:$I$22,8,FALSE)-VLOOKUP($B61,'20Trips'!$A$3:$I$22, 9,FALSE) &gt;= (50+10)),1,0)</f>
        <v>0</v>
      </c>
      <c r="H61" s="2">
        <f>IF(AND(feasible_mat!G19, VLOOKUP($A61,'20Trips'!$A$24:$G$26, 3,FALSE)=VLOOKUP(H$1,'20Trips'!$A$3:$I$22,3,FALSE),VLOOKUP(H$1,'20Trips'!$A$3:$I$22,8,FALSE)-VLOOKUP($B61,'20Trips'!$A$3:$I$22, 9,FALSE) &gt;= (50+10)),1,0)</f>
        <v>0</v>
      </c>
      <c r="I61" s="2">
        <f>IF(AND(feasible_mat!H19, VLOOKUP($A61,'20Trips'!$A$24:$G$26, 3,FALSE)=VLOOKUP(I$1,'20Trips'!$A$3:$I$22,3,FALSE),VLOOKUP(I$1,'20Trips'!$A$3:$I$22,8,FALSE)-VLOOKUP($B61,'20Trips'!$A$3:$I$22, 9,FALSE) &gt;= (50+10)),1,0)</f>
        <v>0</v>
      </c>
      <c r="J61" s="2">
        <f>IF(AND(feasible_mat!I19, VLOOKUP($A61,'20Trips'!$A$24:$G$26, 3,FALSE)=VLOOKUP(J$1,'20Trips'!$A$3:$I$22,3,FALSE),VLOOKUP(J$1,'20Trips'!$A$3:$I$22,8,FALSE)-VLOOKUP($B61,'20Trips'!$A$3:$I$22, 9,FALSE) &gt;= (50+10)),1,0)</f>
        <v>0</v>
      </c>
      <c r="K61" s="2">
        <f>IF(AND(feasible_mat!J19, VLOOKUP($A61,'20Trips'!$A$24:$G$26, 3,FALSE)=VLOOKUP(K$1,'20Trips'!$A$3:$I$22,3,FALSE),VLOOKUP(K$1,'20Trips'!$A$3:$I$22,8,FALSE)-VLOOKUP($B61,'20Trips'!$A$3:$I$22, 9,FALSE) &gt;= (50+10)),1,0)</f>
        <v>0</v>
      </c>
      <c r="L61" s="2">
        <f>IF(AND(feasible_mat!K19, VLOOKUP($A61,'20Trips'!$A$24:$G$26, 3,FALSE)=VLOOKUP(L$1,'20Trips'!$A$3:$I$22,3,FALSE),VLOOKUP(L$1,'20Trips'!$A$3:$I$22,8,FALSE)-VLOOKUP($B61,'20Trips'!$A$3:$I$22, 9,FALSE) &gt;= (50+10)),1,0)</f>
        <v>0</v>
      </c>
      <c r="M61" s="2">
        <f>IF(AND(feasible_mat!L19, VLOOKUP($A61,'20Trips'!$A$24:$G$26, 3,FALSE)=VLOOKUP(M$1,'20Trips'!$A$3:$I$22,3,FALSE),VLOOKUP(M$1,'20Trips'!$A$3:$I$22,8,FALSE)-VLOOKUP($B61,'20Trips'!$A$3:$I$22, 9,FALSE) &gt;= (50+10)),1,0)</f>
        <v>0</v>
      </c>
      <c r="N61" s="2">
        <f>IF(AND(feasible_mat!M19, VLOOKUP($A61,'20Trips'!$A$24:$G$26, 3,FALSE)=VLOOKUP(N$1,'20Trips'!$A$3:$I$22,3,FALSE),VLOOKUP(N$1,'20Trips'!$A$3:$I$22,8,FALSE)-VLOOKUP($B61,'20Trips'!$A$3:$I$22, 9,FALSE) &gt;= (50+10)),1,0)</f>
        <v>0</v>
      </c>
      <c r="O61" s="2">
        <f>IF(AND(feasible_mat!N19, VLOOKUP($A61,'20Trips'!$A$24:$G$26, 3,FALSE)=VLOOKUP(O$1,'20Trips'!$A$3:$I$22,3,FALSE),VLOOKUP(O$1,'20Trips'!$A$3:$I$22,8,FALSE)-VLOOKUP($B61,'20Trips'!$A$3:$I$22, 9,FALSE) &gt;= (50+10)),1,0)</f>
        <v>0</v>
      </c>
      <c r="P61" s="2">
        <f>IF(AND(feasible_mat!O19, VLOOKUP($A61,'20Trips'!$A$24:$G$26, 3,FALSE)=VLOOKUP(P$1,'20Trips'!$A$3:$I$22,3,FALSE),VLOOKUP(P$1,'20Trips'!$A$3:$I$22,8,FALSE)-VLOOKUP($B61,'20Trips'!$A$3:$I$22, 9,FALSE) &gt;= (50+10)),1,0)</f>
        <v>0</v>
      </c>
      <c r="Q61" s="2">
        <f>IF(AND(feasible_mat!P19, VLOOKUP($A61,'20Trips'!$A$24:$G$26, 3,FALSE)=VLOOKUP(Q$1,'20Trips'!$A$3:$I$22,3,FALSE),VLOOKUP(Q$1,'20Trips'!$A$3:$I$22,8,FALSE)-VLOOKUP($B61,'20Trips'!$A$3:$I$22, 9,FALSE) &gt;= (50+10)),1,0)</f>
        <v>0</v>
      </c>
      <c r="R61" s="2">
        <f>IF(AND(feasible_mat!Q19, VLOOKUP($A61,'20Trips'!$A$24:$G$26, 3,FALSE)=VLOOKUP(R$1,'20Trips'!$A$3:$I$22,3,FALSE),VLOOKUP(R$1,'20Trips'!$A$3:$I$22,8,FALSE)-VLOOKUP($B61,'20Trips'!$A$3:$I$22, 9,FALSE) &gt;= (50+10)),1,0)</f>
        <v>0</v>
      </c>
      <c r="S61" s="2">
        <f>IF(AND(feasible_mat!R19, VLOOKUP($A61,'20Trips'!$A$24:$G$26, 3,FALSE)=VLOOKUP(S$1,'20Trips'!$A$3:$I$22,3,FALSE),VLOOKUP(S$1,'20Trips'!$A$3:$I$22,8,FALSE)-VLOOKUP($B61,'20Trips'!$A$3:$I$22, 9,FALSE) &gt;= (50+10)),1,0)</f>
        <v>0</v>
      </c>
      <c r="T61" s="2">
        <f>IF(AND(feasible_mat!S19, VLOOKUP($A61,'20Trips'!$A$24:$G$26, 3,FALSE)=VLOOKUP(T$1,'20Trips'!$A$3:$I$22,3,FALSE),VLOOKUP(T$1,'20Trips'!$A$3:$I$22,8,FALSE)-VLOOKUP($B61,'20Trips'!$A$3:$I$22, 9,FALSE) &gt;= (50+10)),1,0)</f>
        <v>0</v>
      </c>
      <c r="U61" s="2">
        <f>IF(AND(feasible_mat!T19, VLOOKUP($A61,'20Trips'!$A$24:$G$26, 3,FALSE)=VLOOKUP(U$1,'20Trips'!$A$3:$I$22,3,FALSE),VLOOKUP(U$1,'20Trips'!$A$3:$I$22,8,FALSE)-VLOOKUP($B61,'20Trips'!$A$3:$I$22, 9,FALSE) &gt;= (50+10)),1,0)</f>
        <v>0</v>
      </c>
      <c r="V61" s="2">
        <f>IF(AND(feasible_mat!U19, VLOOKUP($A61,'20Trips'!$A$24:$G$26, 3,FALSE)=VLOOKUP(V$1,'20Trips'!$A$3:$I$22,3,FALSE),VLOOKUP(V$1,'20Trips'!$A$3:$I$22,8,FALSE)-VLOOKUP($B61,'20Trips'!$A$3:$I$22, 9,FALSE) &gt;= (50+10)),1,0)</f>
        <v>0</v>
      </c>
      <c r="W61" s="2">
        <f>IF(AND(feasible_mat!V19, VLOOKUP($A61,'20Trips'!$A$24:$G$26, 3,FALSE)=VLOOKUP(W$1,'20Trips'!$A$3:$I$22,3,FALSE),VLOOKUP(W$1,'20Trips'!$A$3:$I$22,8,FALSE)-VLOOKUP($B61,'20Trips'!$A$3:$I$22, 9,FALSE) &gt;= (50+10)),1,0)</f>
        <v>0</v>
      </c>
    </row>
    <row r="62" spans="1:23" x14ac:dyDescent="0.25">
      <c r="A62" t="s">
        <v>67</v>
      </c>
      <c r="B62" t="s">
        <v>36</v>
      </c>
      <c r="C62">
        <v>0</v>
      </c>
      <c r="D62" s="2">
        <f>IF(AND(feasible_mat!C20, VLOOKUP($A62,'20Trips'!$A$24:$G$26, 3,FALSE)=VLOOKUP(D$1,'20Trips'!$A$3:$I$22,3,FALSE),VLOOKUP(D$1,'20Trips'!$A$3:$I$22,8,FALSE)-VLOOKUP($B62,'20Trips'!$A$3:$I$22, 9,FALSE) &gt;= (50+10)),1,0)</f>
        <v>0</v>
      </c>
      <c r="E62" s="2">
        <f>IF(AND(feasible_mat!D20, VLOOKUP($A62,'20Trips'!$A$24:$G$26, 3,FALSE)=VLOOKUP(E$1,'20Trips'!$A$3:$I$22,3,FALSE),VLOOKUP(E$1,'20Trips'!$A$3:$I$22,8,FALSE)-VLOOKUP($B62,'20Trips'!$A$3:$I$22, 9,FALSE) &gt;= (50+10)),1,0)</f>
        <v>0</v>
      </c>
      <c r="F62" s="2">
        <f>IF(AND(feasible_mat!E20, VLOOKUP($A62,'20Trips'!$A$24:$G$26, 3,FALSE)=VLOOKUP(F$1,'20Trips'!$A$3:$I$22,3,FALSE),VLOOKUP(F$1,'20Trips'!$A$3:$I$22,8,FALSE)-VLOOKUP($B62,'20Trips'!$A$3:$I$22, 9,FALSE) &gt;= (50+10)),1,0)</f>
        <v>0</v>
      </c>
      <c r="G62" s="2">
        <f>IF(AND(feasible_mat!F20, VLOOKUP($A62,'20Trips'!$A$24:$G$26, 3,FALSE)=VLOOKUP(G$1,'20Trips'!$A$3:$I$22,3,FALSE),VLOOKUP(G$1,'20Trips'!$A$3:$I$22,8,FALSE)-VLOOKUP($B62,'20Trips'!$A$3:$I$22, 9,FALSE) &gt;= (50+10)),1,0)</f>
        <v>0</v>
      </c>
      <c r="H62" s="2">
        <f>IF(AND(feasible_mat!G20, VLOOKUP($A62,'20Trips'!$A$24:$G$26, 3,FALSE)=VLOOKUP(H$1,'20Trips'!$A$3:$I$22,3,FALSE),VLOOKUP(H$1,'20Trips'!$A$3:$I$22,8,FALSE)-VLOOKUP($B62,'20Trips'!$A$3:$I$22, 9,FALSE) &gt;= (50+10)),1,0)</f>
        <v>0</v>
      </c>
      <c r="I62" s="2">
        <f>IF(AND(feasible_mat!H20, VLOOKUP($A62,'20Trips'!$A$24:$G$26, 3,FALSE)=VLOOKUP(I$1,'20Trips'!$A$3:$I$22,3,FALSE),VLOOKUP(I$1,'20Trips'!$A$3:$I$22,8,FALSE)-VLOOKUP($B62,'20Trips'!$A$3:$I$22, 9,FALSE) &gt;= (50+10)),1,0)</f>
        <v>0</v>
      </c>
      <c r="J62" s="2">
        <f>IF(AND(feasible_mat!I20, VLOOKUP($A62,'20Trips'!$A$24:$G$26, 3,FALSE)=VLOOKUP(J$1,'20Trips'!$A$3:$I$22,3,FALSE),VLOOKUP(J$1,'20Trips'!$A$3:$I$22,8,FALSE)-VLOOKUP($B62,'20Trips'!$A$3:$I$22, 9,FALSE) &gt;= (50+10)),1,0)</f>
        <v>0</v>
      </c>
      <c r="K62" s="2">
        <f>IF(AND(feasible_mat!J20, VLOOKUP($A62,'20Trips'!$A$24:$G$26, 3,FALSE)=VLOOKUP(K$1,'20Trips'!$A$3:$I$22,3,FALSE),VLOOKUP(K$1,'20Trips'!$A$3:$I$22,8,FALSE)-VLOOKUP($B62,'20Trips'!$A$3:$I$22, 9,FALSE) &gt;= (50+10)),1,0)</f>
        <v>0</v>
      </c>
      <c r="L62" s="2">
        <f>IF(AND(feasible_mat!K20, VLOOKUP($A62,'20Trips'!$A$24:$G$26, 3,FALSE)=VLOOKUP(L$1,'20Trips'!$A$3:$I$22,3,FALSE),VLOOKUP(L$1,'20Trips'!$A$3:$I$22,8,FALSE)-VLOOKUP($B62,'20Trips'!$A$3:$I$22, 9,FALSE) &gt;= (50+10)),1,0)</f>
        <v>0</v>
      </c>
      <c r="M62" s="2">
        <f>IF(AND(feasible_mat!L20, VLOOKUP($A62,'20Trips'!$A$24:$G$26, 3,FALSE)=VLOOKUP(M$1,'20Trips'!$A$3:$I$22,3,FALSE),VLOOKUP(M$1,'20Trips'!$A$3:$I$22,8,FALSE)-VLOOKUP($B62,'20Trips'!$A$3:$I$22, 9,FALSE) &gt;= (50+10)),1,0)</f>
        <v>0</v>
      </c>
      <c r="N62" s="2">
        <f>IF(AND(feasible_mat!M20, VLOOKUP($A62,'20Trips'!$A$24:$G$26, 3,FALSE)=VLOOKUP(N$1,'20Trips'!$A$3:$I$22,3,FALSE),VLOOKUP(N$1,'20Trips'!$A$3:$I$22,8,FALSE)-VLOOKUP($B62,'20Trips'!$A$3:$I$22, 9,FALSE) &gt;= (50+10)),1,0)</f>
        <v>0</v>
      </c>
      <c r="O62" s="2">
        <f>IF(AND(feasible_mat!N20, VLOOKUP($A62,'20Trips'!$A$24:$G$26, 3,FALSE)=VLOOKUP(O$1,'20Trips'!$A$3:$I$22,3,FALSE),VLOOKUP(O$1,'20Trips'!$A$3:$I$22,8,FALSE)-VLOOKUP($B62,'20Trips'!$A$3:$I$22, 9,FALSE) &gt;= (50+10)),1,0)</f>
        <v>0</v>
      </c>
      <c r="P62" s="2">
        <f>IF(AND(feasible_mat!O20, VLOOKUP($A62,'20Trips'!$A$24:$G$26, 3,FALSE)=VLOOKUP(P$1,'20Trips'!$A$3:$I$22,3,FALSE),VLOOKUP(P$1,'20Trips'!$A$3:$I$22,8,FALSE)-VLOOKUP($B62,'20Trips'!$A$3:$I$22, 9,FALSE) &gt;= (50+10)),1,0)</f>
        <v>0</v>
      </c>
      <c r="Q62" s="2">
        <f>IF(AND(feasible_mat!P20, VLOOKUP($A62,'20Trips'!$A$24:$G$26, 3,FALSE)=VLOOKUP(Q$1,'20Trips'!$A$3:$I$22,3,FALSE),VLOOKUP(Q$1,'20Trips'!$A$3:$I$22,8,FALSE)-VLOOKUP($B62,'20Trips'!$A$3:$I$22, 9,FALSE) &gt;= (50+10)),1,0)</f>
        <v>0</v>
      </c>
      <c r="R62" s="2">
        <f>IF(AND(feasible_mat!Q20, VLOOKUP($A62,'20Trips'!$A$24:$G$26, 3,FALSE)=VLOOKUP(R$1,'20Trips'!$A$3:$I$22,3,FALSE),VLOOKUP(R$1,'20Trips'!$A$3:$I$22,8,FALSE)-VLOOKUP($B62,'20Trips'!$A$3:$I$22, 9,FALSE) &gt;= (50+10)),1,0)</f>
        <v>0</v>
      </c>
      <c r="S62" s="2">
        <f>IF(AND(feasible_mat!R20, VLOOKUP($A62,'20Trips'!$A$24:$G$26, 3,FALSE)=VLOOKUP(S$1,'20Trips'!$A$3:$I$22,3,FALSE),VLOOKUP(S$1,'20Trips'!$A$3:$I$22,8,FALSE)-VLOOKUP($B62,'20Trips'!$A$3:$I$22, 9,FALSE) &gt;= (50+10)),1,0)</f>
        <v>0</v>
      </c>
      <c r="T62" s="2">
        <f>IF(AND(feasible_mat!S20, VLOOKUP($A62,'20Trips'!$A$24:$G$26, 3,FALSE)=VLOOKUP(T$1,'20Trips'!$A$3:$I$22,3,FALSE),VLOOKUP(T$1,'20Trips'!$A$3:$I$22,8,FALSE)-VLOOKUP($B62,'20Trips'!$A$3:$I$22, 9,FALSE) &gt;= (50+10)),1,0)</f>
        <v>0</v>
      </c>
      <c r="U62" s="2">
        <f>IF(AND(feasible_mat!T20, VLOOKUP($A62,'20Trips'!$A$24:$G$26, 3,FALSE)=VLOOKUP(U$1,'20Trips'!$A$3:$I$22,3,FALSE),VLOOKUP(U$1,'20Trips'!$A$3:$I$22,8,FALSE)-VLOOKUP($B62,'20Trips'!$A$3:$I$22, 9,FALSE) &gt;= (50+10)),1,0)</f>
        <v>0</v>
      </c>
      <c r="V62" s="2">
        <f>IF(AND(feasible_mat!U20, VLOOKUP($A62,'20Trips'!$A$24:$G$26, 3,FALSE)=VLOOKUP(V$1,'20Trips'!$A$3:$I$22,3,FALSE),VLOOKUP(V$1,'20Trips'!$A$3:$I$22,8,FALSE)-VLOOKUP($B62,'20Trips'!$A$3:$I$22, 9,FALSE) &gt;= (50+10)),1,0)</f>
        <v>0</v>
      </c>
      <c r="W62" s="2">
        <f>IF(AND(feasible_mat!V20, VLOOKUP($A62,'20Trips'!$A$24:$G$26, 3,FALSE)=VLOOKUP(W$1,'20Trips'!$A$3:$I$22,3,FALSE),VLOOKUP(W$1,'20Trips'!$A$3:$I$22,8,FALSE)-VLOOKUP($B62,'20Trips'!$A$3:$I$22, 9,FALSE) &gt;= (50+10)),1,0)</f>
        <v>0</v>
      </c>
    </row>
    <row r="63" spans="1:23" x14ac:dyDescent="0.25">
      <c r="A63" t="s">
        <v>67</v>
      </c>
      <c r="B63" t="s">
        <v>37</v>
      </c>
      <c r="C63">
        <v>0</v>
      </c>
      <c r="D63" s="2">
        <f>IF(AND(feasible_mat!C21, VLOOKUP($A63,'20Trips'!$A$24:$G$26, 3,FALSE)=VLOOKUP(D$1,'20Trips'!$A$3:$I$22,3,FALSE),VLOOKUP(D$1,'20Trips'!$A$3:$I$22,8,FALSE)-VLOOKUP($B63,'20Trips'!$A$3:$I$22, 9,FALSE) &gt;= (50+10)),1,0)</f>
        <v>0</v>
      </c>
      <c r="E63" s="2">
        <f>IF(AND(feasible_mat!D21, VLOOKUP($A63,'20Trips'!$A$24:$G$26, 3,FALSE)=VLOOKUP(E$1,'20Trips'!$A$3:$I$22,3,FALSE),VLOOKUP(E$1,'20Trips'!$A$3:$I$22,8,FALSE)-VLOOKUP($B63,'20Trips'!$A$3:$I$22, 9,FALSE) &gt;= (50+10)),1,0)</f>
        <v>0</v>
      </c>
      <c r="F63" s="2">
        <f>IF(AND(feasible_mat!E21, VLOOKUP($A63,'20Trips'!$A$24:$G$26, 3,FALSE)=VLOOKUP(F$1,'20Trips'!$A$3:$I$22,3,FALSE),VLOOKUP(F$1,'20Trips'!$A$3:$I$22,8,FALSE)-VLOOKUP($B63,'20Trips'!$A$3:$I$22, 9,FALSE) &gt;= (50+10)),1,0)</f>
        <v>0</v>
      </c>
      <c r="G63" s="2">
        <f>IF(AND(feasible_mat!F21, VLOOKUP($A63,'20Trips'!$A$24:$G$26, 3,FALSE)=VLOOKUP(G$1,'20Trips'!$A$3:$I$22,3,FALSE),VLOOKUP(G$1,'20Trips'!$A$3:$I$22,8,FALSE)-VLOOKUP($B63,'20Trips'!$A$3:$I$22, 9,FALSE) &gt;= (50+10)),1,0)</f>
        <v>0</v>
      </c>
      <c r="H63" s="2">
        <f>IF(AND(feasible_mat!G21, VLOOKUP($A63,'20Trips'!$A$24:$G$26, 3,FALSE)=VLOOKUP(H$1,'20Trips'!$A$3:$I$22,3,FALSE),VLOOKUP(H$1,'20Trips'!$A$3:$I$22,8,FALSE)-VLOOKUP($B63,'20Trips'!$A$3:$I$22, 9,FALSE) &gt;= (50+10)),1,0)</f>
        <v>0</v>
      </c>
      <c r="I63" s="2">
        <f>IF(AND(feasible_mat!H21, VLOOKUP($A63,'20Trips'!$A$24:$G$26, 3,FALSE)=VLOOKUP(I$1,'20Trips'!$A$3:$I$22,3,FALSE),VLOOKUP(I$1,'20Trips'!$A$3:$I$22,8,FALSE)-VLOOKUP($B63,'20Trips'!$A$3:$I$22, 9,FALSE) &gt;= (50+10)),1,0)</f>
        <v>0</v>
      </c>
      <c r="J63" s="2">
        <f>IF(AND(feasible_mat!I21, VLOOKUP($A63,'20Trips'!$A$24:$G$26, 3,FALSE)=VLOOKUP(J$1,'20Trips'!$A$3:$I$22,3,FALSE),VLOOKUP(J$1,'20Trips'!$A$3:$I$22,8,FALSE)-VLOOKUP($B63,'20Trips'!$A$3:$I$22, 9,FALSE) &gt;= (50+10)),1,0)</f>
        <v>0</v>
      </c>
      <c r="K63" s="2">
        <f>IF(AND(feasible_mat!J21, VLOOKUP($A63,'20Trips'!$A$24:$G$26, 3,FALSE)=VLOOKUP(K$1,'20Trips'!$A$3:$I$22,3,FALSE),VLOOKUP(K$1,'20Trips'!$A$3:$I$22,8,FALSE)-VLOOKUP($B63,'20Trips'!$A$3:$I$22, 9,FALSE) &gt;= (50+10)),1,0)</f>
        <v>0</v>
      </c>
      <c r="L63" s="2">
        <f>IF(AND(feasible_mat!K21, VLOOKUP($A63,'20Trips'!$A$24:$G$26, 3,FALSE)=VLOOKUP(L$1,'20Trips'!$A$3:$I$22,3,FALSE),VLOOKUP(L$1,'20Trips'!$A$3:$I$22,8,FALSE)-VLOOKUP($B63,'20Trips'!$A$3:$I$22, 9,FALSE) &gt;= (50+10)),1,0)</f>
        <v>0</v>
      </c>
      <c r="M63" s="2">
        <f>IF(AND(feasible_mat!L21, VLOOKUP($A63,'20Trips'!$A$24:$G$26, 3,FALSE)=VLOOKUP(M$1,'20Trips'!$A$3:$I$22,3,FALSE),VLOOKUP(M$1,'20Trips'!$A$3:$I$22,8,FALSE)-VLOOKUP($B63,'20Trips'!$A$3:$I$22, 9,FALSE) &gt;= (50+10)),1,0)</f>
        <v>0</v>
      </c>
      <c r="N63" s="2">
        <f>IF(AND(feasible_mat!M21, VLOOKUP($A63,'20Trips'!$A$24:$G$26, 3,FALSE)=VLOOKUP(N$1,'20Trips'!$A$3:$I$22,3,FALSE),VLOOKUP(N$1,'20Trips'!$A$3:$I$22,8,FALSE)-VLOOKUP($B63,'20Trips'!$A$3:$I$22, 9,FALSE) &gt;= (50+10)),1,0)</f>
        <v>0</v>
      </c>
      <c r="O63" s="2">
        <f>IF(AND(feasible_mat!N21, VLOOKUP($A63,'20Trips'!$A$24:$G$26, 3,FALSE)=VLOOKUP(O$1,'20Trips'!$A$3:$I$22,3,FALSE),VLOOKUP(O$1,'20Trips'!$A$3:$I$22,8,FALSE)-VLOOKUP($B63,'20Trips'!$A$3:$I$22, 9,FALSE) &gt;= (50+10)),1,0)</f>
        <v>0</v>
      </c>
      <c r="P63" s="2">
        <f>IF(AND(feasible_mat!O21, VLOOKUP($A63,'20Trips'!$A$24:$G$26, 3,FALSE)=VLOOKUP(P$1,'20Trips'!$A$3:$I$22,3,FALSE),VLOOKUP(P$1,'20Trips'!$A$3:$I$22,8,FALSE)-VLOOKUP($B63,'20Trips'!$A$3:$I$22, 9,FALSE) &gt;= (50+10)),1,0)</f>
        <v>0</v>
      </c>
      <c r="Q63" s="2">
        <f>IF(AND(feasible_mat!P21, VLOOKUP($A63,'20Trips'!$A$24:$G$26, 3,FALSE)=VLOOKUP(Q$1,'20Trips'!$A$3:$I$22,3,FALSE),VLOOKUP(Q$1,'20Trips'!$A$3:$I$22,8,FALSE)-VLOOKUP($B63,'20Trips'!$A$3:$I$22, 9,FALSE) &gt;= (50+10)),1,0)</f>
        <v>0</v>
      </c>
      <c r="R63" s="2">
        <f>IF(AND(feasible_mat!Q21, VLOOKUP($A63,'20Trips'!$A$24:$G$26, 3,FALSE)=VLOOKUP(R$1,'20Trips'!$A$3:$I$22,3,FALSE),VLOOKUP(R$1,'20Trips'!$A$3:$I$22,8,FALSE)-VLOOKUP($B63,'20Trips'!$A$3:$I$22, 9,FALSE) &gt;= (50+10)),1,0)</f>
        <v>0</v>
      </c>
      <c r="S63" s="2">
        <f>IF(AND(feasible_mat!R21, VLOOKUP($A63,'20Trips'!$A$24:$G$26, 3,FALSE)=VLOOKUP(S$1,'20Trips'!$A$3:$I$22,3,FALSE),VLOOKUP(S$1,'20Trips'!$A$3:$I$22,8,FALSE)-VLOOKUP($B63,'20Trips'!$A$3:$I$22, 9,FALSE) &gt;= (50+10)),1,0)</f>
        <v>0</v>
      </c>
      <c r="T63" s="2">
        <f>IF(AND(feasible_mat!S21, VLOOKUP($A63,'20Trips'!$A$24:$G$26, 3,FALSE)=VLOOKUP(T$1,'20Trips'!$A$3:$I$22,3,FALSE),VLOOKUP(T$1,'20Trips'!$A$3:$I$22,8,FALSE)-VLOOKUP($B63,'20Trips'!$A$3:$I$22, 9,FALSE) &gt;= (50+10)),1,0)</f>
        <v>0</v>
      </c>
      <c r="U63" s="2">
        <f>IF(AND(feasible_mat!T21, VLOOKUP($A63,'20Trips'!$A$24:$G$26, 3,FALSE)=VLOOKUP(U$1,'20Trips'!$A$3:$I$22,3,FALSE),VLOOKUP(U$1,'20Trips'!$A$3:$I$22,8,FALSE)-VLOOKUP($B63,'20Trips'!$A$3:$I$22, 9,FALSE) &gt;= (50+10)),1,0)</f>
        <v>0</v>
      </c>
      <c r="V63" s="2">
        <f>IF(AND(feasible_mat!U21, VLOOKUP($A63,'20Trips'!$A$24:$G$26, 3,FALSE)=VLOOKUP(V$1,'20Trips'!$A$3:$I$22,3,FALSE),VLOOKUP(V$1,'20Trips'!$A$3:$I$22,8,FALSE)-VLOOKUP($B63,'20Trips'!$A$3:$I$22, 9,FALSE) &gt;= (50+10)),1,0)</f>
        <v>0</v>
      </c>
      <c r="W63" s="2">
        <f>IF(AND(feasible_mat!V21, VLOOKUP($A63,'20Trips'!$A$24:$G$26, 3,FALSE)=VLOOKUP(W$1,'20Trips'!$A$3:$I$22,3,FALSE),VLOOKUP(W$1,'20Trips'!$A$3:$I$22,8,FALSE)-VLOOKUP($B63,'20Trips'!$A$3:$I$22, 9,FALSE) &gt;= (50+10)),1,0)</f>
        <v>0</v>
      </c>
    </row>
    <row r="64" spans="1:23" x14ac:dyDescent="0.25">
      <c r="A64" t="s">
        <v>67</v>
      </c>
      <c r="B64" t="s">
        <v>38</v>
      </c>
      <c r="C64">
        <v>0</v>
      </c>
      <c r="D64" s="2">
        <f>IF(AND(feasible_mat!C22, VLOOKUP($A64,'20Trips'!$A$24:$G$26, 3,FALSE)=VLOOKUP(D$1,'20Trips'!$A$3:$I$22,3,FALSE),VLOOKUP(D$1,'20Trips'!$A$3:$I$22,8,FALSE)-VLOOKUP($B64,'20Trips'!$A$3:$I$22, 9,FALSE) &gt;= (50+10)),1,0)</f>
        <v>0</v>
      </c>
      <c r="E64" s="2">
        <f>IF(AND(feasible_mat!D22, VLOOKUP($A64,'20Trips'!$A$24:$G$26, 3,FALSE)=VLOOKUP(E$1,'20Trips'!$A$3:$I$22,3,FALSE),VLOOKUP(E$1,'20Trips'!$A$3:$I$22,8,FALSE)-VLOOKUP($B64,'20Trips'!$A$3:$I$22, 9,FALSE) &gt;= (50+10)),1,0)</f>
        <v>0</v>
      </c>
      <c r="F64" s="2">
        <f>IF(AND(feasible_mat!E22, VLOOKUP($A64,'20Trips'!$A$24:$G$26, 3,FALSE)=VLOOKUP(F$1,'20Trips'!$A$3:$I$22,3,FALSE),VLOOKUP(F$1,'20Trips'!$A$3:$I$22,8,FALSE)-VLOOKUP($B64,'20Trips'!$A$3:$I$22, 9,FALSE) &gt;= (50+10)),1,0)</f>
        <v>0</v>
      </c>
      <c r="G64" s="2">
        <f>IF(AND(feasible_mat!F22, VLOOKUP($A64,'20Trips'!$A$24:$G$26, 3,FALSE)=VLOOKUP(G$1,'20Trips'!$A$3:$I$22,3,FALSE),VLOOKUP(G$1,'20Trips'!$A$3:$I$22,8,FALSE)-VLOOKUP($B64,'20Trips'!$A$3:$I$22, 9,FALSE) &gt;= (50+10)),1,0)</f>
        <v>0</v>
      </c>
      <c r="H64" s="2">
        <f>IF(AND(feasible_mat!G22, VLOOKUP($A64,'20Trips'!$A$24:$G$26, 3,FALSE)=VLOOKUP(H$1,'20Trips'!$A$3:$I$22,3,FALSE),VLOOKUP(H$1,'20Trips'!$A$3:$I$22,8,FALSE)-VLOOKUP($B64,'20Trips'!$A$3:$I$22, 9,FALSE) &gt;= (50+10)),1,0)</f>
        <v>0</v>
      </c>
      <c r="I64" s="2">
        <f>IF(AND(feasible_mat!H22, VLOOKUP($A64,'20Trips'!$A$24:$G$26, 3,FALSE)=VLOOKUP(I$1,'20Trips'!$A$3:$I$22,3,FALSE),VLOOKUP(I$1,'20Trips'!$A$3:$I$22,8,FALSE)-VLOOKUP($B64,'20Trips'!$A$3:$I$22, 9,FALSE) &gt;= (50+10)),1,0)</f>
        <v>0</v>
      </c>
      <c r="J64" s="2">
        <f>IF(AND(feasible_mat!I22, VLOOKUP($A64,'20Trips'!$A$24:$G$26, 3,FALSE)=VLOOKUP(J$1,'20Trips'!$A$3:$I$22,3,FALSE),VLOOKUP(J$1,'20Trips'!$A$3:$I$22,8,FALSE)-VLOOKUP($B64,'20Trips'!$A$3:$I$22, 9,FALSE) &gt;= (50+10)),1,0)</f>
        <v>0</v>
      </c>
      <c r="K64" s="2">
        <f>IF(AND(feasible_mat!J22, VLOOKUP($A64,'20Trips'!$A$24:$G$26, 3,FALSE)=VLOOKUP(K$1,'20Trips'!$A$3:$I$22,3,FALSE),VLOOKUP(K$1,'20Trips'!$A$3:$I$22,8,FALSE)-VLOOKUP($B64,'20Trips'!$A$3:$I$22, 9,FALSE) &gt;= (50+10)),1,0)</f>
        <v>0</v>
      </c>
      <c r="L64" s="2">
        <f>IF(AND(feasible_mat!K22, VLOOKUP($A64,'20Trips'!$A$24:$G$26, 3,FALSE)=VLOOKUP(L$1,'20Trips'!$A$3:$I$22,3,FALSE),VLOOKUP(L$1,'20Trips'!$A$3:$I$22,8,FALSE)-VLOOKUP($B64,'20Trips'!$A$3:$I$22, 9,FALSE) &gt;= (50+10)),1,0)</f>
        <v>0</v>
      </c>
      <c r="M64" s="2">
        <f>IF(AND(feasible_mat!L22, VLOOKUP($A64,'20Trips'!$A$24:$G$26, 3,FALSE)=VLOOKUP(M$1,'20Trips'!$A$3:$I$22,3,FALSE),VLOOKUP(M$1,'20Trips'!$A$3:$I$22,8,FALSE)-VLOOKUP($B64,'20Trips'!$A$3:$I$22, 9,FALSE) &gt;= (50+10)),1,0)</f>
        <v>0</v>
      </c>
      <c r="N64" s="2">
        <f>IF(AND(feasible_mat!M22, VLOOKUP($A64,'20Trips'!$A$24:$G$26, 3,FALSE)=VLOOKUP(N$1,'20Trips'!$A$3:$I$22,3,FALSE),VLOOKUP(N$1,'20Trips'!$A$3:$I$22,8,FALSE)-VLOOKUP($B64,'20Trips'!$A$3:$I$22, 9,FALSE) &gt;= (50+10)),1,0)</f>
        <v>0</v>
      </c>
      <c r="O64" s="2">
        <f>IF(AND(feasible_mat!N22, VLOOKUP($A64,'20Trips'!$A$24:$G$26, 3,FALSE)=VLOOKUP(O$1,'20Trips'!$A$3:$I$22,3,FALSE),VLOOKUP(O$1,'20Trips'!$A$3:$I$22,8,FALSE)-VLOOKUP($B64,'20Trips'!$A$3:$I$22, 9,FALSE) &gt;= (50+10)),1,0)</f>
        <v>0</v>
      </c>
      <c r="P64" s="2">
        <f>IF(AND(feasible_mat!O22, VLOOKUP($A64,'20Trips'!$A$24:$G$26, 3,FALSE)=VLOOKUP(P$1,'20Trips'!$A$3:$I$22,3,FALSE),VLOOKUP(P$1,'20Trips'!$A$3:$I$22,8,FALSE)-VLOOKUP($B64,'20Trips'!$A$3:$I$22, 9,FALSE) &gt;= (50+10)),1,0)</f>
        <v>0</v>
      </c>
      <c r="Q64" s="2">
        <f>IF(AND(feasible_mat!P22, VLOOKUP($A64,'20Trips'!$A$24:$G$26, 3,FALSE)=VLOOKUP(Q$1,'20Trips'!$A$3:$I$22,3,FALSE),VLOOKUP(Q$1,'20Trips'!$A$3:$I$22,8,FALSE)-VLOOKUP($B64,'20Trips'!$A$3:$I$22, 9,FALSE) &gt;= (50+10)),1,0)</f>
        <v>0</v>
      </c>
      <c r="R64" s="2">
        <f>IF(AND(feasible_mat!Q22, VLOOKUP($A64,'20Trips'!$A$24:$G$26, 3,FALSE)=VLOOKUP(R$1,'20Trips'!$A$3:$I$22,3,FALSE),VLOOKUP(R$1,'20Trips'!$A$3:$I$22,8,FALSE)-VLOOKUP($B64,'20Trips'!$A$3:$I$22, 9,FALSE) &gt;= (50+10)),1,0)</f>
        <v>0</v>
      </c>
      <c r="S64" s="2">
        <f>IF(AND(feasible_mat!R22, VLOOKUP($A64,'20Trips'!$A$24:$G$26, 3,FALSE)=VLOOKUP(S$1,'20Trips'!$A$3:$I$22,3,FALSE),VLOOKUP(S$1,'20Trips'!$A$3:$I$22,8,FALSE)-VLOOKUP($B64,'20Trips'!$A$3:$I$22, 9,FALSE) &gt;= (50+10)),1,0)</f>
        <v>0</v>
      </c>
      <c r="T64" s="2">
        <f>IF(AND(feasible_mat!S22, VLOOKUP($A64,'20Trips'!$A$24:$G$26, 3,FALSE)=VLOOKUP(T$1,'20Trips'!$A$3:$I$22,3,FALSE),VLOOKUP(T$1,'20Trips'!$A$3:$I$22,8,FALSE)-VLOOKUP($B64,'20Trips'!$A$3:$I$22, 9,FALSE) &gt;= (50+10)),1,0)</f>
        <v>0</v>
      </c>
      <c r="U64" s="2">
        <f>IF(AND(feasible_mat!T22, VLOOKUP($A64,'20Trips'!$A$24:$G$26, 3,FALSE)=VLOOKUP(U$1,'20Trips'!$A$3:$I$22,3,FALSE),VLOOKUP(U$1,'20Trips'!$A$3:$I$22,8,FALSE)-VLOOKUP($B64,'20Trips'!$A$3:$I$22, 9,FALSE) &gt;= (50+10)),1,0)</f>
        <v>0</v>
      </c>
      <c r="V64" s="2">
        <f>IF(AND(feasible_mat!U22, VLOOKUP($A64,'20Trips'!$A$24:$G$26, 3,FALSE)=VLOOKUP(V$1,'20Trips'!$A$3:$I$22,3,FALSE),VLOOKUP(V$1,'20Trips'!$A$3:$I$22,8,FALSE)-VLOOKUP($B64,'20Trips'!$A$3:$I$22, 9,FALSE) &gt;= (50+10)),1,0)</f>
        <v>0</v>
      </c>
      <c r="W64" s="2">
        <f>IF(AND(feasible_mat!V22, VLOOKUP($A64,'20Trips'!$A$24:$G$26, 3,FALSE)=VLOOKUP(W$1,'20Trips'!$A$3:$I$22,3,FALSE),VLOOKUP(W$1,'20Trips'!$A$3:$I$22,8,FALSE)-VLOOKUP($B64,'20Trips'!$A$3:$I$22, 9,FALSE) &gt;= (50+10)),1,0)</f>
        <v>0</v>
      </c>
    </row>
    <row r="65" spans="1:23" x14ac:dyDescent="0.25">
      <c r="A65" t="s">
        <v>68</v>
      </c>
      <c r="B65" t="s">
        <v>46</v>
      </c>
      <c r="C65">
        <v>0</v>
      </c>
      <c r="D65" s="2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25">
      <c r="A66" t="s">
        <v>68</v>
      </c>
      <c r="B66" t="s">
        <v>6</v>
      </c>
      <c r="C66">
        <v>0</v>
      </c>
      <c r="D66" s="2">
        <f>IF(AND(feasible_mat!C3, VLOOKUP(Recharged_Feasible_matv3!$A66,'20Trips'!$A$24:$G$26, 3,FALSE)=VLOOKUP(D$1,'20Trips'!$A$3:$I$22,3,FALSE)),1,0)</f>
        <v>0</v>
      </c>
      <c r="E66" s="2">
        <f>IF(AND(feasible_mat!D3, VLOOKUP(Recharged_Feasible_matv3!$A66,'20Trips'!$A$24:$G$26, 3,FALSE)=VLOOKUP(E$1,'20Trips'!$A$3:$I$22,3,FALSE)),1,0)</f>
        <v>0</v>
      </c>
      <c r="F66" s="2">
        <f>IF(AND(feasible_mat!E3, VLOOKUP(Recharged_Feasible_matv3!$A66,'20Trips'!$A$24:$G$26, 3,FALSE)=VLOOKUP(F$1,'20Trips'!$A$3:$I$22,3,FALSE)),1,0)</f>
        <v>0</v>
      </c>
      <c r="G66" s="2">
        <f>IF(AND(feasible_mat!F3, VLOOKUP(Recharged_Feasible_matv3!$A66,'20Trips'!$A$24:$G$26, 3,FALSE)=VLOOKUP(G$1,'20Trips'!$A$3:$I$22,3,FALSE)),1,0)</f>
        <v>0</v>
      </c>
      <c r="H66" s="2">
        <f>IF(AND(feasible_mat!G3, VLOOKUP(Recharged_Feasible_matv3!$A66,'20Trips'!$A$24:$G$26, 3,FALSE)=VLOOKUP(H$1,'20Trips'!$A$3:$I$22,3,FALSE)),1,0)</f>
        <v>0</v>
      </c>
      <c r="I66" s="2">
        <f>IF(AND(feasible_mat!H3, VLOOKUP(Recharged_Feasible_matv3!$A66,'20Trips'!$A$24:$G$26, 3,FALSE)=VLOOKUP(I$1,'20Trips'!$A$3:$I$22,3,FALSE)),1,0)</f>
        <v>0</v>
      </c>
      <c r="J66" s="2">
        <f>IF(AND(feasible_mat!I3, VLOOKUP(Recharged_Feasible_matv3!$A66,'20Trips'!$A$24:$G$26, 3,FALSE)=VLOOKUP(J$1,'20Trips'!$A$3:$I$22,3,FALSE)),1,0)</f>
        <v>0</v>
      </c>
      <c r="K66" s="2">
        <f>IF(AND(feasible_mat!J3, VLOOKUP(Recharged_Feasible_matv3!$A66,'20Trips'!$A$24:$G$26, 3,FALSE)=VLOOKUP(K$1,'20Trips'!$A$3:$I$22,3,FALSE)),1,0)</f>
        <v>0</v>
      </c>
      <c r="L66" s="2">
        <f>IF(AND(feasible_mat!K3, VLOOKUP(Recharged_Feasible_matv3!$A66,'20Trips'!$A$24:$G$26, 3,FALSE)=VLOOKUP(L$1,'20Trips'!$A$3:$I$22,3,FALSE)),1,0)</f>
        <v>0</v>
      </c>
      <c r="M66" s="2">
        <f>IF(AND(feasible_mat!L3, VLOOKUP(Recharged_Feasible_matv3!$A66,'20Trips'!$A$24:$G$26, 3,FALSE)=VLOOKUP(M$1,'20Trips'!$A$3:$I$22,3,FALSE)),1,0)</f>
        <v>0</v>
      </c>
      <c r="N66" s="2">
        <f>IF(AND(feasible_mat!M3, VLOOKUP(Recharged_Feasible_matv3!$A66,'20Trips'!$A$24:$G$26, 3,FALSE)=VLOOKUP(N$1,'20Trips'!$A$3:$I$22,3,FALSE)),1,0)</f>
        <v>0</v>
      </c>
      <c r="O66" s="2">
        <f>IF(AND(feasible_mat!N3, VLOOKUP(Recharged_Feasible_matv3!$A66,'20Trips'!$A$24:$G$26, 3,FALSE)=VLOOKUP(O$1,'20Trips'!$A$3:$I$22,3,FALSE)),1,0)</f>
        <v>0</v>
      </c>
      <c r="P66" s="2">
        <f>IF(AND(feasible_mat!O3, VLOOKUP(Recharged_Feasible_matv3!$A66,'20Trips'!$A$24:$G$26, 3,FALSE)=VLOOKUP(P$1,'20Trips'!$A$3:$I$22,3,FALSE)),1,0)</f>
        <v>0</v>
      </c>
      <c r="Q66" s="2">
        <f>IF(AND(feasible_mat!P3, VLOOKUP(Recharged_Feasible_matv3!$A66,'20Trips'!$A$24:$G$26, 3,FALSE)=VLOOKUP(Q$1,'20Trips'!$A$3:$I$22,3,FALSE)),1,0)</f>
        <v>0</v>
      </c>
      <c r="R66" s="2">
        <f>IF(AND(feasible_mat!Q3, VLOOKUP(Recharged_Feasible_matv3!$A66,'20Trips'!$A$24:$G$26, 3,FALSE)=VLOOKUP(R$1,'20Trips'!$A$3:$I$22,3,FALSE)),1,0)</f>
        <v>0</v>
      </c>
      <c r="S66" s="2">
        <f>IF(AND(feasible_mat!R3, VLOOKUP(Recharged_Feasible_matv3!$A66,'20Trips'!$A$24:$G$26, 3,FALSE)=VLOOKUP(S$1,'20Trips'!$A$3:$I$22,3,FALSE)),1,0)</f>
        <v>0</v>
      </c>
      <c r="T66" s="2">
        <f>IF(AND(feasible_mat!S3, VLOOKUP(Recharged_Feasible_matv3!$A66,'20Trips'!$A$24:$G$26, 3,FALSE)=VLOOKUP(T$1,'20Trips'!$A$3:$I$22,3,FALSE)),1,0)</f>
        <v>1</v>
      </c>
      <c r="U66" s="2">
        <f>IF(AND(feasible_mat!T3, VLOOKUP(Recharged_Feasible_matv3!$A66,'20Trips'!$A$24:$G$26, 3,FALSE)=VLOOKUP(U$1,'20Trips'!$A$3:$I$22,3,FALSE)),1,0)</f>
        <v>1</v>
      </c>
      <c r="V66" s="2">
        <f>IF(AND(feasible_mat!U3, VLOOKUP(Recharged_Feasible_matv3!$A66,'20Trips'!$A$24:$G$26, 3,FALSE)=VLOOKUP(V$1,'20Trips'!$A$3:$I$22,3,FALSE)),1,0)</f>
        <v>1</v>
      </c>
      <c r="W66" s="2">
        <f>IF(AND(feasible_mat!V3, VLOOKUP(Recharged_Feasible_matv3!$A66,'20Trips'!$A$24:$G$26, 3,FALSE)=VLOOKUP(W$1,'20Trips'!$A$3:$I$22,3,FALSE)),1,0)</f>
        <v>1</v>
      </c>
    </row>
    <row r="67" spans="1:23" x14ac:dyDescent="0.25">
      <c r="A67" t="s">
        <v>68</v>
      </c>
      <c r="B67" t="s">
        <v>9</v>
      </c>
      <c r="C67">
        <v>0</v>
      </c>
      <c r="D67" s="2">
        <f>IF(AND(feasible_mat!C4, VLOOKUP(Recharged_Feasible_matv3!$A67,'20Trips'!$A$24:$G$26, 3,FALSE)=VLOOKUP(D$1,'20Trips'!$A$3:$I$22,3,FALSE)),1,0)</f>
        <v>0</v>
      </c>
      <c r="E67" s="2">
        <f>IF(AND(feasible_mat!D4, VLOOKUP(Recharged_Feasible_matv3!$A67,'20Trips'!$A$24:$G$26, 3,FALSE)=VLOOKUP(E$1,'20Trips'!$A$3:$I$22,3,FALSE)),1,0)</f>
        <v>0</v>
      </c>
      <c r="F67" s="2">
        <f>IF(AND(feasible_mat!E4, VLOOKUP(Recharged_Feasible_matv3!$A67,'20Trips'!$A$24:$G$26, 3,FALSE)=VLOOKUP(F$1,'20Trips'!$A$3:$I$22,3,FALSE)),1,0)</f>
        <v>0</v>
      </c>
      <c r="G67" s="2">
        <f>IF(AND(feasible_mat!F4, VLOOKUP(Recharged_Feasible_matv3!$A67,'20Trips'!$A$24:$G$26, 3,FALSE)=VLOOKUP(G$1,'20Trips'!$A$3:$I$22,3,FALSE)),1,0)</f>
        <v>0</v>
      </c>
      <c r="H67" s="2">
        <f>IF(AND(feasible_mat!G4, VLOOKUP(Recharged_Feasible_matv3!$A67,'20Trips'!$A$24:$G$26, 3,FALSE)=VLOOKUP(H$1,'20Trips'!$A$3:$I$22,3,FALSE)),1,0)</f>
        <v>0</v>
      </c>
      <c r="I67" s="2">
        <f>IF(AND(feasible_mat!H4, VLOOKUP(Recharged_Feasible_matv3!$A67,'20Trips'!$A$24:$G$26, 3,FALSE)=VLOOKUP(I$1,'20Trips'!$A$3:$I$22,3,FALSE)),1,0)</f>
        <v>0</v>
      </c>
      <c r="J67" s="2">
        <f>IF(AND(feasible_mat!I4, VLOOKUP(Recharged_Feasible_matv3!$A67,'20Trips'!$A$24:$G$26, 3,FALSE)=VLOOKUP(J$1,'20Trips'!$A$3:$I$22,3,FALSE)),1,0)</f>
        <v>0</v>
      </c>
      <c r="K67" s="2">
        <f>IF(AND(feasible_mat!J4, VLOOKUP(Recharged_Feasible_matv3!$A67,'20Trips'!$A$24:$G$26, 3,FALSE)=VLOOKUP(K$1,'20Trips'!$A$3:$I$22,3,FALSE)),1,0)</f>
        <v>0</v>
      </c>
      <c r="L67" s="2">
        <f>IF(AND(feasible_mat!K4, VLOOKUP(Recharged_Feasible_matv3!$A67,'20Trips'!$A$24:$G$26, 3,FALSE)=VLOOKUP(L$1,'20Trips'!$A$3:$I$22,3,FALSE)),1,0)</f>
        <v>0</v>
      </c>
      <c r="M67" s="2">
        <f>IF(AND(feasible_mat!L4, VLOOKUP(Recharged_Feasible_matv3!$A67,'20Trips'!$A$24:$G$26, 3,FALSE)=VLOOKUP(M$1,'20Trips'!$A$3:$I$22,3,FALSE)),1,0)</f>
        <v>0</v>
      </c>
      <c r="N67" s="2">
        <f>IF(AND(feasible_mat!M4, VLOOKUP(Recharged_Feasible_matv3!$A67,'20Trips'!$A$24:$G$26, 3,FALSE)=VLOOKUP(N$1,'20Trips'!$A$3:$I$22,3,FALSE)),1,0)</f>
        <v>0</v>
      </c>
      <c r="O67" s="2">
        <f>IF(AND(feasible_mat!N4, VLOOKUP(Recharged_Feasible_matv3!$A67,'20Trips'!$A$24:$G$26, 3,FALSE)=VLOOKUP(O$1,'20Trips'!$A$3:$I$22,3,FALSE)),1,0)</f>
        <v>0</v>
      </c>
      <c r="P67" s="2">
        <f>IF(AND(feasible_mat!O4, VLOOKUP(Recharged_Feasible_matv3!$A67,'20Trips'!$A$24:$G$26, 3,FALSE)=VLOOKUP(P$1,'20Trips'!$A$3:$I$22,3,FALSE)),1,0)</f>
        <v>0</v>
      </c>
      <c r="Q67" s="2">
        <f>IF(AND(feasible_mat!P4, VLOOKUP(Recharged_Feasible_matv3!$A67,'20Trips'!$A$24:$G$26, 3,FALSE)=VLOOKUP(Q$1,'20Trips'!$A$3:$I$22,3,FALSE)),1,0)</f>
        <v>0</v>
      </c>
      <c r="R67" s="2">
        <f>IF(AND(feasible_mat!Q4, VLOOKUP(Recharged_Feasible_matv3!$A67,'20Trips'!$A$24:$G$26, 3,FALSE)=VLOOKUP(R$1,'20Trips'!$A$3:$I$22,3,FALSE)),1,0)</f>
        <v>0</v>
      </c>
      <c r="S67" s="2">
        <f>IF(AND(feasible_mat!R4, VLOOKUP(Recharged_Feasible_matv3!$A67,'20Trips'!$A$24:$G$26, 3,FALSE)=VLOOKUP(S$1,'20Trips'!$A$3:$I$22,3,FALSE)),1,0)</f>
        <v>0</v>
      </c>
      <c r="T67" s="2">
        <f>IF(AND(feasible_mat!S4, VLOOKUP(Recharged_Feasible_matv3!$A67,'20Trips'!$A$24:$G$26, 3,FALSE)=VLOOKUP(T$1,'20Trips'!$A$3:$I$22,3,FALSE)),1,0)</f>
        <v>0</v>
      </c>
      <c r="U67" s="2">
        <f>IF(AND(feasible_mat!T4, VLOOKUP(Recharged_Feasible_matv3!$A67,'20Trips'!$A$24:$G$26, 3,FALSE)=VLOOKUP(U$1,'20Trips'!$A$3:$I$22,3,FALSE)),1,0)</f>
        <v>0</v>
      </c>
      <c r="V67" s="2">
        <f>IF(AND(feasible_mat!U4, VLOOKUP(Recharged_Feasible_matv3!$A67,'20Trips'!$A$24:$G$26, 3,FALSE)=VLOOKUP(V$1,'20Trips'!$A$3:$I$22,3,FALSE)),1,0)</f>
        <v>1</v>
      </c>
      <c r="W67" s="2">
        <f>IF(AND(feasible_mat!V4, VLOOKUP(Recharged_Feasible_matv3!$A67,'20Trips'!$A$24:$G$26, 3,FALSE)=VLOOKUP(W$1,'20Trips'!$A$3:$I$22,3,FALSE)),1,0)</f>
        <v>1</v>
      </c>
    </row>
    <row r="68" spans="1:23" x14ac:dyDescent="0.25">
      <c r="A68" t="s">
        <v>68</v>
      </c>
      <c r="B68" t="s">
        <v>10</v>
      </c>
      <c r="C68">
        <v>0</v>
      </c>
      <c r="D68" s="2">
        <f>IF(AND(feasible_mat!C5, VLOOKUP(Recharged_Feasible_matv3!$A68,'20Trips'!$A$24:$G$26, 3,FALSE)=VLOOKUP(D$1,'20Trips'!$A$3:$I$22,3,FALSE)),1,0)</f>
        <v>0</v>
      </c>
      <c r="E68" s="2">
        <f>IF(AND(feasible_mat!D5, VLOOKUP(Recharged_Feasible_matv3!$A68,'20Trips'!$A$24:$G$26, 3,FALSE)=VLOOKUP(E$1,'20Trips'!$A$3:$I$22,3,FALSE)),1,0)</f>
        <v>0</v>
      </c>
      <c r="F68" s="2">
        <f>IF(AND(feasible_mat!E5, VLOOKUP(Recharged_Feasible_matv3!$A68,'20Trips'!$A$24:$G$26, 3,FALSE)=VLOOKUP(F$1,'20Trips'!$A$3:$I$22,3,FALSE)),1,0)</f>
        <v>0</v>
      </c>
      <c r="G68" s="2">
        <f>IF(AND(feasible_mat!F5, VLOOKUP(Recharged_Feasible_matv3!$A68,'20Trips'!$A$24:$G$26, 3,FALSE)=VLOOKUP(G$1,'20Trips'!$A$3:$I$22,3,FALSE)),1,0)</f>
        <v>0</v>
      </c>
      <c r="H68" s="2">
        <f>IF(AND(feasible_mat!G5, VLOOKUP(Recharged_Feasible_matv3!$A68,'20Trips'!$A$24:$G$26, 3,FALSE)=VLOOKUP(H$1,'20Trips'!$A$3:$I$22,3,FALSE)),1,0)</f>
        <v>0</v>
      </c>
      <c r="I68" s="2">
        <f>IF(AND(feasible_mat!H5, VLOOKUP(Recharged_Feasible_matv3!$A68,'20Trips'!$A$24:$G$26, 3,FALSE)=VLOOKUP(I$1,'20Trips'!$A$3:$I$22,3,FALSE)),1,0)</f>
        <v>0</v>
      </c>
      <c r="J68" s="2">
        <f>IF(AND(feasible_mat!I5, VLOOKUP(Recharged_Feasible_matv3!$A68,'20Trips'!$A$24:$G$26, 3,FALSE)=VLOOKUP(J$1,'20Trips'!$A$3:$I$22,3,FALSE)),1,0)</f>
        <v>0</v>
      </c>
      <c r="K68" s="2">
        <f>IF(AND(feasible_mat!J5, VLOOKUP(Recharged_Feasible_matv3!$A68,'20Trips'!$A$24:$G$26, 3,FALSE)=VLOOKUP(K$1,'20Trips'!$A$3:$I$22,3,FALSE)),1,0)</f>
        <v>0</v>
      </c>
      <c r="L68" s="2">
        <f>IF(AND(feasible_mat!K5, VLOOKUP(Recharged_Feasible_matv3!$A68,'20Trips'!$A$24:$G$26, 3,FALSE)=VLOOKUP(L$1,'20Trips'!$A$3:$I$22,3,FALSE)),1,0)</f>
        <v>0</v>
      </c>
      <c r="M68" s="2">
        <f>IF(AND(feasible_mat!L5, VLOOKUP(Recharged_Feasible_matv3!$A68,'20Trips'!$A$24:$G$26, 3,FALSE)=VLOOKUP(M$1,'20Trips'!$A$3:$I$22,3,FALSE)),1,0)</f>
        <v>0</v>
      </c>
      <c r="N68" s="2">
        <f>IF(AND(feasible_mat!M5, VLOOKUP(Recharged_Feasible_matv3!$A68,'20Trips'!$A$24:$G$26, 3,FALSE)=VLOOKUP(N$1,'20Trips'!$A$3:$I$22,3,FALSE)),1,0)</f>
        <v>0</v>
      </c>
      <c r="O68" s="2">
        <f>IF(AND(feasible_mat!N5, VLOOKUP(Recharged_Feasible_matv3!$A68,'20Trips'!$A$24:$G$26, 3,FALSE)=VLOOKUP(O$1,'20Trips'!$A$3:$I$22,3,FALSE)),1,0)</f>
        <v>0</v>
      </c>
      <c r="P68" s="2">
        <f>IF(AND(feasible_mat!O5, VLOOKUP(Recharged_Feasible_matv3!$A68,'20Trips'!$A$24:$G$26, 3,FALSE)=VLOOKUP(P$1,'20Trips'!$A$3:$I$22,3,FALSE)),1,0)</f>
        <v>0</v>
      </c>
      <c r="Q68" s="2">
        <f>IF(AND(feasible_mat!P5, VLOOKUP(Recharged_Feasible_matv3!$A68,'20Trips'!$A$24:$G$26, 3,FALSE)=VLOOKUP(Q$1,'20Trips'!$A$3:$I$22,3,FALSE)),1,0)</f>
        <v>0</v>
      </c>
      <c r="R68" s="2">
        <f>IF(AND(feasible_mat!Q5, VLOOKUP(Recharged_Feasible_matv3!$A68,'20Trips'!$A$24:$G$26, 3,FALSE)=VLOOKUP(R$1,'20Trips'!$A$3:$I$22,3,FALSE)),1,0)</f>
        <v>0</v>
      </c>
      <c r="S68" s="2">
        <f>IF(AND(feasible_mat!R5, VLOOKUP(Recharged_Feasible_matv3!$A68,'20Trips'!$A$24:$G$26, 3,FALSE)=VLOOKUP(S$1,'20Trips'!$A$3:$I$22,3,FALSE)),1,0)</f>
        <v>0</v>
      </c>
      <c r="T68" s="2">
        <f>IF(AND(feasible_mat!S5, VLOOKUP(Recharged_Feasible_matv3!$A68,'20Trips'!$A$24:$G$26, 3,FALSE)=VLOOKUP(T$1,'20Trips'!$A$3:$I$22,3,FALSE)),1,0)</f>
        <v>0</v>
      </c>
      <c r="U68" s="2">
        <f>IF(AND(feasible_mat!T5, VLOOKUP(Recharged_Feasible_matv3!$A68,'20Trips'!$A$24:$G$26, 3,FALSE)=VLOOKUP(U$1,'20Trips'!$A$3:$I$22,3,FALSE)),1,0)</f>
        <v>0</v>
      </c>
      <c r="V68" s="2">
        <f>IF(AND(feasible_mat!U5, VLOOKUP(Recharged_Feasible_matv3!$A68,'20Trips'!$A$24:$G$26, 3,FALSE)=VLOOKUP(V$1,'20Trips'!$A$3:$I$22,3,FALSE)),1,0)</f>
        <v>0</v>
      </c>
      <c r="W68" s="2">
        <f>IF(AND(feasible_mat!V5, VLOOKUP(Recharged_Feasible_matv3!$A68,'20Trips'!$A$24:$G$26, 3,FALSE)=VLOOKUP(W$1,'20Trips'!$A$3:$I$22,3,FALSE)),1,0)</f>
        <v>1</v>
      </c>
    </row>
    <row r="69" spans="1:23" x14ac:dyDescent="0.25">
      <c r="A69" t="s">
        <v>68</v>
      </c>
      <c r="B69" t="s">
        <v>11</v>
      </c>
      <c r="C69">
        <v>0</v>
      </c>
      <c r="D69" s="2">
        <f>IF(AND(feasible_mat!C6, VLOOKUP(Recharged_Feasible_matv3!$A69,'20Trips'!$A$24:$G$26, 3,FALSE)=VLOOKUP(D$1,'20Trips'!$A$3:$I$22,3,FALSE)),1,0)</f>
        <v>0</v>
      </c>
      <c r="E69" s="2">
        <f>IF(AND(feasible_mat!D6, VLOOKUP(Recharged_Feasible_matv3!$A69,'20Trips'!$A$24:$G$26, 3,FALSE)=VLOOKUP(E$1,'20Trips'!$A$3:$I$22,3,FALSE)),1,0)</f>
        <v>0</v>
      </c>
      <c r="F69" s="2">
        <f>IF(AND(feasible_mat!E6, VLOOKUP(Recharged_Feasible_matv3!$A69,'20Trips'!$A$24:$G$26, 3,FALSE)=VLOOKUP(F$1,'20Trips'!$A$3:$I$22,3,FALSE)),1,0)</f>
        <v>0</v>
      </c>
      <c r="G69" s="2">
        <f>IF(AND(feasible_mat!F6, VLOOKUP(Recharged_Feasible_matv3!$A69,'20Trips'!$A$24:$G$26, 3,FALSE)=VLOOKUP(G$1,'20Trips'!$A$3:$I$22,3,FALSE)),1,0)</f>
        <v>0</v>
      </c>
      <c r="H69" s="2">
        <f>IF(AND(feasible_mat!G6, VLOOKUP(Recharged_Feasible_matv3!$A69,'20Trips'!$A$24:$G$26, 3,FALSE)=VLOOKUP(H$1,'20Trips'!$A$3:$I$22,3,FALSE)),1,0)</f>
        <v>0</v>
      </c>
      <c r="I69" s="2">
        <f>IF(AND(feasible_mat!H6, VLOOKUP(Recharged_Feasible_matv3!$A69,'20Trips'!$A$24:$G$26, 3,FALSE)=VLOOKUP(I$1,'20Trips'!$A$3:$I$22,3,FALSE)),1,0)</f>
        <v>0</v>
      </c>
      <c r="J69" s="2">
        <f>IF(AND(feasible_mat!I6, VLOOKUP(Recharged_Feasible_matv3!$A69,'20Trips'!$A$24:$G$26, 3,FALSE)=VLOOKUP(J$1,'20Trips'!$A$3:$I$22,3,FALSE)),1,0)</f>
        <v>0</v>
      </c>
      <c r="K69" s="2">
        <f>IF(AND(feasible_mat!J6, VLOOKUP(Recharged_Feasible_matv3!$A69,'20Trips'!$A$24:$G$26, 3,FALSE)=VLOOKUP(K$1,'20Trips'!$A$3:$I$22,3,FALSE)),1,0)</f>
        <v>0</v>
      </c>
      <c r="L69" s="2">
        <f>IF(AND(feasible_mat!K6, VLOOKUP(Recharged_Feasible_matv3!$A69,'20Trips'!$A$24:$G$26, 3,FALSE)=VLOOKUP(L$1,'20Trips'!$A$3:$I$22,3,FALSE)),1,0)</f>
        <v>0</v>
      </c>
      <c r="M69" s="2">
        <f>IF(AND(feasible_mat!L6, VLOOKUP(Recharged_Feasible_matv3!$A69,'20Trips'!$A$24:$G$26, 3,FALSE)=VLOOKUP(M$1,'20Trips'!$A$3:$I$22,3,FALSE)),1,0)</f>
        <v>0</v>
      </c>
      <c r="N69" s="2">
        <f>IF(AND(feasible_mat!M6, VLOOKUP(Recharged_Feasible_matv3!$A69,'20Trips'!$A$24:$G$26, 3,FALSE)=VLOOKUP(N$1,'20Trips'!$A$3:$I$22,3,FALSE)),1,0)</f>
        <v>0</v>
      </c>
      <c r="O69" s="2">
        <f>IF(AND(feasible_mat!N6, VLOOKUP(Recharged_Feasible_matv3!$A69,'20Trips'!$A$24:$G$26, 3,FALSE)=VLOOKUP(O$1,'20Trips'!$A$3:$I$22,3,FALSE)),1,0)</f>
        <v>0</v>
      </c>
      <c r="P69" s="2">
        <f>IF(AND(feasible_mat!O6, VLOOKUP(Recharged_Feasible_matv3!$A69,'20Trips'!$A$24:$G$26, 3,FALSE)=VLOOKUP(P$1,'20Trips'!$A$3:$I$22,3,FALSE)),1,0)</f>
        <v>0</v>
      </c>
      <c r="Q69" s="2">
        <f>IF(AND(feasible_mat!P6, VLOOKUP(Recharged_Feasible_matv3!$A69,'20Trips'!$A$24:$G$26, 3,FALSE)=VLOOKUP(Q$1,'20Trips'!$A$3:$I$22,3,FALSE)),1,0)</f>
        <v>0</v>
      </c>
      <c r="R69" s="2">
        <f>IF(AND(feasible_mat!Q6, VLOOKUP(Recharged_Feasible_matv3!$A69,'20Trips'!$A$24:$G$26, 3,FALSE)=VLOOKUP(R$1,'20Trips'!$A$3:$I$22,3,FALSE)),1,0)</f>
        <v>0</v>
      </c>
      <c r="S69" s="2">
        <f>IF(AND(feasible_mat!R6, VLOOKUP(Recharged_Feasible_matv3!$A69,'20Trips'!$A$24:$G$26, 3,FALSE)=VLOOKUP(S$1,'20Trips'!$A$3:$I$22,3,FALSE)),1,0)</f>
        <v>0</v>
      </c>
      <c r="T69" s="2">
        <f>IF(AND(feasible_mat!S6, VLOOKUP(Recharged_Feasible_matv3!$A69,'20Trips'!$A$24:$G$26, 3,FALSE)=VLOOKUP(T$1,'20Trips'!$A$3:$I$22,3,FALSE)),1,0)</f>
        <v>0</v>
      </c>
      <c r="U69" s="2">
        <f>IF(AND(feasible_mat!T6, VLOOKUP(Recharged_Feasible_matv3!$A69,'20Trips'!$A$24:$G$26, 3,FALSE)=VLOOKUP(U$1,'20Trips'!$A$3:$I$22,3,FALSE)),1,0)</f>
        <v>0</v>
      </c>
      <c r="V69" s="2">
        <f>IF(AND(feasible_mat!U6, VLOOKUP(Recharged_Feasible_matv3!$A69,'20Trips'!$A$24:$G$26, 3,FALSE)=VLOOKUP(V$1,'20Trips'!$A$3:$I$22,3,FALSE)),1,0)</f>
        <v>0</v>
      </c>
      <c r="W69" s="2">
        <f>IF(AND(feasible_mat!V6, VLOOKUP(Recharged_Feasible_matv3!$A69,'20Trips'!$A$24:$G$26, 3,FALSE)=VLOOKUP(W$1,'20Trips'!$A$3:$I$22,3,FALSE)),1,0)</f>
        <v>0</v>
      </c>
    </row>
    <row r="70" spans="1:23" x14ac:dyDescent="0.25">
      <c r="A70" t="s">
        <v>68</v>
      </c>
      <c r="B70" t="s">
        <v>12</v>
      </c>
      <c r="C70">
        <v>0</v>
      </c>
      <c r="D70" s="2">
        <f>IF(AND(feasible_mat!C7, VLOOKUP(Recharged_Feasible_matv3!$A70,'20Trips'!$A$24:$G$26, 3,FALSE)=VLOOKUP(D$1,'20Trips'!$A$3:$I$22,3,FALSE)),1,0)</f>
        <v>0</v>
      </c>
      <c r="E70" s="2">
        <f>IF(AND(feasible_mat!D7, VLOOKUP(Recharged_Feasible_matv3!$A70,'20Trips'!$A$24:$G$26, 3,FALSE)=VLOOKUP(E$1,'20Trips'!$A$3:$I$22,3,FALSE)),1,0)</f>
        <v>0</v>
      </c>
      <c r="F70" s="2">
        <f>IF(AND(feasible_mat!E7, VLOOKUP(Recharged_Feasible_matv3!$A70,'20Trips'!$A$24:$G$26, 3,FALSE)=VLOOKUP(F$1,'20Trips'!$A$3:$I$22,3,FALSE)),1,0)</f>
        <v>0</v>
      </c>
      <c r="G70" s="2">
        <f>IF(AND(feasible_mat!F7, VLOOKUP(Recharged_Feasible_matv3!$A70,'20Trips'!$A$24:$G$26, 3,FALSE)=VLOOKUP(G$1,'20Trips'!$A$3:$I$22,3,FALSE)),1,0)</f>
        <v>0</v>
      </c>
      <c r="H70" s="2">
        <f>IF(AND(feasible_mat!G7, VLOOKUP(Recharged_Feasible_matv3!$A70,'20Trips'!$A$24:$G$26, 3,FALSE)=VLOOKUP(H$1,'20Trips'!$A$3:$I$22,3,FALSE)),1,0)</f>
        <v>0</v>
      </c>
      <c r="I70" s="2">
        <f>IF(AND(feasible_mat!H7, VLOOKUP(Recharged_Feasible_matv3!$A70,'20Trips'!$A$24:$G$26, 3,FALSE)=VLOOKUP(I$1,'20Trips'!$A$3:$I$22,3,FALSE)),1,0)</f>
        <v>0</v>
      </c>
      <c r="J70" s="2">
        <f>IF(AND(feasible_mat!I7, VLOOKUP(Recharged_Feasible_matv3!$A70,'20Trips'!$A$24:$G$26, 3,FALSE)=VLOOKUP(J$1,'20Trips'!$A$3:$I$22,3,FALSE)),1,0)</f>
        <v>0</v>
      </c>
      <c r="K70" s="2">
        <f>IF(AND(feasible_mat!J7, VLOOKUP(Recharged_Feasible_matv3!$A70,'20Trips'!$A$24:$G$26, 3,FALSE)=VLOOKUP(K$1,'20Trips'!$A$3:$I$22,3,FALSE)),1,0)</f>
        <v>0</v>
      </c>
      <c r="L70" s="2">
        <f>IF(AND(feasible_mat!K7, VLOOKUP(Recharged_Feasible_matv3!$A70,'20Trips'!$A$24:$G$26, 3,FALSE)=VLOOKUP(L$1,'20Trips'!$A$3:$I$22,3,FALSE)),1,0)</f>
        <v>0</v>
      </c>
      <c r="M70" s="2">
        <f>IF(AND(feasible_mat!L7, VLOOKUP(Recharged_Feasible_matv3!$A70,'20Trips'!$A$24:$G$26, 3,FALSE)=VLOOKUP(M$1,'20Trips'!$A$3:$I$22,3,FALSE)),1,0)</f>
        <v>0</v>
      </c>
      <c r="N70" s="2">
        <f>IF(AND(feasible_mat!M7, VLOOKUP(Recharged_Feasible_matv3!$A70,'20Trips'!$A$24:$G$26, 3,FALSE)=VLOOKUP(N$1,'20Trips'!$A$3:$I$22,3,FALSE)),1,0)</f>
        <v>0</v>
      </c>
      <c r="O70" s="2">
        <f>IF(AND(feasible_mat!N7, VLOOKUP(Recharged_Feasible_matv3!$A70,'20Trips'!$A$24:$G$26, 3,FALSE)=VLOOKUP(O$1,'20Trips'!$A$3:$I$22,3,FALSE)),1,0)</f>
        <v>0</v>
      </c>
      <c r="P70" s="2">
        <f>IF(AND(feasible_mat!O7, VLOOKUP(Recharged_Feasible_matv3!$A70,'20Trips'!$A$24:$G$26, 3,FALSE)=VLOOKUP(P$1,'20Trips'!$A$3:$I$22,3,FALSE)),1,0)</f>
        <v>0</v>
      </c>
      <c r="Q70" s="2">
        <f>IF(AND(feasible_mat!P7, VLOOKUP(Recharged_Feasible_matv3!$A70,'20Trips'!$A$24:$G$26, 3,FALSE)=VLOOKUP(Q$1,'20Trips'!$A$3:$I$22,3,FALSE)),1,0)</f>
        <v>0</v>
      </c>
      <c r="R70" s="2">
        <f>IF(AND(feasible_mat!Q7, VLOOKUP(Recharged_Feasible_matv3!$A70,'20Trips'!$A$24:$G$26, 3,FALSE)=VLOOKUP(R$1,'20Trips'!$A$3:$I$22,3,FALSE)),1,0)</f>
        <v>0</v>
      </c>
      <c r="S70" s="2">
        <f>IF(AND(feasible_mat!R7, VLOOKUP(Recharged_Feasible_matv3!$A70,'20Trips'!$A$24:$G$26, 3,FALSE)=VLOOKUP(S$1,'20Trips'!$A$3:$I$22,3,FALSE)),1,0)</f>
        <v>0</v>
      </c>
      <c r="T70" s="2">
        <f>IF(AND(feasible_mat!S7, VLOOKUP(Recharged_Feasible_matv3!$A70,'20Trips'!$A$24:$G$26, 3,FALSE)=VLOOKUP(T$1,'20Trips'!$A$3:$I$22,3,FALSE)),1,0)</f>
        <v>0</v>
      </c>
      <c r="U70" s="2">
        <f>IF(AND(feasible_mat!T7, VLOOKUP(Recharged_Feasible_matv3!$A70,'20Trips'!$A$24:$G$26, 3,FALSE)=VLOOKUP(U$1,'20Trips'!$A$3:$I$22,3,FALSE)),1,0)</f>
        <v>0</v>
      </c>
      <c r="V70" s="2">
        <f>IF(AND(feasible_mat!U7, VLOOKUP(Recharged_Feasible_matv3!$A70,'20Trips'!$A$24:$G$26, 3,FALSE)=VLOOKUP(V$1,'20Trips'!$A$3:$I$22,3,FALSE)),1,0)</f>
        <v>0</v>
      </c>
      <c r="W70" s="2">
        <f>IF(AND(feasible_mat!V7, VLOOKUP(Recharged_Feasible_matv3!$A70,'20Trips'!$A$24:$G$26, 3,FALSE)=VLOOKUP(W$1,'20Trips'!$A$3:$I$22,3,FALSE)),1,0)</f>
        <v>0</v>
      </c>
    </row>
    <row r="71" spans="1:23" x14ac:dyDescent="0.25">
      <c r="A71" t="s">
        <v>68</v>
      </c>
      <c r="B71" t="s">
        <v>18</v>
      </c>
      <c r="C71">
        <v>0</v>
      </c>
      <c r="D71" s="2">
        <f>IF(AND(feasible_mat!C8, VLOOKUP(Recharged_Feasible_matv3!$A71,'20Trips'!$A$24:$G$26, 3,FALSE)=VLOOKUP(D$1,'20Trips'!$A$3:$I$22,3,FALSE)),1,0)</f>
        <v>0</v>
      </c>
      <c r="E71" s="2">
        <f>IF(AND(feasible_mat!D8, VLOOKUP(Recharged_Feasible_matv3!$A71,'20Trips'!$A$24:$G$26, 3,FALSE)=VLOOKUP(E$1,'20Trips'!$A$3:$I$22,3,FALSE)),1,0)</f>
        <v>0</v>
      </c>
      <c r="F71" s="2">
        <f>IF(AND(feasible_mat!E8, VLOOKUP(Recharged_Feasible_matv3!$A71,'20Trips'!$A$24:$G$26, 3,FALSE)=VLOOKUP(F$1,'20Trips'!$A$3:$I$22,3,FALSE)),1,0)</f>
        <v>0</v>
      </c>
      <c r="G71" s="2">
        <f>IF(AND(feasible_mat!F8, VLOOKUP(Recharged_Feasible_matv3!$A71,'20Trips'!$A$24:$G$26, 3,FALSE)=VLOOKUP(G$1,'20Trips'!$A$3:$I$22,3,FALSE)),1,0)</f>
        <v>0</v>
      </c>
      <c r="H71" s="2">
        <f>IF(AND(feasible_mat!G8, VLOOKUP(Recharged_Feasible_matv3!$A71,'20Trips'!$A$24:$G$26, 3,FALSE)=VLOOKUP(H$1,'20Trips'!$A$3:$I$22,3,FALSE)),1,0)</f>
        <v>0</v>
      </c>
      <c r="I71" s="2">
        <f>IF(AND(feasible_mat!H8, VLOOKUP(Recharged_Feasible_matv3!$A71,'20Trips'!$A$24:$G$26, 3,FALSE)=VLOOKUP(I$1,'20Trips'!$A$3:$I$22,3,FALSE)),1,0)</f>
        <v>0</v>
      </c>
      <c r="J71" s="2">
        <f>IF(AND(feasible_mat!I8, VLOOKUP(Recharged_Feasible_matv3!$A71,'20Trips'!$A$24:$G$26, 3,FALSE)=VLOOKUP(J$1,'20Trips'!$A$3:$I$22,3,FALSE)),1,0)</f>
        <v>0</v>
      </c>
      <c r="K71" s="2">
        <f>IF(AND(feasible_mat!J8, VLOOKUP(Recharged_Feasible_matv3!$A71,'20Trips'!$A$24:$G$26, 3,FALSE)=VLOOKUP(K$1,'20Trips'!$A$3:$I$22,3,FALSE)),1,0)</f>
        <v>0</v>
      </c>
      <c r="L71" s="2">
        <f>IF(AND(feasible_mat!K8, VLOOKUP(Recharged_Feasible_matv3!$A71,'20Trips'!$A$24:$G$26, 3,FALSE)=VLOOKUP(L$1,'20Trips'!$A$3:$I$22,3,FALSE)),1,0)</f>
        <v>0</v>
      </c>
      <c r="M71" s="2">
        <f>IF(AND(feasible_mat!L8, VLOOKUP(Recharged_Feasible_matv3!$A71,'20Trips'!$A$24:$G$26, 3,FALSE)=VLOOKUP(M$1,'20Trips'!$A$3:$I$22,3,FALSE)),1,0)</f>
        <v>0</v>
      </c>
      <c r="N71" s="2">
        <f>IF(AND(feasible_mat!M8, VLOOKUP(Recharged_Feasible_matv3!$A71,'20Trips'!$A$24:$G$26, 3,FALSE)=VLOOKUP(N$1,'20Trips'!$A$3:$I$22,3,FALSE)),1,0)</f>
        <v>0</v>
      </c>
      <c r="O71" s="2">
        <f>IF(AND(feasible_mat!N8, VLOOKUP(Recharged_Feasible_matv3!$A71,'20Trips'!$A$24:$G$26, 3,FALSE)=VLOOKUP(O$1,'20Trips'!$A$3:$I$22,3,FALSE)),1,0)</f>
        <v>0</v>
      </c>
      <c r="P71" s="2">
        <f>IF(AND(feasible_mat!O8, VLOOKUP(Recharged_Feasible_matv3!$A71,'20Trips'!$A$24:$G$26, 3,FALSE)=VLOOKUP(P$1,'20Trips'!$A$3:$I$22,3,FALSE)),1,0)</f>
        <v>0</v>
      </c>
      <c r="Q71" s="2">
        <f>IF(AND(feasible_mat!P8, VLOOKUP(Recharged_Feasible_matv3!$A71,'20Trips'!$A$24:$G$26, 3,FALSE)=VLOOKUP(Q$1,'20Trips'!$A$3:$I$22,3,FALSE)),1,0)</f>
        <v>0</v>
      </c>
      <c r="R71" s="2">
        <f>IF(AND(feasible_mat!Q8, VLOOKUP(Recharged_Feasible_matv3!$A71,'20Trips'!$A$24:$G$26, 3,FALSE)=VLOOKUP(R$1,'20Trips'!$A$3:$I$22,3,FALSE)),1,0)</f>
        <v>0</v>
      </c>
      <c r="S71" s="2">
        <f>IF(AND(feasible_mat!R8, VLOOKUP(Recharged_Feasible_matv3!$A71,'20Trips'!$A$24:$G$26, 3,FALSE)=VLOOKUP(S$1,'20Trips'!$A$3:$I$22,3,FALSE)),1,0)</f>
        <v>0</v>
      </c>
      <c r="T71" s="2">
        <f>IF(AND(feasible_mat!S8, VLOOKUP(Recharged_Feasible_matv3!$A71,'20Trips'!$A$24:$G$26, 3,FALSE)=VLOOKUP(T$1,'20Trips'!$A$3:$I$22,3,FALSE)),1,0)</f>
        <v>1</v>
      </c>
      <c r="U71" s="2">
        <f>IF(AND(feasible_mat!T8, VLOOKUP(Recharged_Feasible_matv3!$A71,'20Trips'!$A$24:$G$26, 3,FALSE)=VLOOKUP(U$1,'20Trips'!$A$3:$I$22,3,FALSE)),1,0)</f>
        <v>1</v>
      </c>
      <c r="V71" s="2">
        <f>IF(AND(feasible_mat!U8, VLOOKUP(Recharged_Feasible_matv3!$A71,'20Trips'!$A$24:$G$26, 3,FALSE)=VLOOKUP(V$1,'20Trips'!$A$3:$I$22,3,FALSE)),1,0)</f>
        <v>1</v>
      </c>
      <c r="W71" s="2">
        <f>IF(AND(feasible_mat!V8, VLOOKUP(Recharged_Feasible_matv3!$A71,'20Trips'!$A$24:$G$26, 3,FALSE)=VLOOKUP(W$1,'20Trips'!$A$3:$I$22,3,FALSE)),1,0)</f>
        <v>1</v>
      </c>
    </row>
    <row r="72" spans="1:23" x14ac:dyDescent="0.25">
      <c r="A72" t="s">
        <v>68</v>
      </c>
      <c r="B72" t="s">
        <v>20</v>
      </c>
      <c r="C72">
        <v>0</v>
      </c>
      <c r="D72" s="2">
        <f>IF(AND(feasible_mat!C9, VLOOKUP(Recharged_Feasible_matv3!$A72,'20Trips'!$A$24:$G$26, 3,FALSE)=VLOOKUP(D$1,'20Trips'!$A$3:$I$22,3,FALSE)),1,0)</f>
        <v>0</v>
      </c>
      <c r="E72" s="2">
        <f>IF(AND(feasible_mat!D9, VLOOKUP(Recharged_Feasible_matv3!$A72,'20Trips'!$A$24:$G$26, 3,FALSE)=VLOOKUP(E$1,'20Trips'!$A$3:$I$22,3,FALSE)),1,0)</f>
        <v>0</v>
      </c>
      <c r="F72" s="2">
        <f>IF(AND(feasible_mat!E9, VLOOKUP(Recharged_Feasible_matv3!$A72,'20Trips'!$A$24:$G$26, 3,FALSE)=VLOOKUP(F$1,'20Trips'!$A$3:$I$22,3,FALSE)),1,0)</f>
        <v>0</v>
      </c>
      <c r="G72" s="2">
        <f>IF(AND(feasible_mat!F9, VLOOKUP(Recharged_Feasible_matv3!$A72,'20Trips'!$A$24:$G$26, 3,FALSE)=VLOOKUP(G$1,'20Trips'!$A$3:$I$22,3,FALSE)),1,0)</f>
        <v>0</v>
      </c>
      <c r="H72" s="2">
        <f>IF(AND(feasible_mat!G9, VLOOKUP(Recharged_Feasible_matv3!$A72,'20Trips'!$A$24:$G$26, 3,FALSE)=VLOOKUP(H$1,'20Trips'!$A$3:$I$22,3,FALSE)),1,0)</f>
        <v>0</v>
      </c>
      <c r="I72" s="2">
        <f>IF(AND(feasible_mat!H9, VLOOKUP(Recharged_Feasible_matv3!$A72,'20Trips'!$A$24:$G$26, 3,FALSE)=VLOOKUP(I$1,'20Trips'!$A$3:$I$22,3,FALSE)),1,0)</f>
        <v>0</v>
      </c>
      <c r="J72" s="2">
        <f>IF(AND(feasible_mat!I9, VLOOKUP(Recharged_Feasible_matv3!$A72,'20Trips'!$A$24:$G$26, 3,FALSE)=VLOOKUP(J$1,'20Trips'!$A$3:$I$22,3,FALSE)),1,0)</f>
        <v>0</v>
      </c>
      <c r="K72" s="2">
        <f>IF(AND(feasible_mat!J9, VLOOKUP(Recharged_Feasible_matv3!$A72,'20Trips'!$A$24:$G$26, 3,FALSE)=VLOOKUP(K$1,'20Trips'!$A$3:$I$22,3,FALSE)),1,0)</f>
        <v>0</v>
      </c>
      <c r="L72" s="2">
        <f>IF(AND(feasible_mat!K9, VLOOKUP(Recharged_Feasible_matv3!$A72,'20Trips'!$A$24:$G$26, 3,FALSE)=VLOOKUP(L$1,'20Trips'!$A$3:$I$22,3,FALSE)),1,0)</f>
        <v>0</v>
      </c>
      <c r="M72" s="2">
        <f>IF(AND(feasible_mat!L9, VLOOKUP(Recharged_Feasible_matv3!$A72,'20Trips'!$A$24:$G$26, 3,FALSE)=VLOOKUP(M$1,'20Trips'!$A$3:$I$22,3,FALSE)),1,0)</f>
        <v>0</v>
      </c>
      <c r="N72" s="2">
        <f>IF(AND(feasible_mat!M9, VLOOKUP(Recharged_Feasible_matv3!$A72,'20Trips'!$A$24:$G$26, 3,FALSE)=VLOOKUP(N$1,'20Trips'!$A$3:$I$22,3,FALSE)),1,0)</f>
        <v>0</v>
      </c>
      <c r="O72" s="2">
        <f>IF(AND(feasible_mat!N9, VLOOKUP(Recharged_Feasible_matv3!$A72,'20Trips'!$A$24:$G$26, 3,FALSE)=VLOOKUP(O$1,'20Trips'!$A$3:$I$22,3,FALSE)),1,0)</f>
        <v>0</v>
      </c>
      <c r="P72" s="2">
        <f>IF(AND(feasible_mat!O9, VLOOKUP(Recharged_Feasible_matv3!$A72,'20Trips'!$A$24:$G$26, 3,FALSE)=VLOOKUP(P$1,'20Trips'!$A$3:$I$22,3,FALSE)),1,0)</f>
        <v>0</v>
      </c>
      <c r="Q72" s="2">
        <f>IF(AND(feasible_mat!P9, VLOOKUP(Recharged_Feasible_matv3!$A72,'20Trips'!$A$24:$G$26, 3,FALSE)=VLOOKUP(Q$1,'20Trips'!$A$3:$I$22,3,FALSE)),1,0)</f>
        <v>0</v>
      </c>
      <c r="R72" s="2">
        <f>IF(AND(feasible_mat!Q9, VLOOKUP(Recharged_Feasible_matv3!$A72,'20Trips'!$A$24:$G$26, 3,FALSE)=VLOOKUP(R$1,'20Trips'!$A$3:$I$22,3,FALSE)),1,0)</f>
        <v>0</v>
      </c>
      <c r="S72" s="2">
        <f>IF(AND(feasible_mat!R9, VLOOKUP(Recharged_Feasible_matv3!$A72,'20Trips'!$A$24:$G$26, 3,FALSE)=VLOOKUP(S$1,'20Trips'!$A$3:$I$22,3,FALSE)),1,0)</f>
        <v>0</v>
      </c>
      <c r="T72" s="2">
        <f>IF(AND(feasible_mat!S9, VLOOKUP(Recharged_Feasible_matv3!$A72,'20Trips'!$A$24:$G$26, 3,FALSE)=VLOOKUP(T$1,'20Trips'!$A$3:$I$22,3,FALSE)),1,0)</f>
        <v>0</v>
      </c>
      <c r="U72" s="2">
        <f>IF(AND(feasible_mat!T9, VLOOKUP(Recharged_Feasible_matv3!$A72,'20Trips'!$A$24:$G$26, 3,FALSE)=VLOOKUP(U$1,'20Trips'!$A$3:$I$22,3,FALSE)),1,0)</f>
        <v>1</v>
      </c>
      <c r="V72" s="2">
        <f>IF(AND(feasible_mat!U9, VLOOKUP(Recharged_Feasible_matv3!$A72,'20Trips'!$A$24:$G$26, 3,FALSE)=VLOOKUP(V$1,'20Trips'!$A$3:$I$22,3,FALSE)),1,0)</f>
        <v>1</v>
      </c>
      <c r="W72" s="2">
        <f>IF(AND(feasible_mat!V9, VLOOKUP(Recharged_Feasible_matv3!$A72,'20Trips'!$A$24:$G$26, 3,FALSE)=VLOOKUP(W$1,'20Trips'!$A$3:$I$22,3,FALSE)),1,0)</f>
        <v>1</v>
      </c>
    </row>
    <row r="73" spans="1:23" x14ac:dyDescent="0.25">
      <c r="A73" t="s">
        <v>68</v>
      </c>
      <c r="B73" t="s">
        <v>21</v>
      </c>
      <c r="C73">
        <v>0</v>
      </c>
      <c r="D73" s="2">
        <f>IF(AND(feasible_mat!C10, VLOOKUP(Recharged_Feasible_matv3!$A73,'20Trips'!$A$24:$G$26, 3,FALSE)=VLOOKUP(D$1,'20Trips'!$A$3:$I$22,3,FALSE)),1,0)</f>
        <v>0</v>
      </c>
      <c r="E73" s="2">
        <f>IF(AND(feasible_mat!D10, VLOOKUP(Recharged_Feasible_matv3!$A73,'20Trips'!$A$24:$G$26, 3,FALSE)=VLOOKUP(E$1,'20Trips'!$A$3:$I$22,3,FALSE)),1,0)</f>
        <v>0</v>
      </c>
      <c r="F73" s="2">
        <f>IF(AND(feasible_mat!E10, VLOOKUP(Recharged_Feasible_matv3!$A73,'20Trips'!$A$24:$G$26, 3,FALSE)=VLOOKUP(F$1,'20Trips'!$A$3:$I$22,3,FALSE)),1,0)</f>
        <v>0</v>
      </c>
      <c r="G73" s="2">
        <f>IF(AND(feasible_mat!F10, VLOOKUP(Recharged_Feasible_matv3!$A73,'20Trips'!$A$24:$G$26, 3,FALSE)=VLOOKUP(G$1,'20Trips'!$A$3:$I$22,3,FALSE)),1,0)</f>
        <v>0</v>
      </c>
      <c r="H73" s="2">
        <f>IF(AND(feasible_mat!G10, VLOOKUP(Recharged_Feasible_matv3!$A73,'20Trips'!$A$24:$G$26, 3,FALSE)=VLOOKUP(H$1,'20Trips'!$A$3:$I$22,3,FALSE)),1,0)</f>
        <v>0</v>
      </c>
      <c r="I73" s="2">
        <f>IF(AND(feasible_mat!H10, VLOOKUP(Recharged_Feasible_matv3!$A73,'20Trips'!$A$24:$G$26, 3,FALSE)=VLOOKUP(I$1,'20Trips'!$A$3:$I$22,3,FALSE)),1,0)</f>
        <v>0</v>
      </c>
      <c r="J73" s="2">
        <f>IF(AND(feasible_mat!I10, VLOOKUP(Recharged_Feasible_matv3!$A73,'20Trips'!$A$24:$G$26, 3,FALSE)=VLOOKUP(J$1,'20Trips'!$A$3:$I$22,3,FALSE)),1,0)</f>
        <v>0</v>
      </c>
      <c r="K73" s="2">
        <f>IF(AND(feasible_mat!J10, VLOOKUP(Recharged_Feasible_matv3!$A73,'20Trips'!$A$24:$G$26, 3,FALSE)=VLOOKUP(K$1,'20Trips'!$A$3:$I$22,3,FALSE)),1,0)</f>
        <v>0</v>
      </c>
      <c r="L73" s="2">
        <f>IF(AND(feasible_mat!K10, VLOOKUP(Recharged_Feasible_matv3!$A73,'20Trips'!$A$24:$G$26, 3,FALSE)=VLOOKUP(L$1,'20Trips'!$A$3:$I$22,3,FALSE)),1,0)</f>
        <v>0</v>
      </c>
      <c r="M73" s="2">
        <f>IF(AND(feasible_mat!L10, VLOOKUP(Recharged_Feasible_matv3!$A73,'20Trips'!$A$24:$G$26, 3,FALSE)=VLOOKUP(M$1,'20Trips'!$A$3:$I$22,3,FALSE)),1,0)</f>
        <v>0</v>
      </c>
      <c r="N73" s="2">
        <f>IF(AND(feasible_mat!M10, VLOOKUP(Recharged_Feasible_matv3!$A73,'20Trips'!$A$24:$G$26, 3,FALSE)=VLOOKUP(N$1,'20Trips'!$A$3:$I$22,3,FALSE)),1,0)</f>
        <v>0</v>
      </c>
      <c r="O73" s="2">
        <f>IF(AND(feasible_mat!N10, VLOOKUP(Recharged_Feasible_matv3!$A73,'20Trips'!$A$24:$G$26, 3,FALSE)=VLOOKUP(O$1,'20Trips'!$A$3:$I$22,3,FALSE)),1,0)</f>
        <v>0</v>
      </c>
      <c r="P73" s="2">
        <f>IF(AND(feasible_mat!O10, VLOOKUP(Recharged_Feasible_matv3!$A73,'20Trips'!$A$24:$G$26, 3,FALSE)=VLOOKUP(P$1,'20Trips'!$A$3:$I$22,3,FALSE)),1,0)</f>
        <v>0</v>
      </c>
      <c r="Q73" s="2">
        <f>IF(AND(feasible_mat!P10, VLOOKUP(Recharged_Feasible_matv3!$A73,'20Trips'!$A$24:$G$26, 3,FALSE)=VLOOKUP(Q$1,'20Trips'!$A$3:$I$22,3,FALSE)),1,0)</f>
        <v>0</v>
      </c>
      <c r="R73" s="2">
        <f>IF(AND(feasible_mat!Q10, VLOOKUP(Recharged_Feasible_matv3!$A73,'20Trips'!$A$24:$G$26, 3,FALSE)=VLOOKUP(R$1,'20Trips'!$A$3:$I$22,3,FALSE)),1,0)</f>
        <v>0</v>
      </c>
      <c r="S73" s="2">
        <f>IF(AND(feasible_mat!R10, VLOOKUP(Recharged_Feasible_matv3!$A73,'20Trips'!$A$24:$G$26, 3,FALSE)=VLOOKUP(S$1,'20Trips'!$A$3:$I$22,3,FALSE)),1,0)</f>
        <v>0</v>
      </c>
      <c r="T73" s="2">
        <f>IF(AND(feasible_mat!S10, VLOOKUP(Recharged_Feasible_matv3!$A73,'20Trips'!$A$24:$G$26, 3,FALSE)=VLOOKUP(T$1,'20Trips'!$A$3:$I$22,3,FALSE)),1,0)</f>
        <v>0</v>
      </c>
      <c r="U73" s="2">
        <f>IF(AND(feasible_mat!T10, VLOOKUP(Recharged_Feasible_matv3!$A73,'20Trips'!$A$24:$G$26, 3,FALSE)=VLOOKUP(U$1,'20Trips'!$A$3:$I$22,3,FALSE)),1,0)</f>
        <v>0</v>
      </c>
      <c r="V73" s="2">
        <f>IF(AND(feasible_mat!U10, VLOOKUP(Recharged_Feasible_matv3!$A73,'20Trips'!$A$24:$G$26, 3,FALSE)=VLOOKUP(V$1,'20Trips'!$A$3:$I$22,3,FALSE)),1,0)</f>
        <v>0</v>
      </c>
      <c r="W73" s="2">
        <f>IF(AND(feasible_mat!V10, VLOOKUP(Recharged_Feasible_matv3!$A73,'20Trips'!$A$24:$G$26, 3,FALSE)=VLOOKUP(W$1,'20Trips'!$A$3:$I$22,3,FALSE)),1,0)</f>
        <v>1</v>
      </c>
    </row>
    <row r="74" spans="1:23" x14ac:dyDescent="0.25">
      <c r="A74" t="s">
        <v>68</v>
      </c>
      <c r="B74" t="s">
        <v>22</v>
      </c>
      <c r="C74">
        <v>0</v>
      </c>
      <c r="D74" s="2">
        <f>IF(AND(feasible_mat!C11, VLOOKUP(Recharged_Feasible_matv3!$A74,'20Trips'!$A$24:$G$26, 3,FALSE)=VLOOKUP(D$1,'20Trips'!$A$3:$I$22,3,FALSE)),1,0)</f>
        <v>0</v>
      </c>
      <c r="E74" s="2">
        <f>IF(AND(feasible_mat!D11, VLOOKUP(Recharged_Feasible_matv3!$A74,'20Trips'!$A$24:$G$26, 3,FALSE)=VLOOKUP(E$1,'20Trips'!$A$3:$I$22,3,FALSE)),1,0)</f>
        <v>0</v>
      </c>
      <c r="F74" s="2">
        <f>IF(AND(feasible_mat!E11, VLOOKUP(Recharged_Feasible_matv3!$A74,'20Trips'!$A$24:$G$26, 3,FALSE)=VLOOKUP(F$1,'20Trips'!$A$3:$I$22,3,FALSE)),1,0)</f>
        <v>0</v>
      </c>
      <c r="G74" s="2">
        <f>IF(AND(feasible_mat!F11, VLOOKUP(Recharged_Feasible_matv3!$A74,'20Trips'!$A$24:$G$26, 3,FALSE)=VLOOKUP(G$1,'20Trips'!$A$3:$I$22,3,FALSE)),1,0)</f>
        <v>0</v>
      </c>
      <c r="H74" s="2">
        <f>IF(AND(feasible_mat!G11, VLOOKUP(Recharged_Feasible_matv3!$A74,'20Trips'!$A$24:$G$26, 3,FALSE)=VLOOKUP(H$1,'20Trips'!$A$3:$I$22,3,FALSE)),1,0)</f>
        <v>0</v>
      </c>
      <c r="I74" s="2">
        <f>IF(AND(feasible_mat!H11, VLOOKUP(Recharged_Feasible_matv3!$A74,'20Trips'!$A$24:$G$26, 3,FALSE)=VLOOKUP(I$1,'20Trips'!$A$3:$I$22,3,FALSE)),1,0)</f>
        <v>0</v>
      </c>
      <c r="J74" s="2">
        <f>IF(AND(feasible_mat!I11, VLOOKUP(Recharged_Feasible_matv3!$A74,'20Trips'!$A$24:$G$26, 3,FALSE)=VLOOKUP(J$1,'20Trips'!$A$3:$I$22,3,FALSE)),1,0)</f>
        <v>0</v>
      </c>
      <c r="K74" s="2">
        <f>IF(AND(feasible_mat!J11, VLOOKUP(Recharged_Feasible_matv3!$A74,'20Trips'!$A$24:$G$26, 3,FALSE)=VLOOKUP(K$1,'20Trips'!$A$3:$I$22,3,FALSE)),1,0)</f>
        <v>0</v>
      </c>
      <c r="L74" s="2">
        <f>IF(AND(feasible_mat!K11, VLOOKUP(Recharged_Feasible_matv3!$A74,'20Trips'!$A$24:$G$26, 3,FALSE)=VLOOKUP(L$1,'20Trips'!$A$3:$I$22,3,FALSE)),1,0)</f>
        <v>0</v>
      </c>
      <c r="M74" s="2">
        <f>IF(AND(feasible_mat!L11, VLOOKUP(Recharged_Feasible_matv3!$A74,'20Trips'!$A$24:$G$26, 3,FALSE)=VLOOKUP(M$1,'20Trips'!$A$3:$I$22,3,FALSE)),1,0)</f>
        <v>0</v>
      </c>
      <c r="N74" s="2">
        <f>IF(AND(feasible_mat!M11, VLOOKUP(Recharged_Feasible_matv3!$A74,'20Trips'!$A$24:$G$26, 3,FALSE)=VLOOKUP(N$1,'20Trips'!$A$3:$I$22,3,FALSE)),1,0)</f>
        <v>0</v>
      </c>
      <c r="O74" s="2">
        <f>IF(AND(feasible_mat!N11, VLOOKUP(Recharged_Feasible_matv3!$A74,'20Trips'!$A$24:$G$26, 3,FALSE)=VLOOKUP(O$1,'20Trips'!$A$3:$I$22,3,FALSE)),1,0)</f>
        <v>0</v>
      </c>
      <c r="P74" s="2">
        <f>IF(AND(feasible_mat!O11, VLOOKUP(Recharged_Feasible_matv3!$A74,'20Trips'!$A$24:$G$26, 3,FALSE)=VLOOKUP(P$1,'20Trips'!$A$3:$I$22,3,FALSE)),1,0)</f>
        <v>0</v>
      </c>
      <c r="Q74" s="2">
        <f>IF(AND(feasible_mat!P11, VLOOKUP(Recharged_Feasible_matv3!$A74,'20Trips'!$A$24:$G$26, 3,FALSE)=VLOOKUP(Q$1,'20Trips'!$A$3:$I$22,3,FALSE)),1,0)</f>
        <v>0</v>
      </c>
      <c r="R74" s="2">
        <f>IF(AND(feasible_mat!Q11, VLOOKUP(Recharged_Feasible_matv3!$A74,'20Trips'!$A$24:$G$26, 3,FALSE)=VLOOKUP(R$1,'20Trips'!$A$3:$I$22,3,FALSE)),1,0)</f>
        <v>0</v>
      </c>
      <c r="S74" s="2">
        <f>IF(AND(feasible_mat!R11, VLOOKUP(Recharged_Feasible_matv3!$A74,'20Trips'!$A$24:$G$26, 3,FALSE)=VLOOKUP(S$1,'20Trips'!$A$3:$I$22,3,FALSE)),1,0)</f>
        <v>0</v>
      </c>
      <c r="T74" s="2">
        <f>IF(AND(feasible_mat!S11, VLOOKUP(Recharged_Feasible_matv3!$A74,'20Trips'!$A$24:$G$26, 3,FALSE)=VLOOKUP(T$1,'20Trips'!$A$3:$I$22,3,FALSE)),1,0)</f>
        <v>0</v>
      </c>
      <c r="U74" s="2">
        <f>IF(AND(feasible_mat!T11, VLOOKUP(Recharged_Feasible_matv3!$A74,'20Trips'!$A$24:$G$26, 3,FALSE)=VLOOKUP(U$1,'20Trips'!$A$3:$I$22,3,FALSE)),1,0)</f>
        <v>0</v>
      </c>
      <c r="V74" s="2">
        <f>IF(AND(feasible_mat!U11, VLOOKUP(Recharged_Feasible_matv3!$A74,'20Trips'!$A$24:$G$26, 3,FALSE)=VLOOKUP(V$1,'20Trips'!$A$3:$I$22,3,FALSE)),1,0)</f>
        <v>0</v>
      </c>
      <c r="W74" s="2">
        <f>IF(AND(feasible_mat!V11, VLOOKUP(Recharged_Feasible_matv3!$A74,'20Trips'!$A$24:$G$26, 3,FALSE)=VLOOKUP(W$1,'20Trips'!$A$3:$I$22,3,FALSE)),1,0)</f>
        <v>0</v>
      </c>
    </row>
    <row r="75" spans="1:23" x14ac:dyDescent="0.25">
      <c r="A75" t="s">
        <v>68</v>
      </c>
      <c r="B75" t="s">
        <v>23</v>
      </c>
      <c r="C75">
        <v>0</v>
      </c>
      <c r="D75" s="2">
        <f>IF(AND(feasible_mat!C12, VLOOKUP(Recharged_Feasible_matv3!$A75,'20Trips'!$A$24:$G$26, 3,FALSE)=VLOOKUP(D$1,'20Trips'!$A$3:$I$22,3,FALSE)),1,0)</f>
        <v>0</v>
      </c>
      <c r="E75" s="2">
        <f>IF(AND(feasible_mat!D12, VLOOKUP(Recharged_Feasible_matv3!$A75,'20Trips'!$A$24:$G$26, 3,FALSE)=VLOOKUP(E$1,'20Trips'!$A$3:$I$22,3,FALSE)),1,0)</f>
        <v>0</v>
      </c>
      <c r="F75" s="2">
        <f>IF(AND(feasible_mat!E12, VLOOKUP(Recharged_Feasible_matv3!$A75,'20Trips'!$A$24:$G$26, 3,FALSE)=VLOOKUP(F$1,'20Trips'!$A$3:$I$22,3,FALSE)),1,0)</f>
        <v>0</v>
      </c>
      <c r="G75" s="2">
        <f>IF(AND(feasible_mat!F12, VLOOKUP(Recharged_Feasible_matv3!$A75,'20Trips'!$A$24:$G$26, 3,FALSE)=VLOOKUP(G$1,'20Trips'!$A$3:$I$22,3,FALSE)),1,0)</f>
        <v>0</v>
      </c>
      <c r="H75" s="2">
        <f>IF(AND(feasible_mat!G12, VLOOKUP(Recharged_Feasible_matv3!$A75,'20Trips'!$A$24:$G$26, 3,FALSE)=VLOOKUP(H$1,'20Trips'!$A$3:$I$22,3,FALSE)),1,0)</f>
        <v>0</v>
      </c>
      <c r="I75" s="2">
        <f>IF(AND(feasible_mat!H12, VLOOKUP(Recharged_Feasible_matv3!$A75,'20Trips'!$A$24:$G$26, 3,FALSE)=VLOOKUP(I$1,'20Trips'!$A$3:$I$22,3,FALSE)),1,0)</f>
        <v>0</v>
      </c>
      <c r="J75" s="2">
        <f>IF(AND(feasible_mat!I12, VLOOKUP(Recharged_Feasible_matv3!$A75,'20Trips'!$A$24:$G$26, 3,FALSE)=VLOOKUP(J$1,'20Trips'!$A$3:$I$22,3,FALSE)),1,0)</f>
        <v>0</v>
      </c>
      <c r="K75" s="2">
        <f>IF(AND(feasible_mat!J12, VLOOKUP(Recharged_Feasible_matv3!$A75,'20Trips'!$A$24:$G$26, 3,FALSE)=VLOOKUP(K$1,'20Trips'!$A$3:$I$22,3,FALSE)),1,0)</f>
        <v>0</v>
      </c>
      <c r="L75" s="2">
        <f>IF(AND(feasible_mat!K12, VLOOKUP(Recharged_Feasible_matv3!$A75,'20Trips'!$A$24:$G$26, 3,FALSE)=VLOOKUP(L$1,'20Trips'!$A$3:$I$22,3,FALSE)),1,0)</f>
        <v>0</v>
      </c>
      <c r="M75" s="2">
        <f>IF(AND(feasible_mat!L12, VLOOKUP(Recharged_Feasible_matv3!$A75,'20Trips'!$A$24:$G$26, 3,FALSE)=VLOOKUP(M$1,'20Trips'!$A$3:$I$22,3,FALSE)),1,0)</f>
        <v>0</v>
      </c>
      <c r="N75" s="2">
        <f>IF(AND(feasible_mat!M12, VLOOKUP(Recharged_Feasible_matv3!$A75,'20Trips'!$A$24:$G$26, 3,FALSE)=VLOOKUP(N$1,'20Trips'!$A$3:$I$22,3,FALSE)),1,0)</f>
        <v>0</v>
      </c>
      <c r="O75" s="2">
        <f>IF(AND(feasible_mat!N12, VLOOKUP(Recharged_Feasible_matv3!$A75,'20Trips'!$A$24:$G$26, 3,FALSE)=VLOOKUP(O$1,'20Trips'!$A$3:$I$22,3,FALSE)),1,0)</f>
        <v>0</v>
      </c>
      <c r="P75" s="2">
        <f>IF(AND(feasible_mat!O12, VLOOKUP(Recharged_Feasible_matv3!$A75,'20Trips'!$A$24:$G$26, 3,FALSE)=VLOOKUP(P$1,'20Trips'!$A$3:$I$22,3,FALSE)),1,0)</f>
        <v>0</v>
      </c>
      <c r="Q75" s="2">
        <f>IF(AND(feasible_mat!P12, VLOOKUP(Recharged_Feasible_matv3!$A75,'20Trips'!$A$24:$G$26, 3,FALSE)=VLOOKUP(Q$1,'20Trips'!$A$3:$I$22,3,FALSE)),1,0)</f>
        <v>0</v>
      </c>
      <c r="R75" s="2">
        <f>IF(AND(feasible_mat!Q12, VLOOKUP(Recharged_Feasible_matv3!$A75,'20Trips'!$A$24:$G$26, 3,FALSE)=VLOOKUP(R$1,'20Trips'!$A$3:$I$22,3,FALSE)),1,0)</f>
        <v>0</v>
      </c>
      <c r="S75" s="2">
        <f>IF(AND(feasible_mat!R12, VLOOKUP(Recharged_Feasible_matv3!$A75,'20Trips'!$A$24:$G$26, 3,FALSE)=VLOOKUP(S$1,'20Trips'!$A$3:$I$22,3,FALSE)),1,0)</f>
        <v>0</v>
      </c>
      <c r="T75" s="2">
        <f>IF(AND(feasible_mat!S12, VLOOKUP(Recharged_Feasible_matv3!$A75,'20Trips'!$A$24:$G$26, 3,FALSE)=VLOOKUP(T$1,'20Trips'!$A$3:$I$22,3,FALSE)),1,0)</f>
        <v>0</v>
      </c>
      <c r="U75" s="2">
        <f>IF(AND(feasible_mat!T12, VLOOKUP(Recharged_Feasible_matv3!$A75,'20Trips'!$A$24:$G$26, 3,FALSE)=VLOOKUP(U$1,'20Trips'!$A$3:$I$22,3,FALSE)),1,0)</f>
        <v>0</v>
      </c>
      <c r="V75" s="2">
        <f>IF(AND(feasible_mat!U12, VLOOKUP(Recharged_Feasible_matv3!$A75,'20Trips'!$A$24:$G$26, 3,FALSE)=VLOOKUP(V$1,'20Trips'!$A$3:$I$22,3,FALSE)),1,0)</f>
        <v>0</v>
      </c>
      <c r="W75" s="2">
        <f>IF(AND(feasible_mat!V12, VLOOKUP(Recharged_Feasible_matv3!$A75,'20Trips'!$A$24:$G$26, 3,FALSE)=VLOOKUP(W$1,'20Trips'!$A$3:$I$22,3,FALSE)),1,0)</f>
        <v>0</v>
      </c>
    </row>
    <row r="76" spans="1:23" x14ac:dyDescent="0.25">
      <c r="A76" t="s">
        <v>68</v>
      </c>
      <c r="B76" t="s">
        <v>26</v>
      </c>
      <c r="C76">
        <v>0</v>
      </c>
      <c r="D76" s="2">
        <f>IF(AND(feasible_mat!C13, VLOOKUP(Recharged_Feasible_matv3!$A76,'20Trips'!$A$24:$G$26, 3,FALSE)=VLOOKUP(D$1,'20Trips'!$A$3:$I$22,3,FALSE)),1,0)</f>
        <v>0</v>
      </c>
      <c r="E76" s="2">
        <f>IF(AND(feasible_mat!D13, VLOOKUP(Recharged_Feasible_matv3!$A76,'20Trips'!$A$24:$G$26, 3,FALSE)=VLOOKUP(E$1,'20Trips'!$A$3:$I$22,3,FALSE)),1,0)</f>
        <v>0</v>
      </c>
      <c r="F76" s="2">
        <f>IF(AND(feasible_mat!E13, VLOOKUP(Recharged_Feasible_matv3!$A76,'20Trips'!$A$24:$G$26, 3,FALSE)=VLOOKUP(F$1,'20Trips'!$A$3:$I$22,3,FALSE)),1,0)</f>
        <v>0</v>
      </c>
      <c r="G76" s="2">
        <f>IF(AND(feasible_mat!F13, VLOOKUP(Recharged_Feasible_matv3!$A76,'20Trips'!$A$24:$G$26, 3,FALSE)=VLOOKUP(G$1,'20Trips'!$A$3:$I$22,3,FALSE)),1,0)</f>
        <v>0</v>
      </c>
      <c r="H76" s="2">
        <f>IF(AND(feasible_mat!G13, VLOOKUP(Recharged_Feasible_matv3!$A76,'20Trips'!$A$24:$G$26, 3,FALSE)=VLOOKUP(H$1,'20Trips'!$A$3:$I$22,3,FALSE)),1,0)</f>
        <v>0</v>
      </c>
      <c r="I76" s="2">
        <f>IF(AND(feasible_mat!H13, VLOOKUP(Recharged_Feasible_matv3!$A76,'20Trips'!$A$24:$G$26, 3,FALSE)=VLOOKUP(I$1,'20Trips'!$A$3:$I$22,3,FALSE)),1,0)</f>
        <v>0</v>
      </c>
      <c r="J76" s="2">
        <f>IF(AND(feasible_mat!I13, VLOOKUP(Recharged_Feasible_matv3!$A76,'20Trips'!$A$24:$G$26, 3,FALSE)=VLOOKUP(J$1,'20Trips'!$A$3:$I$22,3,FALSE)),1,0)</f>
        <v>0</v>
      </c>
      <c r="K76" s="2">
        <f>IF(AND(feasible_mat!J13, VLOOKUP(Recharged_Feasible_matv3!$A76,'20Trips'!$A$24:$G$26, 3,FALSE)=VLOOKUP(K$1,'20Trips'!$A$3:$I$22,3,FALSE)),1,0)</f>
        <v>0</v>
      </c>
      <c r="L76" s="2">
        <f>IF(AND(feasible_mat!K13, VLOOKUP(Recharged_Feasible_matv3!$A76,'20Trips'!$A$24:$G$26, 3,FALSE)=VLOOKUP(L$1,'20Trips'!$A$3:$I$22,3,FALSE)),1,0)</f>
        <v>0</v>
      </c>
      <c r="M76" s="2">
        <f>IF(AND(feasible_mat!L13, VLOOKUP(Recharged_Feasible_matv3!$A76,'20Trips'!$A$24:$G$26, 3,FALSE)=VLOOKUP(M$1,'20Trips'!$A$3:$I$22,3,FALSE)),1,0)</f>
        <v>0</v>
      </c>
      <c r="N76" s="2">
        <f>IF(AND(feasible_mat!M13, VLOOKUP(Recharged_Feasible_matv3!$A76,'20Trips'!$A$24:$G$26, 3,FALSE)=VLOOKUP(N$1,'20Trips'!$A$3:$I$22,3,FALSE)),1,0)</f>
        <v>0</v>
      </c>
      <c r="O76" s="2">
        <f>IF(AND(feasible_mat!N13, VLOOKUP(Recharged_Feasible_matv3!$A76,'20Trips'!$A$24:$G$26, 3,FALSE)=VLOOKUP(O$1,'20Trips'!$A$3:$I$22,3,FALSE)),1,0)</f>
        <v>0</v>
      </c>
      <c r="P76" s="2">
        <f>IF(AND(feasible_mat!O13, VLOOKUP(Recharged_Feasible_matv3!$A76,'20Trips'!$A$24:$G$26, 3,FALSE)=VLOOKUP(P$1,'20Trips'!$A$3:$I$22,3,FALSE)),1,0)</f>
        <v>0</v>
      </c>
      <c r="Q76" s="2">
        <f>IF(AND(feasible_mat!P13, VLOOKUP(Recharged_Feasible_matv3!$A76,'20Trips'!$A$24:$G$26, 3,FALSE)=VLOOKUP(Q$1,'20Trips'!$A$3:$I$22,3,FALSE)),1,0)</f>
        <v>0</v>
      </c>
      <c r="R76" s="2">
        <f>IF(AND(feasible_mat!Q13, VLOOKUP(Recharged_Feasible_matv3!$A76,'20Trips'!$A$24:$G$26, 3,FALSE)=VLOOKUP(R$1,'20Trips'!$A$3:$I$22,3,FALSE)),1,0)</f>
        <v>0</v>
      </c>
      <c r="S76" s="2">
        <f>IF(AND(feasible_mat!R13, VLOOKUP(Recharged_Feasible_matv3!$A76,'20Trips'!$A$24:$G$26, 3,FALSE)=VLOOKUP(S$1,'20Trips'!$A$3:$I$22,3,FALSE)),1,0)</f>
        <v>0</v>
      </c>
      <c r="T76" s="2">
        <f>IF(AND(feasible_mat!S13, VLOOKUP(Recharged_Feasible_matv3!$A76,'20Trips'!$A$24:$G$26, 3,FALSE)=VLOOKUP(T$1,'20Trips'!$A$3:$I$22,3,FALSE)),1,0)</f>
        <v>1</v>
      </c>
      <c r="U76" s="2">
        <f>IF(AND(feasible_mat!T13, VLOOKUP(Recharged_Feasible_matv3!$A76,'20Trips'!$A$24:$G$26, 3,FALSE)=VLOOKUP(U$1,'20Trips'!$A$3:$I$22,3,FALSE)),1,0)</f>
        <v>1</v>
      </c>
      <c r="V76" s="2">
        <f>IF(AND(feasible_mat!U13, VLOOKUP(Recharged_Feasible_matv3!$A76,'20Trips'!$A$24:$G$26, 3,FALSE)=VLOOKUP(V$1,'20Trips'!$A$3:$I$22,3,FALSE)),1,0)</f>
        <v>1</v>
      </c>
      <c r="W76" s="2">
        <f>IF(AND(feasible_mat!V13, VLOOKUP(Recharged_Feasible_matv3!$A76,'20Trips'!$A$24:$G$26, 3,FALSE)=VLOOKUP(W$1,'20Trips'!$A$3:$I$22,3,FALSE)),1,0)</f>
        <v>1</v>
      </c>
    </row>
    <row r="77" spans="1:23" x14ac:dyDescent="0.25">
      <c r="A77" t="s">
        <v>68</v>
      </c>
      <c r="B77" t="s">
        <v>27</v>
      </c>
      <c r="C77">
        <v>0</v>
      </c>
      <c r="D77" s="2">
        <f>IF(AND(feasible_mat!C14, VLOOKUP(Recharged_Feasible_matv3!$A77,'20Trips'!$A$24:$G$26, 3,FALSE)=VLOOKUP(D$1,'20Trips'!$A$3:$I$22,3,FALSE)),1,0)</f>
        <v>0</v>
      </c>
      <c r="E77" s="2">
        <f>IF(AND(feasible_mat!D14, VLOOKUP(Recharged_Feasible_matv3!$A77,'20Trips'!$A$24:$G$26, 3,FALSE)=VLOOKUP(E$1,'20Trips'!$A$3:$I$22,3,FALSE)),1,0)</f>
        <v>0</v>
      </c>
      <c r="F77" s="2">
        <f>IF(AND(feasible_mat!E14, VLOOKUP(Recharged_Feasible_matv3!$A77,'20Trips'!$A$24:$G$26, 3,FALSE)=VLOOKUP(F$1,'20Trips'!$A$3:$I$22,3,FALSE)),1,0)</f>
        <v>0</v>
      </c>
      <c r="G77" s="2">
        <f>IF(AND(feasible_mat!F14, VLOOKUP(Recharged_Feasible_matv3!$A77,'20Trips'!$A$24:$G$26, 3,FALSE)=VLOOKUP(G$1,'20Trips'!$A$3:$I$22,3,FALSE)),1,0)</f>
        <v>0</v>
      </c>
      <c r="H77" s="2">
        <f>IF(AND(feasible_mat!G14, VLOOKUP(Recharged_Feasible_matv3!$A77,'20Trips'!$A$24:$G$26, 3,FALSE)=VLOOKUP(H$1,'20Trips'!$A$3:$I$22,3,FALSE)),1,0)</f>
        <v>0</v>
      </c>
      <c r="I77" s="2">
        <f>IF(AND(feasible_mat!H14, VLOOKUP(Recharged_Feasible_matv3!$A77,'20Trips'!$A$24:$G$26, 3,FALSE)=VLOOKUP(I$1,'20Trips'!$A$3:$I$22,3,FALSE)),1,0)</f>
        <v>0</v>
      </c>
      <c r="J77" s="2">
        <f>IF(AND(feasible_mat!I14, VLOOKUP(Recharged_Feasible_matv3!$A77,'20Trips'!$A$24:$G$26, 3,FALSE)=VLOOKUP(J$1,'20Trips'!$A$3:$I$22,3,FALSE)),1,0)</f>
        <v>0</v>
      </c>
      <c r="K77" s="2">
        <f>IF(AND(feasible_mat!J14, VLOOKUP(Recharged_Feasible_matv3!$A77,'20Trips'!$A$24:$G$26, 3,FALSE)=VLOOKUP(K$1,'20Trips'!$A$3:$I$22,3,FALSE)),1,0)</f>
        <v>0</v>
      </c>
      <c r="L77" s="2">
        <f>IF(AND(feasible_mat!K14, VLOOKUP(Recharged_Feasible_matv3!$A77,'20Trips'!$A$24:$G$26, 3,FALSE)=VLOOKUP(L$1,'20Trips'!$A$3:$I$22,3,FALSE)),1,0)</f>
        <v>0</v>
      </c>
      <c r="M77" s="2">
        <f>IF(AND(feasible_mat!L14, VLOOKUP(Recharged_Feasible_matv3!$A77,'20Trips'!$A$24:$G$26, 3,FALSE)=VLOOKUP(M$1,'20Trips'!$A$3:$I$22,3,FALSE)),1,0)</f>
        <v>0</v>
      </c>
      <c r="N77" s="2">
        <f>IF(AND(feasible_mat!M14, VLOOKUP(Recharged_Feasible_matv3!$A77,'20Trips'!$A$24:$G$26, 3,FALSE)=VLOOKUP(N$1,'20Trips'!$A$3:$I$22,3,FALSE)),1,0)</f>
        <v>0</v>
      </c>
      <c r="O77" s="2">
        <f>IF(AND(feasible_mat!N14, VLOOKUP(Recharged_Feasible_matv3!$A77,'20Trips'!$A$24:$G$26, 3,FALSE)=VLOOKUP(O$1,'20Trips'!$A$3:$I$22,3,FALSE)),1,0)</f>
        <v>0</v>
      </c>
      <c r="P77" s="2">
        <f>IF(AND(feasible_mat!O14, VLOOKUP(Recharged_Feasible_matv3!$A77,'20Trips'!$A$24:$G$26, 3,FALSE)=VLOOKUP(P$1,'20Trips'!$A$3:$I$22,3,FALSE)),1,0)</f>
        <v>0</v>
      </c>
      <c r="Q77" s="2">
        <f>IF(AND(feasible_mat!P14, VLOOKUP(Recharged_Feasible_matv3!$A77,'20Trips'!$A$24:$G$26, 3,FALSE)=VLOOKUP(Q$1,'20Trips'!$A$3:$I$22,3,FALSE)),1,0)</f>
        <v>0</v>
      </c>
      <c r="R77" s="2">
        <f>IF(AND(feasible_mat!Q14, VLOOKUP(Recharged_Feasible_matv3!$A77,'20Trips'!$A$24:$G$26, 3,FALSE)=VLOOKUP(R$1,'20Trips'!$A$3:$I$22,3,FALSE)),1,0)</f>
        <v>0</v>
      </c>
      <c r="S77" s="2">
        <f>IF(AND(feasible_mat!R14, VLOOKUP(Recharged_Feasible_matv3!$A77,'20Trips'!$A$24:$G$26, 3,FALSE)=VLOOKUP(S$1,'20Trips'!$A$3:$I$22,3,FALSE)),1,0)</f>
        <v>0</v>
      </c>
      <c r="T77" s="2">
        <f>IF(AND(feasible_mat!S14, VLOOKUP(Recharged_Feasible_matv3!$A77,'20Trips'!$A$24:$G$26, 3,FALSE)=VLOOKUP(T$1,'20Trips'!$A$3:$I$22,3,FALSE)),1,0)</f>
        <v>0</v>
      </c>
      <c r="U77" s="2">
        <f>IF(AND(feasible_mat!T14, VLOOKUP(Recharged_Feasible_matv3!$A77,'20Trips'!$A$24:$G$26, 3,FALSE)=VLOOKUP(U$1,'20Trips'!$A$3:$I$22,3,FALSE)),1,0)</f>
        <v>1</v>
      </c>
      <c r="V77" s="2">
        <f>IF(AND(feasible_mat!U14, VLOOKUP(Recharged_Feasible_matv3!$A77,'20Trips'!$A$24:$G$26, 3,FALSE)=VLOOKUP(V$1,'20Trips'!$A$3:$I$22,3,FALSE)),1,0)</f>
        <v>1</v>
      </c>
      <c r="W77" s="2">
        <f>IF(AND(feasible_mat!V14, VLOOKUP(Recharged_Feasible_matv3!$A77,'20Trips'!$A$24:$G$26, 3,FALSE)=VLOOKUP(W$1,'20Trips'!$A$3:$I$22,3,FALSE)),1,0)</f>
        <v>1</v>
      </c>
    </row>
    <row r="78" spans="1:23" x14ac:dyDescent="0.25">
      <c r="A78" t="s">
        <v>68</v>
      </c>
      <c r="B78" t="s">
        <v>28</v>
      </c>
      <c r="C78">
        <v>0</v>
      </c>
      <c r="D78" s="2">
        <f>IF(AND(feasible_mat!C15, VLOOKUP(Recharged_Feasible_matv3!$A78,'20Trips'!$A$24:$G$26, 3,FALSE)=VLOOKUP(D$1,'20Trips'!$A$3:$I$22,3,FALSE)),1,0)</f>
        <v>0</v>
      </c>
      <c r="E78" s="2">
        <f>IF(AND(feasible_mat!D15, VLOOKUP(Recharged_Feasible_matv3!$A78,'20Trips'!$A$24:$G$26, 3,FALSE)=VLOOKUP(E$1,'20Trips'!$A$3:$I$22,3,FALSE)),1,0)</f>
        <v>0</v>
      </c>
      <c r="F78" s="2">
        <f>IF(AND(feasible_mat!E15, VLOOKUP(Recharged_Feasible_matv3!$A78,'20Trips'!$A$24:$G$26, 3,FALSE)=VLOOKUP(F$1,'20Trips'!$A$3:$I$22,3,FALSE)),1,0)</f>
        <v>0</v>
      </c>
      <c r="G78" s="2">
        <f>IF(AND(feasible_mat!F15, VLOOKUP(Recharged_Feasible_matv3!$A78,'20Trips'!$A$24:$G$26, 3,FALSE)=VLOOKUP(G$1,'20Trips'!$A$3:$I$22,3,FALSE)),1,0)</f>
        <v>0</v>
      </c>
      <c r="H78" s="2">
        <f>IF(AND(feasible_mat!G15, VLOOKUP(Recharged_Feasible_matv3!$A78,'20Trips'!$A$24:$G$26, 3,FALSE)=VLOOKUP(H$1,'20Trips'!$A$3:$I$22,3,FALSE)),1,0)</f>
        <v>0</v>
      </c>
      <c r="I78" s="2">
        <f>IF(AND(feasible_mat!H15, VLOOKUP(Recharged_Feasible_matv3!$A78,'20Trips'!$A$24:$G$26, 3,FALSE)=VLOOKUP(I$1,'20Trips'!$A$3:$I$22,3,FALSE)),1,0)</f>
        <v>0</v>
      </c>
      <c r="J78" s="2">
        <f>IF(AND(feasible_mat!I15, VLOOKUP(Recharged_Feasible_matv3!$A78,'20Trips'!$A$24:$G$26, 3,FALSE)=VLOOKUP(J$1,'20Trips'!$A$3:$I$22,3,FALSE)),1,0)</f>
        <v>0</v>
      </c>
      <c r="K78" s="2">
        <f>IF(AND(feasible_mat!J15, VLOOKUP(Recharged_Feasible_matv3!$A78,'20Trips'!$A$24:$G$26, 3,FALSE)=VLOOKUP(K$1,'20Trips'!$A$3:$I$22,3,FALSE)),1,0)</f>
        <v>0</v>
      </c>
      <c r="L78" s="2">
        <f>IF(AND(feasible_mat!K15, VLOOKUP(Recharged_Feasible_matv3!$A78,'20Trips'!$A$24:$G$26, 3,FALSE)=VLOOKUP(L$1,'20Trips'!$A$3:$I$22,3,FALSE)),1,0)</f>
        <v>0</v>
      </c>
      <c r="M78" s="2">
        <f>IF(AND(feasible_mat!L15, VLOOKUP(Recharged_Feasible_matv3!$A78,'20Trips'!$A$24:$G$26, 3,FALSE)=VLOOKUP(M$1,'20Trips'!$A$3:$I$22,3,FALSE)),1,0)</f>
        <v>0</v>
      </c>
      <c r="N78" s="2">
        <f>IF(AND(feasible_mat!M15, VLOOKUP(Recharged_Feasible_matv3!$A78,'20Trips'!$A$24:$G$26, 3,FALSE)=VLOOKUP(N$1,'20Trips'!$A$3:$I$22,3,FALSE)),1,0)</f>
        <v>0</v>
      </c>
      <c r="O78" s="2">
        <f>IF(AND(feasible_mat!N15, VLOOKUP(Recharged_Feasible_matv3!$A78,'20Trips'!$A$24:$G$26, 3,FALSE)=VLOOKUP(O$1,'20Trips'!$A$3:$I$22,3,FALSE)),1,0)</f>
        <v>0</v>
      </c>
      <c r="P78" s="2">
        <f>IF(AND(feasible_mat!O15, VLOOKUP(Recharged_Feasible_matv3!$A78,'20Trips'!$A$24:$G$26, 3,FALSE)=VLOOKUP(P$1,'20Trips'!$A$3:$I$22,3,FALSE)),1,0)</f>
        <v>0</v>
      </c>
      <c r="Q78" s="2">
        <f>IF(AND(feasible_mat!P15, VLOOKUP(Recharged_Feasible_matv3!$A78,'20Trips'!$A$24:$G$26, 3,FALSE)=VLOOKUP(Q$1,'20Trips'!$A$3:$I$22,3,FALSE)),1,0)</f>
        <v>0</v>
      </c>
      <c r="R78" s="2">
        <f>IF(AND(feasible_mat!Q15, VLOOKUP(Recharged_Feasible_matv3!$A78,'20Trips'!$A$24:$G$26, 3,FALSE)=VLOOKUP(R$1,'20Trips'!$A$3:$I$22,3,FALSE)),1,0)</f>
        <v>0</v>
      </c>
      <c r="S78" s="2">
        <f>IF(AND(feasible_mat!R15, VLOOKUP(Recharged_Feasible_matv3!$A78,'20Trips'!$A$24:$G$26, 3,FALSE)=VLOOKUP(S$1,'20Trips'!$A$3:$I$22,3,FALSE)),1,0)</f>
        <v>0</v>
      </c>
      <c r="T78" s="2">
        <f>IF(AND(feasible_mat!S15, VLOOKUP(Recharged_Feasible_matv3!$A78,'20Trips'!$A$24:$G$26, 3,FALSE)=VLOOKUP(T$1,'20Trips'!$A$3:$I$22,3,FALSE)),1,0)</f>
        <v>0</v>
      </c>
      <c r="U78" s="2">
        <f>IF(AND(feasible_mat!T15, VLOOKUP(Recharged_Feasible_matv3!$A78,'20Trips'!$A$24:$G$26, 3,FALSE)=VLOOKUP(U$1,'20Trips'!$A$3:$I$22,3,FALSE)),1,0)</f>
        <v>0</v>
      </c>
      <c r="V78" s="2">
        <f>IF(AND(feasible_mat!U15, VLOOKUP(Recharged_Feasible_matv3!$A78,'20Trips'!$A$24:$G$26, 3,FALSE)=VLOOKUP(V$1,'20Trips'!$A$3:$I$22,3,FALSE)),1,0)</f>
        <v>1</v>
      </c>
      <c r="W78" s="2">
        <f>IF(AND(feasible_mat!V15, VLOOKUP(Recharged_Feasible_matv3!$A78,'20Trips'!$A$24:$G$26, 3,FALSE)=VLOOKUP(W$1,'20Trips'!$A$3:$I$22,3,FALSE)),1,0)</f>
        <v>1</v>
      </c>
    </row>
    <row r="79" spans="1:23" x14ac:dyDescent="0.25">
      <c r="A79" t="s">
        <v>68</v>
      </c>
      <c r="B79" t="s">
        <v>29</v>
      </c>
      <c r="C79">
        <v>0</v>
      </c>
      <c r="D79" s="2">
        <f>IF(AND(feasible_mat!C16, VLOOKUP(Recharged_Feasible_matv3!$A79,'20Trips'!$A$24:$G$26, 3,FALSE)=VLOOKUP(D$1,'20Trips'!$A$3:$I$22,3,FALSE)),1,0)</f>
        <v>0</v>
      </c>
      <c r="E79" s="2">
        <f>IF(AND(feasible_mat!D16, VLOOKUP(Recharged_Feasible_matv3!$A79,'20Trips'!$A$24:$G$26, 3,FALSE)=VLOOKUP(E$1,'20Trips'!$A$3:$I$22,3,FALSE)),1,0)</f>
        <v>0</v>
      </c>
      <c r="F79" s="2">
        <f>IF(AND(feasible_mat!E16, VLOOKUP(Recharged_Feasible_matv3!$A79,'20Trips'!$A$24:$G$26, 3,FALSE)=VLOOKUP(F$1,'20Trips'!$A$3:$I$22,3,FALSE)),1,0)</f>
        <v>0</v>
      </c>
      <c r="G79" s="2">
        <f>IF(AND(feasible_mat!F16, VLOOKUP(Recharged_Feasible_matv3!$A79,'20Trips'!$A$24:$G$26, 3,FALSE)=VLOOKUP(G$1,'20Trips'!$A$3:$I$22,3,FALSE)),1,0)</f>
        <v>0</v>
      </c>
      <c r="H79" s="2">
        <f>IF(AND(feasible_mat!G16, VLOOKUP(Recharged_Feasible_matv3!$A79,'20Trips'!$A$24:$G$26, 3,FALSE)=VLOOKUP(H$1,'20Trips'!$A$3:$I$22,3,FALSE)),1,0)</f>
        <v>0</v>
      </c>
      <c r="I79" s="2">
        <f>IF(AND(feasible_mat!H16, VLOOKUP(Recharged_Feasible_matv3!$A79,'20Trips'!$A$24:$G$26, 3,FALSE)=VLOOKUP(I$1,'20Trips'!$A$3:$I$22,3,FALSE)),1,0)</f>
        <v>0</v>
      </c>
      <c r="J79" s="2">
        <f>IF(AND(feasible_mat!I16, VLOOKUP(Recharged_Feasible_matv3!$A79,'20Trips'!$A$24:$G$26, 3,FALSE)=VLOOKUP(J$1,'20Trips'!$A$3:$I$22,3,FALSE)),1,0)</f>
        <v>0</v>
      </c>
      <c r="K79" s="2">
        <f>IF(AND(feasible_mat!J16, VLOOKUP(Recharged_Feasible_matv3!$A79,'20Trips'!$A$24:$G$26, 3,FALSE)=VLOOKUP(K$1,'20Trips'!$A$3:$I$22,3,FALSE)),1,0)</f>
        <v>0</v>
      </c>
      <c r="L79" s="2">
        <f>IF(AND(feasible_mat!K16, VLOOKUP(Recharged_Feasible_matv3!$A79,'20Trips'!$A$24:$G$26, 3,FALSE)=VLOOKUP(L$1,'20Trips'!$A$3:$I$22,3,FALSE)),1,0)</f>
        <v>0</v>
      </c>
      <c r="M79" s="2">
        <f>IF(AND(feasible_mat!L16, VLOOKUP(Recharged_Feasible_matv3!$A79,'20Trips'!$A$24:$G$26, 3,FALSE)=VLOOKUP(M$1,'20Trips'!$A$3:$I$22,3,FALSE)),1,0)</f>
        <v>0</v>
      </c>
      <c r="N79" s="2">
        <f>IF(AND(feasible_mat!M16, VLOOKUP(Recharged_Feasible_matv3!$A79,'20Trips'!$A$24:$G$26, 3,FALSE)=VLOOKUP(N$1,'20Trips'!$A$3:$I$22,3,FALSE)),1,0)</f>
        <v>0</v>
      </c>
      <c r="O79" s="2">
        <f>IF(AND(feasible_mat!N16, VLOOKUP(Recharged_Feasible_matv3!$A79,'20Trips'!$A$24:$G$26, 3,FALSE)=VLOOKUP(O$1,'20Trips'!$A$3:$I$22,3,FALSE)),1,0)</f>
        <v>0</v>
      </c>
      <c r="P79" s="2">
        <f>IF(AND(feasible_mat!O16, VLOOKUP(Recharged_Feasible_matv3!$A79,'20Trips'!$A$24:$G$26, 3,FALSE)=VLOOKUP(P$1,'20Trips'!$A$3:$I$22,3,FALSE)),1,0)</f>
        <v>0</v>
      </c>
      <c r="Q79" s="2">
        <f>IF(AND(feasible_mat!P16, VLOOKUP(Recharged_Feasible_matv3!$A79,'20Trips'!$A$24:$G$26, 3,FALSE)=VLOOKUP(Q$1,'20Trips'!$A$3:$I$22,3,FALSE)),1,0)</f>
        <v>0</v>
      </c>
      <c r="R79" s="2">
        <f>IF(AND(feasible_mat!Q16, VLOOKUP(Recharged_Feasible_matv3!$A79,'20Trips'!$A$24:$G$26, 3,FALSE)=VLOOKUP(R$1,'20Trips'!$A$3:$I$22,3,FALSE)),1,0)</f>
        <v>0</v>
      </c>
      <c r="S79" s="2">
        <f>IF(AND(feasible_mat!R16, VLOOKUP(Recharged_Feasible_matv3!$A79,'20Trips'!$A$24:$G$26, 3,FALSE)=VLOOKUP(S$1,'20Trips'!$A$3:$I$22,3,FALSE)),1,0)</f>
        <v>0</v>
      </c>
      <c r="T79" s="2">
        <f>IF(AND(feasible_mat!S16, VLOOKUP(Recharged_Feasible_matv3!$A79,'20Trips'!$A$24:$G$26, 3,FALSE)=VLOOKUP(T$1,'20Trips'!$A$3:$I$22,3,FALSE)),1,0)</f>
        <v>0</v>
      </c>
      <c r="U79" s="2">
        <f>IF(AND(feasible_mat!T16, VLOOKUP(Recharged_Feasible_matv3!$A79,'20Trips'!$A$24:$G$26, 3,FALSE)=VLOOKUP(U$1,'20Trips'!$A$3:$I$22,3,FALSE)),1,0)</f>
        <v>0</v>
      </c>
      <c r="V79" s="2">
        <f>IF(AND(feasible_mat!U16, VLOOKUP(Recharged_Feasible_matv3!$A79,'20Trips'!$A$24:$G$26, 3,FALSE)=VLOOKUP(V$1,'20Trips'!$A$3:$I$22,3,FALSE)),1,0)</f>
        <v>0</v>
      </c>
      <c r="W79" s="2">
        <f>IF(AND(feasible_mat!V16, VLOOKUP(Recharged_Feasible_matv3!$A79,'20Trips'!$A$24:$G$26, 3,FALSE)=VLOOKUP(W$1,'20Trips'!$A$3:$I$22,3,FALSE)),1,0)</f>
        <v>1</v>
      </c>
    </row>
    <row r="80" spans="1:23" x14ac:dyDescent="0.25">
      <c r="A80" t="s">
        <v>68</v>
      </c>
      <c r="B80" t="s">
        <v>30</v>
      </c>
      <c r="C80">
        <v>0</v>
      </c>
      <c r="D80" s="2">
        <f>IF(AND(feasible_mat!C17, VLOOKUP(Recharged_Feasible_matv3!$A80,'20Trips'!$A$24:$G$26, 3,FALSE)=VLOOKUP(D$1,'20Trips'!$A$3:$I$22,3,FALSE)),1,0)</f>
        <v>0</v>
      </c>
      <c r="E80" s="2">
        <f>IF(AND(feasible_mat!D17, VLOOKUP(Recharged_Feasible_matv3!$A80,'20Trips'!$A$24:$G$26, 3,FALSE)=VLOOKUP(E$1,'20Trips'!$A$3:$I$22,3,FALSE)),1,0)</f>
        <v>0</v>
      </c>
      <c r="F80" s="2">
        <f>IF(AND(feasible_mat!E17, VLOOKUP(Recharged_Feasible_matv3!$A80,'20Trips'!$A$24:$G$26, 3,FALSE)=VLOOKUP(F$1,'20Trips'!$A$3:$I$22,3,FALSE)),1,0)</f>
        <v>0</v>
      </c>
      <c r="G80" s="2">
        <f>IF(AND(feasible_mat!F17, VLOOKUP(Recharged_Feasible_matv3!$A80,'20Trips'!$A$24:$G$26, 3,FALSE)=VLOOKUP(G$1,'20Trips'!$A$3:$I$22,3,FALSE)),1,0)</f>
        <v>0</v>
      </c>
      <c r="H80" s="2">
        <f>IF(AND(feasible_mat!G17, VLOOKUP(Recharged_Feasible_matv3!$A80,'20Trips'!$A$24:$G$26, 3,FALSE)=VLOOKUP(H$1,'20Trips'!$A$3:$I$22,3,FALSE)),1,0)</f>
        <v>0</v>
      </c>
      <c r="I80" s="2">
        <f>IF(AND(feasible_mat!H17, VLOOKUP(Recharged_Feasible_matv3!$A80,'20Trips'!$A$24:$G$26, 3,FALSE)=VLOOKUP(I$1,'20Trips'!$A$3:$I$22,3,FALSE)),1,0)</f>
        <v>0</v>
      </c>
      <c r="J80" s="2">
        <f>IF(AND(feasible_mat!I17, VLOOKUP(Recharged_Feasible_matv3!$A80,'20Trips'!$A$24:$G$26, 3,FALSE)=VLOOKUP(J$1,'20Trips'!$A$3:$I$22,3,FALSE)),1,0)</f>
        <v>0</v>
      </c>
      <c r="K80" s="2">
        <f>IF(AND(feasible_mat!J17, VLOOKUP(Recharged_Feasible_matv3!$A80,'20Trips'!$A$24:$G$26, 3,FALSE)=VLOOKUP(K$1,'20Trips'!$A$3:$I$22,3,FALSE)),1,0)</f>
        <v>0</v>
      </c>
      <c r="L80" s="2">
        <f>IF(AND(feasible_mat!K17, VLOOKUP(Recharged_Feasible_matv3!$A80,'20Trips'!$A$24:$G$26, 3,FALSE)=VLOOKUP(L$1,'20Trips'!$A$3:$I$22,3,FALSE)),1,0)</f>
        <v>0</v>
      </c>
      <c r="M80" s="2">
        <f>IF(AND(feasible_mat!L17, VLOOKUP(Recharged_Feasible_matv3!$A80,'20Trips'!$A$24:$G$26, 3,FALSE)=VLOOKUP(M$1,'20Trips'!$A$3:$I$22,3,FALSE)),1,0)</f>
        <v>0</v>
      </c>
      <c r="N80" s="2">
        <f>IF(AND(feasible_mat!M17, VLOOKUP(Recharged_Feasible_matv3!$A80,'20Trips'!$A$24:$G$26, 3,FALSE)=VLOOKUP(N$1,'20Trips'!$A$3:$I$22,3,FALSE)),1,0)</f>
        <v>0</v>
      </c>
      <c r="O80" s="2">
        <f>IF(AND(feasible_mat!N17, VLOOKUP(Recharged_Feasible_matv3!$A80,'20Trips'!$A$24:$G$26, 3,FALSE)=VLOOKUP(O$1,'20Trips'!$A$3:$I$22,3,FALSE)),1,0)</f>
        <v>0</v>
      </c>
      <c r="P80" s="2">
        <f>IF(AND(feasible_mat!O17, VLOOKUP(Recharged_Feasible_matv3!$A80,'20Trips'!$A$24:$G$26, 3,FALSE)=VLOOKUP(P$1,'20Trips'!$A$3:$I$22,3,FALSE)),1,0)</f>
        <v>0</v>
      </c>
      <c r="Q80" s="2">
        <f>IF(AND(feasible_mat!P17, VLOOKUP(Recharged_Feasible_matv3!$A80,'20Trips'!$A$24:$G$26, 3,FALSE)=VLOOKUP(Q$1,'20Trips'!$A$3:$I$22,3,FALSE)),1,0)</f>
        <v>0</v>
      </c>
      <c r="R80" s="2">
        <f>IF(AND(feasible_mat!Q17, VLOOKUP(Recharged_Feasible_matv3!$A80,'20Trips'!$A$24:$G$26, 3,FALSE)=VLOOKUP(R$1,'20Trips'!$A$3:$I$22,3,FALSE)),1,0)</f>
        <v>0</v>
      </c>
      <c r="S80" s="2">
        <f>IF(AND(feasible_mat!R17, VLOOKUP(Recharged_Feasible_matv3!$A80,'20Trips'!$A$24:$G$26, 3,FALSE)=VLOOKUP(S$1,'20Trips'!$A$3:$I$22,3,FALSE)),1,0)</f>
        <v>0</v>
      </c>
      <c r="T80" s="2">
        <f>IF(AND(feasible_mat!S17, VLOOKUP(Recharged_Feasible_matv3!$A80,'20Trips'!$A$24:$G$26, 3,FALSE)=VLOOKUP(T$1,'20Trips'!$A$3:$I$22,3,FALSE)),1,0)</f>
        <v>0</v>
      </c>
      <c r="U80" s="2">
        <f>IF(AND(feasible_mat!T17, VLOOKUP(Recharged_Feasible_matv3!$A80,'20Trips'!$A$24:$G$26, 3,FALSE)=VLOOKUP(U$1,'20Trips'!$A$3:$I$22,3,FALSE)),1,0)</f>
        <v>0</v>
      </c>
      <c r="V80" s="2">
        <f>IF(AND(feasible_mat!U17, VLOOKUP(Recharged_Feasible_matv3!$A80,'20Trips'!$A$24:$G$26, 3,FALSE)=VLOOKUP(V$1,'20Trips'!$A$3:$I$22,3,FALSE)),1,0)</f>
        <v>0</v>
      </c>
      <c r="W80" s="2">
        <f>IF(AND(feasible_mat!V17, VLOOKUP(Recharged_Feasible_matv3!$A80,'20Trips'!$A$24:$G$26, 3,FALSE)=VLOOKUP(W$1,'20Trips'!$A$3:$I$22,3,FALSE)),1,0)</f>
        <v>0</v>
      </c>
    </row>
    <row r="81" spans="1:23" x14ac:dyDescent="0.25">
      <c r="A81" t="s">
        <v>68</v>
      </c>
      <c r="B81" t="s">
        <v>34</v>
      </c>
      <c r="C81">
        <v>0</v>
      </c>
      <c r="D81" s="2">
        <f>IF(AND(feasible_mat!C18, VLOOKUP(Recharged_Feasible_matv3!$A81,'20Trips'!$A$24:$G$26, 3,FALSE)=VLOOKUP(D$1,'20Trips'!$A$3:$I$22,3,FALSE)),1,0)</f>
        <v>0</v>
      </c>
      <c r="E81" s="2">
        <f>IF(AND(feasible_mat!D18, VLOOKUP(Recharged_Feasible_matv3!$A81,'20Trips'!$A$24:$G$26, 3,FALSE)=VLOOKUP(E$1,'20Trips'!$A$3:$I$22,3,FALSE)),1,0)</f>
        <v>0</v>
      </c>
      <c r="F81" s="2">
        <f>IF(AND(feasible_mat!E18, VLOOKUP(Recharged_Feasible_matv3!$A81,'20Trips'!$A$24:$G$26, 3,FALSE)=VLOOKUP(F$1,'20Trips'!$A$3:$I$22,3,FALSE)),1,0)</f>
        <v>0</v>
      </c>
      <c r="G81" s="2">
        <f>IF(AND(feasible_mat!F18, VLOOKUP(Recharged_Feasible_matv3!$A81,'20Trips'!$A$24:$G$26, 3,FALSE)=VLOOKUP(G$1,'20Trips'!$A$3:$I$22,3,FALSE)),1,0)</f>
        <v>0</v>
      </c>
      <c r="H81" s="2">
        <f>IF(AND(feasible_mat!G18, VLOOKUP(Recharged_Feasible_matv3!$A81,'20Trips'!$A$24:$G$26, 3,FALSE)=VLOOKUP(H$1,'20Trips'!$A$3:$I$22,3,FALSE)),1,0)</f>
        <v>0</v>
      </c>
      <c r="I81" s="2">
        <f>IF(AND(feasible_mat!H18, VLOOKUP(Recharged_Feasible_matv3!$A81,'20Trips'!$A$24:$G$26, 3,FALSE)=VLOOKUP(I$1,'20Trips'!$A$3:$I$22,3,FALSE)),1,0)</f>
        <v>0</v>
      </c>
      <c r="J81" s="2">
        <f>IF(AND(feasible_mat!I18, VLOOKUP(Recharged_Feasible_matv3!$A81,'20Trips'!$A$24:$G$26, 3,FALSE)=VLOOKUP(J$1,'20Trips'!$A$3:$I$22,3,FALSE)),1,0)</f>
        <v>0</v>
      </c>
      <c r="K81" s="2">
        <f>IF(AND(feasible_mat!J18, VLOOKUP(Recharged_Feasible_matv3!$A81,'20Trips'!$A$24:$G$26, 3,FALSE)=VLOOKUP(K$1,'20Trips'!$A$3:$I$22,3,FALSE)),1,0)</f>
        <v>0</v>
      </c>
      <c r="L81" s="2">
        <f>IF(AND(feasible_mat!K18, VLOOKUP(Recharged_Feasible_matv3!$A81,'20Trips'!$A$24:$G$26, 3,FALSE)=VLOOKUP(L$1,'20Trips'!$A$3:$I$22,3,FALSE)),1,0)</f>
        <v>0</v>
      </c>
      <c r="M81" s="2">
        <f>IF(AND(feasible_mat!L18, VLOOKUP(Recharged_Feasible_matv3!$A81,'20Trips'!$A$24:$G$26, 3,FALSE)=VLOOKUP(M$1,'20Trips'!$A$3:$I$22,3,FALSE)),1,0)</f>
        <v>0</v>
      </c>
      <c r="N81" s="2">
        <f>IF(AND(feasible_mat!M18, VLOOKUP(Recharged_Feasible_matv3!$A81,'20Trips'!$A$24:$G$26, 3,FALSE)=VLOOKUP(N$1,'20Trips'!$A$3:$I$22,3,FALSE)),1,0)</f>
        <v>0</v>
      </c>
      <c r="O81" s="2">
        <f>IF(AND(feasible_mat!N18, VLOOKUP(Recharged_Feasible_matv3!$A81,'20Trips'!$A$24:$G$26, 3,FALSE)=VLOOKUP(O$1,'20Trips'!$A$3:$I$22,3,FALSE)),1,0)</f>
        <v>0</v>
      </c>
      <c r="P81" s="2">
        <f>IF(AND(feasible_mat!O18, VLOOKUP(Recharged_Feasible_matv3!$A81,'20Trips'!$A$24:$G$26, 3,FALSE)=VLOOKUP(P$1,'20Trips'!$A$3:$I$22,3,FALSE)),1,0)</f>
        <v>0</v>
      </c>
      <c r="Q81" s="2">
        <f>IF(AND(feasible_mat!P18, VLOOKUP(Recharged_Feasible_matv3!$A81,'20Trips'!$A$24:$G$26, 3,FALSE)=VLOOKUP(Q$1,'20Trips'!$A$3:$I$22,3,FALSE)),1,0)</f>
        <v>0</v>
      </c>
      <c r="R81" s="2">
        <f>IF(AND(feasible_mat!Q18, VLOOKUP(Recharged_Feasible_matv3!$A81,'20Trips'!$A$24:$G$26, 3,FALSE)=VLOOKUP(R$1,'20Trips'!$A$3:$I$22,3,FALSE)),1,0)</f>
        <v>0</v>
      </c>
      <c r="S81" s="2">
        <f>IF(AND(feasible_mat!R18, VLOOKUP(Recharged_Feasible_matv3!$A81,'20Trips'!$A$24:$G$26, 3,FALSE)=VLOOKUP(S$1,'20Trips'!$A$3:$I$22,3,FALSE)),1,0)</f>
        <v>0</v>
      </c>
      <c r="T81" s="2">
        <f>IF(AND(feasible_mat!S18, VLOOKUP(Recharged_Feasible_matv3!$A81,'20Trips'!$A$24:$G$26, 3,FALSE)=VLOOKUP(T$1,'20Trips'!$A$3:$I$22,3,FALSE)),1,0)</f>
        <v>1</v>
      </c>
      <c r="U81" s="2">
        <f>IF(AND(feasible_mat!T18, VLOOKUP(Recharged_Feasible_matv3!$A81,'20Trips'!$A$24:$G$26, 3,FALSE)=VLOOKUP(U$1,'20Trips'!$A$3:$I$22,3,FALSE)),1,0)</f>
        <v>1</v>
      </c>
      <c r="V81" s="2">
        <f>IF(AND(feasible_mat!U18, VLOOKUP(Recharged_Feasible_matv3!$A81,'20Trips'!$A$24:$G$26, 3,FALSE)=VLOOKUP(V$1,'20Trips'!$A$3:$I$22,3,FALSE)),1,0)</f>
        <v>1</v>
      </c>
      <c r="W81" s="2">
        <f>IF(AND(feasible_mat!V18, VLOOKUP(Recharged_Feasible_matv3!$A81,'20Trips'!$A$24:$G$26, 3,FALSE)=VLOOKUP(W$1,'20Trips'!$A$3:$I$22,3,FALSE)),1,0)</f>
        <v>1</v>
      </c>
    </row>
    <row r="82" spans="1:23" x14ac:dyDescent="0.25">
      <c r="A82" t="s">
        <v>68</v>
      </c>
      <c r="B82" t="s">
        <v>35</v>
      </c>
      <c r="C82">
        <v>0</v>
      </c>
      <c r="D82" s="2">
        <f>IF(AND(feasible_mat!C19, VLOOKUP(Recharged_Feasible_matv3!$A82,'20Trips'!$A$24:$G$26, 3,FALSE)=VLOOKUP(D$1,'20Trips'!$A$3:$I$22,3,FALSE)),1,0)</f>
        <v>0</v>
      </c>
      <c r="E82" s="2">
        <f>IF(AND(feasible_mat!D19, VLOOKUP(Recharged_Feasible_matv3!$A82,'20Trips'!$A$24:$G$26, 3,FALSE)=VLOOKUP(E$1,'20Trips'!$A$3:$I$22,3,FALSE)),1,0)</f>
        <v>0</v>
      </c>
      <c r="F82" s="2">
        <f>IF(AND(feasible_mat!E19, VLOOKUP(Recharged_Feasible_matv3!$A82,'20Trips'!$A$24:$G$26, 3,FALSE)=VLOOKUP(F$1,'20Trips'!$A$3:$I$22,3,FALSE)),1,0)</f>
        <v>0</v>
      </c>
      <c r="G82" s="2">
        <f>IF(AND(feasible_mat!F19, VLOOKUP(Recharged_Feasible_matv3!$A82,'20Trips'!$A$24:$G$26, 3,FALSE)=VLOOKUP(G$1,'20Trips'!$A$3:$I$22,3,FALSE)),1,0)</f>
        <v>0</v>
      </c>
      <c r="H82" s="2">
        <f>IF(AND(feasible_mat!G19, VLOOKUP(Recharged_Feasible_matv3!$A82,'20Trips'!$A$24:$G$26, 3,FALSE)=VLOOKUP(H$1,'20Trips'!$A$3:$I$22,3,FALSE)),1,0)</f>
        <v>0</v>
      </c>
      <c r="I82" s="2">
        <f>IF(AND(feasible_mat!H19, VLOOKUP(Recharged_Feasible_matv3!$A82,'20Trips'!$A$24:$G$26, 3,FALSE)=VLOOKUP(I$1,'20Trips'!$A$3:$I$22,3,FALSE)),1,0)</f>
        <v>0</v>
      </c>
      <c r="J82" s="2">
        <f>IF(AND(feasible_mat!I19, VLOOKUP(Recharged_Feasible_matv3!$A82,'20Trips'!$A$24:$G$26, 3,FALSE)=VLOOKUP(J$1,'20Trips'!$A$3:$I$22,3,FALSE)),1,0)</f>
        <v>0</v>
      </c>
      <c r="K82" s="2">
        <f>IF(AND(feasible_mat!J19, VLOOKUP(Recharged_Feasible_matv3!$A82,'20Trips'!$A$24:$G$26, 3,FALSE)=VLOOKUP(K$1,'20Trips'!$A$3:$I$22,3,FALSE)),1,0)</f>
        <v>0</v>
      </c>
      <c r="L82" s="2">
        <f>IF(AND(feasible_mat!K19, VLOOKUP(Recharged_Feasible_matv3!$A82,'20Trips'!$A$24:$G$26, 3,FALSE)=VLOOKUP(L$1,'20Trips'!$A$3:$I$22,3,FALSE)),1,0)</f>
        <v>0</v>
      </c>
      <c r="M82" s="2">
        <f>IF(AND(feasible_mat!L19, VLOOKUP(Recharged_Feasible_matv3!$A82,'20Trips'!$A$24:$G$26, 3,FALSE)=VLOOKUP(M$1,'20Trips'!$A$3:$I$22,3,FALSE)),1,0)</f>
        <v>0</v>
      </c>
      <c r="N82" s="2">
        <f>IF(AND(feasible_mat!M19, VLOOKUP(Recharged_Feasible_matv3!$A82,'20Trips'!$A$24:$G$26, 3,FALSE)=VLOOKUP(N$1,'20Trips'!$A$3:$I$22,3,FALSE)),1,0)</f>
        <v>0</v>
      </c>
      <c r="O82" s="2">
        <f>IF(AND(feasible_mat!N19, VLOOKUP(Recharged_Feasible_matv3!$A82,'20Trips'!$A$24:$G$26, 3,FALSE)=VLOOKUP(O$1,'20Trips'!$A$3:$I$22,3,FALSE)),1,0)</f>
        <v>0</v>
      </c>
      <c r="P82" s="2">
        <f>IF(AND(feasible_mat!O19, VLOOKUP(Recharged_Feasible_matv3!$A82,'20Trips'!$A$24:$G$26, 3,FALSE)=VLOOKUP(P$1,'20Trips'!$A$3:$I$22,3,FALSE)),1,0)</f>
        <v>0</v>
      </c>
      <c r="Q82" s="2">
        <f>IF(AND(feasible_mat!P19, VLOOKUP(Recharged_Feasible_matv3!$A82,'20Trips'!$A$24:$G$26, 3,FALSE)=VLOOKUP(Q$1,'20Trips'!$A$3:$I$22,3,FALSE)),1,0)</f>
        <v>0</v>
      </c>
      <c r="R82" s="2">
        <f>IF(AND(feasible_mat!Q19, VLOOKUP(Recharged_Feasible_matv3!$A82,'20Trips'!$A$24:$G$26, 3,FALSE)=VLOOKUP(R$1,'20Trips'!$A$3:$I$22,3,FALSE)),1,0)</f>
        <v>0</v>
      </c>
      <c r="S82" s="2">
        <f>IF(AND(feasible_mat!R19, VLOOKUP(Recharged_Feasible_matv3!$A82,'20Trips'!$A$24:$G$26, 3,FALSE)=VLOOKUP(S$1,'20Trips'!$A$3:$I$22,3,FALSE)),1,0)</f>
        <v>0</v>
      </c>
      <c r="T82" s="2">
        <f>IF(AND(feasible_mat!S19, VLOOKUP(Recharged_Feasible_matv3!$A82,'20Trips'!$A$24:$G$26, 3,FALSE)=VLOOKUP(T$1,'20Trips'!$A$3:$I$22,3,FALSE)),1,0)</f>
        <v>0</v>
      </c>
      <c r="U82" s="2">
        <f>IF(AND(feasible_mat!T19, VLOOKUP(Recharged_Feasible_matv3!$A82,'20Trips'!$A$24:$G$26, 3,FALSE)=VLOOKUP(U$1,'20Trips'!$A$3:$I$22,3,FALSE)),1,0)</f>
        <v>0</v>
      </c>
      <c r="V82" s="2">
        <f>IF(AND(feasible_mat!U19, VLOOKUP(Recharged_Feasible_matv3!$A82,'20Trips'!$A$24:$G$26, 3,FALSE)=VLOOKUP(V$1,'20Trips'!$A$3:$I$22,3,FALSE)),1,0)</f>
        <v>1</v>
      </c>
      <c r="W82" s="2">
        <f>IF(AND(feasible_mat!V19, VLOOKUP(Recharged_Feasible_matv3!$A82,'20Trips'!$A$24:$G$26, 3,FALSE)=VLOOKUP(W$1,'20Trips'!$A$3:$I$22,3,FALSE)),1,0)</f>
        <v>1</v>
      </c>
    </row>
    <row r="83" spans="1:23" x14ac:dyDescent="0.25">
      <c r="A83" t="s">
        <v>68</v>
      </c>
      <c r="B83" t="s">
        <v>36</v>
      </c>
      <c r="C83">
        <v>0</v>
      </c>
      <c r="D83" s="2">
        <f>IF(AND(feasible_mat!C20, VLOOKUP(Recharged_Feasible_matv3!$A83,'20Trips'!$A$24:$G$26, 3,FALSE)=VLOOKUP(D$1,'20Trips'!$A$3:$I$22,3,FALSE)),1,0)</f>
        <v>0</v>
      </c>
      <c r="E83" s="2">
        <f>IF(AND(feasible_mat!D20, VLOOKUP(Recharged_Feasible_matv3!$A83,'20Trips'!$A$24:$G$26, 3,FALSE)=VLOOKUP(E$1,'20Trips'!$A$3:$I$22,3,FALSE)),1,0)</f>
        <v>0</v>
      </c>
      <c r="F83" s="2">
        <f>IF(AND(feasible_mat!E20, VLOOKUP(Recharged_Feasible_matv3!$A83,'20Trips'!$A$24:$G$26, 3,FALSE)=VLOOKUP(F$1,'20Trips'!$A$3:$I$22,3,FALSE)),1,0)</f>
        <v>0</v>
      </c>
      <c r="G83" s="2">
        <f>IF(AND(feasible_mat!F20, VLOOKUP(Recharged_Feasible_matv3!$A83,'20Trips'!$A$24:$G$26, 3,FALSE)=VLOOKUP(G$1,'20Trips'!$A$3:$I$22,3,FALSE)),1,0)</f>
        <v>0</v>
      </c>
      <c r="H83" s="2">
        <f>IF(AND(feasible_mat!G20, VLOOKUP(Recharged_Feasible_matv3!$A83,'20Trips'!$A$24:$G$26, 3,FALSE)=VLOOKUP(H$1,'20Trips'!$A$3:$I$22,3,FALSE)),1,0)</f>
        <v>0</v>
      </c>
      <c r="I83" s="2">
        <f>IF(AND(feasible_mat!H20, VLOOKUP(Recharged_Feasible_matv3!$A83,'20Trips'!$A$24:$G$26, 3,FALSE)=VLOOKUP(I$1,'20Trips'!$A$3:$I$22,3,FALSE)),1,0)</f>
        <v>0</v>
      </c>
      <c r="J83" s="2">
        <f>IF(AND(feasible_mat!I20, VLOOKUP(Recharged_Feasible_matv3!$A83,'20Trips'!$A$24:$G$26, 3,FALSE)=VLOOKUP(J$1,'20Trips'!$A$3:$I$22,3,FALSE)),1,0)</f>
        <v>0</v>
      </c>
      <c r="K83" s="2">
        <f>IF(AND(feasible_mat!J20, VLOOKUP(Recharged_Feasible_matv3!$A83,'20Trips'!$A$24:$G$26, 3,FALSE)=VLOOKUP(K$1,'20Trips'!$A$3:$I$22,3,FALSE)),1,0)</f>
        <v>0</v>
      </c>
      <c r="L83" s="2">
        <f>IF(AND(feasible_mat!K20, VLOOKUP(Recharged_Feasible_matv3!$A83,'20Trips'!$A$24:$G$26, 3,FALSE)=VLOOKUP(L$1,'20Trips'!$A$3:$I$22,3,FALSE)),1,0)</f>
        <v>0</v>
      </c>
      <c r="M83" s="2">
        <f>IF(AND(feasible_mat!L20, VLOOKUP(Recharged_Feasible_matv3!$A83,'20Trips'!$A$24:$G$26, 3,FALSE)=VLOOKUP(M$1,'20Trips'!$A$3:$I$22,3,FALSE)),1,0)</f>
        <v>0</v>
      </c>
      <c r="N83" s="2">
        <f>IF(AND(feasible_mat!M20, VLOOKUP(Recharged_Feasible_matv3!$A83,'20Trips'!$A$24:$G$26, 3,FALSE)=VLOOKUP(N$1,'20Trips'!$A$3:$I$22,3,FALSE)),1,0)</f>
        <v>0</v>
      </c>
      <c r="O83" s="2">
        <f>IF(AND(feasible_mat!N20, VLOOKUP(Recharged_Feasible_matv3!$A83,'20Trips'!$A$24:$G$26, 3,FALSE)=VLOOKUP(O$1,'20Trips'!$A$3:$I$22,3,FALSE)),1,0)</f>
        <v>0</v>
      </c>
      <c r="P83" s="2">
        <f>IF(AND(feasible_mat!O20, VLOOKUP(Recharged_Feasible_matv3!$A83,'20Trips'!$A$24:$G$26, 3,FALSE)=VLOOKUP(P$1,'20Trips'!$A$3:$I$22,3,FALSE)),1,0)</f>
        <v>0</v>
      </c>
      <c r="Q83" s="2">
        <f>IF(AND(feasible_mat!P20, VLOOKUP(Recharged_Feasible_matv3!$A83,'20Trips'!$A$24:$G$26, 3,FALSE)=VLOOKUP(Q$1,'20Trips'!$A$3:$I$22,3,FALSE)),1,0)</f>
        <v>0</v>
      </c>
      <c r="R83" s="2">
        <f>IF(AND(feasible_mat!Q20, VLOOKUP(Recharged_Feasible_matv3!$A83,'20Trips'!$A$24:$G$26, 3,FALSE)=VLOOKUP(R$1,'20Trips'!$A$3:$I$22,3,FALSE)),1,0)</f>
        <v>0</v>
      </c>
      <c r="S83" s="2">
        <f>IF(AND(feasible_mat!R20, VLOOKUP(Recharged_Feasible_matv3!$A83,'20Trips'!$A$24:$G$26, 3,FALSE)=VLOOKUP(S$1,'20Trips'!$A$3:$I$22,3,FALSE)),1,0)</f>
        <v>0</v>
      </c>
      <c r="T83" s="2">
        <f>IF(AND(feasible_mat!S20, VLOOKUP(Recharged_Feasible_matv3!$A83,'20Trips'!$A$24:$G$26, 3,FALSE)=VLOOKUP(T$1,'20Trips'!$A$3:$I$22,3,FALSE)),1,0)</f>
        <v>0</v>
      </c>
      <c r="U83" s="2">
        <f>IF(AND(feasible_mat!T20, VLOOKUP(Recharged_Feasible_matv3!$A83,'20Trips'!$A$24:$G$26, 3,FALSE)=VLOOKUP(U$1,'20Trips'!$A$3:$I$22,3,FALSE)),1,0)</f>
        <v>0</v>
      </c>
      <c r="V83" s="2">
        <f>IF(AND(feasible_mat!U20, VLOOKUP(Recharged_Feasible_matv3!$A83,'20Trips'!$A$24:$G$26, 3,FALSE)=VLOOKUP(V$1,'20Trips'!$A$3:$I$22,3,FALSE)),1,0)</f>
        <v>0</v>
      </c>
      <c r="W83" s="2">
        <f>IF(AND(feasible_mat!V20, VLOOKUP(Recharged_Feasible_matv3!$A83,'20Trips'!$A$24:$G$26, 3,FALSE)=VLOOKUP(W$1,'20Trips'!$A$3:$I$22,3,FALSE)),1,0)</f>
        <v>1</v>
      </c>
    </row>
    <row r="84" spans="1:23" x14ac:dyDescent="0.25">
      <c r="A84" t="s">
        <v>68</v>
      </c>
      <c r="B84" t="s">
        <v>37</v>
      </c>
      <c r="C84">
        <v>0</v>
      </c>
      <c r="D84" s="2">
        <f>IF(AND(feasible_mat!C21, VLOOKUP(Recharged_Feasible_matv3!$A84,'20Trips'!$A$24:$G$26, 3,FALSE)=VLOOKUP(D$1,'20Trips'!$A$3:$I$22,3,FALSE)),1,0)</f>
        <v>0</v>
      </c>
      <c r="E84" s="2">
        <f>IF(AND(feasible_mat!D21, VLOOKUP(Recharged_Feasible_matv3!$A84,'20Trips'!$A$24:$G$26, 3,FALSE)=VLOOKUP(E$1,'20Trips'!$A$3:$I$22,3,FALSE)),1,0)</f>
        <v>0</v>
      </c>
      <c r="F84" s="2">
        <f>IF(AND(feasible_mat!E21, VLOOKUP(Recharged_Feasible_matv3!$A84,'20Trips'!$A$24:$G$26, 3,FALSE)=VLOOKUP(F$1,'20Trips'!$A$3:$I$22,3,FALSE)),1,0)</f>
        <v>0</v>
      </c>
      <c r="G84" s="2">
        <f>IF(AND(feasible_mat!F21, VLOOKUP(Recharged_Feasible_matv3!$A84,'20Trips'!$A$24:$G$26, 3,FALSE)=VLOOKUP(G$1,'20Trips'!$A$3:$I$22,3,FALSE)),1,0)</f>
        <v>0</v>
      </c>
      <c r="H84" s="2">
        <f>IF(AND(feasible_mat!G21, VLOOKUP(Recharged_Feasible_matv3!$A84,'20Trips'!$A$24:$G$26, 3,FALSE)=VLOOKUP(H$1,'20Trips'!$A$3:$I$22,3,FALSE)),1,0)</f>
        <v>0</v>
      </c>
      <c r="I84" s="2">
        <f>IF(AND(feasible_mat!H21, VLOOKUP(Recharged_Feasible_matv3!$A84,'20Trips'!$A$24:$G$26, 3,FALSE)=VLOOKUP(I$1,'20Trips'!$A$3:$I$22,3,FALSE)),1,0)</f>
        <v>0</v>
      </c>
      <c r="J84" s="2">
        <f>IF(AND(feasible_mat!I21, VLOOKUP(Recharged_Feasible_matv3!$A84,'20Trips'!$A$24:$G$26, 3,FALSE)=VLOOKUP(J$1,'20Trips'!$A$3:$I$22,3,FALSE)),1,0)</f>
        <v>0</v>
      </c>
      <c r="K84" s="2">
        <f>IF(AND(feasible_mat!J21, VLOOKUP(Recharged_Feasible_matv3!$A84,'20Trips'!$A$24:$G$26, 3,FALSE)=VLOOKUP(K$1,'20Trips'!$A$3:$I$22,3,FALSE)),1,0)</f>
        <v>0</v>
      </c>
      <c r="L84" s="2">
        <f>IF(AND(feasible_mat!K21, VLOOKUP(Recharged_Feasible_matv3!$A84,'20Trips'!$A$24:$G$26, 3,FALSE)=VLOOKUP(L$1,'20Trips'!$A$3:$I$22,3,FALSE)),1,0)</f>
        <v>0</v>
      </c>
      <c r="M84" s="2">
        <f>IF(AND(feasible_mat!L21, VLOOKUP(Recharged_Feasible_matv3!$A84,'20Trips'!$A$24:$G$26, 3,FALSE)=VLOOKUP(M$1,'20Trips'!$A$3:$I$22,3,FALSE)),1,0)</f>
        <v>0</v>
      </c>
      <c r="N84" s="2">
        <f>IF(AND(feasible_mat!M21, VLOOKUP(Recharged_Feasible_matv3!$A84,'20Trips'!$A$24:$G$26, 3,FALSE)=VLOOKUP(N$1,'20Trips'!$A$3:$I$22,3,FALSE)),1,0)</f>
        <v>0</v>
      </c>
      <c r="O84" s="2">
        <f>IF(AND(feasible_mat!N21, VLOOKUP(Recharged_Feasible_matv3!$A84,'20Trips'!$A$24:$G$26, 3,FALSE)=VLOOKUP(O$1,'20Trips'!$A$3:$I$22,3,FALSE)),1,0)</f>
        <v>0</v>
      </c>
      <c r="P84" s="2">
        <f>IF(AND(feasible_mat!O21, VLOOKUP(Recharged_Feasible_matv3!$A84,'20Trips'!$A$24:$G$26, 3,FALSE)=VLOOKUP(P$1,'20Trips'!$A$3:$I$22,3,FALSE)),1,0)</f>
        <v>0</v>
      </c>
      <c r="Q84" s="2">
        <f>IF(AND(feasible_mat!P21, VLOOKUP(Recharged_Feasible_matv3!$A84,'20Trips'!$A$24:$G$26, 3,FALSE)=VLOOKUP(Q$1,'20Trips'!$A$3:$I$22,3,FALSE)),1,0)</f>
        <v>0</v>
      </c>
      <c r="R84" s="2">
        <f>IF(AND(feasible_mat!Q21, VLOOKUP(Recharged_Feasible_matv3!$A84,'20Trips'!$A$24:$G$26, 3,FALSE)=VLOOKUP(R$1,'20Trips'!$A$3:$I$22,3,FALSE)),1,0)</f>
        <v>0</v>
      </c>
      <c r="S84" s="2">
        <f>IF(AND(feasible_mat!R21, VLOOKUP(Recharged_Feasible_matv3!$A84,'20Trips'!$A$24:$G$26, 3,FALSE)=VLOOKUP(S$1,'20Trips'!$A$3:$I$22,3,FALSE)),1,0)</f>
        <v>0</v>
      </c>
      <c r="T84" s="2">
        <f>IF(AND(feasible_mat!S21, VLOOKUP(Recharged_Feasible_matv3!$A84,'20Trips'!$A$24:$G$26, 3,FALSE)=VLOOKUP(T$1,'20Trips'!$A$3:$I$22,3,FALSE)),1,0)</f>
        <v>0</v>
      </c>
      <c r="U84" s="2">
        <f>IF(AND(feasible_mat!T21, VLOOKUP(Recharged_Feasible_matv3!$A84,'20Trips'!$A$24:$G$26, 3,FALSE)=VLOOKUP(U$1,'20Trips'!$A$3:$I$22,3,FALSE)),1,0)</f>
        <v>0</v>
      </c>
      <c r="V84" s="2">
        <f>IF(AND(feasible_mat!U21, VLOOKUP(Recharged_Feasible_matv3!$A84,'20Trips'!$A$24:$G$26, 3,FALSE)=VLOOKUP(V$1,'20Trips'!$A$3:$I$22,3,FALSE)),1,0)</f>
        <v>0</v>
      </c>
      <c r="W84" s="2">
        <f>IF(AND(feasible_mat!V21, VLOOKUP(Recharged_Feasible_matv3!$A84,'20Trips'!$A$24:$G$26, 3,FALSE)=VLOOKUP(W$1,'20Trips'!$A$3:$I$22,3,FALSE)),1,0)</f>
        <v>0</v>
      </c>
    </row>
    <row r="85" spans="1:23" x14ac:dyDescent="0.25">
      <c r="A85" t="s">
        <v>68</v>
      </c>
      <c r="B85" t="s">
        <v>38</v>
      </c>
      <c r="C85">
        <v>0</v>
      </c>
      <c r="D85" s="2">
        <f>IF(AND(feasible_mat!C22, VLOOKUP(Recharged_Feasible_matv3!$A85,'20Trips'!$A$24:$G$26, 3,FALSE)=VLOOKUP(D$1,'20Trips'!$A$3:$I$22,3,FALSE)),1,0)</f>
        <v>0</v>
      </c>
      <c r="E85" s="2">
        <f>IF(AND(feasible_mat!D22, VLOOKUP(Recharged_Feasible_matv3!$A85,'20Trips'!$A$24:$G$26, 3,FALSE)=VLOOKUP(E$1,'20Trips'!$A$3:$I$22,3,FALSE)),1,0)</f>
        <v>0</v>
      </c>
      <c r="F85" s="2">
        <f>IF(AND(feasible_mat!E22, VLOOKUP(Recharged_Feasible_matv3!$A85,'20Trips'!$A$24:$G$26, 3,FALSE)=VLOOKUP(F$1,'20Trips'!$A$3:$I$22,3,FALSE)),1,0)</f>
        <v>0</v>
      </c>
      <c r="G85" s="2">
        <f>IF(AND(feasible_mat!F22, VLOOKUP(Recharged_Feasible_matv3!$A85,'20Trips'!$A$24:$G$26, 3,FALSE)=VLOOKUP(G$1,'20Trips'!$A$3:$I$22,3,FALSE)),1,0)</f>
        <v>0</v>
      </c>
      <c r="H85" s="2">
        <f>IF(AND(feasible_mat!G22, VLOOKUP(Recharged_Feasible_matv3!$A85,'20Trips'!$A$24:$G$26, 3,FALSE)=VLOOKUP(H$1,'20Trips'!$A$3:$I$22,3,FALSE)),1,0)</f>
        <v>0</v>
      </c>
      <c r="I85" s="2">
        <f>IF(AND(feasible_mat!H22, VLOOKUP(Recharged_Feasible_matv3!$A85,'20Trips'!$A$24:$G$26, 3,FALSE)=VLOOKUP(I$1,'20Trips'!$A$3:$I$22,3,FALSE)),1,0)</f>
        <v>0</v>
      </c>
      <c r="J85" s="2">
        <f>IF(AND(feasible_mat!I22, VLOOKUP(Recharged_Feasible_matv3!$A85,'20Trips'!$A$24:$G$26, 3,FALSE)=VLOOKUP(J$1,'20Trips'!$A$3:$I$22,3,FALSE)),1,0)</f>
        <v>0</v>
      </c>
      <c r="K85" s="2">
        <f>IF(AND(feasible_mat!J22, VLOOKUP(Recharged_Feasible_matv3!$A85,'20Trips'!$A$24:$G$26, 3,FALSE)=VLOOKUP(K$1,'20Trips'!$A$3:$I$22,3,FALSE)),1,0)</f>
        <v>0</v>
      </c>
      <c r="L85" s="2">
        <f>IF(AND(feasible_mat!K22, VLOOKUP(Recharged_Feasible_matv3!$A85,'20Trips'!$A$24:$G$26, 3,FALSE)=VLOOKUP(L$1,'20Trips'!$A$3:$I$22,3,FALSE)),1,0)</f>
        <v>0</v>
      </c>
      <c r="M85" s="2">
        <f>IF(AND(feasible_mat!L22, VLOOKUP(Recharged_Feasible_matv3!$A85,'20Trips'!$A$24:$G$26, 3,FALSE)=VLOOKUP(M$1,'20Trips'!$A$3:$I$22,3,FALSE)),1,0)</f>
        <v>0</v>
      </c>
      <c r="N85" s="2">
        <f>IF(AND(feasible_mat!M22, VLOOKUP(Recharged_Feasible_matv3!$A85,'20Trips'!$A$24:$G$26, 3,FALSE)=VLOOKUP(N$1,'20Trips'!$A$3:$I$22,3,FALSE)),1,0)</f>
        <v>0</v>
      </c>
      <c r="O85" s="2">
        <f>IF(AND(feasible_mat!N22, VLOOKUP(Recharged_Feasible_matv3!$A85,'20Trips'!$A$24:$G$26, 3,FALSE)=VLOOKUP(O$1,'20Trips'!$A$3:$I$22,3,FALSE)),1,0)</f>
        <v>0</v>
      </c>
      <c r="P85" s="2">
        <f>IF(AND(feasible_mat!O22, VLOOKUP(Recharged_Feasible_matv3!$A85,'20Trips'!$A$24:$G$26, 3,FALSE)=VLOOKUP(P$1,'20Trips'!$A$3:$I$22,3,FALSE)),1,0)</f>
        <v>0</v>
      </c>
      <c r="Q85" s="2">
        <f>IF(AND(feasible_mat!P22, VLOOKUP(Recharged_Feasible_matv3!$A85,'20Trips'!$A$24:$G$26, 3,FALSE)=VLOOKUP(Q$1,'20Trips'!$A$3:$I$22,3,FALSE)),1,0)</f>
        <v>0</v>
      </c>
      <c r="R85" s="2">
        <f>IF(AND(feasible_mat!Q22, VLOOKUP(Recharged_Feasible_matv3!$A85,'20Trips'!$A$24:$G$26, 3,FALSE)=VLOOKUP(R$1,'20Trips'!$A$3:$I$22,3,FALSE)),1,0)</f>
        <v>0</v>
      </c>
      <c r="S85" s="2">
        <f>IF(AND(feasible_mat!R22, VLOOKUP(Recharged_Feasible_matv3!$A85,'20Trips'!$A$24:$G$26, 3,FALSE)=VLOOKUP(S$1,'20Trips'!$A$3:$I$22,3,FALSE)),1,0)</f>
        <v>0</v>
      </c>
      <c r="T85" s="2">
        <f>IF(AND(feasible_mat!S22, VLOOKUP(Recharged_Feasible_matv3!$A85,'20Trips'!$A$24:$G$26, 3,FALSE)=VLOOKUP(T$1,'20Trips'!$A$3:$I$22,3,FALSE)),1,0)</f>
        <v>0</v>
      </c>
      <c r="U85" s="2">
        <f>IF(AND(feasible_mat!T22, VLOOKUP(Recharged_Feasible_matv3!$A85,'20Trips'!$A$24:$G$26, 3,FALSE)=VLOOKUP(U$1,'20Trips'!$A$3:$I$22,3,FALSE)),1,0)</f>
        <v>0</v>
      </c>
      <c r="V85" s="2">
        <f>IF(AND(feasible_mat!U22, VLOOKUP(Recharged_Feasible_matv3!$A85,'20Trips'!$A$24:$G$26, 3,FALSE)=VLOOKUP(V$1,'20Trips'!$A$3:$I$22,3,FALSE)),1,0)</f>
        <v>0</v>
      </c>
      <c r="W85" s="2">
        <f>IF(AND(feasible_mat!V22, VLOOKUP(Recharged_Feasible_matv3!$A85,'20Trips'!$A$24:$G$26, 3,FALSE)=VLOOKUP(W$1,'20Trips'!$A$3:$I$22,3,FALSE)),1,0)</f>
        <v>0</v>
      </c>
    </row>
    <row r="86" spans="1:23" x14ac:dyDescent="0.25">
      <c r="A86" t="s">
        <v>69</v>
      </c>
      <c r="B86" t="s">
        <v>46</v>
      </c>
      <c r="C86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</row>
    <row r="98" spans="6:6" x14ac:dyDescent="0.25">
      <c r="F98" t="s">
        <v>71</v>
      </c>
    </row>
    <row r="99" spans="6:6" x14ac:dyDescent="0.25">
      <c r="F99" t="e">
        <f>feasible_mat!#REF!=1</f>
        <v>#REF!</v>
      </c>
    </row>
    <row r="100" spans="6:6" x14ac:dyDescent="0.25">
      <c r="F100" t="str">
        <f>VLOOKUP(Recharged_Feasible_matv3!$A54,'20Trips'!$A$24:$G$26, 3,FALSE)</f>
        <v>Terminal B</v>
      </c>
    </row>
    <row r="101" spans="6:6" x14ac:dyDescent="0.25">
      <c r="F101" t="str">
        <f>VLOOKUP(Q$1,'20Trips'!$A$3:$I$22,3,FALSE)</f>
        <v>Terminal B</v>
      </c>
    </row>
  </sheetData>
  <conditionalFormatting sqref="D3:W22 E66:W85 D86:W86 E45:W64 D23:D85 E24:W43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3A09-77CB-480E-A128-4A5BE093D235}">
  <dimension ref="A1:Z100"/>
  <sheetViews>
    <sheetView zoomScale="98" zoomScaleNormal="98" workbookViewId="0">
      <pane xSplit="1" topLeftCell="B1" activePane="topRight" state="frozen"/>
      <selection activeCell="Q35" sqref="Q35"/>
      <selection pane="topRight" activeCell="V22" sqref="V22"/>
    </sheetView>
  </sheetViews>
  <sheetFormatPr defaultRowHeight="15" x14ac:dyDescent="0.25"/>
  <cols>
    <col min="1" max="4" width="9.140625" style="16"/>
    <col min="5" max="5" width="14.42578125" style="16" bestFit="1" customWidth="1"/>
    <col min="6" max="6" width="12" style="16" bestFit="1" customWidth="1"/>
    <col min="7" max="16384" width="9.140625" style="16"/>
  </cols>
  <sheetData>
    <row r="1" spans="1:26" x14ac:dyDescent="0.25">
      <c r="A1"/>
      <c r="B1" t="s">
        <v>46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18</v>
      </c>
      <c r="I1" t="s">
        <v>20</v>
      </c>
      <c r="J1" t="s">
        <v>21</v>
      </c>
      <c r="K1" t="s">
        <v>22</v>
      </c>
      <c r="L1" t="s">
        <v>23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</row>
    <row r="2" spans="1:26" x14ac:dyDescent="0.2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6" x14ac:dyDescent="0.25">
      <c r="A3" t="s">
        <v>6</v>
      </c>
      <c r="B3">
        <v>0</v>
      </c>
      <c r="C3">
        <f>IF(AND(SUM(VLOOKUP($A3,'20Trips'!$A$3:$F$22,2,FALSE),VLOOKUP(C$1,'20Trips'!$A$3:$F$22,2,FALSE))&lt;='20Trips'!$AC$38,$A3&lt;&gt;C$1,feasible_mat!C3=1),(VLOOKUP(C$1,'20Trips'!$A$3:$I$22,8,FALSE))-(VLOOKUP($A3,'20Trips'!$A$3:$I$22,9,FALSE)),0)</f>
        <v>0</v>
      </c>
      <c r="D3">
        <f>IF(AND(SUM(VLOOKUP($A3,'20Trips'!$A$3:$F$22,2,FALSE),VLOOKUP(D$1,'20Trips'!$A$3:$F$22,2,FALSE))&lt;='20Trips'!$AC$38,$A3&lt;&gt;D$1,feasible_mat!D3=1),(VLOOKUP(D$1,'20Trips'!$A$3:$I$22,8,FALSE))-(VLOOKUP($A3,'20Trips'!$A$3:$I$22,9,FALSE)),0)</f>
        <v>45</v>
      </c>
      <c r="E3">
        <f>IF(AND(SUM(VLOOKUP($A3,'20Trips'!$A$3:$F$22,2,FALSE),VLOOKUP(E$1,'20Trips'!$A$3:$F$22,2,FALSE))&lt;='20Trips'!$AC$38,$A3&lt;&gt;E$1,feasible_mat!E3=1),(VLOOKUP(E$1,'20Trips'!$A$3:$I$22,8,FALSE))-(VLOOKUP($A3,'20Trips'!$A$3:$I$22,9,FALSE)),0)</f>
        <v>135</v>
      </c>
      <c r="F3">
        <f>IF(AND(SUM(VLOOKUP($A3,'20Trips'!$A$3:$F$22,2,FALSE),VLOOKUP(F$1,'20Trips'!$A$3:$F$22,2,FALSE))&lt;='20Trips'!$AC$38,$A3&lt;&gt;F$1,feasible_mat!F3=1),(VLOOKUP(F$1,'20Trips'!$A$3:$I$22,8,FALSE))-(VLOOKUP($A3,'20Trips'!$A$3:$I$22,9,FALSE)),0)</f>
        <v>225</v>
      </c>
      <c r="G3">
        <f>IF(AND(SUM(VLOOKUP($A3,'20Trips'!$A$3:$F$22,2,FALSE),VLOOKUP(G$1,'20Trips'!$A$3:$F$22,2,FALSE))&lt;='20Trips'!$AC$38,$A3&lt;&gt;G$1,feasible_mat!G3=1),(VLOOKUP(G$1,'20Trips'!$A$3:$I$22,8,FALSE))-(VLOOKUP($A3,'20Trips'!$A$3:$I$22,9,FALSE)),0)</f>
        <v>285</v>
      </c>
      <c r="H3">
        <f>IF(AND(SUM(VLOOKUP($A3,'20Trips'!$A$3:$F$22,2,FALSE),VLOOKUP(H$1,'20Trips'!$A$3:$F$22,2,FALSE))&lt;='20Trips'!$AC$38,$A3&lt;&gt;H$1,feasible_mat!H3=1),(VLOOKUP(H$1,'20Trips'!$A$3:$I$22,8,FALSE))-(VLOOKUP($A3,'20Trips'!$A$3:$I$22,9,FALSE)),0)</f>
        <v>0</v>
      </c>
      <c r="I3">
        <f>IF(AND(SUM(VLOOKUP($A3,'20Trips'!$A$3:$F$22,2,FALSE),VLOOKUP(I$1,'20Trips'!$A$3:$F$22,2,FALSE))&lt;='20Trips'!$AC$38,$A3&lt;&gt;I$1,feasible_mat!I3=1),(VLOOKUP(I$1,'20Trips'!$A$3:$I$22,8,FALSE))-(VLOOKUP($A3,'20Trips'!$A$3:$I$22,9,FALSE)),0)</f>
        <v>0</v>
      </c>
      <c r="J3">
        <f>IF(AND(SUM(VLOOKUP($A3,'20Trips'!$A$3:$F$22,2,FALSE),VLOOKUP(J$1,'20Trips'!$A$3:$F$22,2,FALSE))&lt;='20Trips'!$AC$38,$A3&lt;&gt;J$1,feasible_mat!J3=1),(VLOOKUP(J$1,'20Trips'!$A$3:$I$22,8,FALSE))-(VLOOKUP($A3,'20Trips'!$A$3:$I$22,9,FALSE)),0)</f>
        <v>100</v>
      </c>
      <c r="K3">
        <f>IF(AND(SUM(VLOOKUP($A3,'20Trips'!$A$3:$F$22,2,FALSE),VLOOKUP(K$1,'20Trips'!$A$3:$F$22,2,FALSE))&lt;='20Trips'!$AC$38,$A3&lt;&gt;K$1,feasible_mat!K3=1),(VLOOKUP(K$1,'20Trips'!$A$3:$I$22,8,FALSE))-(VLOOKUP($A3,'20Trips'!$A$3:$I$22,9,FALSE)),0)</f>
        <v>460</v>
      </c>
      <c r="L3">
        <f>IF(AND(SUM(VLOOKUP($A3,'20Trips'!$A$3:$F$22,2,FALSE),VLOOKUP(L$1,'20Trips'!$A$3:$F$22,2,FALSE))&lt;='20Trips'!$AC$38,$A3&lt;&gt;L$1,feasible_mat!L3=1),(VLOOKUP(L$1,'20Trips'!$A$3:$I$22,8,FALSE))-(VLOOKUP($A3,'20Trips'!$A$3:$I$22,9,FALSE)),0)</f>
        <v>520</v>
      </c>
      <c r="M3">
        <f>IF(AND(SUM(VLOOKUP($A3,'20Trips'!$A$3:$F$22,2,FALSE),VLOOKUP(M$1,'20Trips'!$A$3:$F$22,2,FALSE))&lt;='20Trips'!$AC$38,$A3&lt;&gt;M$1,feasible_mat!M3=1),(VLOOKUP(M$1,'20Trips'!$A$3:$I$22,8,FALSE))-(VLOOKUP($A3,'20Trips'!$A$3:$I$22,9,FALSE)),0)</f>
        <v>0</v>
      </c>
      <c r="N3">
        <f>IF(AND(SUM(VLOOKUP($A3,'20Trips'!$A$3:$F$22,2,FALSE),VLOOKUP(N$1,'20Trips'!$A$3:$F$22,2,FALSE))&lt;='20Trips'!$AC$38,$A3&lt;&gt;N$1,feasible_mat!N3=1),(VLOOKUP(N$1,'20Trips'!$A$3:$I$22,8,FALSE))-(VLOOKUP($A3,'20Trips'!$A$3:$I$22,9,FALSE)),0)</f>
        <v>0</v>
      </c>
      <c r="O3">
        <f>IF(AND(SUM(VLOOKUP($A3,'20Trips'!$A$3:$F$22,2,FALSE),VLOOKUP(O$1,'20Trips'!$A$3:$F$22,2,FALSE))&lt;='20Trips'!$AC$38,$A3&lt;&gt;O$1,feasible_mat!O3=1),(VLOOKUP(O$1,'20Trips'!$A$3:$I$22,8,FALSE))-(VLOOKUP($A3,'20Trips'!$A$3:$I$22,9,FALSE)),0)</f>
        <v>25</v>
      </c>
      <c r="P3">
        <f>IF(AND(SUM(VLOOKUP($A3,'20Trips'!$A$3:$F$22,2,FALSE),VLOOKUP(P$1,'20Trips'!$A$3:$F$22,2,FALSE))&lt;='20Trips'!$AC$38,$A3&lt;&gt;P$1,feasible_mat!P3=1),(VLOOKUP(P$1,'20Trips'!$A$3:$I$22,8,FALSE))-(VLOOKUP($A3,'20Trips'!$A$3:$I$22,9,FALSE)),0)</f>
        <v>115</v>
      </c>
      <c r="Q3">
        <f>IF(AND(SUM(VLOOKUP($A3,'20Trips'!$A$3:$F$22,2,FALSE),VLOOKUP(Q$1,'20Trips'!$A$3:$F$22,2,FALSE))&lt;='20Trips'!$AC$38,$A3&lt;&gt;Q$1,feasible_mat!Q3=1),(VLOOKUP(Q$1,'20Trips'!$A$3:$I$22,8,FALSE))-(VLOOKUP($A3,'20Trips'!$A$3:$I$22,9,FALSE)),0)</f>
        <v>205</v>
      </c>
      <c r="R3">
        <f>IF(AND(SUM(VLOOKUP($A3,'20Trips'!$A$3:$F$22,2,FALSE),VLOOKUP(R$1,'20Trips'!$A$3:$F$22,2,FALSE))&lt;='20Trips'!$AC$38,$A3&lt;&gt;R$1,feasible_mat!R3=1),(VLOOKUP(R$1,'20Trips'!$A$3:$I$22,8,FALSE))-(VLOOKUP($A3,'20Trips'!$A$3:$I$22,9,FALSE)),0)</f>
        <v>0</v>
      </c>
      <c r="S3">
        <f>IF(AND(SUM(VLOOKUP($A3,'20Trips'!$A$3:$F$22,2,FALSE),VLOOKUP(S$1,'20Trips'!$A$3:$F$22,2,FALSE))&lt;='20Trips'!$AC$38,$A3&lt;&gt;S$1,feasible_mat!S3=1),(VLOOKUP(S$1,'20Trips'!$A$3:$I$22,8,FALSE))-(VLOOKUP($A3,'20Trips'!$A$3:$I$22,9,FALSE)),0)</f>
        <v>45</v>
      </c>
      <c r="T3">
        <f>IF(AND(SUM(VLOOKUP($A3,'20Trips'!$A$3:$F$22,2,FALSE),VLOOKUP(T$1,'20Trips'!$A$3:$F$22,2,FALSE))&lt;='20Trips'!$AC$38,$A3&lt;&gt;T$1,feasible_mat!T3=1),(VLOOKUP(T$1,'20Trips'!$A$3:$I$22,8,FALSE))-(VLOOKUP($A3,'20Trips'!$A$3:$I$22,9,FALSE)),0)</f>
        <v>165</v>
      </c>
      <c r="U3">
        <f>IF(AND(SUM(VLOOKUP($A3,'20Trips'!$A$3:$F$22,2,FALSE),VLOOKUP(U$1,'20Trips'!$A$3:$F$22,2,FALSE))&lt;='20Trips'!$AC$38,$A3&lt;&gt;U$1,feasible_mat!U3=1),(VLOOKUP(U$1,'20Trips'!$A$3:$I$22,8,FALSE))-(VLOOKUP($A3,'20Trips'!$A$3:$I$22,9,FALSE)),0)</f>
        <v>225</v>
      </c>
      <c r="V3">
        <f>IF(AND(SUM(VLOOKUP($A3,'20Trips'!$A$3:$F$22,2,FALSE),VLOOKUP(V$1,'20Trips'!$A$3:$F$22,2,FALSE))&lt;='20Trips'!$AC$38,$A3&lt;&gt;V$1,feasible_mat!V3=1),(VLOOKUP(V$1,'20Trips'!$A$3:$I$22,8,FALSE))-(VLOOKUP($A3,'20Trips'!$A$3:$I$22,9,FALSE)),0)</f>
        <v>345</v>
      </c>
    </row>
    <row r="4" spans="1:26" x14ac:dyDescent="0.25">
      <c r="A4" t="s">
        <v>9</v>
      </c>
      <c r="B4">
        <v>0</v>
      </c>
      <c r="C4">
        <f>IF(AND(SUM(VLOOKUP($A4,'20Trips'!$A$3:$F$22,2,FALSE),VLOOKUP(C$1,'20Trips'!$A$3:$F$22,2,FALSE))&lt;='20Trips'!$AC$38,$A4&lt;&gt;C$1,feasible_mat!C4=1),(VLOOKUP(C$1,'20Trips'!$A$3:$I$22,8,FALSE))-(VLOOKUP($A4,'20Trips'!$A$3:$I$22,9,FALSE)),0)</f>
        <v>0</v>
      </c>
      <c r="D4">
        <f>IF(AND(SUM(VLOOKUP($A4,'20Trips'!$A$3:$F$22,2,FALSE),VLOOKUP(D$1,'20Trips'!$A$3:$F$22,2,FALSE))&lt;='20Trips'!$AC$38,$A4&lt;&gt;D$1,feasible_mat!D4=1),(VLOOKUP(D$1,'20Trips'!$A$3:$I$22,8,FALSE))-(VLOOKUP($A4,'20Trips'!$A$3:$I$22,9,FALSE)),0)</f>
        <v>0</v>
      </c>
      <c r="E4">
        <f>IF(AND(SUM(VLOOKUP($A4,'20Trips'!$A$3:$F$22,2,FALSE),VLOOKUP(E$1,'20Trips'!$A$3:$F$22,2,FALSE))&lt;='20Trips'!$AC$38,$A4&lt;&gt;E$1,feasible_mat!E4=1),(VLOOKUP(E$1,'20Trips'!$A$3:$I$22,8,FALSE))-(VLOOKUP($A4,'20Trips'!$A$3:$I$22,9,FALSE)),0)</f>
        <v>0</v>
      </c>
      <c r="F4">
        <f>IF(AND(SUM(VLOOKUP($A4,'20Trips'!$A$3:$F$22,2,FALSE),VLOOKUP(F$1,'20Trips'!$A$3:$F$22,2,FALSE))&lt;='20Trips'!$AC$38,$A4&lt;&gt;F$1,feasible_mat!F4=1),(VLOOKUP(F$1,'20Trips'!$A$3:$I$22,8,FALSE))-(VLOOKUP($A4,'20Trips'!$A$3:$I$22,9,FALSE)),0)</f>
        <v>45</v>
      </c>
      <c r="G4">
        <f>IF(AND(SUM(VLOOKUP($A4,'20Trips'!$A$3:$F$22,2,FALSE),VLOOKUP(G$1,'20Trips'!$A$3:$F$22,2,FALSE))&lt;='20Trips'!$AC$38,$A4&lt;&gt;G$1,feasible_mat!G4=1),(VLOOKUP(G$1,'20Trips'!$A$3:$I$22,8,FALSE))-(VLOOKUP($A4,'20Trips'!$A$3:$I$22,9,FALSE)),0)</f>
        <v>105</v>
      </c>
      <c r="H4">
        <f>IF(AND(SUM(VLOOKUP($A4,'20Trips'!$A$3:$F$22,2,FALSE),VLOOKUP(H$1,'20Trips'!$A$3:$F$22,2,FALSE))&lt;='20Trips'!$AC$38,$A4&lt;&gt;H$1,feasible_mat!H4=1),(VLOOKUP(H$1,'20Trips'!$A$3:$I$22,8,FALSE))-(VLOOKUP($A4,'20Trips'!$A$3:$I$22,9,FALSE)),0)</f>
        <v>0</v>
      </c>
      <c r="I4">
        <f>IF(AND(SUM(VLOOKUP($A4,'20Trips'!$A$3:$F$22,2,FALSE),VLOOKUP(I$1,'20Trips'!$A$3:$F$22,2,FALSE))&lt;='20Trips'!$AC$38,$A4&lt;&gt;I$1,feasible_mat!I4=1),(VLOOKUP(I$1,'20Trips'!$A$3:$I$22,8,FALSE))-(VLOOKUP($A4,'20Trips'!$A$3:$I$22,9,FALSE)),0)</f>
        <v>0</v>
      </c>
      <c r="J4">
        <f>IF(AND(SUM(VLOOKUP($A4,'20Trips'!$A$3:$F$22,2,FALSE),VLOOKUP(J$1,'20Trips'!$A$3:$F$22,2,FALSE))&lt;='20Trips'!$AC$38,$A4&lt;&gt;J$1,feasible_mat!J4=1),(VLOOKUP(J$1,'20Trips'!$A$3:$I$22,8,FALSE))-(VLOOKUP($A4,'20Trips'!$A$3:$I$22,9,FALSE)),0)</f>
        <v>0</v>
      </c>
      <c r="K4">
        <f>IF(AND(SUM(VLOOKUP($A4,'20Trips'!$A$3:$F$22,2,FALSE),VLOOKUP(K$1,'20Trips'!$A$3:$F$22,2,FALSE))&lt;='20Trips'!$AC$38,$A4&lt;&gt;K$1,feasible_mat!K4=1),(VLOOKUP(K$1,'20Trips'!$A$3:$I$22,8,FALSE))-(VLOOKUP($A4,'20Trips'!$A$3:$I$22,9,FALSE)),0)</f>
        <v>280</v>
      </c>
      <c r="L4">
        <f>IF(AND(SUM(VLOOKUP($A4,'20Trips'!$A$3:$F$22,2,FALSE),VLOOKUP(L$1,'20Trips'!$A$3:$F$22,2,FALSE))&lt;='20Trips'!$AC$38,$A4&lt;&gt;L$1,feasible_mat!L4=1),(VLOOKUP(L$1,'20Trips'!$A$3:$I$22,8,FALSE))-(VLOOKUP($A4,'20Trips'!$A$3:$I$22,9,FALSE)),0)</f>
        <v>340</v>
      </c>
      <c r="M4">
        <f>IF(AND(SUM(VLOOKUP($A4,'20Trips'!$A$3:$F$22,2,FALSE),VLOOKUP(M$1,'20Trips'!$A$3:$F$22,2,FALSE))&lt;='20Trips'!$AC$38,$A4&lt;&gt;M$1,feasible_mat!M4=1),(VLOOKUP(M$1,'20Trips'!$A$3:$I$22,8,FALSE))-(VLOOKUP($A4,'20Trips'!$A$3:$I$22,9,FALSE)),0)</f>
        <v>0</v>
      </c>
      <c r="N4">
        <f>IF(AND(SUM(VLOOKUP($A4,'20Trips'!$A$3:$F$22,2,FALSE),VLOOKUP(N$1,'20Trips'!$A$3:$F$22,2,FALSE))&lt;='20Trips'!$AC$38,$A4&lt;&gt;N$1,feasible_mat!N4=1),(VLOOKUP(N$1,'20Trips'!$A$3:$I$22,8,FALSE))-(VLOOKUP($A4,'20Trips'!$A$3:$I$22,9,FALSE)),0)</f>
        <v>0</v>
      </c>
      <c r="O4">
        <f>IF(AND(SUM(VLOOKUP($A4,'20Trips'!$A$3:$F$22,2,FALSE),VLOOKUP(O$1,'20Trips'!$A$3:$F$22,2,FALSE))&lt;='20Trips'!$AC$38,$A4&lt;&gt;O$1,feasible_mat!O4=1),(VLOOKUP(O$1,'20Trips'!$A$3:$I$22,8,FALSE))-(VLOOKUP($A4,'20Trips'!$A$3:$I$22,9,FALSE)),0)</f>
        <v>0</v>
      </c>
      <c r="P4">
        <f>IF(AND(SUM(VLOOKUP($A4,'20Trips'!$A$3:$F$22,2,FALSE),VLOOKUP(P$1,'20Trips'!$A$3:$F$22,2,FALSE))&lt;='20Trips'!$AC$38,$A4&lt;&gt;P$1,feasible_mat!P4=1),(VLOOKUP(P$1,'20Trips'!$A$3:$I$22,8,FALSE))-(VLOOKUP($A4,'20Trips'!$A$3:$I$22,9,FALSE)),0)</f>
        <v>0</v>
      </c>
      <c r="Q4">
        <f>IF(AND(SUM(VLOOKUP($A4,'20Trips'!$A$3:$F$22,2,FALSE),VLOOKUP(Q$1,'20Trips'!$A$3:$F$22,2,FALSE))&lt;='20Trips'!$AC$38,$A4&lt;&gt;Q$1,feasible_mat!Q4=1),(VLOOKUP(Q$1,'20Trips'!$A$3:$I$22,8,FALSE))-(VLOOKUP($A4,'20Trips'!$A$3:$I$22,9,FALSE)),0)</f>
        <v>25</v>
      </c>
      <c r="R4">
        <f>IF(AND(SUM(VLOOKUP($A4,'20Trips'!$A$3:$F$22,2,FALSE),VLOOKUP(R$1,'20Trips'!$A$3:$F$22,2,FALSE))&lt;='20Trips'!$AC$38,$A4&lt;&gt;R$1,feasible_mat!R4=1),(VLOOKUP(R$1,'20Trips'!$A$3:$I$22,8,FALSE))-(VLOOKUP($A4,'20Trips'!$A$3:$I$22,9,FALSE)),0)</f>
        <v>0</v>
      </c>
      <c r="S4">
        <f>IF(AND(SUM(VLOOKUP($A4,'20Trips'!$A$3:$F$22,2,FALSE),VLOOKUP(S$1,'20Trips'!$A$3:$F$22,2,FALSE))&lt;='20Trips'!$AC$38,$A4&lt;&gt;S$1,feasible_mat!S4=1),(VLOOKUP(S$1,'20Trips'!$A$3:$I$22,8,FALSE))-(VLOOKUP($A4,'20Trips'!$A$3:$I$22,9,FALSE)),0)</f>
        <v>0</v>
      </c>
      <c r="T4">
        <f>IF(AND(SUM(VLOOKUP($A4,'20Trips'!$A$3:$F$22,2,FALSE),VLOOKUP(T$1,'20Trips'!$A$3:$F$22,2,FALSE))&lt;='20Trips'!$AC$38,$A4&lt;&gt;T$1,feasible_mat!T4=1),(VLOOKUP(T$1,'20Trips'!$A$3:$I$22,8,FALSE))-(VLOOKUP($A4,'20Trips'!$A$3:$I$22,9,FALSE)),0)</f>
        <v>0</v>
      </c>
      <c r="U4">
        <f>IF(AND(SUM(VLOOKUP($A4,'20Trips'!$A$3:$F$22,2,FALSE),VLOOKUP(U$1,'20Trips'!$A$3:$F$22,2,FALSE))&lt;='20Trips'!$AC$38,$A4&lt;&gt;U$1,feasible_mat!U4=1),(VLOOKUP(U$1,'20Trips'!$A$3:$I$22,8,FALSE))-(VLOOKUP($A4,'20Trips'!$A$3:$I$22,9,FALSE)),0)</f>
        <v>45</v>
      </c>
      <c r="V4">
        <f>IF(AND(SUM(VLOOKUP($A4,'20Trips'!$A$3:$F$22,2,FALSE),VLOOKUP(V$1,'20Trips'!$A$3:$F$22,2,FALSE))&lt;='20Trips'!$AC$38,$A4&lt;&gt;V$1,feasible_mat!V4=1),(VLOOKUP(V$1,'20Trips'!$A$3:$I$22,8,FALSE))-(VLOOKUP($A4,'20Trips'!$A$3:$I$22,9,FALSE)),0)</f>
        <v>165</v>
      </c>
      <c r="Z4" s="16" t="s">
        <v>61</v>
      </c>
    </row>
    <row r="5" spans="1:26" x14ac:dyDescent="0.25">
      <c r="A5" t="s">
        <v>10</v>
      </c>
      <c r="B5">
        <v>0</v>
      </c>
      <c r="C5">
        <f>IF(AND(SUM(VLOOKUP($A5,'20Trips'!$A$3:$F$22,2,FALSE),VLOOKUP(C$1,'20Trips'!$A$3:$F$22,2,FALSE))&lt;='20Trips'!$AC$38,$A5&lt;&gt;C$1,feasible_mat!C5=1),(VLOOKUP(C$1,'20Trips'!$A$3:$I$22,8,FALSE))-(VLOOKUP($A5,'20Trips'!$A$3:$I$22,9,FALSE)),0)</f>
        <v>0</v>
      </c>
      <c r="D5">
        <f>IF(AND(SUM(VLOOKUP($A5,'20Trips'!$A$3:$F$22,2,FALSE),VLOOKUP(D$1,'20Trips'!$A$3:$F$22,2,FALSE))&lt;='20Trips'!$AC$38,$A5&lt;&gt;D$1,feasible_mat!D5=1),(VLOOKUP(D$1,'20Trips'!$A$3:$I$22,8,FALSE))-(VLOOKUP($A5,'20Trips'!$A$3:$I$22,9,FALSE)),0)</f>
        <v>0</v>
      </c>
      <c r="E5">
        <f>IF(AND(SUM(VLOOKUP($A5,'20Trips'!$A$3:$F$22,2,FALSE),VLOOKUP(E$1,'20Trips'!$A$3:$F$22,2,FALSE))&lt;='20Trips'!$AC$38,$A5&lt;&gt;E$1,feasible_mat!E5=1),(VLOOKUP(E$1,'20Trips'!$A$3:$I$22,8,FALSE))-(VLOOKUP($A5,'20Trips'!$A$3:$I$22,9,FALSE)),0)</f>
        <v>0</v>
      </c>
      <c r="F5">
        <f>IF(AND(SUM(VLOOKUP($A5,'20Trips'!$A$3:$F$22,2,FALSE),VLOOKUP(F$1,'20Trips'!$A$3:$F$22,2,FALSE))&lt;='20Trips'!$AC$38,$A5&lt;&gt;F$1,feasible_mat!F5=1),(VLOOKUP(F$1,'20Trips'!$A$3:$I$22,8,FALSE))-(VLOOKUP($A5,'20Trips'!$A$3:$I$22,9,FALSE)),0)</f>
        <v>0</v>
      </c>
      <c r="G5">
        <f>IF(AND(SUM(VLOOKUP($A5,'20Trips'!$A$3:$F$22,2,FALSE),VLOOKUP(G$1,'20Trips'!$A$3:$F$22,2,FALSE))&lt;='20Trips'!$AC$38,$A5&lt;&gt;G$1,feasible_mat!G5=1),(VLOOKUP(G$1,'20Trips'!$A$3:$I$22,8,FALSE))-(VLOOKUP($A5,'20Trips'!$A$3:$I$22,9,FALSE)),0)</f>
        <v>15</v>
      </c>
      <c r="H5">
        <f>IF(AND(SUM(VLOOKUP($A5,'20Trips'!$A$3:$F$22,2,FALSE),VLOOKUP(H$1,'20Trips'!$A$3:$F$22,2,FALSE))&lt;='20Trips'!$AC$38,$A5&lt;&gt;H$1,feasible_mat!H5=1),(VLOOKUP(H$1,'20Trips'!$A$3:$I$22,8,FALSE))-(VLOOKUP($A5,'20Trips'!$A$3:$I$22,9,FALSE)),0)</f>
        <v>0</v>
      </c>
      <c r="I5">
        <f>IF(AND(SUM(VLOOKUP($A5,'20Trips'!$A$3:$F$22,2,FALSE),VLOOKUP(I$1,'20Trips'!$A$3:$F$22,2,FALSE))&lt;='20Trips'!$AC$38,$A5&lt;&gt;I$1,feasible_mat!I5=1),(VLOOKUP(I$1,'20Trips'!$A$3:$I$22,8,FALSE))-(VLOOKUP($A5,'20Trips'!$A$3:$I$22,9,FALSE)),0)</f>
        <v>0</v>
      </c>
      <c r="J5">
        <f>IF(AND(SUM(VLOOKUP($A5,'20Trips'!$A$3:$F$22,2,FALSE),VLOOKUP(J$1,'20Trips'!$A$3:$F$22,2,FALSE))&lt;='20Trips'!$AC$38,$A5&lt;&gt;J$1,feasible_mat!J5=1),(VLOOKUP(J$1,'20Trips'!$A$3:$I$22,8,FALSE))-(VLOOKUP($A5,'20Trips'!$A$3:$I$22,9,FALSE)),0)</f>
        <v>0</v>
      </c>
      <c r="K5">
        <f>IF(AND(SUM(VLOOKUP($A5,'20Trips'!$A$3:$F$22,2,FALSE),VLOOKUP(K$1,'20Trips'!$A$3:$F$22,2,FALSE))&lt;='20Trips'!$AC$38,$A5&lt;&gt;K$1,feasible_mat!K5=1),(VLOOKUP(K$1,'20Trips'!$A$3:$I$22,8,FALSE))-(VLOOKUP($A5,'20Trips'!$A$3:$I$22,9,FALSE)),0)</f>
        <v>190</v>
      </c>
      <c r="L5">
        <f>IF(AND(SUM(VLOOKUP($A5,'20Trips'!$A$3:$F$22,2,FALSE),VLOOKUP(L$1,'20Trips'!$A$3:$F$22,2,FALSE))&lt;='20Trips'!$AC$38,$A5&lt;&gt;L$1,feasible_mat!L5=1),(VLOOKUP(L$1,'20Trips'!$A$3:$I$22,8,FALSE))-(VLOOKUP($A5,'20Trips'!$A$3:$I$22,9,FALSE)),0)</f>
        <v>250</v>
      </c>
      <c r="M5">
        <f>IF(AND(SUM(VLOOKUP($A5,'20Trips'!$A$3:$F$22,2,FALSE),VLOOKUP(M$1,'20Trips'!$A$3:$F$22,2,FALSE))&lt;='20Trips'!$AC$38,$A5&lt;&gt;M$1,feasible_mat!M5=1),(VLOOKUP(M$1,'20Trips'!$A$3:$I$22,8,FALSE))-(VLOOKUP($A5,'20Trips'!$A$3:$I$22,9,FALSE)),0)</f>
        <v>0</v>
      </c>
      <c r="N5">
        <f>IF(AND(SUM(VLOOKUP($A5,'20Trips'!$A$3:$F$22,2,FALSE),VLOOKUP(N$1,'20Trips'!$A$3:$F$22,2,FALSE))&lt;='20Trips'!$AC$38,$A5&lt;&gt;N$1,feasible_mat!N5=1),(VLOOKUP(N$1,'20Trips'!$A$3:$I$22,8,FALSE))-(VLOOKUP($A5,'20Trips'!$A$3:$I$22,9,FALSE)),0)</f>
        <v>0</v>
      </c>
      <c r="O5">
        <f>IF(AND(SUM(VLOOKUP($A5,'20Trips'!$A$3:$F$22,2,FALSE),VLOOKUP(O$1,'20Trips'!$A$3:$F$22,2,FALSE))&lt;='20Trips'!$AC$38,$A5&lt;&gt;O$1,feasible_mat!O5=1),(VLOOKUP(O$1,'20Trips'!$A$3:$I$22,8,FALSE))-(VLOOKUP($A5,'20Trips'!$A$3:$I$22,9,FALSE)),0)</f>
        <v>0</v>
      </c>
      <c r="P5">
        <f>IF(AND(SUM(VLOOKUP($A5,'20Trips'!$A$3:$F$22,2,FALSE),VLOOKUP(P$1,'20Trips'!$A$3:$F$22,2,FALSE))&lt;='20Trips'!$AC$38,$A5&lt;&gt;P$1,feasible_mat!P5=1),(VLOOKUP(P$1,'20Trips'!$A$3:$I$22,8,FALSE))-(VLOOKUP($A5,'20Trips'!$A$3:$I$22,9,FALSE)),0)</f>
        <v>0</v>
      </c>
      <c r="Q5">
        <f>IF(AND(SUM(VLOOKUP($A5,'20Trips'!$A$3:$F$22,2,FALSE),VLOOKUP(Q$1,'20Trips'!$A$3:$F$22,2,FALSE))&lt;='20Trips'!$AC$38,$A5&lt;&gt;Q$1,feasible_mat!Q5=1),(VLOOKUP(Q$1,'20Trips'!$A$3:$I$22,8,FALSE))-(VLOOKUP($A5,'20Trips'!$A$3:$I$22,9,FALSE)),0)</f>
        <v>0</v>
      </c>
      <c r="R5">
        <f>IF(AND(SUM(VLOOKUP($A5,'20Trips'!$A$3:$F$22,2,FALSE),VLOOKUP(R$1,'20Trips'!$A$3:$F$22,2,FALSE))&lt;='20Trips'!$AC$38,$A5&lt;&gt;R$1,feasible_mat!R5=1),(VLOOKUP(R$1,'20Trips'!$A$3:$I$22,8,FALSE))-(VLOOKUP($A5,'20Trips'!$A$3:$I$22,9,FALSE)),0)</f>
        <v>0</v>
      </c>
      <c r="S5">
        <f>IF(AND(SUM(VLOOKUP($A5,'20Trips'!$A$3:$F$22,2,FALSE),VLOOKUP(S$1,'20Trips'!$A$3:$F$22,2,FALSE))&lt;='20Trips'!$AC$38,$A5&lt;&gt;S$1,feasible_mat!S5=1),(VLOOKUP(S$1,'20Trips'!$A$3:$I$22,8,FALSE))-(VLOOKUP($A5,'20Trips'!$A$3:$I$22,9,FALSE)),0)</f>
        <v>0</v>
      </c>
      <c r="T5">
        <f>IF(AND(SUM(VLOOKUP($A5,'20Trips'!$A$3:$F$22,2,FALSE),VLOOKUP(T$1,'20Trips'!$A$3:$F$22,2,FALSE))&lt;='20Trips'!$AC$38,$A5&lt;&gt;T$1,feasible_mat!T5=1),(VLOOKUP(T$1,'20Trips'!$A$3:$I$22,8,FALSE))-(VLOOKUP($A5,'20Trips'!$A$3:$I$22,9,FALSE)),0)</f>
        <v>0</v>
      </c>
      <c r="U5">
        <f>IF(AND(SUM(VLOOKUP($A5,'20Trips'!$A$3:$F$22,2,FALSE),VLOOKUP(U$1,'20Trips'!$A$3:$F$22,2,FALSE))&lt;='20Trips'!$AC$38,$A5&lt;&gt;U$1,feasible_mat!U5=1),(VLOOKUP(U$1,'20Trips'!$A$3:$I$22,8,FALSE))-(VLOOKUP($A5,'20Trips'!$A$3:$I$22,9,FALSE)),0)</f>
        <v>0</v>
      </c>
      <c r="V5">
        <f>IF(AND(SUM(VLOOKUP($A5,'20Trips'!$A$3:$F$22,2,FALSE),VLOOKUP(V$1,'20Trips'!$A$3:$F$22,2,FALSE))&lt;='20Trips'!$AC$38,$A5&lt;&gt;V$1,feasible_mat!V5=1),(VLOOKUP(V$1,'20Trips'!$A$3:$I$22,8,FALSE))-(VLOOKUP($A5,'20Trips'!$A$3:$I$22,9,FALSE)),0)</f>
        <v>75</v>
      </c>
    </row>
    <row r="6" spans="1:26" x14ac:dyDescent="0.25">
      <c r="A6" t="s">
        <v>11</v>
      </c>
      <c r="B6">
        <v>0</v>
      </c>
      <c r="C6">
        <f>IF(AND(SUM(VLOOKUP($A6,'20Trips'!$A$3:$F$22,2,FALSE),VLOOKUP(C$1,'20Trips'!$A$3:$F$22,2,FALSE))&lt;='20Trips'!$AC$38,$A6&lt;&gt;C$1,feasible_mat!C6=1),(VLOOKUP(C$1,'20Trips'!$A$3:$I$22,8,FALSE))-(VLOOKUP($A6,'20Trips'!$A$3:$I$22,9,FALSE)),0)</f>
        <v>0</v>
      </c>
      <c r="D6">
        <f>IF(AND(SUM(VLOOKUP($A6,'20Trips'!$A$3:$F$22,2,FALSE),VLOOKUP(D$1,'20Trips'!$A$3:$F$22,2,FALSE))&lt;='20Trips'!$AC$38,$A6&lt;&gt;D$1,feasible_mat!D6=1),(VLOOKUP(D$1,'20Trips'!$A$3:$I$22,8,FALSE))-(VLOOKUP($A6,'20Trips'!$A$3:$I$22,9,FALSE)),0)</f>
        <v>0</v>
      </c>
      <c r="E6">
        <f>IF(AND(SUM(VLOOKUP($A6,'20Trips'!$A$3:$F$22,2,FALSE),VLOOKUP(E$1,'20Trips'!$A$3:$F$22,2,FALSE))&lt;='20Trips'!$AC$38,$A6&lt;&gt;E$1,feasible_mat!E6=1),(VLOOKUP(E$1,'20Trips'!$A$3:$I$22,8,FALSE))-(VLOOKUP($A6,'20Trips'!$A$3:$I$22,9,FALSE)),0)</f>
        <v>0</v>
      </c>
      <c r="F6">
        <f>IF(AND(SUM(VLOOKUP($A6,'20Trips'!$A$3:$F$22,2,FALSE),VLOOKUP(F$1,'20Trips'!$A$3:$F$22,2,FALSE))&lt;='20Trips'!$AC$38,$A6&lt;&gt;F$1,feasible_mat!F6=1),(VLOOKUP(F$1,'20Trips'!$A$3:$I$22,8,FALSE))-(VLOOKUP($A6,'20Trips'!$A$3:$I$22,9,FALSE)),0)</f>
        <v>0</v>
      </c>
      <c r="G6">
        <f>IF(AND(SUM(VLOOKUP($A6,'20Trips'!$A$3:$F$22,2,FALSE),VLOOKUP(G$1,'20Trips'!$A$3:$F$22,2,FALSE))&lt;='20Trips'!$AC$38,$A6&lt;&gt;G$1,feasible_mat!G6=1),(VLOOKUP(G$1,'20Trips'!$A$3:$I$22,8,FALSE))-(VLOOKUP($A6,'20Trips'!$A$3:$I$22,9,FALSE)),0)</f>
        <v>0</v>
      </c>
      <c r="H6">
        <f>IF(AND(SUM(VLOOKUP($A6,'20Trips'!$A$3:$F$22,2,FALSE),VLOOKUP(H$1,'20Trips'!$A$3:$F$22,2,FALSE))&lt;='20Trips'!$AC$38,$A6&lt;&gt;H$1,feasible_mat!H6=1),(VLOOKUP(H$1,'20Trips'!$A$3:$I$22,8,FALSE))-(VLOOKUP($A6,'20Trips'!$A$3:$I$22,9,FALSE)),0)</f>
        <v>0</v>
      </c>
      <c r="I6">
        <f>IF(AND(SUM(VLOOKUP($A6,'20Trips'!$A$3:$F$22,2,FALSE),VLOOKUP(I$1,'20Trips'!$A$3:$F$22,2,FALSE))&lt;='20Trips'!$AC$38,$A6&lt;&gt;I$1,feasible_mat!I6=1),(VLOOKUP(I$1,'20Trips'!$A$3:$I$22,8,FALSE))-(VLOOKUP($A6,'20Trips'!$A$3:$I$22,9,FALSE)),0)</f>
        <v>0</v>
      </c>
      <c r="J6">
        <f>IF(AND(SUM(VLOOKUP($A6,'20Trips'!$A$3:$F$22,2,FALSE),VLOOKUP(J$1,'20Trips'!$A$3:$F$22,2,FALSE))&lt;='20Trips'!$AC$38,$A6&lt;&gt;J$1,feasible_mat!J6=1),(VLOOKUP(J$1,'20Trips'!$A$3:$I$22,8,FALSE))-(VLOOKUP($A6,'20Trips'!$A$3:$I$22,9,FALSE)),0)</f>
        <v>0</v>
      </c>
      <c r="K6">
        <f>IF(AND(SUM(VLOOKUP($A6,'20Trips'!$A$3:$F$22,2,FALSE),VLOOKUP(K$1,'20Trips'!$A$3:$F$22,2,FALSE))&lt;='20Trips'!$AC$38,$A6&lt;&gt;K$1,feasible_mat!K6=1),(VLOOKUP(K$1,'20Trips'!$A$3:$I$22,8,FALSE))-(VLOOKUP($A6,'20Trips'!$A$3:$I$22,9,FALSE)),0)</f>
        <v>100</v>
      </c>
      <c r="L6">
        <f>IF(AND(SUM(VLOOKUP($A6,'20Trips'!$A$3:$F$22,2,FALSE),VLOOKUP(L$1,'20Trips'!$A$3:$F$22,2,FALSE))&lt;='20Trips'!$AC$38,$A6&lt;&gt;L$1,feasible_mat!L6=1),(VLOOKUP(L$1,'20Trips'!$A$3:$I$22,8,FALSE))-(VLOOKUP($A6,'20Trips'!$A$3:$I$22,9,FALSE)),0)</f>
        <v>160</v>
      </c>
      <c r="M6">
        <f>IF(AND(SUM(VLOOKUP($A6,'20Trips'!$A$3:$F$22,2,FALSE),VLOOKUP(M$1,'20Trips'!$A$3:$F$22,2,FALSE))&lt;='20Trips'!$AC$38,$A6&lt;&gt;M$1,feasible_mat!M6=1),(VLOOKUP(M$1,'20Trips'!$A$3:$I$22,8,FALSE))-(VLOOKUP($A6,'20Trips'!$A$3:$I$22,9,FALSE)),0)</f>
        <v>0</v>
      </c>
      <c r="N6">
        <f>IF(AND(SUM(VLOOKUP($A6,'20Trips'!$A$3:$F$22,2,FALSE),VLOOKUP(N$1,'20Trips'!$A$3:$F$22,2,FALSE))&lt;='20Trips'!$AC$38,$A6&lt;&gt;N$1,feasible_mat!N6=1),(VLOOKUP(N$1,'20Trips'!$A$3:$I$22,8,FALSE))-(VLOOKUP($A6,'20Trips'!$A$3:$I$22,9,FALSE)),0)</f>
        <v>0</v>
      </c>
      <c r="O6">
        <f>IF(AND(SUM(VLOOKUP($A6,'20Trips'!$A$3:$F$22,2,FALSE),VLOOKUP(O$1,'20Trips'!$A$3:$F$22,2,FALSE))&lt;='20Trips'!$AC$38,$A6&lt;&gt;O$1,feasible_mat!O6=1),(VLOOKUP(O$1,'20Trips'!$A$3:$I$22,8,FALSE))-(VLOOKUP($A6,'20Trips'!$A$3:$I$22,9,FALSE)),0)</f>
        <v>0</v>
      </c>
      <c r="P6">
        <f>IF(AND(SUM(VLOOKUP($A6,'20Trips'!$A$3:$F$22,2,FALSE),VLOOKUP(P$1,'20Trips'!$A$3:$F$22,2,FALSE))&lt;='20Trips'!$AC$38,$A6&lt;&gt;P$1,feasible_mat!P6=1),(VLOOKUP(P$1,'20Trips'!$A$3:$I$22,8,FALSE))-(VLOOKUP($A6,'20Trips'!$A$3:$I$22,9,FALSE)),0)</f>
        <v>0</v>
      </c>
      <c r="Q6">
        <f>IF(AND(SUM(VLOOKUP($A6,'20Trips'!$A$3:$F$22,2,FALSE),VLOOKUP(Q$1,'20Trips'!$A$3:$F$22,2,FALSE))&lt;='20Trips'!$AC$38,$A6&lt;&gt;Q$1,feasible_mat!Q6=1),(VLOOKUP(Q$1,'20Trips'!$A$3:$I$22,8,FALSE))-(VLOOKUP($A6,'20Trips'!$A$3:$I$22,9,FALSE)),0)</f>
        <v>0</v>
      </c>
      <c r="R6">
        <f>IF(AND(SUM(VLOOKUP($A6,'20Trips'!$A$3:$F$22,2,FALSE),VLOOKUP(R$1,'20Trips'!$A$3:$F$22,2,FALSE))&lt;='20Trips'!$AC$38,$A6&lt;&gt;R$1,feasible_mat!R6=1),(VLOOKUP(R$1,'20Trips'!$A$3:$I$22,8,FALSE))-(VLOOKUP($A6,'20Trips'!$A$3:$I$22,9,FALSE)),0)</f>
        <v>0</v>
      </c>
      <c r="S6">
        <f>IF(AND(SUM(VLOOKUP($A6,'20Trips'!$A$3:$F$22,2,FALSE),VLOOKUP(S$1,'20Trips'!$A$3:$F$22,2,FALSE))&lt;='20Trips'!$AC$38,$A6&lt;&gt;S$1,feasible_mat!S6=1),(VLOOKUP(S$1,'20Trips'!$A$3:$I$22,8,FALSE))-(VLOOKUP($A6,'20Trips'!$A$3:$I$22,9,FALSE)),0)</f>
        <v>0</v>
      </c>
      <c r="T6">
        <f>IF(AND(SUM(VLOOKUP($A6,'20Trips'!$A$3:$F$22,2,FALSE),VLOOKUP(T$1,'20Trips'!$A$3:$F$22,2,FALSE))&lt;='20Trips'!$AC$38,$A6&lt;&gt;T$1,feasible_mat!T6=1),(VLOOKUP(T$1,'20Trips'!$A$3:$I$22,8,FALSE))-(VLOOKUP($A6,'20Trips'!$A$3:$I$22,9,FALSE)),0)</f>
        <v>0</v>
      </c>
      <c r="U6">
        <f>IF(AND(SUM(VLOOKUP($A6,'20Trips'!$A$3:$F$22,2,FALSE),VLOOKUP(U$1,'20Trips'!$A$3:$F$22,2,FALSE))&lt;='20Trips'!$AC$38,$A6&lt;&gt;U$1,feasible_mat!U6=1),(VLOOKUP(U$1,'20Trips'!$A$3:$I$22,8,FALSE))-(VLOOKUP($A6,'20Trips'!$A$3:$I$22,9,FALSE)),0)</f>
        <v>0</v>
      </c>
      <c r="V6">
        <f>IF(AND(SUM(VLOOKUP($A6,'20Trips'!$A$3:$F$22,2,FALSE),VLOOKUP(V$1,'20Trips'!$A$3:$F$22,2,FALSE))&lt;='20Trips'!$AC$38,$A6&lt;&gt;V$1,feasible_mat!V6=1),(VLOOKUP(V$1,'20Trips'!$A$3:$I$22,8,FALSE))-(VLOOKUP($A6,'20Trips'!$A$3:$I$22,9,FALSE)),0)</f>
        <v>0</v>
      </c>
      <c r="Z6" s="16" t="e">
        <f>AND(SUM(VLOOKUP($A8,'20Trips'!$A$3:$F$22,2,FALSE),VLOOKUP(#REF!,'20Trips'!$A$3:$F$22,2,FALSE))&lt;'20Trips'!$AC$38,$A8&lt;&gt;#REF!,feasible_mat!#REF!=1)</f>
        <v>#REF!</v>
      </c>
    </row>
    <row r="7" spans="1:26" x14ac:dyDescent="0.25">
      <c r="A7" t="s">
        <v>12</v>
      </c>
      <c r="B7">
        <v>0</v>
      </c>
      <c r="C7">
        <f>IF(AND(SUM(VLOOKUP($A7,'20Trips'!$A$3:$F$22,2,FALSE),VLOOKUP(C$1,'20Trips'!$A$3:$F$22,2,FALSE))&lt;='20Trips'!$AC$38,$A7&lt;&gt;C$1,feasible_mat!C7=1),(VLOOKUP(C$1,'20Trips'!$A$3:$I$22,8,FALSE))-(VLOOKUP($A7,'20Trips'!$A$3:$I$22,9,FALSE)),0)</f>
        <v>0</v>
      </c>
      <c r="D7">
        <f>IF(AND(SUM(VLOOKUP($A7,'20Trips'!$A$3:$F$22,2,FALSE),VLOOKUP(D$1,'20Trips'!$A$3:$F$22,2,FALSE))&lt;='20Trips'!$AC$38,$A7&lt;&gt;D$1,feasible_mat!D7=1),(VLOOKUP(D$1,'20Trips'!$A$3:$I$22,8,FALSE))-(VLOOKUP($A7,'20Trips'!$A$3:$I$22,9,FALSE)),0)</f>
        <v>0</v>
      </c>
      <c r="E7">
        <f>IF(AND(SUM(VLOOKUP($A7,'20Trips'!$A$3:$F$22,2,FALSE),VLOOKUP(E$1,'20Trips'!$A$3:$F$22,2,FALSE))&lt;='20Trips'!$AC$38,$A7&lt;&gt;E$1,feasible_mat!E7=1),(VLOOKUP(E$1,'20Trips'!$A$3:$I$22,8,FALSE))-(VLOOKUP($A7,'20Trips'!$A$3:$I$22,9,FALSE)),0)</f>
        <v>0</v>
      </c>
      <c r="F7">
        <f>IF(AND(SUM(VLOOKUP($A7,'20Trips'!$A$3:$F$22,2,FALSE),VLOOKUP(F$1,'20Trips'!$A$3:$F$22,2,FALSE))&lt;='20Trips'!$AC$38,$A7&lt;&gt;F$1,feasible_mat!F7=1),(VLOOKUP(F$1,'20Trips'!$A$3:$I$22,8,FALSE))-(VLOOKUP($A7,'20Trips'!$A$3:$I$22,9,FALSE)),0)</f>
        <v>0</v>
      </c>
      <c r="G7">
        <f>IF(AND(SUM(VLOOKUP($A7,'20Trips'!$A$3:$F$22,2,FALSE),VLOOKUP(G$1,'20Trips'!$A$3:$F$22,2,FALSE))&lt;='20Trips'!$AC$38,$A7&lt;&gt;G$1,feasible_mat!G7=1),(VLOOKUP(G$1,'20Trips'!$A$3:$I$22,8,FALSE))-(VLOOKUP($A7,'20Trips'!$A$3:$I$22,9,FALSE)),0)</f>
        <v>0</v>
      </c>
      <c r="H7">
        <f>IF(AND(SUM(VLOOKUP($A7,'20Trips'!$A$3:$F$22,2,FALSE),VLOOKUP(H$1,'20Trips'!$A$3:$F$22,2,FALSE))&lt;='20Trips'!$AC$38,$A7&lt;&gt;H$1,feasible_mat!H7=1),(VLOOKUP(H$1,'20Trips'!$A$3:$I$22,8,FALSE))-(VLOOKUP($A7,'20Trips'!$A$3:$I$22,9,FALSE)),0)</f>
        <v>0</v>
      </c>
      <c r="I7">
        <f>IF(AND(SUM(VLOOKUP($A7,'20Trips'!$A$3:$F$22,2,FALSE),VLOOKUP(I$1,'20Trips'!$A$3:$F$22,2,FALSE))&lt;='20Trips'!$AC$38,$A7&lt;&gt;I$1,feasible_mat!I7=1),(VLOOKUP(I$1,'20Trips'!$A$3:$I$22,8,FALSE))-(VLOOKUP($A7,'20Trips'!$A$3:$I$22,9,FALSE)),0)</f>
        <v>0</v>
      </c>
      <c r="J7">
        <f>IF(AND(SUM(VLOOKUP($A7,'20Trips'!$A$3:$F$22,2,FALSE),VLOOKUP(J$1,'20Trips'!$A$3:$F$22,2,FALSE))&lt;='20Trips'!$AC$38,$A7&lt;&gt;J$1,feasible_mat!J7=1),(VLOOKUP(J$1,'20Trips'!$A$3:$I$22,8,FALSE))-(VLOOKUP($A7,'20Trips'!$A$3:$I$22,9,FALSE)),0)</f>
        <v>0</v>
      </c>
      <c r="K7">
        <f>IF(AND(SUM(VLOOKUP($A7,'20Trips'!$A$3:$F$22,2,FALSE),VLOOKUP(K$1,'20Trips'!$A$3:$F$22,2,FALSE))&lt;='20Trips'!$AC$38,$A7&lt;&gt;K$1,feasible_mat!K7=1),(VLOOKUP(K$1,'20Trips'!$A$3:$I$22,8,FALSE))-(VLOOKUP($A7,'20Trips'!$A$3:$I$22,9,FALSE)),0)</f>
        <v>40</v>
      </c>
      <c r="L7">
        <f>IF(AND(SUM(VLOOKUP($A7,'20Trips'!$A$3:$F$22,2,FALSE),VLOOKUP(L$1,'20Trips'!$A$3:$F$22,2,FALSE))&lt;='20Trips'!$AC$38,$A7&lt;&gt;L$1,feasible_mat!L7=1),(VLOOKUP(L$1,'20Trips'!$A$3:$I$22,8,FALSE))-(VLOOKUP($A7,'20Trips'!$A$3:$I$22,9,FALSE)),0)</f>
        <v>100</v>
      </c>
      <c r="M7">
        <f>IF(AND(SUM(VLOOKUP($A7,'20Trips'!$A$3:$F$22,2,FALSE),VLOOKUP(M$1,'20Trips'!$A$3:$F$22,2,FALSE))&lt;='20Trips'!$AC$38,$A7&lt;&gt;M$1,feasible_mat!M7=1),(VLOOKUP(M$1,'20Trips'!$A$3:$I$22,8,FALSE))-(VLOOKUP($A7,'20Trips'!$A$3:$I$22,9,FALSE)),0)</f>
        <v>0</v>
      </c>
      <c r="N7">
        <f>IF(AND(SUM(VLOOKUP($A7,'20Trips'!$A$3:$F$22,2,FALSE),VLOOKUP(N$1,'20Trips'!$A$3:$F$22,2,FALSE))&lt;='20Trips'!$AC$38,$A7&lt;&gt;N$1,feasible_mat!N7=1),(VLOOKUP(N$1,'20Trips'!$A$3:$I$22,8,FALSE))-(VLOOKUP($A7,'20Trips'!$A$3:$I$22,9,FALSE)),0)</f>
        <v>0</v>
      </c>
      <c r="O7">
        <f>IF(AND(SUM(VLOOKUP($A7,'20Trips'!$A$3:$F$22,2,FALSE),VLOOKUP(O$1,'20Trips'!$A$3:$F$22,2,FALSE))&lt;='20Trips'!$AC$38,$A7&lt;&gt;O$1,feasible_mat!O7=1),(VLOOKUP(O$1,'20Trips'!$A$3:$I$22,8,FALSE))-(VLOOKUP($A7,'20Trips'!$A$3:$I$22,9,FALSE)),0)</f>
        <v>0</v>
      </c>
      <c r="P7">
        <f>IF(AND(SUM(VLOOKUP($A7,'20Trips'!$A$3:$F$22,2,FALSE),VLOOKUP(P$1,'20Trips'!$A$3:$F$22,2,FALSE))&lt;='20Trips'!$AC$38,$A7&lt;&gt;P$1,feasible_mat!P7=1),(VLOOKUP(P$1,'20Trips'!$A$3:$I$22,8,FALSE))-(VLOOKUP($A7,'20Trips'!$A$3:$I$22,9,FALSE)),0)</f>
        <v>0</v>
      </c>
      <c r="Q7">
        <f>IF(AND(SUM(VLOOKUP($A7,'20Trips'!$A$3:$F$22,2,FALSE),VLOOKUP(Q$1,'20Trips'!$A$3:$F$22,2,FALSE))&lt;='20Trips'!$AC$38,$A7&lt;&gt;Q$1,feasible_mat!Q7=1),(VLOOKUP(Q$1,'20Trips'!$A$3:$I$22,8,FALSE))-(VLOOKUP($A7,'20Trips'!$A$3:$I$22,9,FALSE)),0)</f>
        <v>0</v>
      </c>
      <c r="R7">
        <f>IF(AND(SUM(VLOOKUP($A7,'20Trips'!$A$3:$F$22,2,FALSE),VLOOKUP(R$1,'20Trips'!$A$3:$F$22,2,FALSE))&lt;='20Trips'!$AC$38,$A7&lt;&gt;R$1,feasible_mat!R7=1),(VLOOKUP(R$1,'20Trips'!$A$3:$I$22,8,FALSE))-(VLOOKUP($A7,'20Trips'!$A$3:$I$22,9,FALSE)),0)</f>
        <v>0</v>
      </c>
      <c r="S7">
        <f>IF(AND(SUM(VLOOKUP($A7,'20Trips'!$A$3:$F$22,2,FALSE),VLOOKUP(S$1,'20Trips'!$A$3:$F$22,2,FALSE))&lt;='20Trips'!$AC$38,$A7&lt;&gt;S$1,feasible_mat!S7=1),(VLOOKUP(S$1,'20Trips'!$A$3:$I$22,8,FALSE))-(VLOOKUP($A7,'20Trips'!$A$3:$I$22,9,FALSE)),0)</f>
        <v>0</v>
      </c>
      <c r="T7">
        <f>IF(AND(SUM(VLOOKUP($A7,'20Trips'!$A$3:$F$22,2,FALSE),VLOOKUP(T$1,'20Trips'!$A$3:$F$22,2,FALSE))&lt;='20Trips'!$AC$38,$A7&lt;&gt;T$1,feasible_mat!T7=1),(VLOOKUP(T$1,'20Trips'!$A$3:$I$22,8,FALSE))-(VLOOKUP($A7,'20Trips'!$A$3:$I$22,9,FALSE)),0)</f>
        <v>0</v>
      </c>
      <c r="U7">
        <f>IF(AND(SUM(VLOOKUP($A7,'20Trips'!$A$3:$F$22,2,FALSE),VLOOKUP(U$1,'20Trips'!$A$3:$F$22,2,FALSE))&lt;='20Trips'!$AC$38,$A7&lt;&gt;U$1,feasible_mat!U7=1),(VLOOKUP(U$1,'20Trips'!$A$3:$I$22,8,FALSE))-(VLOOKUP($A7,'20Trips'!$A$3:$I$22,9,FALSE)),0)</f>
        <v>0</v>
      </c>
      <c r="V7">
        <f>IF(AND(SUM(VLOOKUP($A7,'20Trips'!$A$3:$F$22,2,FALSE),VLOOKUP(V$1,'20Trips'!$A$3:$F$22,2,FALSE))&lt;='20Trips'!$AC$38,$A7&lt;&gt;V$1,feasible_mat!V7=1),(VLOOKUP(V$1,'20Trips'!$A$3:$I$22,8,FALSE))-(VLOOKUP($A7,'20Trips'!$A$3:$I$22,9,FALSE)),0)</f>
        <v>0</v>
      </c>
      <c r="Z7" s="16" t="e">
        <f>VLOOKUP(#REF!,'20Trips'!$A$3:$F$22,2,FALSE)</f>
        <v>#REF!</v>
      </c>
    </row>
    <row r="8" spans="1:26" x14ac:dyDescent="0.25">
      <c r="A8" t="s">
        <v>18</v>
      </c>
      <c r="B8">
        <v>0</v>
      </c>
      <c r="C8">
        <f>IF(AND(SUM(VLOOKUP($A8,'20Trips'!$A$3:$F$22,2,FALSE),VLOOKUP(C$1,'20Trips'!$A$3:$F$22,2,FALSE))&lt;='20Trips'!$AC$38,$A8&lt;&gt;C$1,feasible_mat!C8=1),(VLOOKUP(C$1,'20Trips'!$A$3:$I$22,8,FALSE))-(VLOOKUP($A8,'20Trips'!$A$3:$I$22,9,FALSE)),0)</f>
        <v>0</v>
      </c>
      <c r="D8">
        <f>IF(AND(SUM(VLOOKUP($A8,'20Trips'!$A$3:$F$22,2,FALSE),VLOOKUP(D$1,'20Trips'!$A$3:$F$22,2,FALSE))&lt;='20Trips'!$AC$38,$A8&lt;&gt;D$1,feasible_mat!D8=1),(VLOOKUP(D$1,'20Trips'!$A$3:$I$22,8,FALSE))-(VLOOKUP($A8,'20Trips'!$A$3:$I$22,9,FALSE)),0)</f>
        <v>45</v>
      </c>
      <c r="E8">
        <f>IF(AND(SUM(VLOOKUP($A8,'20Trips'!$A$3:$F$22,2,FALSE),VLOOKUP(E$1,'20Trips'!$A$3:$F$22,2,FALSE))&lt;='20Trips'!$AC$38,$A8&lt;&gt;E$1,feasible_mat!E8=1),(VLOOKUP(E$1,'20Trips'!$A$3:$I$22,8,FALSE))-(VLOOKUP($A8,'20Trips'!$A$3:$I$22,9,FALSE)),0)</f>
        <v>135</v>
      </c>
      <c r="F8">
        <f>IF(AND(SUM(VLOOKUP($A8,'20Trips'!$A$3:$F$22,2,FALSE),VLOOKUP(F$1,'20Trips'!$A$3:$F$22,2,FALSE))&lt;='20Trips'!$AC$38,$A8&lt;&gt;F$1,feasible_mat!F8=1),(VLOOKUP(F$1,'20Trips'!$A$3:$I$22,8,FALSE))-(VLOOKUP($A8,'20Trips'!$A$3:$I$22,9,FALSE)),0)</f>
        <v>225</v>
      </c>
      <c r="G8">
        <f>IF(AND(SUM(VLOOKUP($A8,'20Trips'!$A$3:$F$22,2,FALSE),VLOOKUP(G$1,'20Trips'!$A$3:$F$22,2,FALSE))&lt;='20Trips'!$AC$38,$A8&lt;&gt;G$1,feasible_mat!G8=1),(VLOOKUP(G$1,'20Trips'!$A$3:$I$22,8,FALSE))-(VLOOKUP($A8,'20Trips'!$A$3:$I$22,9,FALSE)),0)</f>
        <v>285</v>
      </c>
      <c r="H8">
        <f>IF(AND(SUM(VLOOKUP($A8,'20Trips'!$A$3:$F$22,2,FALSE),VLOOKUP(H$1,'20Trips'!$A$3:$F$22,2,FALSE))&lt;='20Trips'!$AC$38,$A8&lt;&gt;H$1,feasible_mat!H8=1),(VLOOKUP(H$1,'20Trips'!$A$3:$I$22,8,FALSE))-(VLOOKUP($A8,'20Trips'!$A$3:$I$22,9,FALSE)),0)</f>
        <v>0</v>
      </c>
      <c r="I8">
        <f>IF(AND(SUM(VLOOKUP($A8,'20Trips'!$A$3:$F$22,2,FALSE),VLOOKUP(I$1,'20Trips'!$A$3:$F$22,2,FALSE))&lt;='20Trips'!$AC$38,$A8&lt;&gt;I$1,feasible_mat!I8=1),(VLOOKUP(I$1,'20Trips'!$A$3:$I$22,8,FALSE))-(VLOOKUP($A8,'20Trips'!$A$3:$I$22,9,FALSE)),0)</f>
        <v>0</v>
      </c>
      <c r="J8">
        <f>IF(AND(SUM(VLOOKUP($A8,'20Trips'!$A$3:$F$22,2,FALSE),VLOOKUP(J$1,'20Trips'!$A$3:$F$22,2,FALSE))&lt;='20Trips'!$AC$38,$A8&lt;&gt;J$1,feasible_mat!J8=1),(VLOOKUP(J$1,'20Trips'!$A$3:$I$22,8,FALSE))-(VLOOKUP($A8,'20Trips'!$A$3:$I$22,9,FALSE)),0)</f>
        <v>100</v>
      </c>
      <c r="K8">
        <f>IF(AND(SUM(VLOOKUP($A8,'20Trips'!$A$3:$F$22,2,FALSE),VLOOKUP(K$1,'20Trips'!$A$3:$F$22,2,FALSE))&lt;='20Trips'!$AC$38,$A8&lt;&gt;K$1,feasible_mat!K8=1),(VLOOKUP(K$1,'20Trips'!$A$3:$I$22,8,FALSE))-(VLOOKUP($A8,'20Trips'!$A$3:$I$22,9,FALSE)),0)</f>
        <v>460</v>
      </c>
      <c r="L8">
        <f>IF(AND(SUM(VLOOKUP($A8,'20Trips'!$A$3:$F$22,2,FALSE),VLOOKUP(L$1,'20Trips'!$A$3:$F$22,2,FALSE))&lt;='20Trips'!$AC$38,$A8&lt;&gt;L$1,feasible_mat!L8=1),(VLOOKUP(L$1,'20Trips'!$A$3:$I$22,8,FALSE))-(VLOOKUP($A8,'20Trips'!$A$3:$I$22,9,FALSE)),0)</f>
        <v>520</v>
      </c>
      <c r="M8">
        <f>IF(AND(SUM(VLOOKUP($A8,'20Trips'!$A$3:$F$22,2,FALSE),VLOOKUP(M$1,'20Trips'!$A$3:$F$22,2,FALSE))&lt;='20Trips'!$AC$38,$A8&lt;&gt;M$1,feasible_mat!M8=1),(VLOOKUP(M$1,'20Trips'!$A$3:$I$22,8,FALSE))-(VLOOKUP($A8,'20Trips'!$A$3:$I$22,9,FALSE)),0)</f>
        <v>0</v>
      </c>
      <c r="N8">
        <f>IF(AND(SUM(VLOOKUP($A8,'20Trips'!$A$3:$F$22,2,FALSE),VLOOKUP(N$1,'20Trips'!$A$3:$F$22,2,FALSE))&lt;='20Trips'!$AC$38,$A8&lt;&gt;N$1,feasible_mat!N8=1),(VLOOKUP(N$1,'20Trips'!$A$3:$I$22,8,FALSE))-(VLOOKUP($A8,'20Trips'!$A$3:$I$22,9,FALSE)),0)</f>
        <v>0</v>
      </c>
      <c r="O8">
        <f>IF(AND(SUM(VLOOKUP($A8,'20Trips'!$A$3:$F$22,2,FALSE),VLOOKUP(O$1,'20Trips'!$A$3:$F$22,2,FALSE))&lt;='20Trips'!$AC$38,$A8&lt;&gt;O$1,feasible_mat!O8=1),(VLOOKUP(O$1,'20Trips'!$A$3:$I$22,8,FALSE))-(VLOOKUP($A8,'20Trips'!$A$3:$I$22,9,FALSE)),0)</f>
        <v>25</v>
      </c>
      <c r="P8">
        <f>IF(AND(SUM(VLOOKUP($A8,'20Trips'!$A$3:$F$22,2,FALSE),VLOOKUP(P$1,'20Trips'!$A$3:$F$22,2,FALSE))&lt;='20Trips'!$AC$38,$A8&lt;&gt;P$1,feasible_mat!P8=1),(VLOOKUP(P$1,'20Trips'!$A$3:$I$22,8,FALSE))-(VLOOKUP($A8,'20Trips'!$A$3:$I$22,9,FALSE)),0)</f>
        <v>115</v>
      </c>
      <c r="Q8">
        <f>IF(AND(SUM(VLOOKUP($A8,'20Trips'!$A$3:$F$22,2,FALSE),VLOOKUP(Q$1,'20Trips'!$A$3:$F$22,2,FALSE))&lt;='20Trips'!$AC$38,$A8&lt;&gt;Q$1,feasible_mat!Q8=1),(VLOOKUP(Q$1,'20Trips'!$A$3:$I$22,8,FALSE))-(VLOOKUP($A8,'20Trips'!$A$3:$I$22,9,FALSE)),0)</f>
        <v>205</v>
      </c>
      <c r="R8">
        <f>IF(AND(SUM(VLOOKUP($A8,'20Trips'!$A$3:$F$22,2,FALSE),VLOOKUP(R$1,'20Trips'!$A$3:$F$22,2,FALSE))&lt;='20Trips'!$AC$38,$A8&lt;&gt;R$1,feasible_mat!R8=1),(VLOOKUP(R$1,'20Trips'!$A$3:$I$22,8,FALSE))-(VLOOKUP($A8,'20Trips'!$A$3:$I$22,9,FALSE)),0)</f>
        <v>0</v>
      </c>
      <c r="S8">
        <f>IF(AND(SUM(VLOOKUP($A8,'20Trips'!$A$3:$F$22,2,FALSE),VLOOKUP(S$1,'20Trips'!$A$3:$F$22,2,FALSE))&lt;='20Trips'!$AC$38,$A8&lt;&gt;S$1,feasible_mat!S8=1),(VLOOKUP(S$1,'20Trips'!$A$3:$I$22,8,FALSE))-(VLOOKUP($A8,'20Trips'!$A$3:$I$22,9,FALSE)),0)</f>
        <v>45</v>
      </c>
      <c r="T8">
        <f>IF(AND(SUM(VLOOKUP($A8,'20Trips'!$A$3:$F$22,2,FALSE),VLOOKUP(T$1,'20Trips'!$A$3:$F$22,2,FALSE))&lt;='20Trips'!$AC$38,$A8&lt;&gt;T$1,feasible_mat!T8=1),(VLOOKUP(T$1,'20Trips'!$A$3:$I$22,8,FALSE))-(VLOOKUP($A8,'20Trips'!$A$3:$I$22,9,FALSE)),0)</f>
        <v>165</v>
      </c>
      <c r="U8">
        <f>IF(AND(SUM(VLOOKUP($A8,'20Trips'!$A$3:$F$22,2,FALSE),VLOOKUP(U$1,'20Trips'!$A$3:$F$22,2,FALSE))&lt;='20Trips'!$AC$38,$A8&lt;&gt;U$1,feasible_mat!U8=1),(VLOOKUP(U$1,'20Trips'!$A$3:$I$22,8,FALSE))-(VLOOKUP($A8,'20Trips'!$A$3:$I$22,9,FALSE)),0)</f>
        <v>225</v>
      </c>
      <c r="V8">
        <f>IF(AND(SUM(VLOOKUP($A8,'20Trips'!$A$3:$F$22,2,FALSE),VLOOKUP(V$1,'20Trips'!$A$3:$F$22,2,FALSE))&lt;='20Trips'!$AC$38,$A8&lt;&gt;V$1,feasible_mat!V8=1),(VLOOKUP(V$1,'20Trips'!$A$3:$I$22,8,FALSE))-(VLOOKUP($A8,'20Trips'!$A$3:$I$22,9,FALSE)),0)</f>
        <v>345</v>
      </c>
      <c r="Z8" s="16" t="e">
        <f>feasible_mat!#REF!=1</f>
        <v>#REF!</v>
      </c>
    </row>
    <row r="9" spans="1:26" x14ac:dyDescent="0.25">
      <c r="A9" t="s">
        <v>20</v>
      </c>
      <c r="B9">
        <v>0</v>
      </c>
      <c r="C9">
        <f>IF(AND(SUM(VLOOKUP($A9,'20Trips'!$A$3:$F$22,2,FALSE),VLOOKUP(C$1,'20Trips'!$A$3:$F$22,2,FALSE))&lt;='20Trips'!$AC$38,$A9&lt;&gt;C$1,feasible_mat!C9=1),(VLOOKUP(C$1,'20Trips'!$A$3:$I$22,8,FALSE))-(VLOOKUP($A9,'20Trips'!$A$3:$I$22,9,FALSE)),0)</f>
        <v>0</v>
      </c>
      <c r="D9">
        <f>IF(AND(SUM(VLOOKUP($A9,'20Trips'!$A$3:$F$22,2,FALSE),VLOOKUP(D$1,'20Trips'!$A$3:$F$22,2,FALSE))&lt;='20Trips'!$AC$38,$A9&lt;&gt;D$1,feasible_mat!D9=1),(VLOOKUP(D$1,'20Trips'!$A$3:$I$22,8,FALSE))-(VLOOKUP($A9,'20Trips'!$A$3:$I$22,9,FALSE)),0)</f>
        <v>0</v>
      </c>
      <c r="E9">
        <f>IF(AND(SUM(VLOOKUP($A9,'20Trips'!$A$3:$F$22,2,FALSE),VLOOKUP(E$1,'20Trips'!$A$3:$F$22,2,FALSE))&lt;='20Trips'!$AC$38,$A9&lt;&gt;E$1,feasible_mat!E9=1),(VLOOKUP(E$1,'20Trips'!$A$3:$I$22,8,FALSE))-(VLOOKUP($A9,'20Trips'!$A$3:$I$22,9,FALSE)),0)</f>
        <v>15</v>
      </c>
      <c r="F9">
        <f>IF(AND(SUM(VLOOKUP($A9,'20Trips'!$A$3:$F$22,2,FALSE),VLOOKUP(F$1,'20Trips'!$A$3:$F$22,2,FALSE))&lt;='20Trips'!$AC$38,$A9&lt;&gt;F$1,feasible_mat!F9=1),(VLOOKUP(F$1,'20Trips'!$A$3:$I$22,8,FALSE))-(VLOOKUP($A9,'20Trips'!$A$3:$I$22,9,FALSE)),0)</f>
        <v>105</v>
      </c>
      <c r="G9">
        <f>IF(AND(SUM(VLOOKUP($A9,'20Trips'!$A$3:$F$22,2,FALSE),VLOOKUP(G$1,'20Trips'!$A$3:$F$22,2,FALSE))&lt;='20Trips'!$AC$38,$A9&lt;&gt;G$1,feasible_mat!G9=1),(VLOOKUP(G$1,'20Trips'!$A$3:$I$22,8,FALSE))-(VLOOKUP($A9,'20Trips'!$A$3:$I$22,9,FALSE)),0)</f>
        <v>165</v>
      </c>
      <c r="H9">
        <f>IF(AND(SUM(VLOOKUP($A9,'20Trips'!$A$3:$F$22,2,FALSE),VLOOKUP(H$1,'20Trips'!$A$3:$F$22,2,FALSE))&lt;='20Trips'!$AC$38,$A9&lt;&gt;H$1,feasible_mat!H9=1),(VLOOKUP(H$1,'20Trips'!$A$3:$I$22,8,FALSE))-(VLOOKUP($A9,'20Trips'!$A$3:$I$22,9,FALSE)),0)</f>
        <v>0</v>
      </c>
      <c r="I9">
        <f>IF(AND(SUM(VLOOKUP($A9,'20Trips'!$A$3:$F$22,2,FALSE),VLOOKUP(I$1,'20Trips'!$A$3:$F$22,2,FALSE))&lt;='20Trips'!$AC$38,$A9&lt;&gt;I$1,feasible_mat!I9=1),(VLOOKUP(I$1,'20Trips'!$A$3:$I$22,8,FALSE))-(VLOOKUP($A9,'20Trips'!$A$3:$I$22,9,FALSE)),0)</f>
        <v>0</v>
      </c>
      <c r="J9">
        <f>IF(AND(SUM(VLOOKUP($A9,'20Trips'!$A$3:$F$22,2,FALSE),VLOOKUP(J$1,'20Trips'!$A$3:$F$22,2,FALSE))&lt;='20Trips'!$AC$38,$A9&lt;&gt;J$1,feasible_mat!J9=1),(VLOOKUP(J$1,'20Trips'!$A$3:$I$22,8,FALSE))-(VLOOKUP($A9,'20Trips'!$A$3:$I$22,9,FALSE)),0)</f>
        <v>0</v>
      </c>
      <c r="K9">
        <f>IF(AND(SUM(VLOOKUP($A9,'20Trips'!$A$3:$F$22,2,FALSE),VLOOKUP(K$1,'20Trips'!$A$3:$F$22,2,FALSE))&lt;='20Trips'!$AC$38,$A9&lt;&gt;K$1,feasible_mat!K9=1),(VLOOKUP(K$1,'20Trips'!$A$3:$I$22,8,FALSE))-(VLOOKUP($A9,'20Trips'!$A$3:$I$22,9,FALSE)),0)</f>
        <v>340</v>
      </c>
      <c r="L9">
        <f>IF(AND(SUM(VLOOKUP($A9,'20Trips'!$A$3:$F$22,2,FALSE),VLOOKUP(L$1,'20Trips'!$A$3:$F$22,2,FALSE))&lt;='20Trips'!$AC$38,$A9&lt;&gt;L$1,feasible_mat!L9=1),(VLOOKUP(L$1,'20Trips'!$A$3:$I$22,8,FALSE))-(VLOOKUP($A9,'20Trips'!$A$3:$I$22,9,FALSE)),0)</f>
        <v>400</v>
      </c>
      <c r="M9">
        <f>IF(AND(SUM(VLOOKUP($A9,'20Trips'!$A$3:$F$22,2,FALSE),VLOOKUP(M$1,'20Trips'!$A$3:$F$22,2,FALSE))&lt;='20Trips'!$AC$38,$A9&lt;&gt;M$1,feasible_mat!M9=1),(VLOOKUP(M$1,'20Trips'!$A$3:$I$22,8,FALSE))-(VLOOKUP($A9,'20Trips'!$A$3:$I$22,9,FALSE)),0)</f>
        <v>0</v>
      </c>
      <c r="N9">
        <f>IF(AND(SUM(VLOOKUP($A9,'20Trips'!$A$3:$F$22,2,FALSE),VLOOKUP(N$1,'20Trips'!$A$3:$F$22,2,FALSE))&lt;='20Trips'!$AC$38,$A9&lt;&gt;N$1,feasible_mat!N9=1),(VLOOKUP(N$1,'20Trips'!$A$3:$I$22,8,FALSE))-(VLOOKUP($A9,'20Trips'!$A$3:$I$22,9,FALSE)),0)</f>
        <v>0</v>
      </c>
      <c r="O9">
        <f>IF(AND(SUM(VLOOKUP($A9,'20Trips'!$A$3:$F$22,2,FALSE),VLOOKUP(O$1,'20Trips'!$A$3:$F$22,2,FALSE))&lt;='20Trips'!$AC$38,$A9&lt;&gt;O$1,feasible_mat!O9=1),(VLOOKUP(O$1,'20Trips'!$A$3:$I$22,8,FALSE))-(VLOOKUP($A9,'20Trips'!$A$3:$I$22,9,FALSE)),0)</f>
        <v>0</v>
      </c>
      <c r="P9">
        <f>IF(AND(SUM(VLOOKUP($A9,'20Trips'!$A$3:$F$22,2,FALSE),VLOOKUP(P$1,'20Trips'!$A$3:$F$22,2,FALSE))&lt;='20Trips'!$AC$38,$A9&lt;&gt;P$1,feasible_mat!P9=1),(VLOOKUP(P$1,'20Trips'!$A$3:$I$22,8,FALSE))-(VLOOKUP($A9,'20Trips'!$A$3:$I$22,9,FALSE)),0)</f>
        <v>0</v>
      </c>
      <c r="Q9">
        <f>IF(AND(SUM(VLOOKUP($A9,'20Trips'!$A$3:$F$22,2,FALSE),VLOOKUP(Q$1,'20Trips'!$A$3:$F$22,2,FALSE))&lt;='20Trips'!$AC$38,$A9&lt;&gt;Q$1,feasible_mat!Q9=1),(VLOOKUP(Q$1,'20Trips'!$A$3:$I$22,8,FALSE))-(VLOOKUP($A9,'20Trips'!$A$3:$I$22,9,FALSE)),0)</f>
        <v>85</v>
      </c>
      <c r="R9">
        <f>IF(AND(SUM(VLOOKUP($A9,'20Trips'!$A$3:$F$22,2,FALSE),VLOOKUP(R$1,'20Trips'!$A$3:$F$22,2,FALSE))&lt;='20Trips'!$AC$38,$A9&lt;&gt;R$1,feasible_mat!R9=1),(VLOOKUP(R$1,'20Trips'!$A$3:$I$22,8,FALSE))-(VLOOKUP($A9,'20Trips'!$A$3:$I$22,9,FALSE)),0)</f>
        <v>0</v>
      </c>
      <c r="S9">
        <f>IF(AND(SUM(VLOOKUP($A9,'20Trips'!$A$3:$F$22,2,FALSE),VLOOKUP(S$1,'20Trips'!$A$3:$F$22,2,FALSE))&lt;='20Trips'!$AC$38,$A9&lt;&gt;S$1,feasible_mat!S9=1),(VLOOKUP(S$1,'20Trips'!$A$3:$I$22,8,FALSE))-(VLOOKUP($A9,'20Trips'!$A$3:$I$22,9,FALSE)),0)</f>
        <v>0</v>
      </c>
      <c r="T9">
        <f>IF(AND(SUM(VLOOKUP($A9,'20Trips'!$A$3:$F$22,2,FALSE),VLOOKUP(T$1,'20Trips'!$A$3:$F$22,2,FALSE))&lt;='20Trips'!$AC$38,$A9&lt;&gt;T$1,feasible_mat!T9=1),(VLOOKUP(T$1,'20Trips'!$A$3:$I$22,8,FALSE))-(VLOOKUP($A9,'20Trips'!$A$3:$I$22,9,FALSE)),0)</f>
        <v>45</v>
      </c>
      <c r="U9">
        <f>IF(AND(SUM(VLOOKUP($A9,'20Trips'!$A$3:$F$22,2,FALSE),VLOOKUP(U$1,'20Trips'!$A$3:$F$22,2,FALSE))&lt;='20Trips'!$AC$38,$A9&lt;&gt;U$1,feasible_mat!U9=1),(VLOOKUP(U$1,'20Trips'!$A$3:$I$22,8,FALSE))-(VLOOKUP($A9,'20Trips'!$A$3:$I$22,9,FALSE)),0)</f>
        <v>105</v>
      </c>
      <c r="V9">
        <f>IF(AND(SUM(VLOOKUP($A9,'20Trips'!$A$3:$F$22,2,FALSE),VLOOKUP(V$1,'20Trips'!$A$3:$F$22,2,FALSE))&lt;='20Trips'!$AC$38,$A9&lt;&gt;V$1,feasible_mat!V9=1),(VLOOKUP(V$1,'20Trips'!$A$3:$I$22,8,FALSE))-(VLOOKUP($A9,'20Trips'!$A$3:$I$22,9,FALSE)),0)</f>
        <v>225</v>
      </c>
      <c r="Z9" s="16" t="s">
        <v>58</v>
      </c>
    </row>
    <row r="10" spans="1:26" x14ac:dyDescent="0.25">
      <c r="A10" t="s">
        <v>21</v>
      </c>
      <c r="B10">
        <v>0</v>
      </c>
      <c r="C10">
        <f>IF(AND(SUM(VLOOKUP($A10,'20Trips'!$A$3:$F$22,2,FALSE),VLOOKUP(C$1,'20Trips'!$A$3:$F$22,2,FALSE))&lt;='20Trips'!$AC$38,$A10&lt;&gt;C$1,feasible_mat!C10=1),(VLOOKUP(C$1,'20Trips'!$A$3:$I$22,8,FALSE))-(VLOOKUP($A10,'20Trips'!$A$3:$I$22,9,FALSE)),0)</f>
        <v>0</v>
      </c>
      <c r="D10">
        <f>IF(AND(SUM(VLOOKUP($A10,'20Trips'!$A$3:$F$22,2,FALSE),VLOOKUP(D$1,'20Trips'!$A$3:$F$22,2,FALSE))&lt;='20Trips'!$AC$38,$A10&lt;&gt;D$1,feasible_mat!D10=1),(VLOOKUP(D$1,'20Trips'!$A$3:$I$22,8,FALSE))-(VLOOKUP($A10,'20Trips'!$A$3:$I$22,9,FALSE)),0)</f>
        <v>0</v>
      </c>
      <c r="E10">
        <f>IF(AND(SUM(VLOOKUP($A10,'20Trips'!$A$3:$F$22,2,FALSE),VLOOKUP(E$1,'20Trips'!$A$3:$F$22,2,FALSE))&lt;='20Trips'!$AC$38,$A10&lt;&gt;E$1,feasible_mat!E10=1),(VLOOKUP(E$1,'20Trips'!$A$3:$I$22,8,FALSE))-(VLOOKUP($A10,'20Trips'!$A$3:$I$22,9,FALSE)),0)</f>
        <v>0</v>
      </c>
      <c r="F10">
        <f>IF(AND(SUM(VLOOKUP($A10,'20Trips'!$A$3:$F$22,2,FALSE),VLOOKUP(F$1,'20Trips'!$A$3:$F$22,2,FALSE))&lt;='20Trips'!$AC$38,$A10&lt;&gt;F$1,feasible_mat!F10=1),(VLOOKUP(F$1,'20Trips'!$A$3:$I$22,8,FALSE))-(VLOOKUP($A10,'20Trips'!$A$3:$I$22,9,FALSE)),0)</f>
        <v>0</v>
      </c>
      <c r="G10">
        <f>IF(AND(SUM(VLOOKUP($A10,'20Trips'!$A$3:$F$22,2,FALSE),VLOOKUP(G$1,'20Trips'!$A$3:$F$22,2,FALSE))&lt;='20Trips'!$AC$38,$A10&lt;&gt;G$1,feasible_mat!G10=1),(VLOOKUP(G$1,'20Trips'!$A$3:$I$22,8,FALSE))-(VLOOKUP($A10,'20Trips'!$A$3:$I$22,9,FALSE)),0)</f>
        <v>45</v>
      </c>
      <c r="H10">
        <f>IF(AND(SUM(VLOOKUP($A10,'20Trips'!$A$3:$F$22,2,FALSE),VLOOKUP(H$1,'20Trips'!$A$3:$F$22,2,FALSE))&lt;='20Trips'!$AC$38,$A10&lt;&gt;H$1,feasible_mat!H10=1),(VLOOKUP(H$1,'20Trips'!$A$3:$I$22,8,FALSE))-(VLOOKUP($A10,'20Trips'!$A$3:$I$22,9,FALSE)),0)</f>
        <v>0</v>
      </c>
      <c r="I10">
        <f>IF(AND(SUM(VLOOKUP($A10,'20Trips'!$A$3:$F$22,2,FALSE),VLOOKUP(I$1,'20Trips'!$A$3:$F$22,2,FALSE))&lt;='20Trips'!$AC$38,$A10&lt;&gt;I$1,feasible_mat!I10=1),(VLOOKUP(I$1,'20Trips'!$A$3:$I$22,8,FALSE))-(VLOOKUP($A10,'20Trips'!$A$3:$I$22,9,FALSE)),0)</f>
        <v>0</v>
      </c>
      <c r="J10">
        <f>IF(AND(SUM(VLOOKUP($A10,'20Trips'!$A$3:$F$22,2,FALSE),VLOOKUP(J$1,'20Trips'!$A$3:$F$22,2,FALSE))&lt;='20Trips'!$AC$38,$A10&lt;&gt;J$1,feasible_mat!J10=1),(VLOOKUP(J$1,'20Trips'!$A$3:$I$22,8,FALSE))-(VLOOKUP($A10,'20Trips'!$A$3:$I$22,9,FALSE)),0)</f>
        <v>0</v>
      </c>
      <c r="K10">
        <f>IF(AND(SUM(VLOOKUP($A10,'20Trips'!$A$3:$F$22,2,FALSE),VLOOKUP(K$1,'20Trips'!$A$3:$F$22,2,FALSE))&lt;='20Trips'!$AC$38,$A10&lt;&gt;K$1,feasible_mat!K10=1),(VLOOKUP(K$1,'20Trips'!$A$3:$I$22,8,FALSE))-(VLOOKUP($A10,'20Trips'!$A$3:$I$22,9,FALSE)),0)</f>
        <v>220</v>
      </c>
      <c r="L10">
        <f>IF(AND(SUM(VLOOKUP($A10,'20Trips'!$A$3:$F$22,2,FALSE),VLOOKUP(L$1,'20Trips'!$A$3:$F$22,2,FALSE))&lt;='20Trips'!$AC$38,$A10&lt;&gt;L$1,feasible_mat!L10=1),(VLOOKUP(L$1,'20Trips'!$A$3:$I$22,8,FALSE))-(VLOOKUP($A10,'20Trips'!$A$3:$I$22,9,FALSE)),0)</f>
        <v>280</v>
      </c>
      <c r="M10">
        <f>IF(AND(SUM(VLOOKUP($A10,'20Trips'!$A$3:$F$22,2,FALSE),VLOOKUP(M$1,'20Trips'!$A$3:$F$22,2,FALSE))&lt;='20Trips'!$AC$38,$A10&lt;&gt;M$1,feasible_mat!M10=1),(VLOOKUP(M$1,'20Trips'!$A$3:$I$22,8,FALSE))-(VLOOKUP($A10,'20Trips'!$A$3:$I$22,9,FALSE)),0)</f>
        <v>0</v>
      </c>
      <c r="N10">
        <f>IF(AND(SUM(VLOOKUP($A10,'20Trips'!$A$3:$F$22,2,FALSE),VLOOKUP(N$1,'20Trips'!$A$3:$F$22,2,FALSE))&lt;='20Trips'!$AC$38,$A10&lt;&gt;N$1,feasible_mat!N10=1),(VLOOKUP(N$1,'20Trips'!$A$3:$I$22,8,FALSE))-(VLOOKUP($A10,'20Trips'!$A$3:$I$22,9,FALSE)),0)</f>
        <v>0</v>
      </c>
      <c r="O10">
        <f>IF(AND(SUM(VLOOKUP($A10,'20Trips'!$A$3:$F$22,2,FALSE),VLOOKUP(O$1,'20Trips'!$A$3:$F$22,2,FALSE))&lt;='20Trips'!$AC$38,$A10&lt;&gt;O$1,feasible_mat!O10=1),(VLOOKUP(O$1,'20Trips'!$A$3:$I$22,8,FALSE))-(VLOOKUP($A10,'20Trips'!$A$3:$I$22,9,FALSE)),0)</f>
        <v>0</v>
      </c>
      <c r="P10">
        <f>IF(AND(SUM(VLOOKUP($A10,'20Trips'!$A$3:$F$22,2,FALSE),VLOOKUP(P$1,'20Trips'!$A$3:$F$22,2,FALSE))&lt;='20Trips'!$AC$38,$A10&lt;&gt;P$1,feasible_mat!P10=1),(VLOOKUP(P$1,'20Trips'!$A$3:$I$22,8,FALSE))-(VLOOKUP($A10,'20Trips'!$A$3:$I$22,9,FALSE)),0)</f>
        <v>0</v>
      </c>
      <c r="Q10">
        <f>IF(AND(SUM(VLOOKUP($A10,'20Trips'!$A$3:$F$22,2,FALSE),VLOOKUP(Q$1,'20Trips'!$A$3:$F$22,2,FALSE))&lt;='20Trips'!$AC$38,$A10&lt;&gt;Q$1,feasible_mat!Q10=1),(VLOOKUP(Q$1,'20Trips'!$A$3:$I$22,8,FALSE))-(VLOOKUP($A10,'20Trips'!$A$3:$I$22,9,FALSE)),0)</f>
        <v>0</v>
      </c>
      <c r="R10">
        <f>IF(AND(SUM(VLOOKUP($A10,'20Trips'!$A$3:$F$22,2,FALSE),VLOOKUP(R$1,'20Trips'!$A$3:$F$22,2,FALSE))&lt;='20Trips'!$AC$38,$A10&lt;&gt;R$1,feasible_mat!R10=1),(VLOOKUP(R$1,'20Trips'!$A$3:$I$22,8,FALSE))-(VLOOKUP($A10,'20Trips'!$A$3:$I$22,9,FALSE)),0)</f>
        <v>0</v>
      </c>
      <c r="S10">
        <f>IF(AND(SUM(VLOOKUP($A10,'20Trips'!$A$3:$F$22,2,FALSE),VLOOKUP(S$1,'20Trips'!$A$3:$F$22,2,FALSE))&lt;='20Trips'!$AC$38,$A10&lt;&gt;S$1,feasible_mat!S10=1),(VLOOKUP(S$1,'20Trips'!$A$3:$I$22,8,FALSE))-(VLOOKUP($A10,'20Trips'!$A$3:$I$22,9,FALSE)),0)</f>
        <v>0</v>
      </c>
      <c r="T10">
        <f>IF(AND(SUM(VLOOKUP($A10,'20Trips'!$A$3:$F$22,2,FALSE),VLOOKUP(T$1,'20Trips'!$A$3:$F$22,2,FALSE))&lt;='20Trips'!$AC$38,$A10&lt;&gt;T$1,feasible_mat!T10=1),(VLOOKUP(T$1,'20Trips'!$A$3:$I$22,8,FALSE))-(VLOOKUP($A10,'20Trips'!$A$3:$I$22,9,FALSE)),0)</f>
        <v>0</v>
      </c>
      <c r="U10">
        <f>IF(AND(SUM(VLOOKUP($A10,'20Trips'!$A$3:$F$22,2,FALSE),VLOOKUP(U$1,'20Trips'!$A$3:$F$22,2,FALSE))&lt;='20Trips'!$AC$38,$A10&lt;&gt;U$1,feasible_mat!U10=1),(VLOOKUP(U$1,'20Trips'!$A$3:$I$22,8,FALSE))-(VLOOKUP($A10,'20Trips'!$A$3:$I$22,9,FALSE)),0)</f>
        <v>0</v>
      </c>
      <c r="V10">
        <f>IF(AND(SUM(VLOOKUP($A10,'20Trips'!$A$3:$F$22,2,FALSE),VLOOKUP(V$1,'20Trips'!$A$3:$F$22,2,FALSE))&lt;='20Trips'!$AC$38,$A10&lt;&gt;V$1,feasible_mat!V10=1),(VLOOKUP(V$1,'20Trips'!$A$3:$I$22,8,FALSE))-(VLOOKUP($A10,'20Trips'!$A$3:$I$22,9,FALSE)),0)</f>
        <v>105</v>
      </c>
      <c r="Z10" s="16" t="e">
        <f>VLOOKUP(#REF!,'20Trips'!$A$3:$F$22,8,FALSE)</f>
        <v>#REF!</v>
      </c>
    </row>
    <row r="11" spans="1:26" x14ac:dyDescent="0.25">
      <c r="A11" t="s">
        <v>22</v>
      </c>
      <c r="B11">
        <v>0</v>
      </c>
      <c r="C11">
        <f>IF(AND(SUM(VLOOKUP($A11,'20Trips'!$A$3:$F$22,2,FALSE),VLOOKUP(C$1,'20Trips'!$A$3:$F$22,2,FALSE))&lt;='20Trips'!$AC$38,$A11&lt;&gt;C$1,feasible_mat!C11=1),(VLOOKUP(C$1,'20Trips'!$A$3:$I$22,8,FALSE))-(VLOOKUP($A11,'20Trips'!$A$3:$I$22,9,FALSE)),0)</f>
        <v>0</v>
      </c>
      <c r="D11">
        <f>IF(AND(SUM(VLOOKUP($A11,'20Trips'!$A$3:$F$22,2,FALSE),VLOOKUP(D$1,'20Trips'!$A$3:$F$22,2,FALSE))&lt;='20Trips'!$AC$38,$A11&lt;&gt;D$1,feasible_mat!D11=1),(VLOOKUP(D$1,'20Trips'!$A$3:$I$22,8,FALSE))-(VLOOKUP($A11,'20Trips'!$A$3:$I$22,9,FALSE)),0)</f>
        <v>0</v>
      </c>
      <c r="E11">
        <f>IF(AND(SUM(VLOOKUP($A11,'20Trips'!$A$3:$F$22,2,FALSE),VLOOKUP(E$1,'20Trips'!$A$3:$F$22,2,FALSE))&lt;='20Trips'!$AC$38,$A11&lt;&gt;E$1,feasible_mat!E11=1),(VLOOKUP(E$1,'20Trips'!$A$3:$I$22,8,FALSE))-(VLOOKUP($A11,'20Trips'!$A$3:$I$22,9,FALSE)),0)</f>
        <v>0</v>
      </c>
      <c r="F11">
        <f>IF(AND(SUM(VLOOKUP($A11,'20Trips'!$A$3:$F$22,2,FALSE),VLOOKUP(F$1,'20Trips'!$A$3:$F$22,2,FALSE))&lt;='20Trips'!$AC$38,$A11&lt;&gt;F$1,feasible_mat!F11=1),(VLOOKUP(F$1,'20Trips'!$A$3:$I$22,8,FALSE))-(VLOOKUP($A11,'20Trips'!$A$3:$I$22,9,FALSE)),0)</f>
        <v>0</v>
      </c>
      <c r="G11">
        <f>IF(AND(SUM(VLOOKUP($A11,'20Trips'!$A$3:$F$22,2,FALSE),VLOOKUP(G$1,'20Trips'!$A$3:$F$22,2,FALSE))&lt;='20Trips'!$AC$38,$A11&lt;&gt;G$1,feasible_mat!G11=1),(VLOOKUP(G$1,'20Trips'!$A$3:$I$22,8,FALSE))-(VLOOKUP($A11,'20Trips'!$A$3:$I$22,9,FALSE)),0)</f>
        <v>0</v>
      </c>
      <c r="H11">
        <f>IF(AND(SUM(VLOOKUP($A11,'20Trips'!$A$3:$F$22,2,FALSE),VLOOKUP(H$1,'20Trips'!$A$3:$F$22,2,FALSE))&lt;='20Trips'!$AC$38,$A11&lt;&gt;H$1,feasible_mat!H11=1),(VLOOKUP(H$1,'20Trips'!$A$3:$I$22,8,FALSE))-(VLOOKUP($A11,'20Trips'!$A$3:$I$22,9,FALSE)),0)</f>
        <v>0</v>
      </c>
      <c r="I11">
        <f>IF(AND(SUM(VLOOKUP($A11,'20Trips'!$A$3:$F$22,2,FALSE),VLOOKUP(I$1,'20Trips'!$A$3:$F$22,2,FALSE))&lt;='20Trips'!$AC$38,$A11&lt;&gt;I$1,feasible_mat!I11=1),(VLOOKUP(I$1,'20Trips'!$A$3:$I$22,8,FALSE))-(VLOOKUP($A11,'20Trips'!$A$3:$I$22,9,FALSE)),0)</f>
        <v>0</v>
      </c>
      <c r="J11">
        <f>IF(AND(SUM(VLOOKUP($A11,'20Trips'!$A$3:$F$22,2,FALSE),VLOOKUP(J$1,'20Trips'!$A$3:$F$22,2,FALSE))&lt;='20Trips'!$AC$38,$A11&lt;&gt;J$1,feasible_mat!J11=1),(VLOOKUP(J$1,'20Trips'!$A$3:$I$22,8,FALSE))-(VLOOKUP($A11,'20Trips'!$A$3:$I$22,9,FALSE)),0)</f>
        <v>0</v>
      </c>
      <c r="K11">
        <f>IF(AND(SUM(VLOOKUP($A11,'20Trips'!$A$3:$F$22,2,FALSE),VLOOKUP(K$1,'20Trips'!$A$3:$F$22,2,FALSE))&lt;='20Trips'!$AC$38,$A11&lt;&gt;K$1,feasible_mat!K11=1),(VLOOKUP(K$1,'20Trips'!$A$3:$I$22,8,FALSE))-(VLOOKUP($A11,'20Trips'!$A$3:$I$22,9,FALSE)),0)</f>
        <v>0</v>
      </c>
      <c r="L11">
        <f>IF(AND(SUM(VLOOKUP($A11,'20Trips'!$A$3:$F$22,2,FALSE),VLOOKUP(L$1,'20Trips'!$A$3:$F$22,2,FALSE))&lt;='20Trips'!$AC$38,$A11&lt;&gt;L$1,feasible_mat!L11=1),(VLOOKUP(L$1,'20Trips'!$A$3:$I$22,8,FALSE))-(VLOOKUP($A11,'20Trips'!$A$3:$I$22,9,FALSE)),0)</f>
        <v>0</v>
      </c>
      <c r="M11">
        <f>IF(AND(SUM(VLOOKUP($A11,'20Trips'!$A$3:$F$22,2,FALSE),VLOOKUP(M$1,'20Trips'!$A$3:$F$22,2,FALSE))&lt;='20Trips'!$AC$38,$A11&lt;&gt;M$1,feasible_mat!M11=1),(VLOOKUP(M$1,'20Trips'!$A$3:$I$22,8,FALSE))-(VLOOKUP($A11,'20Trips'!$A$3:$I$22,9,FALSE)),0)</f>
        <v>0</v>
      </c>
      <c r="N11">
        <f>IF(AND(SUM(VLOOKUP($A11,'20Trips'!$A$3:$F$22,2,FALSE),VLOOKUP(N$1,'20Trips'!$A$3:$F$22,2,FALSE))&lt;='20Trips'!$AC$38,$A11&lt;&gt;N$1,feasible_mat!N11=1),(VLOOKUP(N$1,'20Trips'!$A$3:$I$22,8,FALSE))-(VLOOKUP($A11,'20Trips'!$A$3:$I$22,9,FALSE)),0)</f>
        <v>0</v>
      </c>
      <c r="O11">
        <f>IF(AND(SUM(VLOOKUP($A11,'20Trips'!$A$3:$F$22,2,FALSE),VLOOKUP(O$1,'20Trips'!$A$3:$F$22,2,FALSE))&lt;='20Trips'!$AC$38,$A11&lt;&gt;O$1,feasible_mat!O11=1),(VLOOKUP(O$1,'20Trips'!$A$3:$I$22,8,FALSE))-(VLOOKUP($A11,'20Trips'!$A$3:$I$22,9,FALSE)),0)</f>
        <v>0</v>
      </c>
      <c r="P11">
        <f>IF(AND(SUM(VLOOKUP($A11,'20Trips'!$A$3:$F$22,2,FALSE),VLOOKUP(P$1,'20Trips'!$A$3:$F$22,2,FALSE))&lt;='20Trips'!$AC$38,$A11&lt;&gt;P$1,feasible_mat!P11=1),(VLOOKUP(P$1,'20Trips'!$A$3:$I$22,8,FALSE))-(VLOOKUP($A11,'20Trips'!$A$3:$I$22,9,FALSE)),0)</f>
        <v>0</v>
      </c>
      <c r="Q11">
        <f>IF(AND(SUM(VLOOKUP($A11,'20Trips'!$A$3:$F$22,2,FALSE),VLOOKUP(Q$1,'20Trips'!$A$3:$F$22,2,FALSE))&lt;='20Trips'!$AC$38,$A11&lt;&gt;Q$1,feasible_mat!Q11=1),(VLOOKUP(Q$1,'20Trips'!$A$3:$I$22,8,FALSE))-(VLOOKUP($A11,'20Trips'!$A$3:$I$22,9,FALSE)),0)</f>
        <v>0</v>
      </c>
      <c r="R11">
        <f>IF(AND(SUM(VLOOKUP($A11,'20Trips'!$A$3:$F$22,2,FALSE),VLOOKUP(R$1,'20Trips'!$A$3:$F$22,2,FALSE))&lt;='20Trips'!$AC$38,$A11&lt;&gt;R$1,feasible_mat!R11=1),(VLOOKUP(R$1,'20Trips'!$A$3:$I$22,8,FALSE))-(VLOOKUP($A11,'20Trips'!$A$3:$I$22,9,FALSE)),0)</f>
        <v>0</v>
      </c>
      <c r="S11">
        <f>IF(AND(SUM(VLOOKUP($A11,'20Trips'!$A$3:$F$22,2,FALSE),VLOOKUP(S$1,'20Trips'!$A$3:$F$22,2,FALSE))&lt;='20Trips'!$AC$38,$A11&lt;&gt;S$1,feasible_mat!S11=1),(VLOOKUP(S$1,'20Trips'!$A$3:$I$22,8,FALSE))-(VLOOKUP($A11,'20Trips'!$A$3:$I$22,9,FALSE)),0)</f>
        <v>0</v>
      </c>
      <c r="T11">
        <f>IF(AND(SUM(VLOOKUP($A11,'20Trips'!$A$3:$F$22,2,FALSE),VLOOKUP(T$1,'20Trips'!$A$3:$F$22,2,FALSE))&lt;='20Trips'!$AC$38,$A11&lt;&gt;T$1,feasible_mat!T11=1),(VLOOKUP(T$1,'20Trips'!$A$3:$I$22,8,FALSE))-(VLOOKUP($A11,'20Trips'!$A$3:$I$22,9,FALSE)),0)</f>
        <v>0</v>
      </c>
      <c r="U11">
        <f>IF(AND(SUM(VLOOKUP($A11,'20Trips'!$A$3:$F$22,2,FALSE),VLOOKUP(U$1,'20Trips'!$A$3:$F$22,2,FALSE))&lt;='20Trips'!$AC$38,$A11&lt;&gt;U$1,feasible_mat!U11=1),(VLOOKUP(U$1,'20Trips'!$A$3:$I$22,8,FALSE))-(VLOOKUP($A11,'20Trips'!$A$3:$I$22,9,FALSE)),0)</f>
        <v>0</v>
      </c>
      <c r="V11">
        <f>IF(AND(SUM(VLOOKUP($A11,'20Trips'!$A$3:$F$22,2,FALSE),VLOOKUP(V$1,'20Trips'!$A$3:$F$22,2,FALSE))&lt;='20Trips'!$AC$38,$A11&lt;&gt;V$1,feasible_mat!V11=1),(VLOOKUP(V$1,'20Trips'!$A$3:$I$22,8,FALSE))-(VLOOKUP($A11,'20Trips'!$A$3:$I$22,9,FALSE)),0)</f>
        <v>0</v>
      </c>
    </row>
    <row r="12" spans="1:26" x14ac:dyDescent="0.25">
      <c r="A12" t="s">
        <v>23</v>
      </c>
      <c r="B12">
        <v>0</v>
      </c>
      <c r="C12">
        <f>IF(AND(SUM(VLOOKUP($A12,'20Trips'!$A$3:$F$22,2,FALSE),VLOOKUP(C$1,'20Trips'!$A$3:$F$22,2,FALSE))&lt;='20Trips'!$AC$38,$A12&lt;&gt;C$1,feasible_mat!C12=1),(VLOOKUP(C$1,'20Trips'!$A$3:$I$22,8,FALSE))-(VLOOKUP($A12,'20Trips'!$A$3:$I$22,9,FALSE)),0)</f>
        <v>0</v>
      </c>
      <c r="D12">
        <f>IF(AND(SUM(VLOOKUP($A12,'20Trips'!$A$3:$F$22,2,FALSE),VLOOKUP(D$1,'20Trips'!$A$3:$F$22,2,FALSE))&lt;='20Trips'!$AC$38,$A12&lt;&gt;D$1,feasible_mat!D12=1),(VLOOKUP(D$1,'20Trips'!$A$3:$I$22,8,FALSE))-(VLOOKUP($A12,'20Trips'!$A$3:$I$22,9,FALSE)),0)</f>
        <v>0</v>
      </c>
      <c r="E12">
        <f>IF(AND(SUM(VLOOKUP($A12,'20Trips'!$A$3:$F$22,2,FALSE),VLOOKUP(E$1,'20Trips'!$A$3:$F$22,2,FALSE))&lt;='20Trips'!$AC$38,$A12&lt;&gt;E$1,feasible_mat!E12=1),(VLOOKUP(E$1,'20Trips'!$A$3:$I$22,8,FALSE))-(VLOOKUP($A12,'20Trips'!$A$3:$I$22,9,FALSE)),0)</f>
        <v>0</v>
      </c>
      <c r="F12">
        <f>IF(AND(SUM(VLOOKUP($A12,'20Trips'!$A$3:$F$22,2,FALSE),VLOOKUP(F$1,'20Trips'!$A$3:$F$22,2,FALSE))&lt;='20Trips'!$AC$38,$A12&lt;&gt;F$1,feasible_mat!F12=1),(VLOOKUP(F$1,'20Trips'!$A$3:$I$22,8,FALSE))-(VLOOKUP($A12,'20Trips'!$A$3:$I$22,9,FALSE)),0)</f>
        <v>0</v>
      </c>
      <c r="G12">
        <f>IF(AND(SUM(VLOOKUP($A12,'20Trips'!$A$3:$F$22,2,FALSE),VLOOKUP(G$1,'20Trips'!$A$3:$F$22,2,FALSE))&lt;='20Trips'!$AC$38,$A12&lt;&gt;G$1,feasible_mat!G12=1),(VLOOKUP(G$1,'20Trips'!$A$3:$I$22,8,FALSE))-(VLOOKUP($A12,'20Trips'!$A$3:$I$22,9,FALSE)),0)</f>
        <v>0</v>
      </c>
      <c r="H12">
        <f>IF(AND(SUM(VLOOKUP($A12,'20Trips'!$A$3:$F$22,2,FALSE),VLOOKUP(H$1,'20Trips'!$A$3:$F$22,2,FALSE))&lt;='20Trips'!$AC$38,$A12&lt;&gt;H$1,feasible_mat!H12=1),(VLOOKUP(H$1,'20Trips'!$A$3:$I$22,8,FALSE))-(VLOOKUP($A12,'20Trips'!$A$3:$I$22,9,FALSE)),0)</f>
        <v>0</v>
      </c>
      <c r="I12">
        <f>IF(AND(SUM(VLOOKUP($A12,'20Trips'!$A$3:$F$22,2,FALSE),VLOOKUP(I$1,'20Trips'!$A$3:$F$22,2,FALSE))&lt;='20Trips'!$AC$38,$A12&lt;&gt;I$1,feasible_mat!I12=1),(VLOOKUP(I$1,'20Trips'!$A$3:$I$22,8,FALSE))-(VLOOKUP($A12,'20Trips'!$A$3:$I$22,9,FALSE)),0)</f>
        <v>0</v>
      </c>
      <c r="J12">
        <f>IF(AND(SUM(VLOOKUP($A12,'20Trips'!$A$3:$F$22,2,FALSE),VLOOKUP(J$1,'20Trips'!$A$3:$F$22,2,FALSE))&lt;='20Trips'!$AC$38,$A12&lt;&gt;J$1,feasible_mat!J12=1),(VLOOKUP(J$1,'20Trips'!$A$3:$I$22,8,FALSE))-(VLOOKUP($A12,'20Trips'!$A$3:$I$22,9,FALSE)),0)</f>
        <v>0</v>
      </c>
      <c r="K12">
        <f>IF(AND(SUM(VLOOKUP($A12,'20Trips'!$A$3:$F$22,2,FALSE),VLOOKUP(K$1,'20Trips'!$A$3:$F$22,2,FALSE))&lt;='20Trips'!$AC$38,$A12&lt;&gt;K$1,feasible_mat!K12=1),(VLOOKUP(K$1,'20Trips'!$A$3:$I$22,8,FALSE))-(VLOOKUP($A12,'20Trips'!$A$3:$I$22,9,FALSE)),0)</f>
        <v>0</v>
      </c>
      <c r="L12">
        <f>IF(AND(SUM(VLOOKUP($A12,'20Trips'!$A$3:$F$22,2,FALSE),VLOOKUP(L$1,'20Trips'!$A$3:$F$22,2,FALSE))&lt;='20Trips'!$AC$38,$A12&lt;&gt;L$1,feasible_mat!L12=1),(VLOOKUP(L$1,'20Trips'!$A$3:$I$22,8,FALSE))-(VLOOKUP($A12,'20Trips'!$A$3:$I$22,9,FALSE)),0)</f>
        <v>0</v>
      </c>
      <c r="M12">
        <f>IF(AND(SUM(VLOOKUP($A12,'20Trips'!$A$3:$F$22,2,FALSE),VLOOKUP(M$1,'20Trips'!$A$3:$F$22,2,FALSE))&lt;='20Trips'!$AC$38,$A12&lt;&gt;M$1,feasible_mat!M12=1),(VLOOKUP(M$1,'20Trips'!$A$3:$I$22,8,FALSE))-(VLOOKUP($A12,'20Trips'!$A$3:$I$22,9,FALSE)),0)</f>
        <v>0</v>
      </c>
      <c r="N12">
        <f>IF(AND(SUM(VLOOKUP($A12,'20Trips'!$A$3:$F$22,2,FALSE),VLOOKUP(N$1,'20Trips'!$A$3:$F$22,2,FALSE))&lt;='20Trips'!$AC$38,$A12&lt;&gt;N$1,feasible_mat!N12=1),(VLOOKUP(N$1,'20Trips'!$A$3:$I$22,8,FALSE))-(VLOOKUP($A12,'20Trips'!$A$3:$I$22,9,FALSE)),0)</f>
        <v>0</v>
      </c>
      <c r="O12">
        <f>IF(AND(SUM(VLOOKUP($A12,'20Trips'!$A$3:$F$22,2,FALSE),VLOOKUP(O$1,'20Trips'!$A$3:$F$22,2,FALSE))&lt;='20Trips'!$AC$38,$A12&lt;&gt;O$1,feasible_mat!O12=1),(VLOOKUP(O$1,'20Trips'!$A$3:$I$22,8,FALSE))-(VLOOKUP($A12,'20Trips'!$A$3:$I$22,9,FALSE)),0)</f>
        <v>0</v>
      </c>
      <c r="P12">
        <f>IF(AND(SUM(VLOOKUP($A12,'20Trips'!$A$3:$F$22,2,FALSE),VLOOKUP(P$1,'20Trips'!$A$3:$F$22,2,FALSE))&lt;='20Trips'!$AC$38,$A12&lt;&gt;P$1,feasible_mat!P12=1),(VLOOKUP(P$1,'20Trips'!$A$3:$I$22,8,FALSE))-(VLOOKUP($A12,'20Trips'!$A$3:$I$22,9,FALSE)),0)</f>
        <v>0</v>
      </c>
      <c r="Q12">
        <f>IF(AND(SUM(VLOOKUP($A12,'20Trips'!$A$3:$F$22,2,FALSE),VLOOKUP(Q$1,'20Trips'!$A$3:$F$22,2,FALSE))&lt;='20Trips'!$AC$38,$A12&lt;&gt;Q$1,feasible_mat!Q12=1),(VLOOKUP(Q$1,'20Trips'!$A$3:$I$22,8,FALSE))-(VLOOKUP($A12,'20Trips'!$A$3:$I$22,9,FALSE)),0)</f>
        <v>0</v>
      </c>
      <c r="R12">
        <f>IF(AND(SUM(VLOOKUP($A12,'20Trips'!$A$3:$F$22,2,FALSE),VLOOKUP(R$1,'20Trips'!$A$3:$F$22,2,FALSE))&lt;='20Trips'!$AC$38,$A12&lt;&gt;R$1,feasible_mat!R12=1),(VLOOKUP(R$1,'20Trips'!$A$3:$I$22,8,FALSE))-(VLOOKUP($A12,'20Trips'!$A$3:$I$22,9,FALSE)),0)</f>
        <v>0</v>
      </c>
      <c r="S12">
        <f>IF(AND(SUM(VLOOKUP($A12,'20Trips'!$A$3:$F$22,2,FALSE),VLOOKUP(S$1,'20Trips'!$A$3:$F$22,2,FALSE))&lt;='20Trips'!$AC$38,$A12&lt;&gt;S$1,feasible_mat!S12=1),(VLOOKUP(S$1,'20Trips'!$A$3:$I$22,8,FALSE))-(VLOOKUP($A12,'20Trips'!$A$3:$I$22,9,FALSE)),0)</f>
        <v>0</v>
      </c>
      <c r="T12">
        <f>IF(AND(SUM(VLOOKUP($A12,'20Trips'!$A$3:$F$22,2,FALSE),VLOOKUP(T$1,'20Trips'!$A$3:$F$22,2,FALSE))&lt;='20Trips'!$AC$38,$A12&lt;&gt;T$1,feasible_mat!T12=1),(VLOOKUP(T$1,'20Trips'!$A$3:$I$22,8,FALSE))-(VLOOKUP($A12,'20Trips'!$A$3:$I$22,9,FALSE)),0)</f>
        <v>0</v>
      </c>
      <c r="U12">
        <f>IF(AND(SUM(VLOOKUP($A12,'20Trips'!$A$3:$F$22,2,FALSE),VLOOKUP(U$1,'20Trips'!$A$3:$F$22,2,FALSE))&lt;='20Trips'!$AC$38,$A12&lt;&gt;U$1,feasible_mat!U12=1),(VLOOKUP(U$1,'20Trips'!$A$3:$I$22,8,FALSE))-(VLOOKUP($A12,'20Trips'!$A$3:$I$22,9,FALSE)),0)</f>
        <v>0</v>
      </c>
      <c r="V12">
        <f>IF(AND(SUM(VLOOKUP($A12,'20Trips'!$A$3:$F$22,2,FALSE),VLOOKUP(V$1,'20Trips'!$A$3:$F$22,2,FALSE))&lt;='20Trips'!$AC$38,$A12&lt;&gt;V$1,feasible_mat!V12=1),(VLOOKUP(V$1,'20Trips'!$A$3:$I$22,8,FALSE))-(VLOOKUP($A12,'20Trips'!$A$3:$I$22,9,FALSE)),0)</f>
        <v>0</v>
      </c>
      <c r="Z12" s="16" t="e">
        <f>IF(SUM(VLOOKUP($A8,'20Trips'!$A$3:$F$22,2,FALSE),VLOOKUP(#REF!,'20Trips'!$A$3:$F$22,2,FALSE))&lt;='20Trips'!$AC$38,IF(AND($A8&lt;&gt;#REF!,feasible_mat!#REF!=1),(VLOOKUP(#REF!,'20Trips'!$A$3:$I$22,8,FALSE))-(VLOOKUP($A8,'20Trips'!$A$3:$I$22,9,FALSE)),0),IF(AND($A8&lt;&gt;#REF!,feasible_mat!#REF!=1),(VLOOKUP(#REF!,'20Trips'!$A$3:$I$22,8,FALSE))-(VLOOKUP($A8,'20Trips'!$A$3:$I$22,9,FALSE))-50,0))</f>
        <v>#REF!</v>
      </c>
    </row>
    <row r="13" spans="1:26" x14ac:dyDescent="0.25">
      <c r="A13" t="s">
        <v>26</v>
      </c>
      <c r="B13">
        <v>0</v>
      </c>
      <c r="C13">
        <f>IF(AND(SUM(VLOOKUP($A13,'20Trips'!$A$3:$F$22,2,FALSE),VLOOKUP(C$1,'20Trips'!$A$3:$F$22,2,FALSE))&lt;='20Trips'!$AC$38,$A13&lt;&gt;C$1,feasible_mat!C13=1),(VLOOKUP(C$1,'20Trips'!$A$3:$I$22,8,FALSE))-(VLOOKUP($A13,'20Trips'!$A$3:$I$22,9,FALSE)),0)</f>
        <v>0</v>
      </c>
      <c r="D13">
        <f>IF(AND(SUM(VLOOKUP($A13,'20Trips'!$A$3:$F$22,2,FALSE),VLOOKUP(D$1,'20Trips'!$A$3:$F$22,2,FALSE))&lt;='20Trips'!$AC$38,$A13&lt;&gt;D$1,feasible_mat!D13=1),(VLOOKUP(D$1,'20Trips'!$A$3:$I$22,8,FALSE))-(VLOOKUP($A13,'20Trips'!$A$3:$I$22,9,FALSE)),0)</f>
        <v>65</v>
      </c>
      <c r="E13">
        <f>IF(AND(SUM(VLOOKUP($A13,'20Trips'!$A$3:$F$22,2,FALSE),VLOOKUP(E$1,'20Trips'!$A$3:$F$22,2,FALSE))&lt;='20Trips'!$AC$38,$A13&lt;&gt;E$1,feasible_mat!E13=1),(VLOOKUP(E$1,'20Trips'!$A$3:$I$22,8,FALSE))-(VLOOKUP($A13,'20Trips'!$A$3:$I$22,9,FALSE)),0)</f>
        <v>155</v>
      </c>
      <c r="F13">
        <f>IF(AND(SUM(VLOOKUP($A13,'20Trips'!$A$3:$F$22,2,FALSE),VLOOKUP(F$1,'20Trips'!$A$3:$F$22,2,FALSE))&lt;='20Trips'!$AC$38,$A13&lt;&gt;F$1,feasible_mat!F13=1),(VLOOKUP(F$1,'20Trips'!$A$3:$I$22,8,FALSE))-(VLOOKUP($A13,'20Trips'!$A$3:$I$22,9,FALSE)),0)</f>
        <v>245</v>
      </c>
      <c r="G13">
        <f>IF(AND(SUM(VLOOKUP($A13,'20Trips'!$A$3:$F$22,2,FALSE),VLOOKUP(G$1,'20Trips'!$A$3:$F$22,2,FALSE))&lt;='20Trips'!$AC$38,$A13&lt;&gt;G$1,feasible_mat!G13=1),(VLOOKUP(G$1,'20Trips'!$A$3:$I$22,8,FALSE))-(VLOOKUP($A13,'20Trips'!$A$3:$I$22,9,FALSE)),0)</f>
        <v>305</v>
      </c>
      <c r="H13">
        <f>IF(AND(SUM(VLOOKUP($A13,'20Trips'!$A$3:$F$22,2,FALSE),VLOOKUP(H$1,'20Trips'!$A$3:$F$22,2,FALSE))&lt;='20Trips'!$AC$38,$A13&lt;&gt;H$1,feasible_mat!H13=1),(VLOOKUP(H$1,'20Trips'!$A$3:$I$22,8,FALSE))-(VLOOKUP($A13,'20Trips'!$A$3:$I$22,9,FALSE)),0)</f>
        <v>0</v>
      </c>
      <c r="I13">
        <f>IF(AND(SUM(VLOOKUP($A13,'20Trips'!$A$3:$F$22,2,FALSE),VLOOKUP(I$1,'20Trips'!$A$3:$F$22,2,FALSE))&lt;='20Trips'!$AC$38,$A13&lt;&gt;I$1,feasible_mat!I13=1),(VLOOKUP(I$1,'20Trips'!$A$3:$I$22,8,FALSE))-(VLOOKUP($A13,'20Trips'!$A$3:$I$22,9,FALSE)),0)</f>
        <v>0</v>
      </c>
      <c r="J13">
        <f>IF(AND(SUM(VLOOKUP($A13,'20Trips'!$A$3:$F$22,2,FALSE),VLOOKUP(J$1,'20Trips'!$A$3:$F$22,2,FALSE))&lt;='20Trips'!$AC$38,$A13&lt;&gt;J$1,feasible_mat!J13=1),(VLOOKUP(J$1,'20Trips'!$A$3:$I$22,8,FALSE))-(VLOOKUP($A13,'20Trips'!$A$3:$I$22,9,FALSE)),0)</f>
        <v>120</v>
      </c>
      <c r="K13">
        <f>IF(AND(SUM(VLOOKUP($A13,'20Trips'!$A$3:$F$22,2,FALSE),VLOOKUP(K$1,'20Trips'!$A$3:$F$22,2,FALSE))&lt;='20Trips'!$AC$38,$A13&lt;&gt;K$1,feasible_mat!K13=1),(VLOOKUP(K$1,'20Trips'!$A$3:$I$22,8,FALSE))-(VLOOKUP($A13,'20Trips'!$A$3:$I$22,9,FALSE)),0)</f>
        <v>480</v>
      </c>
      <c r="L13">
        <f>IF(AND(SUM(VLOOKUP($A13,'20Trips'!$A$3:$F$22,2,FALSE),VLOOKUP(L$1,'20Trips'!$A$3:$F$22,2,FALSE))&lt;='20Trips'!$AC$38,$A13&lt;&gt;L$1,feasible_mat!L13=1),(VLOOKUP(L$1,'20Trips'!$A$3:$I$22,8,FALSE))-(VLOOKUP($A13,'20Trips'!$A$3:$I$22,9,FALSE)),0)</f>
        <v>540</v>
      </c>
      <c r="M13">
        <f>IF(AND(SUM(VLOOKUP($A13,'20Trips'!$A$3:$F$22,2,FALSE),VLOOKUP(M$1,'20Trips'!$A$3:$F$22,2,FALSE))&lt;='20Trips'!$AC$38,$A13&lt;&gt;M$1,feasible_mat!M13=1),(VLOOKUP(M$1,'20Trips'!$A$3:$I$22,8,FALSE))-(VLOOKUP($A13,'20Trips'!$A$3:$I$22,9,FALSE)),0)</f>
        <v>0</v>
      </c>
      <c r="N13">
        <f>IF(AND(SUM(VLOOKUP($A13,'20Trips'!$A$3:$F$22,2,FALSE),VLOOKUP(N$1,'20Trips'!$A$3:$F$22,2,FALSE))&lt;='20Trips'!$AC$38,$A13&lt;&gt;N$1,feasible_mat!N13=1),(VLOOKUP(N$1,'20Trips'!$A$3:$I$22,8,FALSE))-(VLOOKUP($A13,'20Trips'!$A$3:$I$22,9,FALSE)),0)</f>
        <v>0</v>
      </c>
      <c r="O13">
        <f>IF(AND(SUM(VLOOKUP($A13,'20Trips'!$A$3:$F$22,2,FALSE),VLOOKUP(O$1,'20Trips'!$A$3:$F$22,2,FALSE))&lt;='20Trips'!$AC$38,$A13&lt;&gt;O$1,feasible_mat!O13=1),(VLOOKUP(O$1,'20Trips'!$A$3:$I$22,8,FALSE))-(VLOOKUP($A13,'20Trips'!$A$3:$I$22,9,FALSE)),0)</f>
        <v>45</v>
      </c>
      <c r="P13">
        <f>IF(AND(SUM(VLOOKUP($A13,'20Trips'!$A$3:$F$22,2,FALSE),VLOOKUP(P$1,'20Trips'!$A$3:$F$22,2,FALSE))&lt;='20Trips'!$AC$38,$A13&lt;&gt;P$1,feasible_mat!P13=1),(VLOOKUP(P$1,'20Trips'!$A$3:$I$22,8,FALSE))-(VLOOKUP($A13,'20Trips'!$A$3:$I$22,9,FALSE)),0)</f>
        <v>135</v>
      </c>
      <c r="Q13">
        <f>IF(AND(SUM(VLOOKUP($A13,'20Trips'!$A$3:$F$22,2,FALSE),VLOOKUP(Q$1,'20Trips'!$A$3:$F$22,2,FALSE))&lt;='20Trips'!$AC$38,$A13&lt;&gt;Q$1,feasible_mat!Q13=1),(VLOOKUP(Q$1,'20Trips'!$A$3:$I$22,8,FALSE))-(VLOOKUP($A13,'20Trips'!$A$3:$I$22,9,FALSE)),0)</f>
        <v>225</v>
      </c>
      <c r="R13">
        <f>IF(AND(SUM(VLOOKUP($A13,'20Trips'!$A$3:$F$22,2,FALSE),VLOOKUP(R$1,'20Trips'!$A$3:$F$22,2,FALSE))&lt;='20Trips'!$AC$38,$A13&lt;&gt;R$1,feasible_mat!R13=1),(VLOOKUP(R$1,'20Trips'!$A$3:$I$22,8,FALSE))-(VLOOKUP($A13,'20Trips'!$A$3:$I$22,9,FALSE)),0)</f>
        <v>0</v>
      </c>
      <c r="S13">
        <f>IF(AND(SUM(VLOOKUP($A13,'20Trips'!$A$3:$F$22,2,FALSE),VLOOKUP(S$1,'20Trips'!$A$3:$F$22,2,FALSE))&lt;='20Trips'!$AC$38,$A13&lt;&gt;S$1,feasible_mat!S13=1),(VLOOKUP(S$1,'20Trips'!$A$3:$I$22,8,FALSE))-(VLOOKUP($A13,'20Trips'!$A$3:$I$22,9,FALSE)),0)</f>
        <v>65</v>
      </c>
      <c r="T13">
        <f>IF(AND(SUM(VLOOKUP($A13,'20Trips'!$A$3:$F$22,2,FALSE),VLOOKUP(T$1,'20Trips'!$A$3:$F$22,2,FALSE))&lt;='20Trips'!$AC$38,$A13&lt;&gt;T$1,feasible_mat!T13=1),(VLOOKUP(T$1,'20Trips'!$A$3:$I$22,8,FALSE))-(VLOOKUP($A13,'20Trips'!$A$3:$I$22,9,FALSE)),0)</f>
        <v>185</v>
      </c>
      <c r="U13">
        <f>IF(AND(SUM(VLOOKUP($A13,'20Trips'!$A$3:$F$22,2,FALSE),VLOOKUP(U$1,'20Trips'!$A$3:$F$22,2,FALSE))&lt;='20Trips'!$AC$38,$A13&lt;&gt;U$1,feasible_mat!U13=1),(VLOOKUP(U$1,'20Trips'!$A$3:$I$22,8,FALSE))-(VLOOKUP($A13,'20Trips'!$A$3:$I$22,9,FALSE)),0)</f>
        <v>245</v>
      </c>
      <c r="V13">
        <f>IF(AND(SUM(VLOOKUP($A13,'20Trips'!$A$3:$F$22,2,FALSE),VLOOKUP(V$1,'20Trips'!$A$3:$F$22,2,FALSE))&lt;='20Trips'!$AC$38,$A13&lt;&gt;V$1,feasible_mat!V13=1),(VLOOKUP(V$1,'20Trips'!$A$3:$I$22,8,FALSE))-(VLOOKUP($A13,'20Trips'!$A$3:$I$22,9,FALSE)),0)</f>
        <v>365</v>
      </c>
      <c r="Z13" s="16" t="e">
        <f>SUM(VLOOKUP($A8,'20Trips'!$A$3:$F$22,2,FALSE),VLOOKUP(#REF!,'20Trips'!$A$3:$F$22,2,FALSE))&lt;='20Trips'!$AC$38</f>
        <v>#REF!</v>
      </c>
    </row>
    <row r="14" spans="1:26" x14ac:dyDescent="0.25">
      <c r="A14" t="s">
        <v>27</v>
      </c>
      <c r="B14">
        <v>0</v>
      </c>
      <c r="C14">
        <f>IF(AND(SUM(VLOOKUP($A14,'20Trips'!$A$3:$F$22,2,FALSE),VLOOKUP(C$1,'20Trips'!$A$3:$F$22,2,FALSE))&lt;='20Trips'!$AC$38,$A14&lt;&gt;C$1,feasible_mat!C14=1),(VLOOKUP(C$1,'20Trips'!$A$3:$I$22,8,FALSE))-(VLOOKUP($A14,'20Trips'!$A$3:$I$22,9,FALSE)),0)</f>
        <v>0</v>
      </c>
      <c r="D14">
        <f>IF(AND(SUM(VLOOKUP($A14,'20Trips'!$A$3:$F$22,2,FALSE),VLOOKUP(D$1,'20Trips'!$A$3:$F$22,2,FALSE))&lt;='20Trips'!$AC$38,$A14&lt;&gt;D$1,feasible_mat!D14=1),(VLOOKUP(D$1,'20Trips'!$A$3:$I$22,8,FALSE))-(VLOOKUP($A14,'20Trips'!$A$3:$I$22,9,FALSE)),0)</f>
        <v>0</v>
      </c>
      <c r="E14">
        <f>IF(AND(SUM(VLOOKUP($A14,'20Trips'!$A$3:$F$22,2,FALSE),VLOOKUP(E$1,'20Trips'!$A$3:$F$22,2,FALSE))&lt;='20Trips'!$AC$38,$A14&lt;&gt;E$1,feasible_mat!E14=1),(VLOOKUP(E$1,'20Trips'!$A$3:$I$22,8,FALSE))-(VLOOKUP($A14,'20Trips'!$A$3:$I$22,9,FALSE)),0)</f>
        <v>65</v>
      </c>
      <c r="F14">
        <f>IF(AND(SUM(VLOOKUP($A14,'20Trips'!$A$3:$F$22,2,FALSE),VLOOKUP(F$1,'20Trips'!$A$3:$F$22,2,FALSE))&lt;='20Trips'!$AC$38,$A14&lt;&gt;F$1,feasible_mat!F14=1),(VLOOKUP(F$1,'20Trips'!$A$3:$I$22,8,FALSE))-(VLOOKUP($A14,'20Trips'!$A$3:$I$22,9,FALSE)),0)</f>
        <v>155</v>
      </c>
      <c r="G14">
        <f>IF(AND(SUM(VLOOKUP($A14,'20Trips'!$A$3:$F$22,2,FALSE),VLOOKUP(G$1,'20Trips'!$A$3:$F$22,2,FALSE))&lt;='20Trips'!$AC$38,$A14&lt;&gt;G$1,feasible_mat!G14=1),(VLOOKUP(G$1,'20Trips'!$A$3:$I$22,8,FALSE))-(VLOOKUP($A14,'20Trips'!$A$3:$I$22,9,FALSE)),0)</f>
        <v>215</v>
      </c>
      <c r="H14">
        <f>IF(AND(SUM(VLOOKUP($A14,'20Trips'!$A$3:$F$22,2,FALSE),VLOOKUP(H$1,'20Trips'!$A$3:$F$22,2,FALSE))&lt;='20Trips'!$AC$38,$A14&lt;&gt;H$1,feasible_mat!H14=1),(VLOOKUP(H$1,'20Trips'!$A$3:$I$22,8,FALSE))-(VLOOKUP($A14,'20Trips'!$A$3:$I$22,9,FALSE)),0)</f>
        <v>0</v>
      </c>
      <c r="I14">
        <f>IF(AND(SUM(VLOOKUP($A14,'20Trips'!$A$3:$F$22,2,FALSE),VLOOKUP(I$1,'20Trips'!$A$3:$F$22,2,FALSE))&lt;='20Trips'!$AC$38,$A14&lt;&gt;I$1,feasible_mat!I14=1),(VLOOKUP(I$1,'20Trips'!$A$3:$I$22,8,FALSE))-(VLOOKUP($A14,'20Trips'!$A$3:$I$22,9,FALSE)),0)</f>
        <v>0</v>
      </c>
      <c r="J14">
        <f>IF(AND(SUM(VLOOKUP($A14,'20Trips'!$A$3:$F$22,2,FALSE),VLOOKUP(J$1,'20Trips'!$A$3:$F$22,2,FALSE))&lt;='20Trips'!$AC$38,$A14&lt;&gt;J$1,feasible_mat!J14=1),(VLOOKUP(J$1,'20Trips'!$A$3:$I$22,8,FALSE))-(VLOOKUP($A14,'20Trips'!$A$3:$I$22,9,FALSE)),0)</f>
        <v>30</v>
      </c>
      <c r="K14">
        <f>IF(AND(SUM(VLOOKUP($A14,'20Trips'!$A$3:$F$22,2,FALSE),VLOOKUP(K$1,'20Trips'!$A$3:$F$22,2,FALSE))&lt;='20Trips'!$AC$38,$A14&lt;&gt;K$1,feasible_mat!K14=1),(VLOOKUP(K$1,'20Trips'!$A$3:$I$22,8,FALSE))-(VLOOKUP($A14,'20Trips'!$A$3:$I$22,9,FALSE)),0)</f>
        <v>390</v>
      </c>
      <c r="L14">
        <f>IF(AND(SUM(VLOOKUP($A14,'20Trips'!$A$3:$F$22,2,FALSE),VLOOKUP(L$1,'20Trips'!$A$3:$F$22,2,FALSE))&lt;='20Trips'!$AC$38,$A14&lt;&gt;L$1,feasible_mat!L14=1),(VLOOKUP(L$1,'20Trips'!$A$3:$I$22,8,FALSE))-(VLOOKUP($A14,'20Trips'!$A$3:$I$22,9,FALSE)),0)</f>
        <v>450</v>
      </c>
      <c r="M14">
        <f>IF(AND(SUM(VLOOKUP($A14,'20Trips'!$A$3:$F$22,2,FALSE),VLOOKUP(M$1,'20Trips'!$A$3:$F$22,2,FALSE))&lt;='20Trips'!$AC$38,$A14&lt;&gt;M$1,feasible_mat!M14=1),(VLOOKUP(M$1,'20Trips'!$A$3:$I$22,8,FALSE))-(VLOOKUP($A14,'20Trips'!$A$3:$I$22,9,FALSE)),0)</f>
        <v>0</v>
      </c>
      <c r="N14">
        <f>IF(AND(SUM(VLOOKUP($A14,'20Trips'!$A$3:$F$22,2,FALSE),VLOOKUP(N$1,'20Trips'!$A$3:$F$22,2,FALSE))&lt;='20Trips'!$AC$38,$A14&lt;&gt;N$1,feasible_mat!N14=1),(VLOOKUP(N$1,'20Trips'!$A$3:$I$22,8,FALSE))-(VLOOKUP($A14,'20Trips'!$A$3:$I$22,9,FALSE)),0)</f>
        <v>0</v>
      </c>
      <c r="O14">
        <f>IF(AND(SUM(VLOOKUP($A14,'20Trips'!$A$3:$F$22,2,FALSE),VLOOKUP(O$1,'20Trips'!$A$3:$F$22,2,FALSE))&lt;='20Trips'!$AC$38,$A14&lt;&gt;O$1,feasible_mat!O14=1),(VLOOKUP(O$1,'20Trips'!$A$3:$I$22,8,FALSE))-(VLOOKUP($A14,'20Trips'!$A$3:$I$22,9,FALSE)),0)</f>
        <v>0</v>
      </c>
      <c r="P14">
        <f>IF(AND(SUM(VLOOKUP($A14,'20Trips'!$A$3:$F$22,2,FALSE),VLOOKUP(P$1,'20Trips'!$A$3:$F$22,2,FALSE))&lt;='20Trips'!$AC$38,$A14&lt;&gt;P$1,feasible_mat!P14=1),(VLOOKUP(P$1,'20Trips'!$A$3:$I$22,8,FALSE))-(VLOOKUP($A14,'20Trips'!$A$3:$I$22,9,FALSE)),0)</f>
        <v>45</v>
      </c>
      <c r="Q14">
        <f>IF(AND(SUM(VLOOKUP($A14,'20Trips'!$A$3:$F$22,2,FALSE),VLOOKUP(Q$1,'20Trips'!$A$3:$F$22,2,FALSE))&lt;='20Trips'!$AC$38,$A14&lt;&gt;Q$1,feasible_mat!Q14=1),(VLOOKUP(Q$1,'20Trips'!$A$3:$I$22,8,FALSE))-(VLOOKUP($A14,'20Trips'!$A$3:$I$22,9,FALSE)),0)</f>
        <v>135</v>
      </c>
      <c r="R14">
        <f>IF(AND(SUM(VLOOKUP($A14,'20Trips'!$A$3:$F$22,2,FALSE),VLOOKUP(R$1,'20Trips'!$A$3:$F$22,2,FALSE))&lt;='20Trips'!$AC$38,$A14&lt;&gt;R$1,feasible_mat!R14=1),(VLOOKUP(R$1,'20Trips'!$A$3:$I$22,8,FALSE))-(VLOOKUP($A14,'20Trips'!$A$3:$I$22,9,FALSE)),0)</f>
        <v>0</v>
      </c>
      <c r="S14">
        <f>IF(AND(SUM(VLOOKUP($A14,'20Trips'!$A$3:$F$22,2,FALSE),VLOOKUP(S$1,'20Trips'!$A$3:$F$22,2,FALSE))&lt;='20Trips'!$AC$38,$A14&lt;&gt;S$1,feasible_mat!S14=1),(VLOOKUP(S$1,'20Trips'!$A$3:$I$22,8,FALSE))-(VLOOKUP($A14,'20Trips'!$A$3:$I$22,9,FALSE)),0)</f>
        <v>0</v>
      </c>
      <c r="T14">
        <f>IF(AND(SUM(VLOOKUP($A14,'20Trips'!$A$3:$F$22,2,FALSE),VLOOKUP(T$1,'20Trips'!$A$3:$F$22,2,FALSE))&lt;='20Trips'!$AC$38,$A14&lt;&gt;T$1,feasible_mat!T14=1),(VLOOKUP(T$1,'20Trips'!$A$3:$I$22,8,FALSE))-(VLOOKUP($A14,'20Trips'!$A$3:$I$22,9,FALSE)),0)</f>
        <v>95</v>
      </c>
      <c r="U14">
        <f>IF(AND(SUM(VLOOKUP($A14,'20Trips'!$A$3:$F$22,2,FALSE),VLOOKUP(U$1,'20Trips'!$A$3:$F$22,2,FALSE))&lt;='20Trips'!$AC$38,$A14&lt;&gt;U$1,feasible_mat!U14=1),(VLOOKUP(U$1,'20Trips'!$A$3:$I$22,8,FALSE))-(VLOOKUP($A14,'20Trips'!$A$3:$I$22,9,FALSE)),0)</f>
        <v>155</v>
      </c>
      <c r="V14">
        <f>IF(AND(SUM(VLOOKUP($A14,'20Trips'!$A$3:$F$22,2,FALSE),VLOOKUP(V$1,'20Trips'!$A$3:$F$22,2,FALSE))&lt;='20Trips'!$AC$38,$A14&lt;&gt;V$1,feasible_mat!V14=1),(VLOOKUP(V$1,'20Trips'!$A$3:$I$22,8,FALSE))-(VLOOKUP($A14,'20Trips'!$A$3:$I$22,9,FALSE)),0)</f>
        <v>275</v>
      </c>
      <c r="Z14" s="16" t="e">
        <f>IF(SUM(VLOOKUP($A8,'20Trips'!$A$3:$F$22,2,FALSE),VLOOKUP(#REF!,'20Trips'!$A$3:$F$22,2,FALSE))&lt;=350,10,0)</f>
        <v>#REF!</v>
      </c>
    </row>
    <row r="15" spans="1:26" x14ac:dyDescent="0.25">
      <c r="A15" t="s">
        <v>28</v>
      </c>
      <c r="B15">
        <v>0</v>
      </c>
      <c r="C15">
        <f>IF(AND(SUM(VLOOKUP($A15,'20Trips'!$A$3:$F$22,2,FALSE),VLOOKUP(C$1,'20Trips'!$A$3:$F$22,2,FALSE))&lt;='20Trips'!$AC$38,$A15&lt;&gt;C$1,feasible_mat!C15=1),(VLOOKUP(C$1,'20Trips'!$A$3:$I$22,8,FALSE))-(VLOOKUP($A15,'20Trips'!$A$3:$I$22,9,FALSE)),0)</f>
        <v>0</v>
      </c>
      <c r="D15">
        <f>IF(AND(SUM(VLOOKUP($A15,'20Trips'!$A$3:$F$22,2,FALSE),VLOOKUP(D$1,'20Trips'!$A$3:$F$22,2,FALSE))&lt;='20Trips'!$AC$38,$A15&lt;&gt;D$1,feasible_mat!D15=1),(VLOOKUP(D$1,'20Trips'!$A$3:$I$22,8,FALSE))-(VLOOKUP($A15,'20Trips'!$A$3:$I$22,9,FALSE)),0)</f>
        <v>0</v>
      </c>
      <c r="E15">
        <f>IF(AND(SUM(VLOOKUP($A15,'20Trips'!$A$3:$F$22,2,FALSE),VLOOKUP(E$1,'20Trips'!$A$3:$F$22,2,FALSE))&lt;='20Trips'!$AC$38,$A15&lt;&gt;E$1,feasible_mat!E15=1),(VLOOKUP(E$1,'20Trips'!$A$3:$I$22,8,FALSE))-(VLOOKUP($A15,'20Trips'!$A$3:$I$22,9,FALSE)),0)</f>
        <v>0</v>
      </c>
      <c r="F15">
        <f>IF(AND(SUM(VLOOKUP($A15,'20Trips'!$A$3:$F$22,2,FALSE),VLOOKUP(F$1,'20Trips'!$A$3:$F$22,2,FALSE))&lt;='20Trips'!$AC$38,$A15&lt;&gt;F$1,feasible_mat!F15=1),(VLOOKUP(F$1,'20Trips'!$A$3:$I$22,8,FALSE))-(VLOOKUP($A15,'20Trips'!$A$3:$I$22,9,FALSE)),0)</f>
        <v>65</v>
      </c>
      <c r="G15">
        <f>IF(AND(SUM(VLOOKUP($A15,'20Trips'!$A$3:$F$22,2,FALSE),VLOOKUP(G$1,'20Trips'!$A$3:$F$22,2,FALSE))&lt;='20Trips'!$AC$38,$A15&lt;&gt;G$1,feasible_mat!G15=1),(VLOOKUP(G$1,'20Trips'!$A$3:$I$22,8,FALSE))-(VLOOKUP($A15,'20Trips'!$A$3:$I$22,9,FALSE)),0)</f>
        <v>125</v>
      </c>
      <c r="H15">
        <f>IF(AND(SUM(VLOOKUP($A15,'20Trips'!$A$3:$F$22,2,FALSE),VLOOKUP(H$1,'20Trips'!$A$3:$F$22,2,FALSE))&lt;='20Trips'!$AC$38,$A15&lt;&gt;H$1,feasible_mat!H15=1),(VLOOKUP(H$1,'20Trips'!$A$3:$I$22,8,FALSE))-(VLOOKUP($A15,'20Trips'!$A$3:$I$22,9,FALSE)),0)</f>
        <v>0</v>
      </c>
      <c r="I15">
        <f>IF(AND(SUM(VLOOKUP($A15,'20Trips'!$A$3:$F$22,2,FALSE),VLOOKUP(I$1,'20Trips'!$A$3:$F$22,2,FALSE))&lt;='20Trips'!$AC$38,$A15&lt;&gt;I$1,feasible_mat!I15=1),(VLOOKUP(I$1,'20Trips'!$A$3:$I$22,8,FALSE))-(VLOOKUP($A15,'20Trips'!$A$3:$I$22,9,FALSE)),0)</f>
        <v>0</v>
      </c>
      <c r="J15">
        <f>IF(AND(SUM(VLOOKUP($A15,'20Trips'!$A$3:$F$22,2,FALSE),VLOOKUP(J$1,'20Trips'!$A$3:$F$22,2,FALSE))&lt;='20Trips'!$AC$38,$A15&lt;&gt;J$1,feasible_mat!J15=1),(VLOOKUP(J$1,'20Trips'!$A$3:$I$22,8,FALSE))-(VLOOKUP($A15,'20Trips'!$A$3:$I$22,9,FALSE)),0)</f>
        <v>0</v>
      </c>
      <c r="K15">
        <f>IF(AND(SUM(VLOOKUP($A15,'20Trips'!$A$3:$F$22,2,FALSE),VLOOKUP(K$1,'20Trips'!$A$3:$F$22,2,FALSE))&lt;='20Trips'!$AC$38,$A15&lt;&gt;K$1,feasible_mat!K15=1),(VLOOKUP(K$1,'20Trips'!$A$3:$I$22,8,FALSE))-(VLOOKUP($A15,'20Trips'!$A$3:$I$22,9,FALSE)),0)</f>
        <v>300</v>
      </c>
      <c r="L15">
        <f>IF(AND(SUM(VLOOKUP($A15,'20Trips'!$A$3:$F$22,2,FALSE),VLOOKUP(L$1,'20Trips'!$A$3:$F$22,2,FALSE))&lt;='20Trips'!$AC$38,$A15&lt;&gt;L$1,feasible_mat!L15=1),(VLOOKUP(L$1,'20Trips'!$A$3:$I$22,8,FALSE))-(VLOOKUP($A15,'20Trips'!$A$3:$I$22,9,FALSE)),0)</f>
        <v>360</v>
      </c>
      <c r="M15">
        <f>IF(AND(SUM(VLOOKUP($A15,'20Trips'!$A$3:$F$22,2,FALSE),VLOOKUP(M$1,'20Trips'!$A$3:$F$22,2,FALSE))&lt;='20Trips'!$AC$38,$A15&lt;&gt;M$1,feasible_mat!M15=1),(VLOOKUP(M$1,'20Trips'!$A$3:$I$22,8,FALSE))-(VLOOKUP($A15,'20Trips'!$A$3:$I$22,9,FALSE)),0)</f>
        <v>0</v>
      </c>
      <c r="N15">
        <f>IF(AND(SUM(VLOOKUP($A15,'20Trips'!$A$3:$F$22,2,FALSE),VLOOKUP(N$1,'20Trips'!$A$3:$F$22,2,FALSE))&lt;='20Trips'!$AC$38,$A15&lt;&gt;N$1,feasible_mat!N15=1),(VLOOKUP(N$1,'20Trips'!$A$3:$I$22,8,FALSE))-(VLOOKUP($A15,'20Trips'!$A$3:$I$22,9,FALSE)),0)</f>
        <v>0</v>
      </c>
      <c r="O15">
        <f>IF(AND(SUM(VLOOKUP($A15,'20Trips'!$A$3:$F$22,2,FALSE),VLOOKUP(O$1,'20Trips'!$A$3:$F$22,2,FALSE))&lt;='20Trips'!$AC$38,$A15&lt;&gt;O$1,feasible_mat!O15=1),(VLOOKUP(O$1,'20Trips'!$A$3:$I$22,8,FALSE))-(VLOOKUP($A15,'20Trips'!$A$3:$I$22,9,FALSE)),0)</f>
        <v>0</v>
      </c>
      <c r="P15">
        <f>IF(AND(SUM(VLOOKUP($A15,'20Trips'!$A$3:$F$22,2,FALSE),VLOOKUP(P$1,'20Trips'!$A$3:$F$22,2,FALSE))&lt;='20Trips'!$AC$38,$A15&lt;&gt;P$1,feasible_mat!P15=1),(VLOOKUP(P$1,'20Trips'!$A$3:$I$22,8,FALSE))-(VLOOKUP($A15,'20Trips'!$A$3:$I$22,9,FALSE)),0)</f>
        <v>0</v>
      </c>
      <c r="Q15">
        <f>IF(AND(SUM(VLOOKUP($A15,'20Trips'!$A$3:$F$22,2,FALSE),VLOOKUP(Q$1,'20Trips'!$A$3:$F$22,2,FALSE))&lt;='20Trips'!$AC$38,$A15&lt;&gt;Q$1,feasible_mat!Q15=1),(VLOOKUP(Q$1,'20Trips'!$A$3:$I$22,8,FALSE))-(VLOOKUP($A15,'20Trips'!$A$3:$I$22,9,FALSE)),0)</f>
        <v>45</v>
      </c>
      <c r="R15">
        <f>IF(AND(SUM(VLOOKUP($A15,'20Trips'!$A$3:$F$22,2,FALSE),VLOOKUP(R$1,'20Trips'!$A$3:$F$22,2,FALSE))&lt;='20Trips'!$AC$38,$A15&lt;&gt;R$1,feasible_mat!R15=1),(VLOOKUP(R$1,'20Trips'!$A$3:$I$22,8,FALSE))-(VLOOKUP($A15,'20Trips'!$A$3:$I$22,9,FALSE)),0)</f>
        <v>0</v>
      </c>
      <c r="S15">
        <f>IF(AND(SUM(VLOOKUP($A15,'20Trips'!$A$3:$F$22,2,FALSE),VLOOKUP(S$1,'20Trips'!$A$3:$F$22,2,FALSE))&lt;='20Trips'!$AC$38,$A15&lt;&gt;S$1,feasible_mat!S15=1),(VLOOKUP(S$1,'20Trips'!$A$3:$I$22,8,FALSE))-(VLOOKUP($A15,'20Trips'!$A$3:$I$22,9,FALSE)),0)</f>
        <v>0</v>
      </c>
      <c r="T15">
        <f>IF(AND(SUM(VLOOKUP($A15,'20Trips'!$A$3:$F$22,2,FALSE),VLOOKUP(T$1,'20Trips'!$A$3:$F$22,2,FALSE))&lt;='20Trips'!$AC$38,$A15&lt;&gt;T$1,feasible_mat!T15=1),(VLOOKUP(T$1,'20Trips'!$A$3:$I$22,8,FALSE))-(VLOOKUP($A15,'20Trips'!$A$3:$I$22,9,FALSE)),0)</f>
        <v>0</v>
      </c>
      <c r="U15">
        <f>IF(AND(SUM(VLOOKUP($A15,'20Trips'!$A$3:$F$22,2,FALSE),VLOOKUP(U$1,'20Trips'!$A$3:$F$22,2,FALSE))&lt;='20Trips'!$AC$38,$A15&lt;&gt;U$1,feasible_mat!U15=1),(VLOOKUP(U$1,'20Trips'!$A$3:$I$22,8,FALSE))-(VLOOKUP($A15,'20Trips'!$A$3:$I$22,9,FALSE)),0)</f>
        <v>65</v>
      </c>
      <c r="V15">
        <f>IF(AND(SUM(VLOOKUP($A15,'20Trips'!$A$3:$F$22,2,FALSE),VLOOKUP(V$1,'20Trips'!$A$3:$F$22,2,FALSE))&lt;='20Trips'!$AC$38,$A15&lt;&gt;V$1,feasible_mat!V15=1),(VLOOKUP(V$1,'20Trips'!$A$3:$I$22,8,FALSE))-(VLOOKUP($A15,'20Trips'!$A$3:$I$22,9,FALSE)),0)</f>
        <v>185</v>
      </c>
      <c r="Z15" s="16" t="e">
        <f>SUM(VLOOKUP($A8,'20Trips'!$A$3:$F$22,2,FALSE),VLOOKUP(#REF!,'20Trips'!$A$3:$F$22,2,FALSE))</f>
        <v>#REF!</v>
      </c>
    </row>
    <row r="16" spans="1:26" x14ac:dyDescent="0.25">
      <c r="A16" t="s">
        <v>29</v>
      </c>
      <c r="B16">
        <v>0</v>
      </c>
      <c r="C16">
        <f>IF(AND(SUM(VLOOKUP($A16,'20Trips'!$A$3:$F$22,2,FALSE),VLOOKUP(C$1,'20Trips'!$A$3:$F$22,2,FALSE))&lt;='20Trips'!$AC$38,$A16&lt;&gt;C$1,feasible_mat!C16=1),(VLOOKUP(C$1,'20Trips'!$A$3:$I$22,8,FALSE))-(VLOOKUP($A16,'20Trips'!$A$3:$I$22,9,FALSE)),0)</f>
        <v>0</v>
      </c>
      <c r="D16">
        <f>IF(AND(SUM(VLOOKUP($A16,'20Trips'!$A$3:$F$22,2,FALSE),VLOOKUP(D$1,'20Trips'!$A$3:$F$22,2,FALSE))&lt;='20Trips'!$AC$38,$A16&lt;&gt;D$1,feasible_mat!D16=1),(VLOOKUP(D$1,'20Trips'!$A$3:$I$22,8,FALSE))-(VLOOKUP($A16,'20Trips'!$A$3:$I$22,9,FALSE)),0)</f>
        <v>0</v>
      </c>
      <c r="E16">
        <f>IF(AND(SUM(VLOOKUP($A16,'20Trips'!$A$3:$F$22,2,FALSE),VLOOKUP(E$1,'20Trips'!$A$3:$F$22,2,FALSE))&lt;='20Trips'!$AC$38,$A16&lt;&gt;E$1,feasible_mat!E16=1),(VLOOKUP(E$1,'20Trips'!$A$3:$I$22,8,FALSE))-(VLOOKUP($A16,'20Trips'!$A$3:$I$22,9,FALSE)),0)</f>
        <v>0</v>
      </c>
      <c r="F16">
        <f>IF(AND(SUM(VLOOKUP($A16,'20Trips'!$A$3:$F$22,2,FALSE),VLOOKUP(F$1,'20Trips'!$A$3:$F$22,2,FALSE))&lt;='20Trips'!$AC$38,$A16&lt;&gt;F$1,feasible_mat!F16=1),(VLOOKUP(F$1,'20Trips'!$A$3:$I$22,8,FALSE))-(VLOOKUP($A16,'20Trips'!$A$3:$I$22,9,FALSE)),0)</f>
        <v>0</v>
      </c>
      <c r="G16">
        <f>IF(AND(SUM(VLOOKUP($A16,'20Trips'!$A$3:$F$22,2,FALSE),VLOOKUP(G$1,'20Trips'!$A$3:$F$22,2,FALSE))&lt;='20Trips'!$AC$38,$A16&lt;&gt;G$1,feasible_mat!G16=1),(VLOOKUP(G$1,'20Trips'!$A$3:$I$22,8,FALSE))-(VLOOKUP($A16,'20Trips'!$A$3:$I$22,9,FALSE)),0)</f>
        <v>35</v>
      </c>
      <c r="H16">
        <f>IF(AND(SUM(VLOOKUP($A16,'20Trips'!$A$3:$F$22,2,FALSE),VLOOKUP(H$1,'20Trips'!$A$3:$F$22,2,FALSE))&lt;='20Trips'!$AC$38,$A16&lt;&gt;H$1,feasible_mat!H16=1),(VLOOKUP(H$1,'20Trips'!$A$3:$I$22,8,FALSE))-(VLOOKUP($A16,'20Trips'!$A$3:$I$22,9,FALSE)),0)</f>
        <v>0</v>
      </c>
      <c r="I16">
        <f>IF(AND(SUM(VLOOKUP($A16,'20Trips'!$A$3:$F$22,2,FALSE),VLOOKUP(I$1,'20Trips'!$A$3:$F$22,2,FALSE))&lt;='20Trips'!$AC$38,$A16&lt;&gt;I$1,feasible_mat!I16=1),(VLOOKUP(I$1,'20Trips'!$A$3:$I$22,8,FALSE))-(VLOOKUP($A16,'20Trips'!$A$3:$I$22,9,FALSE)),0)</f>
        <v>0</v>
      </c>
      <c r="J16">
        <f>IF(AND(SUM(VLOOKUP($A16,'20Trips'!$A$3:$F$22,2,FALSE),VLOOKUP(J$1,'20Trips'!$A$3:$F$22,2,FALSE))&lt;='20Trips'!$AC$38,$A16&lt;&gt;J$1,feasible_mat!J16=1),(VLOOKUP(J$1,'20Trips'!$A$3:$I$22,8,FALSE))-(VLOOKUP($A16,'20Trips'!$A$3:$I$22,9,FALSE)),0)</f>
        <v>0</v>
      </c>
      <c r="K16">
        <f>IF(AND(SUM(VLOOKUP($A16,'20Trips'!$A$3:$F$22,2,FALSE),VLOOKUP(K$1,'20Trips'!$A$3:$F$22,2,FALSE))&lt;='20Trips'!$AC$38,$A16&lt;&gt;K$1,feasible_mat!K16=1),(VLOOKUP(K$1,'20Trips'!$A$3:$I$22,8,FALSE))-(VLOOKUP($A16,'20Trips'!$A$3:$I$22,9,FALSE)),0)</f>
        <v>210</v>
      </c>
      <c r="L16">
        <f>IF(AND(SUM(VLOOKUP($A16,'20Trips'!$A$3:$F$22,2,FALSE),VLOOKUP(L$1,'20Trips'!$A$3:$F$22,2,FALSE))&lt;='20Trips'!$AC$38,$A16&lt;&gt;L$1,feasible_mat!L16=1),(VLOOKUP(L$1,'20Trips'!$A$3:$I$22,8,FALSE))-(VLOOKUP($A16,'20Trips'!$A$3:$I$22,9,FALSE)),0)</f>
        <v>270</v>
      </c>
      <c r="M16">
        <f>IF(AND(SUM(VLOOKUP($A16,'20Trips'!$A$3:$F$22,2,FALSE),VLOOKUP(M$1,'20Trips'!$A$3:$F$22,2,FALSE))&lt;='20Trips'!$AC$38,$A16&lt;&gt;M$1,feasible_mat!M16=1),(VLOOKUP(M$1,'20Trips'!$A$3:$I$22,8,FALSE))-(VLOOKUP($A16,'20Trips'!$A$3:$I$22,9,FALSE)),0)</f>
        <v>0</v>
      </c>
      <c r="N16">
        <f>IF(AND(SUM(VLOOKUP($A16,'20Trips'!$A$3:$F$22,2,FALSE),VLOOKUP(N$1,'20Trips'!$A$3:$F$22,2,FALSE))&lt;='20Trips'!$AC$38,$A16&lt;&gt;N$1,feasible_mat!N16=1),(VLOOKUP(N$1,'20Trips'!$A$3:$I$22,8,FALSE))-(VLOOKUP($A16,'20Trips'!$A$3:$I$22,9,FALSE)),0)</f>
        <v>0</v>
      </c>
      <c r="O16">
        <f>IF(AND(SUM(VLOOKUP($A16,'20Trips'!$A$3:$F$22,2,FALSE),VLOOKUP(O$1,'20Trips'!$A$3:$F$22,2,FALSE))&lt;='20Trips'!$AC$38,$A16&lt;&gt;O$1,feasible_mat!O16=1),(VLOOKUP(O$1,'20Trips'!$A$3:$I$22,8,FALSE))-(VLOOKUP($A16,'20Trips'!$A$3:$I$22,9,FALSE)),0)</f>
        <v>0</v>
      </c>
      <c r="P16">
        <f>IF(AND(SUM(VLOOKUP($A16,'20Trips'!$A$3:$F$22,2,FALSE),VLOOKUP(P$1,'20Trips'!$A$3:$F$22,2,FALSE))&lt;='20Trips'!$AC$38,$A16&lt;&gt;P$1,feasible_mat!P16=1),(VLOOKUP(P$1,'20Trips'!$A$3:$I$22,8,FALSE))-(VLOOKUP($A16,'20Trips'!$A$3:$I$22,9,FALSE)),0)</f>
        <v>0</v>
      </c>
      <c r="Q16">
        <f>IF(AND(SUM(VLOOKUP($A16,'20Trips'!$A$3:$F$22,2,FALSE),VLOOKUP(Q$1,'20Trips'!$A$3:$F$22,2,FALSE))&lt;='20Trips'!$AC$38,$A16&lt;&gt;Q$1,feasible_mat!Q16=1),(VLOOKUP(Q$1,'20Trips'!$A$3:$I$22,8,FALSE))-(VLOOKUP($A16,'20Trips'!$A$3:$I$22,9,FALSE)),0)</f>
        <v>0</v>
      </c>
      <c r="R16">
        <f>IF(AND(SUM(VLOOKUP($A16,'20Trips'!$A$3:$F$22,2,FALSE),VLOOKUP(R$1,'20Trips'!$A$3:$F$22,2,FALSE))&lt;='20Trips'!$AC$38,$A16&lt;&gt;R$1,feasible_mat!R16=1),(VLOOKUP(R$1,'20Trips'!$A$3:$I$22,8,FALSE))-(VLOOKUP($A16,'20Trips'!$A$3:$I$22,9,FALSE)),0)</f>
        <v>0</v>
      </c>
      <c r="S16">
        <f>IF(AND(SUM(VLOOKUP($A16,'20Trips'!$A$3:$F$22,2,FALSE),VLOOKUP(S$1,'20Trips'!$A$3:$F$22,2,FALSE))&lt;='20Trips'!$AC$38,$A16&lt;&gt;S$1,feasible_mat!S16=1),(VLOOKUP(S$1,'20Trips'!$A$3:$I$22,8,FALSE))-(VLOOKUP($A16,'20Trips'!$A$3:$I$22,9,FALSE)),0)</f>
        <v>0</v>
      </c>
      <c r="T16">
        <f>IF(AND(SUM(VLOOKUP($A16,'20Trips'!$A$3:$F$22,2,FALSE),VLOOKUP(T$1,'20Trips'!$A$3:$F$22,2,FALSE))&lt;='20Trips'!$AC$38,$A16&lt;&gt;T$1,feasible_mat!T16=1),(VLOOKUP(T$1,'20Trips'!$A$3:$I$22,8,FALSE))-(VLOOKUP($A16,'20Trips'!$A$3:$I$22,9,FALSE)),0)</f>
        <v>0</v>
      </c>
      <c r="U16">
        <f>IF(AND(SUM(VLOOKUP($A16,'20Trips'!$A$3:$F$22,2,FALSE),VLOOKUP(U$1,'20Trips'!$A$3:$F$22,2,FALSE))&lt;='20Trips'!$AC$38,$A16&lt;&gt;U$1,feasible_mat!U16=1),(VLOOKUP(U$1,'20Trips'!$A$3:$I$22,8,FALSE))-(VLOOKUP($A16,'20Trips'!$A$3:$I$22,9,FALSE)),0)</f>
        <v>0</v>
      </c>
      <c r="V16">
        <f>IF(AND(SUM(VLOOKUP($A16,'20Trips'!$A$3:$F$22,2,FALSE),VLOOKUP(V$1,'20Trips'!$A$3:$F$22,2,FALSE))&lt;='20Trips'!$AC$38,$A16&lt;&gt;V$1,feasible_mat!V16=1),(VLOOKUP(V$1,'20Trips'!$A$3:$I$22,8,FALSE))-(VLOOKUP($A16,'20Trips'!$A$3:$I$22,9,FALSE)),0)</f>
        <v>95</v>
      </c>
    </row>
    <row r="17" spans="1:26" x14ac:dyDescent="0.25">
      <c r="A17" t="s">
        <v>30</v>
      </c>
      <c r="B17">
        <v>0</v>
      </c>
      <c r="C17">
        <f>IF(AND(SUM(VLOOKUP($A17,'20Trips'!$A$3:$F$22,2,FALSE),VLOOKUP(C$1,'20Trips'!$A$3:$F$22,2,FALSE))&lt;='20Trips'!$AC$38,$A17&lt;&gt;C$1,feasible_mat!C17=1),(VLOOKUP(C$1,'20Trips'!$A$3:$I$22,8,FALSE))-(VLOOKUP($A17,'20Trips'!$A$3:$I$22,9,FALSE)),0)</f>
        <v>0</v>
      </c>
      <c r="D17">
        <f>IF(AND(SUM(VLOOKUP($A17,'20Trips'!$A$3:$F$22,2,FALSE),VLOOKUP(D$1,'20Trips'!$A$3:$F$22,2,FALSE))&lt;='20Trips'!$AC$38,$A17&lt;&gt;D$1,feasible_mat!D17=1),(VLOOKUP(D$1,'20Trips'!$A$3:$I$22,8,FALSE))-(VLOOKUP($A17,'20Trips'!$A$3:$I$22,9,FALSE)),0)</f>
        <v>0</v>
      </c>
      <c r="E17">
        <f>IF(AND(SUM(VLOOKUP($A17,'20Trips'!$A$3:$F$22,2,FALSE),VLOOKUP(E$1,'20Trips'!$A$3:$F$22,2,FALSE))&lt;='20Trips'!$AC$38,$A17&lt;&gt;E$1,feasible_mat!E17=1),(VLOOKUP(E$1,'20Trips'!$A$3:$I$22,8,FALSE))-(VLOOKUP($A17,'20Trips'!$A$3:$I$22,9,FALSE)),0)</f>
        <v>0</v>
      </c>
      <c r="F17">
        <f>IF(AND(SUM(VLOOKUP($A17,'20Trips'!$A$3:$F$22,2,FALSE),VLOOKUP(F$1,'20Trips'!$A$3:$F$22,2,FALSE))&lt;='20Trips'!$AC$38,$A17&lt;&gt;F$1,feasible_mat!F17=1),(VLOOKUP(F$1,'20Trips'!$A$3:$I$22,8,FALSE))-(VLOOKUP($A17,'20Trips'!$A$3:$I$22,9,FALSE)),0)</f>
        <v>0</v>
      </c>
      <c r="G17">
        <f>IF(AND(SUM(VLOOKUP($A17,'20Trips'!$A$3:$F$22,2,FALSE),VLOOKUP(G$1,'20Trips'!$A$3:$F$22,2,FALSE))&lt;='20Trips'!$AC$38,$A17&lt;&gt;G$1,feasible_mat!G17=1),(VLOOKUP(G$1,'20Trips'!$A$3:$I$22,8,FALSE))-(VLOOKUP($A17,'20Trips'!$A$3:$I$22,9,FALSE)),0)</f>
        <v>0</v>
      </c>
      <c r="H17">
        <f>IF(AND(SUM(VLOOKUP($A17,'20Trips'!$A$3:$F$22,2,FALSE),VLOOKUP(H$1,'20Trips'!$A$3:$F$22,2,FALSE))&lt;='20Trips'!$AC$38,$A17&lt;&gt;H$1,feasible_mat!H17=1),(VLOOKUP(H$1,'20Trips'!$A$3:$I$22,8,FALSE))-(VLOOKUP($A17,'20Trips'!$A$3:$I$22,9,FALSE)),0)</f>
        <v>0</v>
      </c>
      <c r="I17">
        <f>IF(AND(SUM(VLOOKUP($A17,'20Trips'!$A$3:$F$22,2,FALSE),VLOOKUP(I$1,'20Trips'!$A$3:$F$22,2,FALSE))&lt;='20Trips'!$AC$38,$A17&lt;&gt;I$1,feasible_mat!I17=1),(VLOOKUP(I$1,'20Trips'!$A$3:$I$22,8,FALSE))-(VLOOKUP($A17,'20Trips'!$A$3:$I$22,9,FALSE)),0)</f>
        <v>0</v>
      </c>
      <c r="J17">
        <f>IF(AND(SUM(VLOOKUP($A17,'20Trips'!$A$3:$F$22,2,FALSE),VLOOKUP(J$1,'20Trips'!$A$3:$F$22,2,FALSE))&lt;='20Trips'!$AC$38,$A17&lt;&gt;J$1,feasible_mat!J17=1),(VLOOKUP(J$1,'20Trips'!$A$3:$I$22,8,FALSE))-(VLOOKUP($A17,'20Trips'!$A$3:$I$22,9,FALSE)),0)</f>
        <v>0</v>
      </c>
      <c r="K17">
        <f>IF(AND(SUM(VLOOKUP($A17,'20Trips'!$A$3:$F$22,2,FALSE),VLOOKUP(K$1,'20Trips'!$A$3:$F$22,2,FALSE))&lt;='20Trips'!$AC$38,$A17&lt;&gt;K$1,feasible_mat!K17=1),(VLOOKUP(K$1,'20Trips'!$A$3:$I$22,8,FALSE))-(VLOOKUP($A17,'20Trips'!$A$3:$I$22,9,FALSE)),0)</f>
        <v>120</v>
      </c>
      <c r="L17">
        <f>IF(AND(SUM(VLOOKUP($A17,'20Trips'!$A$3:$F$22,2,FALSE),VLOOKUP(L$1,'20Trips'!$A$3:$F$22,2,FALSE))&lt;='20Trips'!$AC$38,$A17&lt;&gt;L$1,feasible_mat!L17=1),(VLOOKUP(L$1,'20Trips'!$A$3:$I$22,8,FALSE))-(VLOOKUP($A17,'20Trips'!$A$3:$I$22,9,FALSE)),0)</f>
        <v>180</v>
      </c>
      <c r="M17">
        <f>IF(AND(SUM(VLOOKUP($A17,'20Trips'!$A$3:$F$22,2,FALSE),VLOOKUP(M$1,'20Trips'!$A$3:$F$22,2,FALSE))&lt;='20Trips'!$AC$38,$A17&lt;&gt;M$1,feasible_mat!M17=1),(VLOOKUP(M$1,'20Trips'!$A$3:$I$22,8,FALSE))-(VLOOKUP($A17,'20Trips'!$A$3:$I$22,9,FALSE)),0)</f>
        <v>0</v>
      </c>
      <c r="N17">
        <f>IF(AND(SUM(VLOOKUP($A17,'20Trips'!$A$3:$F$22,2,FALSE),VLOOKUP(N$1,'20Trips'!$A$3:$F$22,2,FALSE))&lt;='20Trips'!$AC$38,$A17&lt;&gt;N$1,feasible_mat!N17=1),(VLOOKUP(N$1,'20Trips'!$A$3:$I$22,8,FALSE))-(VLOOKUP($A17,'20Trips'!$A$3:$I$22,9,FALSE)),0)</f>
        <v>0</v>
      </c>
      <c r="O17">
        <f>IF(AND(SUM(VLOOKUP($A17,'20Trips'!$A$3:$F$22,2,FALSE),VLOOKUP(O$1,'20Trips'!$A$3:$F$22,2,FALSE))&lt;='20Trips'!$AC$38,$A17&lt;&gt;O$1,feasible_mat!O17=1),(VLOOKUP(O$1,'20Trips'!$A$3:$I$22,8,FALSE))-(VLOOKUP($A17,'20Trips'!$A$3:$I$22,9,FALSE)),0)</f>
        <v>0</v>
      </c>
      <c r="P17">
        <f>IF(AND(SUM(VLOOKUP($A17,'20Trips'!$A$3:$F$22,2,FALSE),VLOOKUP(P$1,'20Trips'!$A$3:$F$22,2,FALSE))&lt;='20Trips'!$AC$38,$A17&lt;&gt;P$1,feasible_mat!P17=1),(VLOOKUP(P$1,'20Trips'!$A$3:$I$22,8,FALSE))-(VLOOKUP($A17,'20Trips'!$A$3:$I$22,9,FALSE)),0)</f>
        <v>0</v>
      </c>
      <c r="Q17">
        <f>IF(AND(SUM(VLOOKUP($A17,'20Trips'!$A$3:$F$22,2,FALSE),VLOOKUP(Q$1,'20Trips'!$A$3:$F$22,2,FALSE))&lt;='20Trips'!$AC$38,$A17&lt;&gt;Q$1,feasible_mat!Q17=1),(VLOOKUP(Q$1,'20Trips'!$A$3:$I$22,8,FALSE))-(VLOOKUP($A17,'20Trips'!$A$3:$I$22,9,FALSE)),0)</f>
        <v>0</v>
      </c>
      <c r="R17">
        <f>IF(AND(SUM(VLOOKUP($A17,'20Trips'!$A$3:$F$22,2,FALSE),VLOOKUP(R$1,'20Trips'!$A$3:$F$22,2,FALSE))&lt;='20Trips'!$AC$38,$A17&lt;&gt;R$1,feasible_mat!R17=1),(VLOOKUP(R$1,'20Trips'!$A$3:$I$22,8,FALSE))-(VLOOKUP($A17,'20Trips'!$A$3:$I$22,9,FALSE)),0)</f>
        <v>0</v>
      </c>
      <c r="S17">
        <f>IF(AND(SUM(VLOOKUP($A17,'20Trips'!$A$3:$F$22,2,FALSE),VLOOKUP(S$1,'20Trips'!$A$3:$F$22,2,FALSE))&lt;='20Trips'!$AC$38,$A17&lt;&gt;S$1,feasible_mat!S17=1),(VLOOKUP(S$1,'20Trips'!$A$3:$I$22,8,FALSE))-(VLOOKUP($A17,'20Trips'!$A$3:$I$22,9,FALSE)),0)</f>
        <v>0</v>
      </c>
      <c r="T17">
        <f>IF(AND(SUM(VLOOKUP($A17,'20Trips'!$A$3:$F$22,2,FALSE),VLOOKUP(T$1,'20Trips'!$A$3:$F$22,2,FALSE))&lt;='20Trips'!$AC$38,$A17&lt;&gt;T$1,feasible_mat!T17=1),(VLOOKUP(T$1,'20Trips'!$A$3:$I$22,8,FALSE))-(VLOOKUP($A17,'20Trips'!$A$3:$I$22,9,FALSE)),0)</f>
        <v>0</v>
      </c>
      <c r="U17">
        <f>IF(AND(SUM(VLOOKUP($A17,'20Trips'!$A$3:$F$22,2,FALSE),VLOOKUP(U$1,'20Trips'!$A$3:$F$22,2,FALSE))&lt;='20Trips'!$AC$38,$A17&lt;&gt;U$1,feasible_mat!U17=1),(VLOOKUP(U$1,'20Trips'!$A$3:$I$22,8,FALSE))-(VLOOKUP($A17,'20Trips'!$A$3:$I$22,9,FALSE)),0)</f>
        <v>0</v>
      </c>
      <c r="V17">
        <f>IF(AND(SUM(VLOOKUP($A17,'20Trips'!$A$3:$F$22,2,FALSE),VLOOKUP(V$1,'20Trips'!$A$3:$F$22,2,FALSE))&lt;='20Trips'!$AC$38,$A17&lt;&gt;V$1,feasible_mat!V17=1),(VLOOKUP(V$1,'20Trips'!$A$3:$I$22,8,FALSE))-(VLOOKUP($A17,'20Trips'!$A$3:$I$22,9,FALSE)),0)</f>
        <v>0</v>
      </c>
      <c r="Z17" s="16" t="e">
        <f>VLOOKUP(#REF!,'20Trips'!$A$3:$I$22,8,FALSE)</f>
        <v>#REF!</v>
      </c>
    </row>
    <row r="18" spans="1:26" x14ac:dyDescent="0.25">
      <c r="A18" t="s">
        <v>34</v>
      </c>
      <c r="B18">
        <v>0</v>
      </c>
      <c r="C18">
        <f>IF(AND(SUM(VLOOKUP($A18,'20Trips'!$A$3:$F$22,2,FALSE),VLOOKUP(C$1,'20Trips'!$A$3:$F$22,2,FALSE))&lt;='20Trips'!$AC$38,$A18&lt;&gt;C$1,feasible_mat!C18=1),(VLOOKUP(C$1,'20Trips'!$A$3:$I$22,8,FALSE))-(VLOOKUP($A18,'20Trips'!$A$3:$I$22,9,FALSE)),0)</f>
        <v>0</v>
      </c>
      <c r="D18">
        <f>IF(AND(SUM(VLOOKUP($A18,'20Trips'!$A$3:$F$22,2,FALSE),VLOOKUP(D$1,'20Trips'!$A$3:$F$22,2,FALSE))&lt;='20Trips'!$AC$38,$A18&lt;&gt;D$1,feasible_mat!D18=1),(VLOOKUP(D$1,'20Trips'!$A$3:$I$22,8,FALSE))-(VLOOKUP($A18,'20Trips'!$A$3:$I$22,9,FALSE)),0)</f>
        <v>30</v>
      </c>
      <c r="E18">
        <f>IF(AND(SUM(VLOOKUP($A18,'20Trips'!$A$3:$F$22,2,FALSE),VLOOKUP(E$1,'20Trips'!$A$3:$F$22,2,FALSE))&lt;='20Trips'!$AC$38,$A18&lt;&gt;E$1,feasible_mat!E18=1),(VLOOKUP(E$1,'20Trips'!$A$3:$I$22,8,FALSE))-(VLOOKUP($A18,'20Trips'!$A$3:$I$22,9,FALSE)),0)</f>
        <v>120</v>
      </c>
      <c r="F18">
        <f>IF(AND(SUM(VLOOKUP($A18,'20Trips'!$A$3:$F$22,2,FALSE),VLOOKUP(F$1,'20Trips'!$A$3:$F$22,2,FALSE))&lt;='20Trips'!$AC$38,$A18&lt;&gt;F$1,feasible_mat!F18=1),(VLOOKUP(F$1,'20Trips'!$A$3:$I$22,8,FALSE))-(VLOOKUP($A18,'20Trips'!$A$3:$I$22,9,FALSE)),0)</f>
        <v>210</v>
      </c>
      <c r="G18">
        <f>IF(AND(SUM(VLOOKUP($A18,'20Trips'!$A$3:$F$22,2,FALSE),VLOOKUP(G$1,'20Trips'!$A$3:$F$22,2,FALSE))&lt;='20Trips'!$AC$38,$A18&lt;&gt;G$1,feasible_mat!G18=1),(VLOOKUP(G$1,'20Trips'!$A$3:$I$22,8,FALSE))-(VLOOKUP($A18,'20Trips'!$A$3:$I$22,9,FALSE)),0)</f>
        <v>270</v>
      </c>
      <c r="H18">
        <f>IF(AND(SUM(VLOOKUP($A18,'20Trips'!$A$3:$F$22,2,FALSE),VLOOKUP(H$1,'20Trips'!$A$3:$F$22,2,FALSE))&lt;='20Trips'!$AC$38,$A18&lt;&gt;H$1,feasible_mat!H18=1),(VLOOKUP(H$1,'20Trips'!$A$3:$I$22,8,FALSE))-(VLOOKUP($A18,'20Trips'!$A$3:$I$22,9,FALSE)),0)</f>
        <v>0</v>
      </c>
      <c r="I18">
        <f>IF(AND(SUM(VLOOKUP($A18,'20Trips'!$A$3:$F$22,2,FALSE),VLOOKUP(I$1,'20Trips'!$A$3:$F$22,2,FALSE))&lt;='20Trips'!$AC$38,$A18&lt;&gt;I$1,feasible_mat!I18=1),(VLOOKUP(I$1,'20Trips'!$A$3:$I$22,8,FALSE))-(VLOOKUP($A18,'20Trips'!$A$3:$I$22,9,FALSE)),0)</f>
        <v>0</v>
      </c>
      <c r="J18">
        <f>IF(AND(SUM(VLOOKUP($A18,'20Trips'!$A$3:$F$22,2,FALSE),VLOOKUP(J$1,'20Trips'!$A$3:$F$22,2,FALSE))&lt;='20Trips'!$AC$38,$A18&lt;&gt;J$1,feasible_mat!J18=1),(VLOOKUP(J$1,'20Trips'!$A$3:$I$22,8,FALSE))-(VLOOKUP($A18,'20Trips'!$A$3:$I$22,9,FALSE)),0)</f>
        <v>85</v>
      </c>
      <c r="K18">
        <f>IF(AND(SUM(VLOOKUP($A18,'20Trips'!$A$3:$F$22,2,FALSE),VLOOKUP(K$1,'20Trips'!$A$3:$F$22,2,FALSE))&lt;='20Trips'!$AC$38,$A18&lt;&gt;K$1,feasible_mat!K18=1),(VLOOKUP(K$1,'20Trips'!$A$3:$I$22,8,FALSE))-(VLOOKUP($A18,'20Trips'!$A$3:$I$22,9,FALSE)),0)</f>
        <v>445</v>
      </c>
      <c r="L18">
        <f>IF(AND(SUM(VLOOKUP($A18,'20Trips'!$A$3:$F$22,2,FALSE),VLOOKUP(L$1,'20Trips'!$A$3:$F$22,2,FALSE))&lt;='20Trips'!$AC$38,$A18&lt;&gt;L$1,feasible_mat!L18=1),(VLOOKUP(L$1,'20Trips'!$A$3:$I$22,8,FALSE))-(VLOOKUP($A18,'20Trips'!$A$3:$I$22,9,FALSE)),0)</f>
        <v>505</v>
      </c>
      <c r="M18">
        <f>IF(AND(SUM(VLOOKUP($A18,'20Trips'!$A$3:$F$22,2,FALSE),VLOOKUP(M$1,'20Trips'!$A$3:$F$22,2,FALSE))&lt;='20Trips'!$AC$38,$A18&lt;&gt;M$1,feasible_mat!M18=1),(VLOOKUP(M$1,'20Trips'!$A$3:$I$22,8,FALSE))-(VLOOKUP($A18,'20Trips'!$A$3:$I$22,9,FALSE)),0)</f>
        <v>0</v>
      </c>
      <c r="N18">
        <f>IF(AND(SUM(VLOOKUP($A18,'20Trips'!$A$3:$F$22,2,FALSE),VLOOKUP(N$1,'20Trips'!$A$3:$F$22,2,FALSE))&lt;='20Trips'!$AC$38,$A18&lt;&gt;N$1,feasible_mat!N18=1),(VLOOKUP(N$1,'20Trips'!$A$3:$I$22,8,FALSE))-(VLOOKUP($A18,'20Trips'!$A$3:$I$22,9,FALSE)),0)</f>
        <v>0</v>
      </c>
      <c r="O18">
        <f>IF(AND(SUM(VLOOKUP($A18,'20Trips'!$A$3:$F$22,2,FALSE),VLOOKUP(O$1,'20Trips'!$A$3:$F$22,2,FALSE))&lt;='20Trips'!$AC$38,$A18&lt;&gt;O$1,feasible_mat!O18=1),(VLOOKUP(O$1,'20Trips'!$A$3:$I$22,8,FALSE))-(VLOOKUP($A18,'20Trips'!$A$3:$I$22,9,FALSE)),0)</f>
        <v>0</v>
      </c>
      <c r="P18">
        <f>IF(AND(SUM(VLOOKUP($A18,'20Trips'!$A$3:$F$22,2,FALSE),VLOOKUP(P$1,'20Trips'!$A$3:$F$22,2,FALSE))&lt;='20Trips'!$AC$38,$A18&lt;&gt;P$1,feasible_mat!P18=1),(VLOOKUP(P$1,'20Trips'!$A$3:$I$22,8,FALSE))-(VLOOKUP($A18,'20Trips'!$A$3:$I$22,9,FALSE)),0)</f>
        <v>100</v>
      </c>
      <c r="Q18">
        <f>IF(AND(SUM(VLOOKUP($A18,'20Trips'!$A$3:$F$22,2,FALSE),VLOOKUP(Q$1,'20Trips'!$A$3:$F$22,2,FALSE))&lt;='20Trips'!$AC$38,$A18&lt;&gt;Q$1,feasible_mat!Q18=1),(VLOOKUP(Q$1,'20Trips'!$A$3:$I$22,8,FALSE))-(VLOOKUP($A18,'20Trips'!$A$3:$I$22,9,FALSE)),0)</f>
        <v>190</v>
      </c>
      <c r="R18">
        <f>IF(AND(SUM(VLOOKUP($A18,'20Trips'!$A$3:$F$22,2,FALSE),VLOOKUP(R$1,'20Trips'!$A$3:$F$22,2,FALSE))&lt;='20Trips'!$AC$38,$A18&lt;&gt;R$1,feasible_mat!R18=1),(VLOOKUP(R$1,'20Trips'!$A$3:$I$22,8,FALSE))-(VLOOKUP($A18,'20Trips'!$A$3:$I$22,9,FALSE)),0)</f>
        <v>0</v>
      </c>
      <c r="S18">
        <f>IF(AND(SUM(VLOOKUP($A18,'20Trips'!$A$3:$F$22,2,FALSE),VLOOKUP(S$1,'20Trips'!$A$3:$F$22,2,FALSE))&lt;='20Trips'!$AC$38,$A18&lt;&gt;S$1,feasible_mat!S18=1),(VLOOKUP(S$1,'20Trips'!$A$3:$I$22,8,FALSE))-(VLOOKUP($A18,'20Trips'!$A$3:$I$22,9,FALSE)),0)</f>
        <v>30</v>
      </c>
      <c r="T18">
        <f>IF(AND(SUM(VLOOKUP($A18,'20Trips'!$A$3:$F$22,2,FALSE),VLOOKUP(T$1,'20Trips'!$A$3:$F$22,2,FALSE))&lt;='20Trips'!$AC$38,$A18&lt;&gt;T$1,feasible_mat!T18=1),(VLOOKUP(T$1,'20Trips'!$A$3:$I$22,8,FALSE))-(VLOOKUP($A18,'20Trips'!$A$3:$I$22,9,FALSE)),0)</f>
        <v>150</v>
      </c>
      <c r="U18">
        <f>IF(AND(SUM(VLOOKUP($A18,'20Trips'!$A$3:$F$22,2,FALSE),VLOOKUP(U$1,'20Trips'!$A$3:$F$22,2,FALSE))&lt;='20Trips'!$AC$38,$A18&lt;&gt;U$1,feasible_mat!U18=1),(VLOOKUP(U$1,'20Trips'!$A$3:$I$22,8,FALSE))-(VLOOKUP($A18,'20Trips'!$A$3:$I$22,9,FALSE)),0)</f>
        <v>210</v>
      </c>
      <c r="V18">
        <f>IF(AND(SUM(VLOOKUP($A18,'20Trips'!$A$3:$F$22,2,FALSE),VLOOKUP(V$1,'20Trips'!$A$3:$F$22,2,FALSE))&lt;='20Trips'!$AC$38,$A18&lt;&gt;V$1,feasible_mat!V18=1),(VLOOKUP(V$1,'20Trips'!$A$3:$I$22,8,FALSE))-(VLOOKUP($A18,'20Trips'!$A$3:$I$22,9,FALSE)),0)</f>
        <v>330</v>
      </c>
    </row>
    <row r="19" spans="1:26" x14ac:dyDescent="0.25">
      <c r="A19" t="s">
        <v>35</v>
      </c>
      <c r="B19">
        <v>0</v>
      </c>
      <c r="C19">
        <f>IF(AND(SUM(VLOOKUP($A19,'20Trips'!$A$3:$F$22,2,FALSE),VLOOKUP(C$1,'20Trips'!$A$3:$F$22,2,FALSE))&lt;='20Trips'!$AC$38,$A19&lt;&gt;C$1,feasible_mat!C19=1),(VLOOKUP(C$1,'20Trips'!$A$3:$I$22,8,FALSE))-(VLOOKUP($A19,'20Trips'!$A$3:$I$22,9,FALSE)),0)</f>
        <v>0</v>
      </c>
      <c r="D19">
        <f>IF(AND(SUM(VLOOKUP($A19,'20Trips'!$A$3:$F$22,2,FALSE),VLOOKUP(D$1,'20Trips'!$A$3:$F$22,2,FALSE))&lt;='20Trips'!$AC$38,$A19&lt;&gt;D$1,feasible_mat!D19=1),(VLOOKUP(D$1,'20Trips'!$A$3:$I$22,8,FALSE))-(VLOOKUP($A19,'20Trips'!$A$3:$I$22,9,FALSE)),0)</f>
        <v>0</v>
      </c>
      <c r="E19">
        <f>IF(AND(SUM(VLOOKUP($A19,'20Trips'!$A$3:$F$22,2,FALSE),VLOOKUP(E$1,'20Trips'!$A$3:$F$22,2,FALSE))&lt;='20Trips'!$AC$38,$A19&lt;&gt;E$1,feasible_mat!E19=1),(VLOOKUP(E$1,'20Trips'!$A$3:$I$22,8,FALSE))-(VLOOKUP($A19,'20Trips'!$A$3:$I$22,9,FALSE)),0)</f>
        <v>0</v>
      </c>
      <c r="F19">
        <f>IF(AND(SUM(VLOOKUP($A19,'20Trips'!$A$3:$F$22,2,FALSE),VLOOKUP(F$1,'20Trips'!$A$3:$F$22,2,FALSE))&lt;='20Trips'!$AC$38,$A19&lt;&gt;F$1,feasible_mat!F19=1),(VLOOKUP(F$1,'20Trips'!$A$3:$I$22,8,FALSE))-(VLOOKUP($A19,'20Trips'!$A$3:$I$22,9,FALSE)),0)</f>
        <v>40</v>
      </c>
      <c r="G19">
        <f>IF(AND(SUM(VLOOKUP($A19,'20Trips'!$A$3:$F$22,2,FALSE),VLOOKUP(G$1,'20Trips'!$A$3:$F$22,2,FALSE))&lt;='20Trips'!$AC$38,$A19&lt;&gt;G$1,feasible_mat!G19=1),(VLOOKUP(G$1,'20Trips'!$A$3:$I$22,8,FALSE))-(VLOOKUP($A19,'20Trips'!$A$3:$I$22,9,FALSE)),0)</f>
        <v>100</v>
      </c>
      <c r="H19">
        <f>IF(AND(SUM(VLOOKUP($A19,'20Trips'!$A$3:$F$22,2,FALSE),VLOOKUP(H$1,'20Trips'!$A$3:$F$22,2,FALSE))&lt;='20Trips'!$AC$38,$A19&lt;&gt;H$1,feasible_mat!H19=1),(VLOOKUP(H$1,'20Trips'!$A$3:$I$22,8,FALSE))-(VLOOKUP($A19,'20Trips'!$A$3:$I$22,9,FALSE)),0)</f>
        <v>0</v>
      </c>
      <c r="I19">
        <f>IF(AND(SUM(VLOOKUP($A19,'20Trips'!$A$3:$F$22,2,FALSE),VLOOKUP(I$1,'20Trips'!$A$3:$F$22,2,FALSE))&lt;='20Trips'!$AC$38,$A19&lt;&gt;I$1,feasible_mat!I19=1),(VLOOKUP(I$1,'20Trips'!$A$3:$I$22,8,FALSE))-(VLOOKUP($A19,'20Trips'!$A$3:$I$22,9,FALSE)),0)</f>
        <v>0</v>
      </c>
      <c r="J19">
        <f>IF(AND(SUM(VLOOKUP($A19,'20Trips'!$A$3:$F$22,2,FALSE),VLOOKUP(J$1,'20Trips'!$A$3:$F$22,2,FALSE))&lt;='20Trips'!$AC$38,$A19&lt;&gt;J$1,feasible_mat!J19=1),(VLOOKUP(J$1,'20Trips'!$A$3:$I$22,8,FALSE))-(VLOOKUP($A19,'20Trips'!$A$3:$I$22,9,FALSE)),0)</f>
        <v>0</v>
      </c>
      <c r="K19">
        <f>IF(AND(SUM(VLOOKUP($A19,'20Trips'!$A$3:$F$22,2,FALSE),VLOOKUP(K$1,'20Trips'!$A$3:$F$22,2,FALSE))&lt;='20Trips'!$AC$38,$A19&lt;&gt;K$1,feasible_mat!K19=1),(VLOOKUP(K$1,'20Trips'!$A$3:$I$22,8,FALSE))-(VLOOKUP($A19,'20Trips'!$A$3:$I$22,9,FALSE)),0)</f>
        <v>275</v>
      </c>
      <c r="L19">
        <f>IF(AND(SUM(VLOOKUP($A19,'20Trips'!$A$3:$F$22,2,FALSE),VLOOKUP(L$1,'20Trips'!$A$3:$F$22,2,FALSE))&lt;='20Trips'!$AC$38,$A19&lt;&gt;L$1,feasible_mat!L19=1),(VLOOKUP(L$1,'20Trips'!$A$3:$I$22,8,FALSE))-(VLOOKUP($A19,'20Trips'!$A$3:$I$22,9,FALSE)),0)</f>
        <v>335</v>
      </c>
      <c r="M19">
        <f>IF(AND(SUM(VLOOKUP($A19,'20Trips'!$A$3:$F$22,2,FALSE),VLOOKUP(M$1,'20Trips'!$A$3:$F$22,2,FALSE))&lt;='20Trips'!$AC$38,$A19&lt;&gt;M$1,feasible_mat!M19=1),(VLOOKUP(M$1,'20Trips'!$A$3:$I$22,8,FALSE))-(VLOOKUP($A19,'20Trips'!$A$3:$I$22,9,FALSE)),0)</f>
        <v>0</v>
      </c>
      <c r="N19">
        <f>IF(AND(SUM(VLOOKUP($A19,'20Trips'!$A$3:$F$22,2,FALSE),VLOOKUP(N$1,'20Trips'!$A$3:$F$22,2,FALSE))&lt;='20Trips'!$AC$38,$A19&lt;&gt;N$1,feasible_mat!N19=1),(VLOOKUP(N$1,'20Trips'!$A$3:$I$22,8,FALSE))-(VLOOKUP($A19,'20Trips'!$A$3:$I$22,9,FALSE)),0)</f>
        <v>0</v>
      </c>
      <c r="O19">
        <f>IF(AND(SUM(VLOOKUP($A19,'20Trips'!$A$3:$F$22,2,FALSE),VLOOKUP(O$1,'20Trips'!$A$3:$F$22,2,FALSE))&lt;='20Trips'!$AC$38,$A19&lt;&gt;O$1,feasible_mat!O19=1),(VLOOKUP(O$1,'20Trips'!$A$3:$I$22,8,FALSE))-(VLOOKUP($A19,'20Trips'!$A$3:$I$22,9,FALSE)),0)</f>
        <v>0</v>
      </c>
      <c r="P19">
        <f>IF(AND(SUM(VLOOKUP($A19,'20Trips'!$A$3:$F$22,2,FALSE),VLOOKUP(P$1,'20Trips'!$A$3:$F$22,2,FALSE))&lt;='20Trips'!$AC$38,$A19&lt;&gt;P$1,feasible_mat!P19=1),(VLOOKUP(P$1,'20Trips'!$A$3:$I$22,8,FALSE))-(VLOOKUP($A19,'20Trips'!$A$3:$I$22,9,FALSE)),0)</f>
        <v>0</v>
      </c>
      <c r="Q19">
        <f>IF(AND(SUM(VLOOKUP($A19,'20Trips'!$A$3:$F$22,2,FALSE),VLOOKUP(Q$1,'20Trips'!$A$3:$F$22,2,FALSE))&lt;='20Trips'!$AC$38,$A19&lt;&gt;Q$1,feasible_mat!Q19=1),(VLOOKUP(Q$1,'20Trips'!$A$3:$I$22,8,FALSE))-(VLOOKUP($A19,'20Trips'!$A$3:$I$22,9,FALSE)),0)</f>
        <v>20</v>
      </c>
      <c r="R19">
        <f>IF(AND(SUM(VLOOKUP($A19,'20Trips'!$A$3:$F$22,2,FALSE),VLOOKUP(R$1,'20Trips'!$A$3:$F$22,2,FALSE))&lt;='20Trips'!$AC$38,$A19&lt;&gt;R$1,feasible_mat!R19=1),(VLOOKUP(R$1,'20Trips'!$A$3:$I$22,8,FALSE))-(VLOOKUP($A19,'20Trips'!$A$3:$I$22,9,FALSE)),0)</f>
        <v>0</v>
      </c>
      <c r="S19">
        <f>IF(AND(SUM(VLOOKUP($A19,'20Trips'!$A$3:$F$22,2,FALSE),VLOOKUP(S$1,'20Trips'!$A$3:$F$22,2,FALSE))&lt;='20Trips'!$AC$38,$A19&lt;&gt;S$1,feasible_mat!S19=1),(VLOOKUP(S$1,'20Trips'!$A$3:$I$22,8,FALSE))-(VLOOKUP($A19,'20Trips'!$A$3:$I$22,9,FALSE)),0)</f>
        <v>0</v>
      </c>
      <c r="T19">
        <f>IF(AND(SUM(VLOOKUP($A19,'20Trips'!$A$3:$F$22,2,FALSE),VLOOKUP(T$1,'20Trips'!$A$3:$F$22,2,FALSE))&lt;='20Trips'!$AC$38,$A19&lt;&gt;T$1,feasible_mat!T19=1),(VLOOKUP(T$1,'20Trips'!$A$3:$I$22,8,FALSE))-(VLOOKUP($A19,'20Trips'!$A$3:$I$22,9,FALSE)),0)</f>
        <v>0</v>
      </c>
      <c r="U19">
        <f>IF(AND(SUM(VLOOKUP($A19,'20Trips'!$A$3:$F$22,2,FALSE),VLOOKUP(U$1,'20Trips'!$A$3:$F$22,2,FALSE))&lt;='20Trips'!$AC$38,$A19&lt;&gt;U$1,feasible_mat!U19=1),(VLOOKUP(U$1,'20Trips'!$A$3:$I$22,8,FALSE))-(VLOOKUP($A19,'20Trips'!$A$3:$I$22,9,FALSE)),0)</f>
        <v>40</v>
      </c>
      <c r="V19">
        <f>IF(AND(SUM(VLOOKUP($A19,'20Trips'!$A$3:$F$22,2,FALSE),VLOOKUP(V$1,'20Trips'!$A$3:$F$22,2,FALSE))&lt;='20Trips'!$AC$38,$A19&lt;&gt;V$1,feasible_mat!V19=1),(VLOOKUP(V$1,'20Trips'!$A$3:$I$22,8,FALSE))-(VLOOKUP($A19,'20Trips'!$A$3:$I$22,9,FALSE)),0)</f>
        <v>160</v>
      </c>
    </row>
    <row r="20" spans="1:26" x14ac:dyDescent="0.25">
      <c r="A20" t="s">
        <v>36</v>
      </c>
      <c r="B20">
        <v>0</v>
      </c>
      <c r="C20">
        <f>IF(AND(SUM(VLOOKUP($A20,'20Trips'!$A$3:$F$22,2,FALSE),VLOOKUP(C$1,'20Trips'!$A$3:$F$22,2,FALSE))&lt;='20Trips'!$AC$38,$A20&lt;&gt;C$1,feasible_mat!C20=1),(VLOOKUP(C$1,'20Trips'!$A$3:$I$22,8,FALSE))-(VLOOKUP($A20,'20Trips'!$A$3:$I$22,9,FALSE)),0)</f>
        <v>0</v>
      </c>
      <c r="D20">
        <f>IF(AND(SUM(VLOOKUP($A20,'20Trips'!$A$3:$F$22,2,FALSE),VLOOKUP(D$1,'20Trips'!$A$3:$F$22,2,FALSE))&lt;='20Trips'!$AC$38,$A20&lt;&gt;D$1,feasible_mat!D20=1),(VLOOKUP(D$1,'20Trips'!$A$3:$I$22,8,FALSE))-(VLOOKUP($A20,'20Trips'!$A$3:$I$22,9,FALSE)),0)</f>
        <v>0</v>
      </c>
      <c r="E20">
        <f>IF(AND(SUM(VLOOKUP($A20,'20Trips'!$A$3:$F$22,2,FALSE),VLOOKUP(E$1,'20Trips'!$A$3:$F$22,2,FALSE))&lt;='20Trips'!$AC$38,$A20&lt;&gt;E$1,feasible_mat!E20=1),(VLOOKUP(E$1,'20Trips'!$A$3:$I$22,8,FALSE))-(VLOOKUP($A20,'20Trips'!$A$3:$I$22,9,FALSE)),0)</f>
        <v>0</v>
      </c>
      <c r="F20">
        <f>IF(AND(SUM(VLOOKUP($A20,'20Trips'!$A$3:$F$22,2,FALSE),VLOOKUP(F$1,'20Trips'!$A$3:$F$22,2,FALSE))&lt;='20Trips'!$AC$38,$A20&lt;&gt;F$1,feasible_mat!F20=1),(VLOOKUP(F$1,'20Trips'!$A$3:$I$22,8,FALSE))-(VLOOKUP($A20,'20Trips'!$A$3:$I$22,9,FALSE)),0)</f>
        <v>0</v>
      </c>
      <c r="G20">
        <f>IF(AND(SUM(VLOOKUP($A20,'20Trips'!$A$3:$F$22,2,FALSE),VLOOKUP(G$1,'20Trips'!$A$3:$F$22,2,FALSE))&lt;='20Trips'!$AC$38,$A20&lt;&gt;G$1,feasible_mat!G20=1),(VLOOKUP(G$1,'20Trips'!$A$3:$I$22,8,FALSE))-(VLOOKUP($A20,'20Trips'!$A$3:$I$22,9,FALSE)),0)</f>
        <v>0</v>
      </c>
      <c r="H20">
        <f>IF(AND(SUM(VLOOKUP($A20,'20Trips'!$A$3:$F$22,2,FALSE),VLOOKUP(H$1,'20Trips'!$A$3:$F$22,2,FALSE))&lt;='20Trips'!$AC$38,$A20&lt;&gt;H$1,feasible_mat!H20=1),(VLOOKUP(H$1,'20Trips'!$A$3:$I$22,8,FALSE))-(VLOOKUP($A20,'20Trips'!$A$3:$I$22,9,FALSE)),0)</f>
        <v>0</v>
      </c>
      <c r="I20">
        <f>IF(AND(SUM(VLOOKUP($A20,'20Trips'!$A$3:$F$22,2,FALSE),VLOOKUP(I$1,'20Trips'!$A$3:$F$22,2,FALSE))&lt;='20Trips'!$AC$38,$A20&lt;&gt;I$1,feasible_mat!I20=1),(VLOOKUP(I$1,'20Trips'!$A$3:$I$22,8,FALSE))-(VLOOKUP($A20,'20Trips'!$A$3:$I$22,9,FALSE)),0)</f>
        <v>0</v>
      </c>
      <c r="J20">
        <f>IF(AND(SUM(VLOOKUP($A20,'20Trips'!$A$3:$F$22,2,FALSE),VLOOKUP(J$1,'20Trips'!$A$3:$F$22,2,FALSE))&lt;='20Trips'!$AC$38,$A20&lt;&gt;J$1,feasible_mat!J20=1),(VLOOKUP(J$1,'20Trips'!$A$3:$I$22,8,FALSE))-(VLOOKUP($A20,'20Trips'!$A$3:$I$22,9,FALSE)),0)</f>
        <v>0</v>
      </c>
      <c r="K20">
        <f>IF(AND(SUM(VLOOKUP($A20,'20Trips'!$A$3:$F$22,2,FALSE),VLOOKUP(K$1,'20Trips'!$A$3:$F$22,2,FALSE))&lt;='20Trips'!$AC$38,$A20&lt;&gt;K$1,feasible_mat!K20=1),(VLOOKUP(K$1,'20Trips'!$A$3:$I$22,8,FALSE))-(VLOOKUP($A20,'20Trips'!$A$3:$I$22,9,FALSE)),0)</f>
        <v>155</v>
      </c>
      <c r="L20">
        <f>IF(AND(SUM(VLOOKUP($A20,'20Trips'!$A$3:$F$22,2,FALSE),VLOOKUP(L$1,'20Trips'!$A$3:$F$22,2,FALSE))&lt;='20Trips'!$AC$38,$A20&lt;&gt;L$1,feasible_mat!L20=1),(VLOOKUP(L$1,'20Trips'!$A$3:$I$22,8,FALSE))-(VLOOKUP($A20,'20Trips'!$A$3:$I$22,9,FALSE)),0)</f>
        <v>215</v>
      </c>
      <c r="M20">
        <f>IF(AND(SUM(VLOOKUP($A20,'20Trips'!$A$3:$F$22,2,FALSE),VLOOKUP(M$1,'20Trips'!$A$3:$F$22,2,FALSE))&lt;='20Trips'!$AC$38,$A20&lt;&gt;M$1,feasible_mat!M20=1),(VLOOKUP(M$1,'20Trips'!$A$3:$I$22,8,FALSE))-(VLOOKUP($A20,'20Trips'!$A$3:$I$22,9,FALSE)),0)</f>
        <v>0</v>
      </c>
      <c r="N20">
        <f>IF(AND(SUM(VLOOKUP($A20,'20Trips'!$A$3:$F$22,2,FALSE),VLOOKUP(N$1,'20Trips'!$A$3:$F$22,2,FALSE))&lt;='20Trips'!$AC$38,$A20&lt;&gt;N$1,feasible_mat!N20=1),(VLOOKUP(N$1,'20Trips'!$A$3:$I$22,8,FALSE))-(VLOOKUP($A20,'20Trips'!$A$3:$I$22,9,FALSE)),0)</f>
        <v>0</v>
      </c>
      <c r="O20">
        <f>IF(AND(SUM(VLOOKUP($A20,'20Trips'!$A$3:$F$22,2,FALSE),VLOOKUP(O$1,'20Trips'!$A$3:$F$22,2,FALSE))&lt;='20Trips'!$AC$38,$A20&lt;&gt;O$1,feasible_mat!O20=1),(VLOOKUP(O$1,'20Trips'!$A$3:$I$22,8,FALSE))-(VLOOKUP($A20,'20Trips'!$A$3:$I$22,9,FALSE)),0)</f>
        <v>0</v>
      </c>
      <c r="P20">
        <f>IF(AND(SUM(VLOOKUP($A20,'20Trips'!$A$3:$F$22,2,FALSE),VLOOKUP(P$1,'20Trips'!$A$3:$F$22,2,FALSE))&lt;='20Trips'!$AC$38,$A20&lt;&gt;P$1,feasible_mat!P20=1),(VLOOKUP(P$1,'20Trips'!$A$3:$I$22,8,FALSE))-(VLOOKUP($A20,'20Trips'!$A$3:$I$22,9,FALSE)),0)</f>
        <v>0</v>
      </c>
      <c r="Q20">
        <f>IF(AND(SUM(VLOOKUP($A20,'20Trips'!$A$3:$F$22,2,FALSE),VLOOKUP(Q$1,'20Trips'!$A$3:$F$22,2,FALSE))&lt;='20Trips'!$AC$38,$A20&lt;&gt;Q$1,feasible_mat!Q20=1),(VLOOKUP(Q$1,'20Trips'!$A$3:$I$22,8,FALSE))-(VLOOKUP($A20,'20Trips'!$A$3:$I$22,9,FALSE)),0)</f>
        <v>0</v>
      </c>
      <c r="R20">
        <f>IF(AND(SUM(VLOOKUP($A20,'20Trips'!$A$3:$F$22,2,FALSE),VLOOKUP(R$1,'20Trips'!$A$3:$F$22,2,FALSE))&lt;='20Trips'!$AC$38,$A20&lt;&gt;R$1,feasible_mat!R20=1),(VLOOKUP(R$1,'20Trips'!$A$3:$I$22,8,FALSE))-(VLOOKUP($A20,'20Trips'!$A$3:$I$22,9,FALSE)),0)</f>
        <v>0</v>
      </c>
      <c r="S20">
        <f>IF(AND(SUM(VLOOKUP($A20,'20Trips'!$A$3:$F$22,2,FALSE),VLOOKUP(S$1,'20Trips'!$A$3:$F$22,2,FALSE))&lt;='20Trips'!$AC$38,$A20&lt;&gt;S$1,feasible_mat!S20=1),(VLOOKUP(S$1,'20Trips'!$A$3:$I$22,8,FALSE))-(VLOOKUP($A20,'20Trips'!$A$3:$I$22,9,FALSE)),0)</f>
        <v>0</v>
      </c>
      <c r="T20">
        <f>IF(AND(SUM(VLOOKUP($A20,'20Trips'!$A$3:$F$22,2,FALSE),VLOOKUP(T$1,'20Trips'!$A$3:$F$22,2,FALSE))&lt;='20Trips'!$AC$38,$A20&lt;&gt;T$1,feasible_mat!T20=1),(VLOOKUP(T$1,'20Trips'!$A$3:$I$22,8,FALSE))-(VLOOKUP($A20,'20Trips'!$A$3:$I$22,9,FALSE)),0)</f>
        <v>0</v>
      </c>
      <c r="U20">
        <f>IF(AND(SUM(VLOOKUP($A20,'20Trips'!$A$3:$F$22,2,FALSE),VLOOKUP(U$1,'20Trips'!$A$3:$F$22,2,FALSE))&lt;='20Trips'!$AC$38,$A20&lt;&gt;U$1,feasible_mat!U20=1),(VLOOKUP(U$1,'20Trips'!$A$3:$I$22,8,FALSE))-(VLOOKUP($A20,'20Trips'!$A$3:$I$22,9,FALSE)),0)</f>
        <v>0</v>
      </c>
      <c r="V20">
        <f>IF(AND(SUM(VLOOKUP($A20,'20Trips'!$A$3:$F$22,2,FALSE),VLOOKUP(V$1,'20Trips'!$A$3:$F$22,2,FALSE))&lt;='20Trips'!$AC$38,$A20&lt;&gt;V$1,feasible_mat!V20=1),(VLOOKUP(V$1,'20Trips'!$A$3:$I$22,8,FALSE))-(VLOOKUP($A20,'20Trips'!$A$3:$I$22,9,FALSE)),0)</f>
        <v>40</v>
      </c>
    </row>
    <row r="21" spans="1:26" x14ac:dyDescent="0.25">
      <c r="A21" t="s">
        <v>37</v>
      </c>
      <c r="B21">
        <v>0</v>
      </c>
      <c r="C21">
        <f>IF(AND(SUM(VLOOKUP($A21,'20Trips'!$A$3:$F$22,2,FALSE),VLOOKUP(C$1,'20Trips'!$A$3:$F$22,2,FALSE))&lt;='20Trips'!$AC$38,$A21&lt;&gt;C$1,feasible_mat!C21=1),(VLOOKUP(C$1,'20Trips'!$A$3:$I$22,8,FALSE))-(VLOOKUP($A21,'20Trips'!$A$3:$I$22,9,FALSE)),0)</f>
        <v>0</v>
      </c>
      <c r="D21">
        <f>IF(AND(SUM(VLOOKUP($A21,'20Trips'!$A$3:$F$22,2,FALSE),VLOOKUP(D$1,'20Trips'!$A$3:$F$22,2,FALSE))&lt;='20Trips'!$AC$38,$A21&lt;&gt;D$1,feasible_mat!D21=1),(VLOOKUP(D$1,'20Trips'!$A$3:$I$22,8,FALSE))-(VLOOKUP($A21,'20Trips'!$A$3:$I$22,9,FALSE)),0)</f>
        <v>0</v>
      </c>
      <c r="E21">
        <f>IF(AND(SUM(VLOOKUP($A21,'20Trips'!$A$3:$F$22,2,FALSE),VLOOKUP(E$1,'20Trips'!$A$3:$F$22,2,FALSE))&lt;='20Trips'!$AC$38,$A21&lt;&gt;E$1,feasible_mat!E21=1),(VLOOKUP(E$1,'20Trips'!$A$3:$I$22,8,FALSE))-(VLOOKUP($A21,'20Trips'!$A$3:$I$22,9,FALSE)),0)</f>
        <v>0</v>
      </c>
      <c r="F21">
        <f>IF(AND(SUM(VLOOKUP($A21,'20Trips'!$A$3:$F$22,2,FALSE),VLOOKUP(F$1,'20Trips'!$A$3:$F$22,2,FALSE))&lt;='20Trips'!$AC$38,$A21&lt;&gt;F$1,feasible_mat!F21=1),(VLOOKUP(F$1,'20Trips'!$A$3:$I$22,8,FALSE))-(VLOOKUP($A21,'20Trips'!$A$3:$I$22,9,FALSE)),0)</f>
        <v>0</v>
      </c>
      <c r="G21">
        <f>IF(AND(SUM(VLOOKUP($A21,'20Trips'!$A$3:$F$22,2,FALSE),VLOOKUP(G$1,'20Trips'!$A$3:$F$22,2,FALSE))&lt;='20Trips'!$AC$38,$A21&lt;&gt;G$1,feasible_mat!G21=1),(VLOOKUP(G$1,'20Trips'!$A$3:$I$22,8,FALSE))-(VLOOKUP($A21,'20Trips'!$A$3:$I$22,9,FALSE)),0)</f>
        <v>0</v>
      </c>
      <c r="H21">
        <f>IF(AND(SUM(VLOOKUP($A21,'20Trips'!$A$3:$F$22,2,FALSE),VLOOKUP(H$1,'20Trips'!$A$3:$F$22,2,FALSE))&lt;='20Trips'!$AC$38,$A21&lt;&gt;H$1,feasible_mat!H21=1),(VLOOKUP(H$1,'20Trips'!$A$3:$I$22,8,FALSE))-(VLOOKUP($A21,'20Trips'!$A$3:$I$22,9,FALSE)),0)</f>
        <v>0</v>
      </c>
      <c r="I21">
        <f>IF(AND(SUM(VLOOKUP($A21,'20Trips'!$A$3:$F$22,2,FALSE),VLOOKUP(I$1,'20Trips'!$A$3:$F$22,2,FALSE))&lt;='20Trips'!$AC$38,$A21&lt;&gt;I$1,feasible_mat!I21=1),(VLOOKUP(I$1,'20Trips'!$A$3:$I$22,8,FALSE))-(VLOOKUP($A21,'20Trips'!$A$3:$I$22,9,FALSE)),0)</f>
        <v>0</v>
      </c>
      <c r="J21">
        <f>IF(AND(SUM(VLOOKUP($A21,'20Trips'!$A$3:$F$22,2,FALSE),VLOOKUP(J$1,'20Trips'!$A$3:$F$22,2,FALSE))&lt;='20Trips'!$AC$38,$A21&lt;&gt;J$1,feasible_mat!J21=1),(VLOOKUP(J$1,'20Trips'!$A$3:$I$22,8,FALSE))-(VLOOKUP($A21,'20Trips'!$A$3:$I$22,9,FALSE)),0)</f>
        <v>0</v>
      </c>
      <c r="K21">
        <f>IF(AND(SUM(VLOOKUP($A21,'20Trips'!$A$3:$F$22,2,FALSE),VLOOKUP(K$1,'20Trips'!$A$3:$F$22,2,FALSE))&lt;='20Trips'!$AC$38,$A21&lt;&gt;K$1,feasible_mat!K21=1),(VLOOKUP(K$1,'20Trips'!$A$3:$I$22,8,FALSE))-(VLOOKUP($A21,'20Trips'!$A$3:$I$22,9,FALSE)),0)</f>
        <v>95</v>
      </c>
      <c r="L21">
        <f>IF(AND(SUM(VLOOKUP($A21,'20Trips'!$A$3:$F$22,2,FALSE),VLOOKUP(L$1,'20Trips'!$A$3:$F$22,2,FALSE))&lt;='20Trips'!$AC$38,$A21&lt;&gt;L$1,feasible_mat!L21=1),(VLOOKUP(L$1,'20Trips'!$A$3:$I$22,8,FALSE))-(VLOOKUP($A21,'20Trips'!$A$3:$I$22,9,FALSE)),0)</f>
        <v>155</v>
      </c>
      <c r="M21">
        <f>IF(AND(SUM(VLOOKUP($A21,'20Trips'!$A$3:$F$22,2,FALSE),VLOOKUP(M$1,'20Trips'!$A$3:$F$22,2,FALSE))&lt;='20Trips'!$AC$38,$A21&lt;&gt;M$1,feasible_mat!M21=1),(VLOOKUP(M$1,'20Trips'!$A$3:$I$22,8,FALSE))-(VLOOKUP($A21,'20Trips'!$A$3:$I$22,9,FALSE)),0)</f>
        <v>0</v>
      </c>
      <c r="N21">
        <f>IF(AND(SUM(VLOOKUP($A21,'20Trips'!$A$3:$F$22,2,FALSE),VLOOKUP(N$1,'20Trips'!$A$3:$F$22,2,FALSE))&lt;='20Trips'!$AC$38,$A21&lt;&gt;N$1,feasible_mat!N21=1),(VLOOKUP(N$1,'20Trips'!$A$3:$I$22,8,FALSE))-(VLOOKUP($A21,'20Trips'!$A$3:$I$22,9,FALSE)),0)</f>
        <v>0</v>
      </c>
      <c r="O21">
        <f>IF(AND(SUM(VLOOKUP($A21,'20Trips'!$A$3:$F$22,2,FALSE),VLOOKUP(O$1,'20Trips'!$A$3:$F$22,2,FALSE))&lt;='20Trips'!$AC$38,$A21&lt;&gt;O$1,feasible_mat!O21=1),(VLOOKUP(O$1,'20Trips'!$A$3:$I$22,8,FALSE))-(VLOOKUP($A21,'20Trips'!$A$3:$I$22,9,FALSE)),0)</f>
        <v>0</v>
      </c>
      <c r="P21">
        <f>IF(AND(SUM(VLOOKUP($A21,'20Trips'!$A$3:$F$22,2,FALSE),VLOOKUP(P$1,'20Trips'!$A$3:$F$22,2,FALSE))&lt;='20Trips'!$AC$38,$A21&lt;&gt;P$1,feasible_mat!P21=1),(VLOOKUP(P$1,'20Trips'!$A$3:$I$22,8,FALSE))-(VLOOKUP($A21,'20Trips'!$A$3:$I$22,9,FALSE)),0)</f>
        <v>0</v>
      </c>
      <c r="Q21">
        <f>IF(AND(SUM(VLOOKUP($A21,'20Trips'!$A$3:$F$22,2,FALSE),VLOOKUP(Q$1,'20Trips'!$A$3:$F$22,2,FALSE))&lt;='20Trips'!$AC$38,$A21&lt;&gt;Q$1,feasible_mat!Q21=1),(VLOOKUP(Q$1,'20Trips'!$A$3:$I$22,8,FALSE))-(VLOOKUP($A21,'20Trips'!$A$3:$I$22,9,FALSE)),0)</f>
        <v>0</v>
      </c>
      <c r="R21">
        <f>IF(AND(SUM(VLOOKUP($A21,'20Trips'!$A$3:$F$22,2,FALSE),VLOOKUP(R$1,'20Trips'!$A$3:$F$22,2,FALSE))&lt;='20Trips'!$AC$38,$A21&lt;&gt;R$1,feasible_mat!R21=1),(VLOOKUP(R$1,'20Trips'!$A$3:$I$22,8,FALSE))-(VLOOKUP($A21,'20Trips'!$A$3:$I$22,9,FALSE)),0)</f>
        <v>0</v>
      </c>
      <c r="S21">
        <f>IF(AND(SUM(VLOOKUP($A21,'20Trips'!$A$3:$F$22,2,FALSE),VLOOKUP(S$1,'20Trips'!$A$3:$F$22,2,FALSE))&lt;='20Trips'!$AC$38,$A21&lt;&gt;S$1,feasible_mat!S21=1),(VLOOKUP(S$1,'20Trips'!$A$3:$I$22,8,FALSE))-(VLOOKUP($A21,'20Trips'!$A$3:$I$22,9,FALSE)),0)</f>
        <v>0</v>
      </c>
      <c r="T21">
        <f>IF(AND(SUM(VLOOKUP($A21,'20Trips'!$A$3:$F$22,2,FALSE),VLOOKUP(T$1,'20Trips'!$A$3:$F$22,2,FALSE))&lt;='20Trips'!$AC$38,$A21&lt;&gt;T$1,feasible_mat!T21=1),(VLOOKUP(T$1,'20Trips'!$A$3:$I$22,8,FALSE))-(VLOOKUP($A21,'20Trips'!$A$3:$I$22,9,FALSE)),0)</f>
        <v>0</v>
      </c>
      <c r="U21">
        <f>IF(AND(SUM(VLOOKUP($A21,'20Trips'!$A$3:$F$22,2,FALSE),VLOOKUP(U$1,'20Trips'!$A$3:$F$22,2,FALSE))&lt;='20Trips'!$AC$38,$A21&lt;&gt;U$1,feasible_mat!U21=1),(VLOOKUP(U$1,'20Trips'!$A$3:$I$22,8,FALSE))-(VLOOKUP($A21,'20Trips'!$A$3:$I$22,9,FALSE)),0)</f>
        <v>0</v>
      </c>
      <c r="V21">
        <f>IF(AND(SUM(VLOOKUP($A21,'20Trips'!$A$3:$F$22,2,FALSE),VLOOKUP(V$1,'20Trips'!$A$3:$F$22,2,FALSE))&lt;='20Trips'!$AC$38,$A21&lt;&gt;V$1,feasible_mat!V21=1),(VLOOKUP(V$1,'20Trips'!$A$3:$I$22,8,FALSE))-(VLOOKUP($A21,'20Trips'!$A$3:$I$22,9,FALSE)),0)</f>
        <v>0</v>
      </c>
    </row>
    <row r="22" spans="1:26" x14ac:dyDescent="0.25">
      <c r="A22" t="s">
        <v>38</v>
      </c>
      <c r="B22">
        <v>0</v>
      </c>
      <c r="C22">
        <f>IF(AND(SUM(VLOOKUP($A22,'20Trips'!$A$3:$F$22,2,FALSE),VLOOKUP(C$1,'20Trips'!$A$3:$F$22,2,FALSE))&lt;='20Trips'!$AC$38,$A22&lt;&gt;C$1,feasible_mat!C22=1),(VLOOKUP(C$1,'20Trips'!$A$3:$I$22,8,FALSE))-(VLOOKUP($A22,'20Trips'!$A$3:$I$22,9,FALSE)),0)</f>
        <v>0</v>
      </c>
      <c r="D22">
        <f>IF(AND(SUM(VLOOKUP($A22,'20Trips'!$A$3:$F$22,2,FALSE),VLOOKUP(D$1,'20Trips'!$A$3:$F$22,2,FALSE))&lt;='20Trips'!$AC$38,$A22&lt;&gt;D$1,feasible_mat!D22=1),(VLOOKUP(D$1,'20Trips'!$A$3:$I$22,8,FALSE))-(VLOOKUP($A22,'20Trips'!$A$3:$I$22,9,FALSE)),0)</f>
        <v>0</v>
      </c>
      <c r="E22">
        <f>IF(AND(SUM(VLOOKUP($A22,'20Trips'!$A$3:$F$22,2,FALSE),VLOOKUP(E$1,'20Trips'!$A$3:$F$22,2,FALSE))&lt;='20Trips'!$AC$38,$A22&lt;&gt;E$1,feasible_mat!E22=1),(VLOOKUP(E$1,'20Trips'!$A$3:$I$22,8,FALSE))-(VLOOKUP($A22,'20Trips'!$A$3:$I$22,9,FALSE)),0)</f>
        <v>0</v>
      </c>
      <c r="F22">
        <f>IF(AND(SUM(VLOOKUP($A22,'20Trips'!$A$3:$F$22,2,FALSE),VLOOKUP(F$1,'20Trips'!$A$3:$F$22,2,FALSE))&lt;='20Trips'!$AC$38,$A22&lt;&gt;F$1,feasible_mat!F22=1),(VLOOKUP(F$1,'20Trips'!$A$3:$I$22,8,FALSE))-(VLOOKUP($A22,'20Trips'!$A$3:$I$22,9,FALSE)),0)</f>
        <v>0</v>
      </c>
      <c r="G22">
        <f>IF(AND(SUM(VLOOKUP($A22,'20Trips'!$A$3:$F$22,2,FALSE),VLOOKUP(G$1,'20Trips'!$A$3:$F$22,2,FALSE))&lt;='20Trips'!$AC$38,$A22&lt;&gt;G$1,feasible_mat!G22=1),(VLOOKUP(G$1,'20Trips'!$A$3:$I$22,8,FALSE))-(VLOOKUP($A22,'20Trips'!$A$3:$I$22,9,FALSE)),0)</f>
        <v>0</v>
      </c>
      <c r="H22">
        <f>IF(AND(SUM(VLOOKUP($A22,'20Trips'!$A$3:$F$22,2,FALSE),VLOOKUP(H$1,'20Trips'!$A$3:$F$22,2,FALSE))&lt;='20Trips'!$AC$38,$A22&lt;&gt;H$1,feasible_mat!H22=1),(VLOOKUP(H$1,'20Trips'!$A$3:$I$22,8,FALSE))-(VLOOKUP($A22,'20Trips'!$A$3:$I$22,9,FALSE)),0)</f>
        <v>0</v>
      </c>
      <c r="I22">
        <f>IF(AND(SUM(VLOOKUP($A22,'20Trips'!$A$3:$F$22,2,FALSE),VLOOKUP(I$1,'20Trips'!$A$3:$F$22,2,FALSE))&lt;='20Trips'!$AC$38,$A22&lt;&gt;I$1,feasible_mat!I22=1),(VLOOKUP(I$1,'20Trips'!$A$3:$I$22,8,FALSE))-(VLOOKUP($A22,'20Trips'!$A$3:$I$22,9,FALSE)),0)</f>
        <v>0</v>
      </c>
      <c r="J22">
        <f>IF(AND(SUM(VLOOKUP($A22,'20Trips'!$A$3:$F$22,2,FALSE),VLOOKUP(J$1,'20Trips'!$A$3:$F$22,2,FALSE))&lt;='20Trips'!$AC$38,$A22&lt;&gt;J$1,feasible_mat!J22=1),(VLOOKUP(J$1,'20Trips'!$A$3:$I$22,8,FALSE))-(VLOOKUP($A22,'20Trips'!$A$3:$I$22,9,FALSE)),0)</f>
        <v>0</v>
      </c>
      <c r="K22">
        <f>IF(AND(SUM(VLOOKUP($A22,'20Trips'!$A$3:$F$22,2,FALSE),VLOOKUP(K$1,'20Trips'!$A$3:$F$22,2,FALSE))&lt;='20Trips'!$AC$38,$A22&lt;&gt;K$1,feasible_mat!K22=1),(VLOOKUP(K$1,'20Trips'!$A$3:$I$22,8,FALSE))-(VLOOKUP($A22,'20Trips'!$A$3:$I$22,9,FALSE)),0)</f>
        <v>0</v>
      </c>
      <c r="L22">
        <f>IF(AND(SUM(VLOOKUP($A22,'20Trips'!$A$3:$F$22,2,FALSE),VLOOKUP(L$1,'20Trips'!$A$3:$F$22,2,FALSE))&lt;='20Trips'!$AC$38,$A22&lt;&gt;L$1,feasible_mat!L22=1),(VLOOKUP(L$1,'20Trips'!$A$3:$I$22,8,FALSE))-(VLOOKUP($A22,'20Trips'!$A$3:$I$22,9,FALSE)),0)</f>
        <v>35</v>
      </c>
      <c r="M22">
        <f>IF(AND(SUM(VLOOKUP($A22,'20Trips'!$A$3:$F$22,2,FALSE),VLOOKUP(M$1,'20Trips'!$A$3:$F$22,2,FALSE))&lt;='20Trips'!$AC$38,$A22&lt;&gt;M$1,feasible_mat!M22=1),(VLOOKUP(M$1,'20Trips'!$A$3:$I$22,8,FALSE))-(VLOOKUP($A22,'20Trips'!$A$3:$I$22,9,FALSE)),0)</f>
        <v>0</v>
      </c>
      <c r="N22">
        <f>IF(AND(SUM(VLOOKUP($A22,'20Trips'!$A$3:$F$22,2,FALSE),VLOOKUP(N$1,'20Trips'!$A$3:$F$22,2,FALSE))&lt;='20Trips'!$AC$38,$A22&lt;&gt;N$1,feasible_mat!N22=1),(VLOOKUP(N$1,'20Trips'!$A$3:$I$22,8,FALSE))-(VLOOKUP($A22,'20Trips'!$A$3:$I$22,9,FALSE)),0)</f>
        <v>0</v>
      </c>
      <c r="O22">
        <f>IF(AND(SUM(VLOOKUP($A22,'20Trips'!$A$3:$F$22,2,FALSE),VLOOKUP(O$1,'20Trips'!$A$3:$F$22,2,FALSE))&lt;='20Trips'!$AC$38,$A22&lt;&gt;O$1,feasible_mat!O22=1),(VLOOKUP(O$1,'20Trips'!$A$3:$I$22,8,FALSE))-(VLOOKUP($A22,'20Trips'!$A$3:$I$22,9,FALSE)),0)</f>
        <v>0</v>
      </c>
      <c r="P22">
        <f>IF(AND(SUM(VLOOKUP($A22,'20Trips'!$A$3:$F$22,2,FALSE),VLOOKUP(P$1,'20Trips'!$A$3:$F$22,2,FALSE))&lt;='20Trips'!$AC$38,$A22&lt;&gt;P$1,feasible_mat!P22=1),(VLOOKUP(P$1,'20Trips'!$A$3:$I$22,8,FALSE))-(VLOOKUP($A22,'20Trips'!$A$3:$I$22,9,FALSE)),0)</f>
        <v>0</v>
      </c>
      <c r="Q22">
        <f>IF(AND(SUM(VLOOKUP($A22,'20Trips'!$A$3:$F$22,2,FALSE),VLOOKUP(Q$1,'20Trips'!$A$3:$F$22,2,FALSE))&lt;='20Trips'!$AC$38,$A22&lt;&gt;Q$1,feasible_mat!Q22=1),(VLOOKUP(Q$1,'20Trips'!$A$3:$I$22,8,FALSE))-(VLOOKUP($A22,'20Trips'!$A$3:$I$22,9,FALSE)),0)</f>
        <v>0</v>
      </c>
      <c r="R22">
        <f>IF(AND(SUM(VLOOKUP($A22,'20Trips'!$A$3:$F$22,2,FALSE),VLOOKUP(R$1,'20Trips'!$A$3:$F$22,2,FALSE))&lt;='20Trips'!$AC$38,$A22&lt;&gt;R$1,feasible_mat!R22=1),(VLOOKUP(R$1,'20Trips'!$A$3:$I$22,8,FALSE))-(VLOOKUP($A22,'20Trips'!$A$3:$I$22,9,FALSE)),0)</f>
        <v>0</v>
      </c>
      <c r="S22">
        <f>IF(AND(SUM(VLOOKUP($A22,'20Trips'!$A$3:$F$22,2,FALSE),VLOOKUP(S$1,'20Trips'!$A$3:$F$22,2,FALSE))&lt;='20Trips'!$AC$38,$A22&lt;&gt;S$1,feasible_mat!S22=1),(VLOOKUP(S$1,'20Trips'!$A$3:$I$22,8,FALSE))-(VLOOKUP($A22,'20Trips'!$A$3:$I$22,9,FALSE)),0)</f>
        <v>0</v>
      </c>
      <c r="T22">
        <f>IF(AND(SUM(VLOOKUP($A22,'20Trips'!$A$3:$F$22,2,FALSE),VLOOKUP(T$1,'20Trips'!$A$3:$F$22,2,FALSE))&lt;='20Trips'!$AC$38,$A22&lt;&gt;T$1,feasible_mat!T22=1),(VLOOKUP(T$1,'20Trips'!$A$3:$I$22,8,FALSE))-(VLOOKUP($A22,'20Trips'!$A$3:$I$22,9,FALSE)),0)</f>
        <v>0</v>
      </c>
      <c r="U22">
        <f>IF(AND(SUM(VLOOKUP($A22,'20Trips'!$A$3:$F$22,2,FALSE),VLOOKUP(U$1,'20Trips'!$A$3:$F$22,2,FALSE))&lt;='20Trips'!$AC$38,$A22&lt;&gt;U$1,feasible_mat!U22=1),(VLOOKUP(U$1,'20Trips'!$A$3:$I$22,8,FALSE))-(VLOOKUP($A22,'20Trips'!$A$3:$I$22,9,FALSE)),0)</f>
        <v>0</v>
      </c>
      <c r="V22">
        <f>IF(AND(SUM(VLOOKUP($A22,'20Trips'!$A$3:$F$22,2,FALSE),VLOOKUP(V$1,'20Trips'!$A$3:$F$22,2,FALSE))&lt;='20Trips'!$AC$38,$A22&lt;&gt;V$1,feasible_mat!V22=1),(VLOOKUP(V$1,'20Trips'!$A$3:$I$22,8,FALSE))-(VLOOKUP($A22,'20Trips'!$A$3:$I$22,9,FALSE)),0)</f>
        <v>0</v>
      </c>
    </row>
    <row r="23" spans="1:26" x14ac:dyDescent="0.25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6" x14ac:dyDescent="0.25">
      <c r="A24" t="s">
        <v>6</v>
      </c>
      <c r="B24">
        <v>0</v>
      </c>
      <c r="C24">
        <f>IF(AND(SUM(VLOOKUP($A24,'20Trips'!$A$3:$F$22,2,FALSE),VLOOKUP(C$1,'20Trips'!$A$3:$F$22,2,FALSE))&lt;'20Trips'!$AC$38,$A24&lt;&gt;C$1,feasible_mat!C24=1),(VLOOKUP(C$1,'20Trips'!$A$3:$I$22,8,FALSE))-(VLOOKUP($A24,'20Trips'!$A$3:$I$22,9,FALSE))-('20Trips'!$B$23-50),0)</f>
        <v>0</v>
      </c>
      <c r="D24" t="e">
        <f>IF(AND(SUM(VLOOKUP($A24,'20Trips'!$A$3:$F$22,2,FALSE),VLOOKUP(D$1,'20Trips'!$A$3:$F$22,2,FALSE))&lt;'20Trips'!$AC$38,$A24&lt;&gt;D$1,#REF!=1),(VLOOKUP(D$1,'20Trips'!$A$3:$I$22,8,FALSE))-(VLOOKUP($A24,'20Trips'!$A$3:$I$22,9,FALSE))+'20Trips'!$B$23,0)</f>
        <v>#REF!</v>
      </c>
      <c r="E24" t="e">
        <f>IF(AND(SUM(VLOOKUP($A24,'20Trips'!$A$3:$F$22,2,FALSE),VLOOKUP(E$1,'20Trips'!$A$3:$F$22,2,FALSE))&lt;'20Trips'!$AC$38,$A24&lt;&gt;E$1,#REF!=1),(VLOOKUP(E$1,'20Trips'!$A$3:$I$22,8,FALSE))-(VLOOKUP($A24,'20Trips'!$A$3:$I$22,9,FALSE))+'20Trips'!$B$23,0)</f>
        <v>#REF!</v>
      </c>
      <c r="F24" t="e">
        <f>IF(AND(SUM(VLOOKUP($A24,'20Trips'!$A$3:$F$22,2,FALSE),VLOOKUP(F$1,'20Trips'!$A$3:$F$22,2,FALSE))&lt;'20Trips'!$AC$38,$A24&lt;&gt;F$1,#REF!=1),(VLOOKUP(F$1,'20Trips'!$A$3:$I$22,8,FALSE))-(VLOOKUP($A24,'20Trips'!$A$3:$I$22,9,FALSE))+'20Trips'!$B$23,0)</f>
        <v>#REF!</v>
      </c>
      <c r="G24" t="e">
        <f>IF(AND(SUM(VLOOKUP($A24,'20Trips'!$A$3:$F$22,2,FALSE),VLOOKUP(G$1,'20Trips'!$A$3:$F$22,2,FALSE))&lt;'20Trips'!$AC$38,$A24&lt;&gt;G$1,#REF!=1),(VLOOKUP(G$1,'20Trips'!$A$3:$I$22,8,FALSE))-(VLOOKUP($A24,'20Trips'!$A$3:$I$22,9,FALSE))+'20Trips'!$B$23,0)</f>
        <v>#REF!</v>
      </c>
      <c r="H24" t="e">
        <f>IF(AND(SUM(VLOOKUP($A24,'20Trips'!$A$3:$F$22,2,FALSE),VLOOKUP(H$1,'20Trips'!$A$3:$F$22,2,FALSE))&lt;'20Trips'!$AC$38,$A24&lt;&gt;H$1,#REF!=1),(VLOOKUP(H$1,'20Trips'!$A$3:$I$22,8,FALSE))-(VLOOKUP($A24,'20Trips'!$A$3:$I$22,9,FALSE))+'20Trips'!$B$23,0)</f>
        <v>#REF!</v>
      </c>
      <c r="I24" t="e">
        <f>IF(AND(SUM(VLOOKUP($A24,'20Trips'!$A$3:$F$22,2,FALSE),VLOOKUP(I$1,'20Trips'!$A$3:$F$22,2,FALSE))&lt;'20Trips'!$AC$38,$A24&lt;&gt;I$1,#REF!=1),(VLOOKUP(I$1,'20Trips'!$A$3:$I$22,8,FALSE))-(VLOOKUP($A24,'20Trips'!$A$3:$I$22,9,FALSE))+'20Trips'!$B$23,0)</f>
        <v>#REF!</v>
      </c>
      <c r="J24" t="e">
        <f>IF(AND(SUM(VLOOKUP($A24,'20Trips'!$A$3:$F$22,2,FALSE),VLOOKUP(J$1,'20Trips'!$A$3:$F$22,2,FALSE))&lt;'20Trips'!$AC$38,$A24&lt;&gt;J$1,#REF!=1),(VLOOKUP(J$1,'20Trips'!$A$3:$I$22,8,FALSE))-(VLOOKUP($A24,'20Trips'!$A$3:$I$22,9,FALSE))+'20Trips'!$B$23,0)</f>
        <v>#REF!</v>
      </c>
      <c r="K24" t="e">
        <f>IF(AND(SUM(VLOOKUP($A24,'20Trips'!$A$3:$F$22,2,FALSE),VLOOKUP(K$1,'20Trips'!$A$3:$F$22,2,FALSE))&lt;'20Trips'!$AC$38,$A24&lt;&gt;K$1,#REF!=1),(VLOOKUP(K$1,'20Trips'!$A$3:$I$22,8,FALSE))-(VLOOKUP($A24,'20Trips'!$A$3:$I$22,9,FALSE))+'20Trips'!$B$23,0)</f>
        <v>#REF!</v>
      </c>
      <c r="L24" t="e">
        <f>IF(AND(SUM(VLOOKUP($A24,'20Trips'!$A$3:$F$22,2,FALSE),VLOOKUP(L$1,'20Trips'!$A$3:$F$22,2,FALSE))&lt;'20Trips'!$AC$38,$A24&lt;&gt;L$1,#REF!=1),(VLOOKUP(L$1,'20Trips'!$A$3:$I$22,8,FALSE))-(VLOOKUP($A24,'20Trips'!$A$3:$I$22,9,FALSE))+'20Trips'!$B$23,0)</f>
        <v>#REF!</v>
      </c>
      <c r="M24" t="e">
        <f>IF(AND(SUM(VLOOKUP($A24,'20Trips'!$A$3:$F$22,2,FALSE),VLOOKUP(M$1,'20Trips'!$A$3:$F$22,2,FALSE))&lt;'20Trips'!$AC$38,$A24&lt;&gt;M$1,#REF!=1),(VLOOKUP(M$1,'20Trips'!$A$3:$I$22,8,FALSE))-(VLOOKUP($A24,'20Trips'!$A$3:$I$22,9,FALSE))+'20Trips'!$B$23,0)</f>
        <v>#REF!</v>
      </c>
      <c r="N24" t="e">
        <f>IF(AND(SUM(VLOOKUP($A24,'20Trips'!$A$3:$F$22,2,FALSE),VLOOKUP(N$1,'20Trips'!$A$3:$F$22,2,FALSE))&lt;'20Trips'!$AC$38,$A24&lt;&gt;N$1,#REF!=1),(VLOOKUP(N$1,'20Trips'!$A$3:$I$22,8,FALSE))-(VLOOKUP($A24,'20Trips'!$A$3:$I$22,9,FALSE))+'20Trips'!$B$23,0)</f>
        <v>#REF!</v>
      </c>
      <c r="O24" t="e">
        <f>IF(AND(SUM(VLOOKUP($A24,'20Trips'!$A$3:$F$22,2,FALSE),VLOOKUP(O$1,'20Trips'!$A$3:$F$22,2,FALSE))&lt;'20Trips'!$AC$38,$A24&lt;&gt;O$1,#REF!=1),(VLOOKUP(O$1,'20Trips'!$A$3:$I$22,8,FALSE))-(VLOOKUP($A24,'20Trips'!$A$3:$I$22,9,FALSE))+'20Trips'!$B$23,0)</f>
        <v>#REF!</v>
      </c>
      <c r="P24" t="e">
        <f>IF(AND(SUM(VLOOKUP($A24,'20Trips'!$A$3:$F$22,2,FALSE),VLOOKUP(P$1,'20Trips'!$A$3:$F$22,2,FALSE))&lt;'20Trips'!$AC$38,$A24&lt;&gt;P$1,#REF!=1),(VLOOKUP(P$1,'20Trips'!$A$3:$I$22,8,FALSE))-(VLOOKUP($A24,'20Trips'!$A$3:$I$22,9,FALSE))+'20Trips'!$B$23,0)</f>
        <v>#REF!</v>
      </c>
      <c r="Q24" t="e">
        <f>IF(AND(SUM(VLOOKUP($A24,'20Trips'!$A$3:$F$22,2,FALSE),VLOOKUP(Q$1,'20Trips'!$A$3:$F$22,2,FALSE))&lt;'20Trips'!$AC$38,$A24&lt;&gt;Q$1,#REF!=1),(VLOOKUP(Q$1,'20Trips'!$A$3:$I$22,8,FALSE))-(VLOOKUP($A24,'20Trips'!$A$3:$I$22,9,FALSE))+'20Trips'!$B$23,0)</f>
        <v>#REF!</v>
      </c>
      <c r="R24" t="e">
        <f>IF(AND(SUM(VLOOKUP($A24,'20Trips'!$A$3:$F$22,2,FALSE),VLOOKUP(R$1,'20Trips'!$A$3:$F$22,2,FALSE))&lt;'20Trips'!$AC$38,$A24&lt;&gt;R$1,#REF!=1),(VLOOKUP(R$1,'20Trips'!$A$3:$I$22,8,FALSE))-(VLOOKUP($A24,'20Trips'!$A$3:$I$22,9,FALSE))+'20Trips'!$B$23,0)</f>
        <v>#REF!</v>
      </c>
      <c r="S24" t="e">
        <f>IF(AND(SUM(VLOOKUP($A24,'20Trips'!$A$3:$F$22,2,FALSE),VLOOKUP(S$1,'20Trips'!$A$3:$F$22,2,FALSE))&lt;'20Trips'!$AC$38,$A24&lt;&gt;S$1,#REF!=1),(VLOOKUP(S$1,'20Trips'!$A$3:$I$22,8,FALSE))-(VLOOKUP($A24,'20Trips'!$A$3:$I$22,9,FALSE))+'20Trips'!$B$23,0)</f>
        <v>#REF!</v>
      </c>
      <c r="T24" t="e">
        <f>IF(AND(SUM(VLOOKUP($A24,'20Trips'!$A$3:$F$22,2,FALSE),VLOOKUP(T$1,'20Trips'!$A$3:$F$22,2,FALSE))&lt;'20Trips'!$AC$38,$A24&lt;&gt;T$1,#REF!=1),(VLOOKUP(T$1,'20Trips'!$A$3:$I$22,8,FALSE))-(VLOOKUP($A24,'20Trips'!$A$3:$I$22,9,FALSE))+'20Trips'!$B$23,0)</f>
        <v>#REF!</v>
      </c>
      <c r="U24" t="e">
        <f>IF(AND(SUM(VLOOKUP($A24,'20Trips'!$A$3:$F$22,2,FALSE),VLOOKUP(U$1,'20Trips'!$A$3:$F$22,2,FALSE))&lt;'20Trips'!$AC$38,$A24&lt;&gt;U$1,#REF!=1),(VLOOKUP(U$1,'20Trips'!$A$3:$I$22,8,FALSE))-(VLOOKUP($A24,'20Trips'!$A$3:$I$22,9,FALSE))+'20Trips'!$B$23,0)</f>
        <v>#REF!</v>
      </c>
      <c r="V24" t="e">
        <f>IF(AND(SUM(VLOOKUP($A24,'20Trips'!$A$3:$F$22,2,FALSE),VLOOKUP(V$1,'20Trips'!$A$3:$F$22,2,FALSE))&lt;'20Trips'!$AC$38,$A24&lt;&gt;V$1,#REF!=1),(VLOOKUP(V$1,'20Trips'!$A$3:$I$22,8,FALSE))-(VLOOKUP($A24,'20Trips'!$A$3:$I$22,9,FALSE))+'20Trips'!$B$23,0)</f>
        <v>#REF!</v>
      </c>
    </row>
    <row r="25" spans="1:26" x14ac:dyDescent="0.25">
      <c r="A25" t="s">
        <v>9</v>
      </c>
      <c r="B25">
        <v>0</v>
      </c>
      <c r="C25">
        <f>IF(AND(SUM(VLOOKUP($A25,'20Trips'!$A$3:$F$22,2,FALSE),VLOOKUP(C$1,'20Trips'!$A$3:$F$22,2,FALSE))&lt;'20Trips'!$AC$38,$A25&lt;&gt;C$1,feasible_mat!C25=1),(VLOOKUP(C$1,'20Trips'!$A$3:$I$22,8,FALSE))-(VLOOKUP($A25,'20Trips'!$A$3:$I$22,9,FALSE))+'20Trips'!$B$23,0)</f>
        <v>0</v>
      </c>
      <c r="D25" t="e">
        <f>IF(AND(SUM(VLOOKUP($A25,'20Trips'!$A$3:$F$22,2,FALSE),VLOOKUP(D$1,'20Trips'!$A$3:$F$22,2,FALSE))&lt;'20Trips'!$AC$38,$A25&lt;&gt;D$1,#REF!=1),(VLOOKUP(D$1,'20Trips'!$A$3:$I$22,8,FALSE))-(VLOOKUP($A25,'20Trips'!$A$3:$I$22,9,FALSE))+'20Trips'!$B$23,0)</f>
        <v>#REF!</v>
      </c>
      <c r="E25" t="e">
        <f>IF(AND(SUM(VLOOKUP($A25,'20Trips'!$A$3:$F$22,2,FALSE),VLOOKUP(E$1,'20Trips'!$A$3:$F$22,2,FALSE))&lt;'20Trips'!$AC$38,$A25&lt;&gt;E$1,#REF!=1),(VLOOKUP(E$1,'20Trips'!$A$3:$I$22,8,FALSE))-(VLOOKUP($A25,'20Trips'!$A$3:$I$22,9,FALSE))+'20Trips'!$B$23,0)</f>
        <v>#REF!</v>
      </c>
      <c r="F25" t="e">
        <f>IF(AND(SUM(VLOOKUP($A25,'20Trips'!$A$3:$F$22,2,FALSE),VLOOKUP(F$1,'20Trips'!$A$3:$F$22,2,FALSE))&lt;'20Trips'!$AC$38,$A25&lt;&gt;F$1,#REF!=1),(VLOOKUP(F$1,'20Trips'!$A$3:$I$22,8,FALSE))-(VLOOKUP($A25,'20Trips'!$A$3:$I$22,9,FALSE))+'20Trips'!$B$23,0)</f>
        <v>#REF!</v>
      </c>
      <c r="G25" t="e">
        <f>IF(AND(SUM(VLOOKUP($A25,'20Trips'!$A$3:$F$22,2,FALSE),VLOOKUP(G$1,'20Trips'!$A$3:$F$22,2,FALSE))&lt;'20Trips'!$AC$38,$A25&lt;&gt;G$1,#REF!=1),(VLOOKUP(G$1,'20Trips'!$A$3:$I$22,8,FALSE))-(VLOOKUP($A25,'20Trips'!$A$3:$I$22,9,FALSE))+'20Trips'!$B$23,0)</f>
        <v>#REF!</v>
      </c>
      <c r="H25" t="e">
        <f>IF(AND(SUM(VLOOKUP($A25,'20Trips'!$A$3:$F$22,2,FALSE),VLOOKUP(H$1,'20Trips'!$A$3:$F$22,2,FALSE))&lt;'20Trips'!$AC$38,$A25&lt;&gt;H$1,#REF!=1),(VLOOKUP(H$1,'20Trips'!$A$3:$I$22,8,FALSE))-(VLOOKUP($A25,'20Trips'!$A$3:$I$22,9,FALSE))+'20Trips'!$B$23,0)</f>
        <v>#REF!</v>
      </c>
      <c r="I25" t="e">
        <f>IF(AND(SUM(VLOOKUP($A25,'20Trips'!$A$3:$F$22,2,FALSE),VLOOKUP(I$1,'20Trips'!$A$3:$F$22,2,FALSE))&lt;'20Trips'!$AC$38,$A25&lt;&gt;I$1,#REF!=1),(VLOOKUP(I$1,'20Trips'!$A$3:$I$22,8,FALSE))-(VLOOKUP($A25,'20Trips'!$A$3:$I$22,9,FALSE))+'20Trips'!$B$23,0)</f>
        <v>#REF!</v>
      </c>
      <c r="J25" t="e">
        <f>IF(AND(SUM(VLOOKUP($A25,'20Trips'!$A$3:$F$22,2,FALSE),VLOOKUP(J$1,'20Trips'!$A$3:$F$22,2,FALSE))&lt;'20Trips'!$AC$38,$A25&lt;&gt;J$1,#REF!=1),(VLOOKUP(J$1,'20Trips'!$A$3:$I$22,8,FALSE))-(VLOOKUP($A25,'20Trips'!$A$3:$I$22,9,FALSE))+'20Trips'!$B$23,0)</f>
        <v>#REF!</v>
      </c>
      <c r="K25" t="e">
        <f>IF(AND(SUM(VLOOKUP($A25,'20Trips'!$A$3:$F$22,2,FALSE),VLOOKUP(K$1,'20Trips'!$A$3:$F$22,2,FALSE))&lt;'20Trips'!$AC$38,$A25&lt;&gt;K$1,#REF!=1),(VLOOKUP(K$1,'20Trips'!$A$3:$I$22,8,FALSE))-(VLOOKUP($A25,'20Trips'!$A$3:$I$22,9,FALSE))+'20Trips'!$B$23,0)</f>
        <v>#REF!</v>
      </c>
      <c r="L25" t="e">
        <f>IF(AND(SUM(VLOOKUP($A25,'20Trips'!$A$3:$F$22,2,FALSE),VLOOKUP(L$1,'20Trips'!$A$3:$F$22,2,FALSE))&lt;'20Trips'!$AC$38,$A25&lt;&gt;L$1,#REF!=1),(VLOOKUP(L$1,'20Trips'!$A$3:$I$22,8,FALSE))-(VLOOKUP($A25,'20Trips'!$A$3:$I$22,9,FALSE))+'20Trips'!$B$23,0)</f>
        <v>#REF!</v>
      </c>
      <c r="M25" t="e">
        <f>IF(AND(SUM(VLOOKUP($A25,'20Trips'!$A$3:$F$22,2,FALSE),VLOOKUP(M$1,'20Trips'!$A$3:$F$22,2,FALSE))&lt;'20Trips'!$AC$38,$A25&lt;&gt;M$1,#REF!=1),(VLOOKUP(M$1,'20Trips'!$A$3:$I$22,8,FALSE))-(VLOOKUP($A25,'20Trips'!$A$3:$I$22,9,FALSE))+'20Trips'!$B$23,0)</f>
        <v>#REF!</v>
      </c>
      <c r="N25" t="e">
        <f>IF(AND(SUM(VLOOKUP($A25,'20Trips'!$A$3:$F$22,2,FALSE),VLOOKUP(N$1,'20Trips'!$A$3:$F$22,2,FALSE))&lt;'20Trips'!$AC$38,$A25&lt;&gt;N$1,#REF!=1),(VLOOKUP(N$1,'20Trips'!$A$3:$I$22,8,FALSE))-(VLOOKUP($A25,'20Trips'!$A$3:$I$22,9,FALSE))+'20Trips'!$B$23,0)</f>
        <v>#REF!</v>
      </c>
      <c r="O25" t="e">
        <f>IF(AND(SUM(VLOOKUP($A25,'20Trips'!$A$3:$F$22,2,FALSE),VLOOKUP(O$1,'20Trips'!$A$3:$F$22,2,FALSE))&lt;'20Trips'!$AC$38,$A25&lt;&gt;O$1,#REF!=1),(VLOOKUP(O$1,'20Trips'!$A$3:$I$22,8,FALSE))-(VLOOKUP($A25,'20Trips'!$A$3:$I$22,9,FALSE))+'20Trips'!$B$23,0)</f>
        <v>#REF!</v>
      </c>
      <c r="P25" t="e">
        <f>IF(AND(SUM(VLOOKUP($A25,'20Trips'!$A$3:$F$22,2,FALSE),VLOOKUP(P$1,'20Trips'!$A$3:$F$22,2,FALSE))&lt;'20Trips'!$AC$38,$A25&lt;&gt;P$1,#REF!=1),(VLOOKUP(P$1,'20Trips'!$A$3:$I$22,8,FALSE))-(VLOOKUP($A25,'20Trips'!$A$3:$I$22,9,FALSE))+'20Trips'!$B$23,0)</f>
        <v>#REF!</v>
      </c>
      <c r="Q25" t="e">
        <f>IF(AND(SUM(VLOOKUP($A25,'20Trips'!$A$3:$F$22,2,FALSE),VLOOKUP(Q$1,'20Trips'!$A$3:$F$22,2,FALSE))&lt;'20Trips'!$AC$38,$A25&lt;&gt;Q$1,#REF!=1),(VLOOKUP(Q$1,'20Trips'!$A$3:$I$22,8,FALSE))-(VLOOKUP($A25,'20Trips'!$A$3:$I$22,9,FALSE))+'20Trips'!$B$23,0)</f>
        <v>#REF!</v>
      </c>
      <c r="R25" t="e">
        <f>IF(AND(SUM(VLOOKUP($A25,'20Trips'!$A$3:$F$22,2,FALSE),VLOOKUP(R$1,'20Trips'!$A$3:$F$22,2,FALSE))&lt;'20Trips'!$AC$38,$A25&lt;&gt;R$1,#REF!=1),(VLOOKUP(R$1,'20Trips'!$A$3:$I$22,8,FALSE))-(VLOOKUP($A25,'20Trips'!$A$3:$I$22,9,FALSE))+'20Trips'!$B$23,0)</f>
        <v>#REF!</v>
      </c>
      <c r="S25" t="e">
        <f>IF(AND(SUM(VLOOKUP($A25,'20Trips'!$A$3:$F$22,2,FALSE),VLOOKUP(S$1,'20Trips'!$A$3:$F$22,2,FALSE))&lt;'20Trips'!$AC$38,$A25&lt;&gt;S$1,#REF!=1),(VLOOKUP(S$1,'20Trips'!$A$3:$I$22,8,FALSE))-(VLOOKUP($A25,'20Trips'!$A$3:$I$22,9,FALSE))+'20Trips'!$B$23,0)</f>
        <v>#REF!</v>
      </c>
      <c r="T25" t="e">
        <f>IF(AND(SUM(VLOOKUP($A25,'20Trips'!$A$3:$F$22,2,FALSE),VLOOKUP(T$1,'20Trips'!$A$3:$F$22,2,FALSE))&lt;'20Trips'!$AC$38,$A25&lt;&gt;T$1,#REF!=1),(VLOOKUP(T$1,'20Trips'!$A$3:$I$22,8,FALSE))-(VLOOKUP($A25,'20Trips'!$A$3:$I$22,9,FALSE))+'20Trips'!$B$23,0)</f>
        <v>#REF!</v>
      </c>
      <c r="U25" t="e">
        <f>IF(AND(SUM(VLOOKUP($A25,'20Trips'!$A$3:$F$22,2,FALSE),VLOOKUP(U$1,'20Trips'!$A$3:$F$22,2,FALSE))&lt;'20Trips'!$AC$38,$A25&lt;&gt;U$1,#REF!=1),(VLOOKUP(U$1,'20Trips'!$A$3:$I$22,8,FALSE))-(VLOOKUP($A25,'20Trips'!$A$3:$I$22,9,FALSE))+'20Trips'!$B$23,0)</f>
        <v>#REF!</v>
      </c>
      <c r="V25" t="e">
        <f>IF(AND(SUM(VLOOKUP($A25,'20Trips'!$A$3:$F$22,2,FALSE),VLOOKUP(V$1,'20Trips'!$A$3:$F$22,2,FALSE))&lt;'20Trips'!$AC$38,$A25&lt;&gt;V$1,#REF!=1),(VLOOKUP(V$1,'20Trips'!$A$3:$I$22,8,FALSE))-(VLOOKUP($A25,'20Trips'!$A$3:$I$22,9,FALSE))+'20Trips'!$B$23,0)</f>
        <v>#REF!</v>
      </c>
    </row>
    <row r="26" spans="1:26" x14ac:dyDescent="0.25">
      <c r="A26" t="s">
        <v>10</v>
      </c>
      <c r="B26">
        <v>0</v>
      </c>
      <c r="C26">
        <f>IF(AND(SUM(VLOOKUP($A26,'20Trips'!$A$3:$F$22,2,FALSE),VLOOKUP(C$1,'20Trips'!$A$3:$F$22,2,FALSE))&lt;'20Trips'!$AC$38,$A26&lt;&gt;C$1,feasible_mat!C26=1),(VLOOKUP(C$1,'20Trips'!$A$3:$I$22,8,FALSE))-(VLOOKUP($A26,'20Trips'!$A$3:$I$22,9,FALSE))+'20Trips'!$B$23,0)</f>
        <v>0</v>
      </c>
      <c r="D26" t="e">
        <f>IF(AND(SUM(VLOOKUP($A26,'20Trips'!$A$3:$F$22,2,FALSE),VLOOKUP(D$1,'20Trips'!$A$3:$F$22,2,FALSE))&lt;'20Trips'!$AC$38,$A26&lt;&gt;D$1,#REF!=1),(VLOOKUP(D$1,'20Trips'!$A$3:$I$22,8,FALSE))-(VLOOKUP($A26,'20Trips'!$A$3:$I$22,9,FALSE))+'20Trips'!$B$23,0)</f>
        <v>#REF!</v>
      </c>
      <c r="E26" t="e">
        <f>IF(AND(SUM(VLOOKUP($A26,'20Trips'!$A$3:$F$22,2,FALSE),VLOOKUP(E$1,'20Trips'!$A$3:$F$22,2,FALSE))&lt;'20Trips'!$AC$38,$A26&lt;&gt;E$1,#REF!=1),(VLOOKUP(E$1,'20Trips'!$A$3:$I$22,8,FALSE))-(VLOOKUP($A26,'20Trips'!$A$3:$I$22,9,FALSE))+'20Trips'!$B$23,0)</f>
        <v>#REF!</v>
      </c>
      <c r="F26" t="e">
        <f>IF(AND(SUM(VLOOKUP($A26,'20Trips'!$A$3:$F$22,2,FALSE),VLOOKUP(F$1,'20Trips'!$A$3:$F$22,2,FALSE))&lt;'20Trips'!$AC$38,$A26&lt;&gt;F$1,#REF!=1),(VLOOKUP(F$1,'20Trips'!$A$3:$I$22,8,FALSE))-(VLOOKUP($A26,'20Trips'!$A$3:$I$22,9,FALSE))+'20Trips'!$B$23,0)</f>
        <v>#REF!</v>
      </c>
      <c r="G26" t="e">
        <f>IF(AND(SUM(VLOOKUP($A26,'20Trips'!$A$3:$F$22,2,FALSE),VLOOKUP(G$1,'20Trips'!$A$3:$F$22,2,FALSE))&lt;'20Trips'!$AC$38,$A26&lt;&gt;G$1,#REF!=1),(VLOOKUP(G$1,'20Trips'!$A$3:$I$22,8,FALSE))-(VLOOKUP($A26,'20Trips'!$A$3:$I$22,9,FALSE))+'20Trips'!$B$23,0)</f>
        <v>#REF!</v>
      </c>
      <c r="H26" t="e">
        <f>IF(AND(SUM(VLOOKUP($A26,'20Trips'!$A$3:$F$22,2,FALSE),VLOOKUP(H$1,'20Trips'!$A$3:$F$22,2,FALSE))&lt;'20Trips'!$AC$38,$A26&lt;&gt;H$1,#REF!=1),(VLOOKUP(H$1,'20Trips'!$A$3:$I$22,8,FALSE))-(VLOOKUP($A26,'20Trips'!$A$3:$I$22,9,FALSE))+'20Trips'!$B$23,0)</f>
        <v>#REF!</v>
      </c>
      <c r="I26" t="e">
        <f>IF(AND(SUM(VLOOKUP($A26,'20Trips'!$A$3:$F$22,2,FALSE),VLOOKUP(I$1,'20Trips'!$A$3:$F$22,2,FALSE))&lt;'20Trips'!$AC$38,$A26&lt;&gt;I$1,#REF!=1),(VLOOKUP(I$1,'20Trips'!$A$3:$I$22,8,FALSE))-(VLOOKUP($A26,'20Trips'!$A$3:$I$22,9,FALSE))+'20Trips'!$B$23,0)</f>
        <v>#REF!</v>
      </c>
      <c r="J26" t="e">
        <f>IF(AND(SUM(VLOOKUP($A26,'20Trips'!$A$3:$F$22,2,FALSE),VLOOKUP(J$1,'20Trips'!$A$3:$F$22,2,FALSE))&lt;'20Trips'!$AC$38,$A26&lt;&gt;J$1,#REF!=1),(VLOOKUP(J$1,'20Trips'!$A$3:$I$22,8,FALSE))-(VLOOKUP($A26,'20Trips'!$A$3:$I$22,9,FALSE))+'20Trips'!$B$23,0)</f>
        <v>#REF!</v>
      </c>
      <c r="K26" t="e">
        <f>IF(AND(SUM(VLOOKUP($A26,'20Trips'!$A$3:$F$22,2,FALSE),VLOOKUP(K$1,'20Trips'!$A$3:$F$22,2,FALSE))&lt;'20Trips'!$AC$38,$A26&lt;&gt;K$1,#REF!=1),(VLOOKUP(K$1,'20Trips'!$A$3:$I$22,8,FALSE))-(VLOOKUP($A26,'20Trips'!$A$3:$I$22,9,FALSE))+'20Trips'!$B$23,0)</f>
        <v>#REF!</v>
      </c>
      <c r="L26" t="e">
        <f>IF(AND(SUM(VLOOKUP($A26,'20Trips'!$A$3:$F$22,2,FALSE),VLOOKUP(L$1,'20Trips'!$A$3:$F$22,2,FALSE))&lt;'20Trips'!$AC$38,$A26&lt;&gt;L$1,#REF!=1),(VLOOKUP(L$1,'20Trips'!$A$3:$I$22,8,FALSE))-(VLOOKUP($A26,'20Trips'!$A$3:$I$22,9,FALSE))+'20Trips'!$B$23,0)</f>
        <v>#REF!</v>
      </c>
      <c r="M26" t="e">
        <f>IF(AND(SUM(VLOOKUP($A26,'20Trips'!$A$3:$F$22,2,FALSE),VLOOKUP(M$1,'20Trips'!$A$3:$F$22,2,FALSE))&lt;'20Trips'!$AC$38,$A26&lt;&gt;M$1,#REF!=1),(VLOOKUP(M$1,'20Trips'!$A$3:$I$22,8,FALSE))-(VLOOKUP($A26,'20Trips'!$A$3:$I$22,9,FALSE))+'20Trips'!$B$23,0)</f>
        <v>#REF!</v>
      </c>
      <c r="N26" t="e">
        <f>IF(AND(SUM(VLOOKUP($A26,'20Trips'!$A$3:$F$22,2,FALSE),VLOOKUP(N$1,'20Trips'!$A$3:$F$22,2,FALSE))&lt;'20Trips'!$AC$38,$A26&lt;&gt;N$1,#REF!=1),(VLOOKUP(N$1,'20Trips'!$A$3:$I$22,8,FALSE))-(VLOOKUP($A26,'20Trips'!$A$3:$I$22,9,FALSE))+'20Trips'!$B$23,0)</f>
        <v>#REF!</v>
      </c>
      <c r="O26" t="e">
        <f>IF(AND(SUM(VLOOKUP($A26,'20Trips'!$A$3:$F$22,2,FALSE),VLOOKUP(O$1,'20Trips'!$A$3:$F$22,2,FALSE))&lt;'20Trips'!$AC$38,$A26&lt;&gt;O$1,#REF!=1),(VLOOKUP(O$1,'20Trips'!$A$3:$I$22,8,FALSE))-(VLOOKUP($A26,'20Trips'!$A$3:$I$22,9,FALSE))+'20Trips'!$B$23,0)</f>
        <v>#REF!</v>
      </c>
      <c r="P26" t="e">
        <f>IF(AND(SUM(VLOOKUP($A26,'20Trips'!$A$3:$F$22,2,FALSE),VLOOKUP(P$1,'20Trips'!$A$3:$F$22,2,FALSE))&lt;'20Trips'!$AC$38,$A26&lt;&gt;P$1,#REF!=1),(VLOOKUP(P$1,'20Trips'!$A$3:$I$22,8,FALSE))-(VLOOKUP($A26,'20Trips'!$A$3:$I$22,9,FALSE))+'20Trips'!$B$23,0)</f>
        <v>#REF!</v>
      </c>
      <c r="Q26" t="e">
        <f>IF(AND(SUM(VLOOKUP($A26,'20Trips'!$A$3:$F$22,2,FALSE),VLOOKUP(Q$1,'20Trips'!$A$3:$F$22,2,FALSE))&lt;'20Trips'!$AC$38,$A26&lt;&gt;Q$1,#REF!=1),(VLOOKUP(Q$1,'20Trips'!$A$3:$I$22,8,FALSE))-(VLOOKUP($A26,'20Trips'!$A$3:$I$22,9,FALSE))+'20Trips'!$B$23,0)</f>
        <v>#REF!</v>
      </c>
      <c r="R26" t="e">
        <f>IF(AND(SUM(VLOOKUP($A26,'20Trips'!$A$3:$F$22,2,FALSE),VLOOKUP(R$1,'20Trips'!$A$3:$F$22,2,FALSE))&lt;'20Trips'!$AC$38,$A26&lt;&gt;R$1,#REF!=1),(VLOOKUP(R$1,'20Trips'!$A$3:$I$22,8,FALSE))-(VLOOKUP($A26,'20Trips'!$A$3:$I$22,9,FALSE))+'20Trips'!$B$23,0)</f>
        <v>#REF!</v>
      </c>
      <c r="S26" t="e">
        <f>IF(AND(SUM(VLOOKUP($A26,'20Trips'!$A$3:$F$22,2,FALSE),VLOOKUP(S$1,'20Trips'!$A$3:$F$22,2,FALSE))&lt;'20Trips'!$AC$38,$A26&lt;&gt;S$1,#REF!=1),(VLOOKUP(S$1,'20Trips'!$A$3:$I$22,8,FALSE))-(VLOOKUP($A26,'20Trips'!$A$3:$I$22,9,FALSE))+'20Trips'!$B$23,0)</f>
        <v>#REF!</v>
      </c>
      <c r="T26" t="e">
        <f>IF(AND(SUM(VLOOKUP($A26,'20Trips'!$A$3:$F$22,2,FALSE),VLOOKUP(T$1,'20Trips'!$A$3:$F$22,2,FALSE))&lt;'20Trips'!$AC$38,$A26&lt;&gt;T$1,#REF!=1),(VLOOKUP(T$1,'20Trips'!$A$3:$I$22,8,FALSE))-(VLOOKUP($A26,'20Trips'!$A$3:$I$22,9,FALSE))+'20Trips'!$B$23,0)</f>
        <v>#REF!</v>
      </c>
      <c r="U26" t="e">
        <f>IF(AND(SUM(VLOOKUP($A26,'20Trips'!$A$3:$F$22,2,FALSE),VLOOKUP(U$1,'20Trips'!$A$3:$F$22,2,FALSE))&lt;'20Trips'!$AC$38,$A26&lt;&gt;U$1,#REF!=1),(VLOOKUP(U$1,'20Trips'!$A$3:$I$22,8,FALSE))-(VLOOKUP($A26,'20Trips'!$A$3:$I$22,9,FALSE))+'20Trips'!$B$23,0)</f>
        <v>#REF!</v>
      </c>
      <c r="V26" t="e">
        <f>IF(AND(SUM(VLOOKUP($A26,'20Trips'!$A$3:$F$22,2,FALSE),VLOOKUP(V$1,'20Trips'!$A$3:$F$22,2,FALSE))&lt;'20Trips'!$AC$38,$A26&lt;&gt;V$1,#REF!=1),(VLOOKUP(V$1,'20Trips'!$A$3:$I$22,8,FALSE))-(VLOOKUP($A26,'20Trips'!$A$3:$I$22,9,FALSE))+'20Trips'!$B$23,0)</f>
        <v>#REF!</v>
      </c>
    </row>
    <row r="27" spans="1:26" x14ac:dyDescent="0.25">
      <c r="A27" t="s">
        <v>11</v>
      </c>
      <c r="B27">
        <v>0</v>
      </c>
      <c r="C27">
        <f>IF(AND(SUM(VLOOKUP($A27,'20Trips'!$A$3:$F$22,2,FALSE),VLOOKUP(C$1,'20Trips'!$A$3:$F$22,2,FALSE))&lt;'20Trips'!$AC$38,$A27&lt;&gt;C$1,feasible_mat!C27=1),(VLOOKUP(C$1,'20Trips'!$A$3:$I$22,8,FALSE))-(VLOOKUP($A27,'20Trips'!$A$3:$I$22,9,FALSE))+'20Trips'!$B$23,0)</f>
        <v>0</v>
      </c>
      <c r="D27" t="e">
        <f>IF(AND(SUM(VLOOKUP($A27,'20Trips'!$A$3:$F$22,2,FALSE),VLOOKUP(D$1,'20Trips'!$A$3:$F$22,2,FALSE))&lt;'20Trips'!$AC$38,$A27&lt;&gt;D$1,#REF!=1),(VLOOKUP(D$1,'20Trips'!$A$3:$I$22,8,FALSE))-(VLOOKUP($A27,'20Trips'!$A$3:$I$22,9,FALSE))+'20Trips'!$B$23,0)</f>
        <v>#REF!</v>
      </c>
      <c r="E27" t="e">
        <f>IF(AND(SUM(VLOOKUP($A27,'20Trips'!$A$3:$F$22,2,FALSE),VLOOKUP(E$1,'20Trips'!$A$3:$F$22,2,FALSE))&lt;'20Trips'!$AC$38,$A27&lt;&gt;E$1,#REF!=1),(VLOOKUP(E$1,'20Trips'!$A$3:$I$22,8,FALSE))-(VLOOKUP($A27,'20Trips'!$A$3:$I$22,9,FALSE))+'20Trips'!$B$23,0)</f>
        <v>#REF!</v>
      </c>
      <c r="F27" t="e">
        <f>IF(AND(SUM(VLOOKUP($A27,'20Trips'!$A$3:$F$22,2,FALSE),VLOOKUP(F$1,'20Trips'!$A$3:$F$22,2,FALSE))&lt;'20Trips'!$AC$38,$A27&lt;&gt;F$1,#REF!=1),(VLOOKUP(F$1,'20Trips'!$A$3:$I$22,8,FALSE))-(VLOOKUP($A27,'20Trips'!$A$3:$I$22,9,FALSE))+'20Trips'!$B$23,0)</f>
        <v>#REF!</v>
      </c>
      <c r="G27" t="e">
        <f>IF(AND(SUM(VLOOKUP($A27,'20Trips'!$A$3:$F$22,2,FALSE),VLOOKUP(G$1,'20Trips'!$A$3:$F$22,2,FALSE))&lt;'20Trips'!$AC$38,$A27&lt;&gt;G$1,#REF!=1),(VLOOKUP(G$1,'20Trips'!$A$3:$I$22,8,FALSE))-(VLOOKUP($A27,'20Trips'!$A$3:$I$22,9,FALSE))+'20Trips'!$B$23,0)</f>
        <v>#REF!</v>
      </c>
      <c r="H27" t="e">
        <f>IF(AND(SUM(VLOOKUP($A27,'20Trips'!$A$3:$F$22,2,FALSE),VLOOKUP(H$1,'20Trips'!$A$3:$F$22,2,FALSE))&lt;'20Trips'!$AC$38,$A27&lt;&gt;H$1,#REF!=1),(VLOOKUP(H$1,'20Trips'!$A$3:$I$22,8,FALSE))-(VLOOKUP($A27,'20Trips'!$A$3:$I$22,9,FALSE))+'20Trips'!$B$23,0)</f>
        <v>#REF!</v>
      </c>
      <c r="I27" t="e">
        <f>IF(AND(SUM(VLOOKUP($A27,'20Trips'!$A$3:$F$22,2,FALSE),VLOOKUP(I$1,'20Trips'!$A$3:$F$22,2,FALSE))&lt;'20Trips'!$AC$38,$A27&lt;&gt;I$1,#REF!=1),(VLOOKUP(I$1,'20Trips'!$A$3:$I$22,8,FALSE))-(VLOOKUP($A27,'20Trips'!$A$3:$I$22,9,FALSE))+'20Trips'!$B$23,0)</f>
        <v>#REF!</v>
      </c>
      <c r="J27" t="e">
        <f>IF(AND(SUM(VLOOKUP($A27,'20Trips'!$A$3:$F$22,2,FALSE),VLOOKUP(J$1,'20Trips'!$A$3:$F$22,2,FALSE))&lt;'20Trips'!$AC$38,$A27&lt;&gt;J$1,#REF!=1),(VLOOKUP(J$1,'20Trips'!$A$3:$I$22,8,FALSE))-(VLOOKUP($A27,'20Trips'!$A$3:$I$22,9,FALSE))+'20Trips'!$B$23,0)</f>
        <v>#REF!</v>
      </c>
      <c r="K27" t="e">
        <f>IF(AND(SUM(VLOOKUP($A27,'20Trips'!$A$3:$F$22,2,FALSE),VLOOKUP(K$1,'20Trips'!$A$3:$F$22,2,FALSE))&lt;'20Trips'!$AC$38,$A27&lt;&gt;K$1,#REF!=1),(VLOOKUP(K$1,'20Trips'!$A$3:$I$22,8,FALSE))-(VLOOKUP($A27,'20Trips'!$A$3:$I$22,9,FALSE))+'20Trips'!$B$23,0)</f>
        <v>#REF!</v>
      </c>
      <c r="L27" t="e">
        <f>IF(AND(SUM(VLOOKUP($A27,'20Trips'!$A$3:$F$22,2,FALSE),VLOOKUP(L$1,'20Trips'!$A$3:$F$22,2,FALSE))&lt;'20Trips'!$AC$38,$A27&lt;&gt;L$1,#REF!=1),(VLOOKUP(L$1,'20Trips'!$A$3:$I$22,8,FALSE))-(VLOOKUP($A27,'20Trips'!$A$3:$I$22,9,FALSE))+'20Trips'!$B$23,0)</f>
        <v>#REF!</v>
      </c>
      <c r="M27" t="e">
        <f>IF(AND(SUM(VLOOKUP($A27,'20Trips'!$A$3:$F$22,2,FALSE),VLOOKUP(M$1,'20Trips'!$A$3:$F$22,2,FALSE))&lt;'20Trips'!$AC$38,$A27&lt;&gt;M$1,#REF!=1),(VLOOKUP(M$1,'20Trips'!$A$3:$I$22,8,FALSE))-(VLOOKUP($A27,'20Trips'!$A$3:$I$22,9,FALSE))+'20Trips'!$B$23,0)</f>
        <v>#REF!</v>
      </c>
      <c r="N27" t="e">
        <f>IF(AND(SUM(VLOOKUP($A27,'20Trips'!$A$3:$F$22,2,FALSE),VLOOKUP(N$1,'20Trips'!$A$3:$F$22,2,FALSE))&lt;'20Trips'!$AC$38,$A27&lt;&gt;N$1,#REF!=1),(VLOOKUP(N$1,'20Trips'!$A$3:$I$22,8,FALSE))-(VLOOKUP($A27,'20Trips'!$A$3:$I$22,9,FALSE))+'20Trips'!$B$23,0)</f>
        <v>#REF!</v>
      </c>
      <c r="O27" t="e">
        <f>IF(AND(SUM(VLOOKUP($A27,'20Trips'!$A$3:$F$22,2,FALSE),VLOOKUP(O$1,'20Trips'!$A$3:$F$22,2,FALSE))&lt;'20Trips'!$AC$38,$A27&lt;&gt;O$1,#REF!=1),(VLOOKUP(O$1,'20Trips'!$A$3:$I$22,8,FALSE))-(VLOOKUP($A27,'20Trips'!$A$3:$I$22,9,FALSE))+'20Trips'!$B$23,0)</f>
        <v>#REF!</v>
      </c>
      <c r="P27" t="e">
        <f>IF(AND(SUM(VLOOKUP($A27,'20Trips'!$A$3:$F$22,2,FALSE),VLOOKUP(P$1,'20Trips'!$A$3:$F$22,2,FALSE))&lt;'20Trips'!$AC$38,$A27&lt;&gt;P$1,#REF!=1),(VLOOKUP(P$1,'20Trips'!$A$3:$I$22,8,FALSE))-(VLOOKUP($A27,'20Trips'!$A$3:$I$22,9,FALSE))+'20Trips'!$B$23,0)</f>
        <v>#REF!</v>
      </c>
      <c r="Q27" t="e">
        <f>IF(AND(SUM(VLOOKUP($A27,'20Trips'!$A$3:$F$22,2,FALSE),VLOOKUP(Q$1,'20Trips'!$A$3:$F$22,2,FALSE))&lt;'20Trips'!$AC$38,$A27&lt;&gt;Q$1,#REF!=1),(VLOOKUP(Q$1,'20Trips'!$A$3:$I$22,8,FALSE))-(VLOOKUP($A27,'20Trips'!$A$3:$I$22,9,FALSE))+'20Trips'!$B$23,0)</f>
        <v>#REF!</v>
      </c>
      <c r="R27" t="e">
        <f>IF(AND(SUM(VLOOKUP($A27,'20Trips'!$A$3:$F$22,2,FALSE),VLOOKUP(R$1,'20Trips'!$A$3:$F$22,2,FALSE))&lt;'20Trips'!$AC$38,$A27&lt;&gt;R$1,#REF!=1),(VLOOKUP(R$1,'20Trips'!$A$3:$I$22,8,FALSE))-(VLOOKUP($A27,'20Trips'!$A$3:$I$22,9,FALSE))+'20Trips'!$B$23,0)</f>
        <v>#REF!</v>
      </c>
      <c r="S27" t="e">
        <f>IF(AND(SUM(VLOOKUP($A27,'20Trips'!$A$3:$F$22,2,FALSE),VLOOKUP(S$1,'20Trips'!$A$3:$F$22,2,FALSE))&lt;'20Trips'!$AC$38,$A27&lt;&gt;S$1,#REF!=1),(VLOOKUP(S$1,'20Trips'!$A$3:$I$22,8,FALSE))-(VLOOKUP($A27,'20Trips'!$A$3:$I$22,9,FALSE))+'20Trips'!$B$23,0)</f>
        <v>#REF!</v>
      </c>
      <c r="T27" t="e">
        <f>IF(AND(SUM(VLOOKUP($A27,'20Trips'!$A$3:$F$22,2,FALSE),VLOOKUP(T$1,'20Trips'!$A$3:$F$22,2,FALSE))&lt;'20Trips'!$AC$38,$A27&lt;&gt;T$1,#REF!=1),(VLOOKUP(T$1,'20Trips'!$A$3:$I$22,8,FALSE))-(VLOOKUP($A27,'20Trips'!$A$3:$I$22,9,FALSE))+'20Trips'!$B$23,0)</f>
        <v>#REF!</v>
      </c>
      <c r="U27" t="e">
        <f>IF(AND(SUM(VLOOKUP($A27,'20Trips'!$A$3:$F$22,2,FALSE),VLOOKUP(U$1,'20Trips'!$A$3:$F$22,2,FALSE))&lt;'20Trips'!$AC$38,$A27&lt;&gt;U$1,#REF!=1),(VLOOKUP(U$1,'20Trips'!$A$3:$I$22,8,FALSE))-(VLOOKUP($A27,'20Trips'!$A$3:$I$22,9,FALSE))+'20Trips'!$B$23,0)</f>
        <v>#REF!</v>
      </c>
      <c r="V27" t="e">
        <f>IF(AND(SUM(VLOOKUP($A27,'20Trips'!$A$3:$F$22,2,FALSE),VLOOKUP(V$1,'20Trips'!$A$3:$F$22,2,FALSE))&lt;'20Trips'!$AC$38,$A27&lt;&gt;V$1,#REF!=1),(VLOOKUP(V$1,'20Trips'!$A$3:$I$22,8,FALSE))-(VLOOKUP($A27,'20Trips'!$A$3:$I$22,9,FALSE))+'20Trips'!$B$23,0)</f>
        <v>#REF!</v>
      </c>
    </row>
    <row r="28" spans="1:26" x14ac:dyDescent="0.25">
      <c r="A28" t="s">
        <v>12</v>
      </c>
      <c r="B28">
        <v>0</v>
      </c>
      <c r="C28">
        <f>IF(AND(SUM(VLOOKUP($A28,'20Trips'!$A$3:$F$22,2,FALSE),VLOOKUP(C$1,'20Trips'!$A$3:$F$22,2,FALSE))&lt;'20Trips'!$AC$38,$A28&lt;&gt;C$1,feasible_mat!C28=1),(VLOOKUP(C$1,'20Trips'!$A$3:$I$22,8,FALSE))-(VLOOKUP($A28,'20Trips'!$A$3:$I$22,9,FALSE))+'20Trips'!$B$23,0)</f>
        <v>0</v>
      </c>
      <c r="D28" t="e">
        <f>IF(AND(SUM(VLOOKUP($A28,'20Trips'!$A$3:$F$22,2,FALSE),VLOOKUP(D$1,'20Trips'!$A$3:$F$22,2,FALSE))&lt;'20Trips'!$AC$38,$A28&lt;&gt;D$1,#REF!=1),(VLOOKUP(D$1,'20Trips'!$A$3:$I$22,8,FALSE))-(VLOOKUP($A28,'20Trips'!$A$3:$I$22,9,FALSE))+'20Trips'!$B$23,0)</f>
        <v>#REF!</v>
      </c>
      <c r="E28" t="e">
        <f>IF(AND(SUM(VLOOKUP($A28,'20Trips'!$A$3:$F$22,2,FALSE),VLOOKUP(E$1,'20Trips'!$A$3:$F$22,2,FALSE))&lt;'20Trips'!$AC$38,$A28&lt;&gt;E$1,#REF!=1),(VLOOKUP(E$1,'20Trips'!$A$3:$I$22,8,FALSE))-(VLOOKUP($A28,'20Trips'!$A$3:$I$22,9,FALSE))+'20Trips'!$B$23,0)</f>
        <v>#REF!</v>
      </c>
      <c r="F28" t="e">
        <f>IF(AND(SUM(VLOOKUP($A28,'20Trips'!$A$3:$F$22,2,FALSE),VLOOKUP(F$1,'20Trips'!$A$3:$F$22,2,FALSE))&lt;'20Trips'!$AC$38,$A28&lt;&gt;F$1,#REF!=1),(VLOOKUP(F$1,'20Trips'!$A$3:$I$22,8,FALSE))-(VLOOKUP($A28,'20Trips'!$A$3:$I$22,9,FALSE))+'20Trips'!$B$23,0)</f>
        <v>#REF!</v>
      </c>
      <c r="G28" t="e">
        <f>IF(AND(SUM(VLOOKUP($A28,'20Trips'!$A$3:$F$22,2,FALSE),VLOOKUP(G$1,'20Trips'!$A$3:$F$22,2,FALSE))&lt;'20Trips'!$AC$38,$A28&lt;&gt;G$1,#REF!=1),(VLOOKUP(G$1,'20Trips'!$A$3:$I$22,8,FALSE))-(VLOOKUP($A28,'20Trips'!$A$3:$I$22,9,FALSE))+'20Trips'!$B$23,0)</f>
        <v>#REF!</v>
      </c>
      <c r="H28" t="e">
        <f>IF(AND(SUM(VLOOKUP($A28,'20Trips'!$A$3:$F$22,2,FALSE),VLOOKUP(H$1,'20Trips'!$A$3:$F$22,2,FALSE))&lt;'20Trips'!$AC$38,$A28&lt;&gt;H$1,#REF!=1),(VLOOKUP(H$1,'20Trips'!$A$3:$I$22,8,FALSE))-(VLOOKUP($A28,'20Trips'!$A$3:$I$22,9,FALSE))+'20Trips'!$B$23,0)</f>
        <v>#REF!</v>
      </c>
      <c r="I28" t="e">
        <f>IF(AND(SUM(VLOOKUP($A28,'20Trips'!$A$3:$F$22,2,FALSE),VLOOKUP(I$1,'20Trips'!$A$3:$F$22,2,FALSE))&lt;'20Trips'!$AC$38,$A28&lt;&gt;I$1,#REF!=1),(VLOOKUP(I$1,'20Trips'!$A$3:$I$22,8,FALSE))-(VLOOKUP($A28,'20Trips'!$A$3:$I$22,9,FALSE))+'20Trips'!$B$23,0)</f>
        <v>#REF!</v>
      </c>
      <c r="J28" t="e">
        <f>IF(AND(SUM(VLOOKUP($A28,'20Trips'!$A$3:$F$22,2,FALSE),VLOOKUP(J$1,'20Trips'!$A$3:$F$22,2,FALSE))&lt;'20Trips'!$AC$38,$A28&lt;&gt;J$1,#REF!=1),(VLOOKUP(J$1,'20Trips'!$A$3:$I$22,8,FALSE))-(VLOOKUP($A28,'20Trips'!$A$3:$I$22,9,FALSE))+'20Trips'!$B$23,0)</f>
        <v>#REF!</v>
      </c>
      <c r="K28" t="e">
        <f>IF(AND(SUM(VLOOKUP($A28,'20Trips'!$A$3:$F$22,2,FALSE),VLOOKUP(K$1,'20Trips'!$A$3:$F$22,2,FALSE))&lt;'20Trips'!$AC$38,$A28&lt;&gt;K$1,#REF!=1),(VLOOKUP(K$1,'20Trips'!$A$3:$I$22,8,FALSE))-(VLOOKUP($A28,'20Trips'!$A$3:$I$22,9,FALSE))+'20Trips'!$B$23,0)</f>
        <v>#REF!</v>
      </c>
      <c r="L28" t="e">
        <f>IF(AND(SUM(VLOOKUP($A28,'20Trips'!$A$3:$F$22,2,FALSE),VLOOKUP(L$1,'20Trips'!$A$3:$F$22,2,FALSE))&lt;'20Trips'!$AC$38,$A28&lt;&gt;L$1,#REF!=1),(VLOOKUP(L$1,'20Trips'!$A$3:$I$22,8,FALSE))-(VLOOKUP($A28,'20Trips'!$A$3:$I$22,9,FALSE))+'20Trips'!$B$23,0)</f>
        <v>#REF!</v>
      </c>
      <c r="M28" t="e">
        <f>IF(AND(SUM(VLOOKUP($A28,'20Trips'!$A$3:$F$22,2,FALSE),VLOOKUP(M$1,'20Trips'!$A$3:$F$22,2,FALSE))&lt;'20Trips'!$AC$38,$A28&lt;&gt;M$1,#REF!=1),(VLOOKUP(M$1,'20Trips'!$A$3:$I$22,8,FALSE))-(VLOOKUP($A28,'20Trips'!$A$3:$I$22,9,FALSE))+'20Trips'!$B$23,0)</f>
        <v>#REF!</v>
      </c>
      <c r="N28" t="e">
        <f>IF(AND(SUM(VLOOKUP($A28,'20Trips'!$A$3:$F$22,2,FALSE),VLOOKUP(N$1,'20Trips'!$A$3:$F$22,2,FALSE))&lt;'20Trips'!$AC$38,$A28&lt;&gt;N$1,#REF!=1),(VLOOKUP(N$1,'20Trips'!$A$3:$I$22,8,FALSE))-(VLOOKUP($A28,'20Trips'!$A$3:$I$22,9,FALSE))+'20Trips'!$B$23,0)</f>
        <v>#REF!</v>
      </c>
      <c r="O28" t="e">
        <f>IF(AND(SUM(VLOOKUP($A28,'20Trips'!$A$3:$F$22,2,FALSE),VLOOKUP(O$1,'20Trips'!$A$3:$F$22,2,FALSE))&lt;'20Trips'!$AC$38,$A28&lt;&gt;O$1,#REF!=1),(VLOOKUP(O$1,'20Trips'!$A$3:$I$22,8,FALSE))-(VLOOKUP($A28,'20Trips'!$A$3:$I$22,9,FALSE))+'20Trips'!$B$23,0)</f>
        <v>#REF!</v>
      </c>
      <c r="P28" t="e">
        <f>IF(AND(SUM(VLOOKUP($A28,'20Trips'!$A$3:$F$22,2,FALSE),VLOOKUP(P$1,'20Trips'!$A$3:$F$22,2,FALSE))&lt;'20Trips'!$AC$38,$A28&lt;&gt;P$1,#REF!=1),(VLOOKUP(P$1,'20Trips'!$A$3:$I$22,8,FALSE))-(VLOOKUP($A28,'20Trips'!$A$3:$I$22,9,FALSE))+'20Trips'!$B$23,0)</f>
        <v>#REF!</v>
      </c>
      <c r="Q28" t="e">
        <f>IF(AND(SUM(VLOOKUP($A28,'20Trips'!$A$3:$F$22,2,FALSE),VLOOKUP(Q$1,'20Trips'!$A$3:$F$22,2,FALSE))&lt;'20Trips'!$AC$38,$A28&lt;&gt;Q$1,#REF!=1),(VLOOKUP(Q$1,'20Trips'!$A$3:$I$22,8,FALSE))-(VLOOKUP($A28,'20Trips'!$A$3:$I$22,9,FALSE))+'20Trips'!$B$23,0)</f>
        <v>#REF!</v>
      </c>
      <c r="R28" t="e">
        <f>IF(AND(SUM(VLOOKUP($A28,'20Trips'!$A$3:$F$22,2,FALSE),VLOOKUP(R$1,'20Trips'!$A$3:$F$22,2,FALSE))&lt;'20Trips'!$AC$38,$A28&lt;&gt;R$1,#REF!=1),(VLOOKUP(R$1,'20Trips'!$A$3:$I$22,8,FALSE))-(VLOOKUP($A28,'20Trips'!$A$3:$I$22,9,FALSE))+'20Trips'!$B$23,0)</f>
        <v>#REF!</v>
      </c>
      <c r="S28" t="e">
        <f>IF(AND(SUM(VLOOKUP($A28,'20Trips'!$A$3:$F$22,2,FALSE),VLOOKUP(S$1,'20Trips'!$A$3:$F$22,2,FALSE))&lt;'20Trips'!$AC$38,$A28&lt;&gt;S$1,#REF!=1),(VLOOKUP(S$1,'20Trips'!$A$3:$I$22,8,FALSE))-(VLOOKUP($A28,'20Trips'!$A$3:$I$22,9,FALSE))+'20Trips'!$B$23,0)</f>
        <v>#REF!</v>
      </c>
      <c r="T28" t="e">
        <f>IF(AND(SUM(VLOOKUP($A28,'20Trips'!$A$3:$F$22,2,FALSE),VLOOKUP(T$1,'20Trips'!$A$3:$F$22,2,FALSE))&lt;'20Trips'!$AC$38,$A28&lt;&gt;T$1,#REF!=1),(VLOOKUP(T$1,'20Trips'!$A$3:$I$22,8,FALSE))-(VLOOKUP($A28,'20Trips'!$A$3:$I$22,9,FALSE))+'20Trips'!$B$23,0)</f>
        <v>#REF!</v>
      </c>
      <c r="U28" t="e">
        <f>IF(AND(SUM(VLOOKUP($A28,'20Trips'!$A$3:$F$22,2,FALSE),VLOOKUP(U$1,'20Trips'!$A$3:$F$22,2,FALSE))&lt;'20Trips'!$AC$38,$A28&lt;&gt;U$1,#REF!=1),(VLOOKUP(U$1,'20Trips'!$A$3:$I$22,8,FALSE))-(VLOOKUP($A28,'20Trips'!$A$3:$I$22,9,FALSE))+'20Trips'!$B$23,0)</f>
        <v>#REF!</v>
      </c>
      <c r="V28" t="e">
        <f>IF(AND(SUM(VLOOKUP($A28,'20Trips'!$A$3:$F$22,2,FALSE),VLOOKUP(V$1,'20Trips'!$A$3:$F$22,2,FALSE))&lt;'20Trips'!$AC$38,$A28&lt;&gt;V$1,#REF!=1),(VLOOKUP(V$1,'20Trips'!$A$3:$I$22,8,FALSE))-(VLOOKUP($A28,'20Trips'!$A$3:$I$22,9,FALSE))+'20Trips'!$B$23,0)</f>
        <v>#REF!</v>
      </c>
    </row>
    <row r="29" spans="1:26" x14ac:dyDescent="0.25">
      <c r="A29" t="s">
        <v>18</v>
      </c>
      <c r="B29">
        <v>0</v>
      </c>
      <c r="C29">
        <f>IF(AND(SUM(VLOOKUP($A29,'20Trips'!$A$3:$F$22,2,FALSE),VLOOKUP(C$1,'20Trips'!$A$3:$F$22,2,FALSE))&lt;'20Trips'!$AC$38,$A29&lt;&gt;C$1,feasible_mat!C32=1),(VLOOKUP(C$1,'20Trips'!$A$3:$I$22,8,FALSE))-(VLOOKUP($A29,'20Trips'!$A$3:$I$22,9,FALSE))+'20Trips'!$B$23,0)</f>
        <v>0</v>
      </c>
      <c r="D29" t="e">
        <f>IF(AND(SUM(VLOOKUP($A29,'20Trips'!$A$3:$F$22,2,FALSE),VLOOKUP(D$1,'20Trips'!$A$3:$F$22,2,FALSE))&lt;'20Trips'!$AC$38,$A29&lt;&gt;D$1,#REF!=1),(VLOOKUP(D$1,'20Trips'!$A$3:$I$22,8,FALSE))-(VLOOKUP($A29,'20Trips'!$A$3:$I$22,9,FALSE))+'20Trips'!$B$23,0)</f>
        <v>#REF!</v>
      </c>
      <c r="E29" t="e">
        <f>IF(AND(SUM(VLOOKUP($A29,'20Trips'!$A$3:$F$22,2,FALSE),VLOOKUP(E$1,'20Trips'!$A$3:$F$22,2,FALSE))&lt;'20Trips'!$AC$38,$A29&lt;&gt;E$1,#REF!=1),(VLOOKUP(E$1,'20Trips'!$A$3:$I$22,8,FALSE))-(VLOOKUP($A29,'20Trips'!$A$3:$I$22,9,FALSE))+'20Trips'!$B$23,0)</f>
        <v>#REF!</v>
      </c>
      <c r="F29" t="e">
        <f>IF(AND(SUM(VLOOKUP($A29,'20Trips'!$A$3:$F$22,2,FALSE),VLOOKUP(F$1,'20Trips'!$A$3:$F$22,2,FALSE))&lt;'20Trips'!$AC$38,$A29&lt;&gt;F$1,#REF!=1),(VLOOKUP(F$1,'20Trips'!$A$3:$I$22,8,FALSE))-(VLOOKUP($A29,'20Trips'!$A$3:$I$22,9,FALSE))+'20Trips'!$B$23,0)</f>
        <v>#REF!</v>
      </c>
      <c r="G29" t="e">
        <f>IF(AND(SUM(VLOOKUP($A29,'20Trips'!$A$3:$F$22,2,FALSE),VLOOKUP(G$1,'20Trips'!$A$3:$F$22,2,FALSE))&lt;'20Trips'!$AC$38,$A29&lt;&gt;G$1,#REF!=1),(VLOOKUP(G$1,'20Trips'!$A$3:$I$22,8,FALSE))-(VLOOKUP($A29,'20Trips'!$A$3:$I$22,9,FALSE))+'20Trips'!$B$23,0)</f>
        <v>#REF!</v>
      </c>
      <c r="H29" t="e">
        <f>IF(AND(SUM(VLOOKUP($A29,'20Trips'!$A$3:$F$22,2,FALSE),VLOOKUP(H$1,'20Trips'!$A$3:$F$22,2,FALSE))&lt;'20Trips'!$AC$38,$A29&lt;&gt;H$1,#REF!=1),(VLOOKUP(H$1,'20Trips'!$A$3:$I$22,8,FALSE))-(VLOOKUP($A29,'20Trips'!$A$3:$I$22,9,FALSE))+'20Trips'!$B$23,0)</f>
        <v>#REF!</v>
      </c>
      <c r="I29" t="e">
        <f>IF(AND(SUM(VLOOKUP($A29,'20Trips'!$A$3:$F$22,2,FALSE),VLOOKUP(I$1,'20Trips'!$A$3:$F$22,2,FALSE))&lt;'20Trips'!$AC$38,$A29&lt;&gt;I$1,#REF!=1),(VLOOKUP(I$1,'20Trips'!$A$3:$I$22,8,FALSE))-(VLOOKUP($A29,'20Trips'!$A$3:$I$22,9,FALSE))+'20Trips'!$B$23,0)</f>
        <v>#REF!</v>
      </c>
      <c r="J29" t="e">
        <f>IF(AND(SUM(VLOOKUP($A29,'20Trips'!$A$3:$F$22,2,FALSE),VLOOKUP(J$1,'20Trips'!$A$3:$F$22,2,FALSE))&lt;'20Trips'!$AC$38,$A29&lt;&gt;J$1,#REF!=1),(VLOOKUP(J$1,'20Trips'!$A$3:$I$22,8,FALSE))-(VLOOKUP($A29,'20Trips'!$A$3:$I$22,9,FALSE))+'20Trips'!$B$23,0)</f>
        <v>#REF!</v>
      </c>
      <c r="K29" t="e">
        <f>IF(AND(SUM(VLOOKUP($A29,'20Trips'!$A$3:$F$22,2,FALSE),VLOOKUP(K$1,'20Trips'!$A$3:$F$22,2,FALSE))&lt;'20Trips'!$AC$38,$A29&lt;&gt;K$1,#REF!=1),(VLOOKUP(K$1,'20Trips'!$A$3:$I$22,8,FALSE))-(VLOOKUP($A29,'20Trips'!$A$3:$I$22,9,FALSE))+'20Trips'!$B$23,0)</f>
        <v>#REF!</v>
      </c>
      <c r="L29" t="e">
        <f>IF(AND(SUM(VLOOKUP($A29,'20Trips'!$A$3:$F$22,2,FALSE),VLOOKUP(L$1,'20Trips'!$A$3:$F$22,2,FALSE))&lt;'20Trips'!$AC$38,$A29&lt;&gt;L$1,#REF!=1),(VLOOKUP(L$1,'20Trips'!$A$3:$I$22,8,FALSE))-(VLOOKUP($A29,'20Trips'!$A$3:$I$22,9,FALSE))+'20Trips'!$B$23,0)</f>
        <v>#REF!</v>
      </c>
      <c r="M29" t="e">
        <f>IF(AND(SUM(VLOOKUP($A29,'20Trips'!$A$3:$F$22,2,FALSE),VLOOKUP(M$1,'20Trips'!$A$3:$F$22,2,FALSE))&lt;'20Trips'!$AC$38,$A29&lt;&gt;M$1,#REF!=1),(VLOOKUP(M$1,'20Trips'!$A$3:$I$22,8,FALSE))-(VLOOKUP($A29,'20Trips'!$A$3:$I$22,9,FALSE))+'20Trips'!$B$23,0)</f>
        <v>#REF!</v>
      </c>
      <c r="N29" t="e">
        <f>IF(AND(SUM(VLOOKUP($A29,'20Trips'!$A$3:$F$22,2,FALSE),VLOOKUP(N$1,'20Trips'!$A$3:$F$22,2,FALSE))&lt;'20Trips'!$AC$38,$A29&lt;&gt;N$1,#REF!=1),(VLOOKUP(N$1,'20Trips'!$A$3:$I$22,8,FALSE))-(VLOOKUP($A29,'20Trips'!$A$3:$I$22,9,FALSE))+'20Trips'!$B$23,0)</f>
        <v>#REF!</v>
      </c>
      <c r="O29" t="e">
        <f>IF(AND(SUM(VLOOKUP($A29,'20Trips'!$A$3:$F$22,2,FALSE),VLOOKUP(O$1,'20Trips'!$A$3:$F$22,2,FALSE))&lt;'20Trips'!$AC$38,$A29&lt;&gt;O$1,#REF!=1),(VLOOKUP(O$1,'20Trips'!$A$3:$I$22,8,FALSE))-(VLOOKUP($A29,'20Trips'!$A$3:$I$22,9,FALSE))+'20Trips'!$B$23,0)</f>
        <v>#REF!</v>
      </c>
      <c r="P29" t="e">
        <f>IF(AND(SUM(VLOOKUP($A29,'20Trips'!$A$3:$F$22,2,FALSE),VLOOKUP(P$1,'20Trips'!$A$3:$F$22,2,FALSE))&lt;'20Trips'!$AC$38,$A29&lt;&gt;P$1,#REF!=1),(VLOOKUP(P$1,'20Trips'!$A$3:$I$22,8,FALSE))-(VLOOKUP($A29,'20Trips'!$A$3:$I$22,9,FALSE))+'20Trips'!$B$23,0)</f>
        <v>#REF!</v>
      </c>
      <c r="Q29" t="e">
        <f>IF(AND(SUM(VLOOKUP($A29,'20Trips'!$A$3:$F$22,2,FALSE),VLOOKUP(Q$1,'20Trips'!$A$3:$F$22,2,FALSE))&lt;'20Trips'!$AC$38,$A29&lt;&gt;Q$1,#REF!=1),(VLOOKUP(Q$1,'20Trips'!$A$3:$I$22,8,FALSE))-(VLOOKUP($A29,'20Trips'!$A$3:$I$22,9,FALSE))+'20Trips'!$B$23,0)</f>
        <v>#REF!</v>
      </c>
      <c r="R29" t="e">
        <f>IF(AND(SUM(VLOOKUP($A29,'20Trips'!$A$3:$F$22,2,FALSE),VLOOKUP(R$1,'20Trips'!$A$3:$F$22,2,FALSE))&lt;'20Trips'!$AC$38,$A29&lt;&gt;R$1,#REF!=1),(VLOOKUP(R$1,'20Trips'!$A$3:$I$22,8,FALSE))-(VLOOKUP($A29,'20Trips'!$A$3:$I$22,9,FALSE))+'20Trips'!$B$23,0)</f>
        <v>#REF!</v>
      </c>
      <c r="S29" t="e">
        <f>IF(AND(SUM(VLOOKUP($A29,'20Trips'!$A$3:$F$22,2,FALSE),VLOOKUP(S$1,'20Trips'!$A$3:$F$22,2,FALSE))&lt;'20Trips'!$AC$38,$A29&lt;&gt;S$1,#REF!=1),(VLOOKUP(S$1,'20Trips'!$A$3:$I$22,8,FALSE))-(VLOOKUP($A29,'20Trips'!$A$3:$I$22,9,FALSE))+'20Trips'!$B$23,0)</f>
        <v>#REF!</v>
      </c>
      <c r="T29" t="e">
        <f>IF(AND(SUM(VLOOKUP($A29,'20Trips'!$A$3:$F$22,2,FALSE),VLOOKUP(T$1,'20Trips'!$A$3:$F$22,2,FALSE))&lt;'20Trips'!$AC$38,$A29&lt;&gt;T$1,#REF!=1),(VLOOKUP(T$1,'20Trips'!$A$3:$I$22,8,FALSE))-(VLOOKUP($A29,'20Trips'!$A$3:$I$22,9,FALSE))+'20Trips'!$B$23,0)</f>
        <v>#REF!</v>
      </c>
      <c r="U29" t="e">
        <f>IF(AND(SUM(VLOOKUP($A29,'20Trips'!$A$3:$F$22,2,FALSE),VLOOKUP(U$1,'20Trips'!$A$3:$F$22,2,FALSE))&lt;'20Trips'!$AC$38,$A29&lt;&gt;U$1,#REF!=1),(VLOOKUP(U$1,'20Trips'!$A$3:$I$22,8,FALSE))-(VLOOKUP($A29,'20Trips'!$A$3:$I$22,9,FALSE))+'20Trips'!$B$23,0)</f>
        <v>#REF!</v>
      </c>
      <c r="V29" t="e">
        <f>IF(AND(SUM(VLOOKUP($A29,'20Trips'!$A$3:$F$22,2,FALSE),VLOOKUP(V$1,'20Trips'!$A$3:$F$22,2,FALSE))&lt;'20Trips'!$AC$38,$A29&lt;&gt;V$1,#REF!=1),(VLOOKUP(V$1,'20Trips'!$A$3:$I$22,8,FALSE))-(VLOOKUP($A29,'20Trips'!$A$3:$I$22,9,FALSE))+'20Trips'!$B$23,0)</f>
        <v>#REF!</v>
      </c>
    </row>
    <row r="30" spans="1:26" x14ac:dyDescent="0.25">
      <c r="A30" t="s">
        <v>20</v>
      </c>
      <c r="B30">
        <v>0</v>
      </c>
      <c r="C30">
        <f>IF(AND(SUM(VLOOKUP($A30,'20Trips'!$A$3:$F$22,2,FALSE),VLOOKUP(C$1,'20Trips'!$A$3:$F$22,2,FALSE))&lt;'20Trips'!$AC$38,$A30&lt;&gt;C$1,feasible_mat!C33=1),(VLOOKUP(C$1,'20Trips'!$A$3:$I$22,8,FALSE))-(VLOOKUP($A30,'20Trips'!$A$3:$I$22,9,FALSE))+'20Trips'!$B$23,0)</f>
        <v>0</v>
      </c>
      <c r="D30" t="e">
        <f>IF(AND(SUM(VLOOKUP($A30,'20Trips'!$A$3:$F$22,2,FALSE),VLOOKUP(D$1,'20Trips'!$A$3:$F$22,2,FALSE))&lt;'20Trips'!$AC$38,$A30&lt;&gt;D$1,#REF!=1),(VLOOKUP(D$1,'20Trips'!$A$3:$I$22,8,FALSE))-(VLOOKUP($A30,'20Trips'!$A$3:$I$22,9,FALSE))+'20Trips'!$B$23,0)</f>
        <v>#REF!</v>
      </c>
      <c r="E30" t="e">
        <f>IF(AND(SUM(VLOOKUP($A30,'20Trips'!$A$3:$F$22,2,FALSE),VLOOKUP(E$1,'20Trips'!$A$3:$F$22,2,FALSE))&lt;'20Trips'!$AC$38,$A30&lt;&gt;E$1,#REF!=1),(VLOOKUP(E$1,'20Trips'!$A$3:$I$22,8,FALSE))-(VLOOKUP($A30,'20Trips'!$A$3:$I$22,9,FALSE))+'20Trips'!$B$23,0)</f>
        <v>#REF!</v>
      </c>
      <c r="F30" t="e">
        <f>IF(AND(SUM(VLOOKUP($A30,'20Trips'!$A$3:$F$22,2,FALSE),VLOOKUP(F$1,'20Trips'!$A$3:$F$22,2,FALSE))&lt;'20Trips'!$AC$38,$A30&lt;&gt;F$1,#REF!=1),(VLOOKUP(F$1,'20Trips'!$A$3:$I$22,8,FALSE))-(VLOOKUP($A30,'20Trips'!$A$3:$I$22,9,FALSE))+'20Trips'!$B$23,0)</f>
        <v>#REF!</v>
      </c>
      <c r="G30" t="e">
        <f>IF(AND(SUM(VLOOKUP($A30,'20Trips'!$A$3:$F$22,2,FALSE),VLOOKUP(G$1,'20Trips'!$A$3:$F$22,2,FALSE))&lt;'20Trips'!$AC$38,$A30&lt;&gt;G$1,#REF!=1),(VLOOKUP(G$1,'20Trips'!$A$3:$I$22,8,FALSE))-(VLOOKUP($A30,'20Trips'!$A$3:$I$22,9,FALSE))+'20Trips'!$B$23,0)</f>
        <v>#REF!</v>
      </c>
      <c r="H30" t="e">
        <f>IF(AND(SUM(VLOOKUP($A30,'20Trips'!$A$3:$F$22,2,FALSE),VLOOKUP(H$1,'20Trips'!$A$3:$F$22,2,FALSE))&lt;'20Trips'!$AC$38,$A30&lt;&gt;H$1,#REF!=1),(VLOOKUP(H$1,'20Trips'!$A$3:$I$22,8,FALSE))-(VLOOKUP($A30,'20Trips'!$A$3:$I$22,9,FALSE))+'20Trips'!$B$23,0)</f>
        <v>#REF!</v>
      </c>
      <c r="I30" t="e">
        <f>IF(AND(SUM(VLOOKUP($A30,'20Trips'!$A$3:$F$22,2,FALSE),VLOOKUP(I$1,'20Trips'!$A$3:$F$22,2,FALSE))&lt;'20Trips'!$AC$38,$A30&lt;&gt;I$1,#REF!=1),(VLOOKUP(I$1,'20Trips'!$A$3:$I$22,8,FALSE))-(VLOOKUP($A30,'20Trips'!$A$3:$I$22,9,FALSE))+'20Trips'!$B$23,0)</f>
        <v>#REF!</v>
      </c>
      <c r="J30" t="e">
        <f>IF(AND(SUM(VLOOKUP($A30,'20Trips'!$A$3:$F$22,2,FALSE),VLOOKUP(J$1,'20Trips'!$A$3:$F$22,2,FALSE))&lt;'20Trips'!$AC$38,$A30&lt;&gt;J$1,#REF!=1),(VLOOKUP(J$1,'20Trips'!$A$3:$I$22,8,FALSE))-(VLOOKUP($A30,'20Trips'!$A$3:$I$22,9,FALSE))+'20Trips'!$B$23,0)</f>
        <v>#REF!</v>
      </c>
      <c r="K30" t="e">
        <f>IF(AND(SUM(VLOOKUP($A30,'20Trips'!$A$3:$F$22,2,FALSE),VLOOKUP(K$1,'20Trips'!$A$3:$F$22,2,FALSE))&lt;'20Trips'!$AC$38,$A30&lt;&gt;K$1,#REF!=1),(VLOOKUP(K$1,'20Trips'!$A$3:$I$22,8,FALSE))-(VLOOKUP($A30,'20Trips'!$A$3:$I$22,9,FALSE))+'20Trips'!$B$23,0)</f>
        <v>#REF!</v>
      </c>
      <c r="L30" t="e">
        <f>IF(AND(SUM(VLOOKUP($A30,'20Trips'!$A$3:$F$22,2,FALSE),VLOOKUP(L$1,'20Trips'!$A$3:$F$22,2,FALSE))&lt;'20Trips'!$AC$38,$A30&lt;&gt;L$1,#REF!=1),(VLOOKUP(L$1,'20Trips'!$A$3:$I$22,8,FALSE))-(VLOOKUP($A30,'20Trips'!$A$3:$I$22,9,FALSE))+'20Trips'!$B$23,0)</f>
        <v>#REF!</v>
      </c>
      <c r="M30" t="e">
        <f>IF(AND(SUM(VLOOKUP($A30,'20Trips'!$A$3:$F$22,2,FALSE),VLOOKUP(M$1,'20Trips'!$A$3:$F$22,2,FALSE))&lt;'20Trips'!$AC$38,$A30&lt;&gt;M$1,#REF!=1),(VLOOKUP(M$1,'20Trips'!$A$3:$I$22,8,FALSE))-(VLOOKUP($A30,'20Trips'!$A$3:$I$22,9,FALSE))+'20Trips'!$B$23,0)</f>
        <v>#REF!</v>
      </c>
      <c r="N30" t="e">
        <f>IF(AND(SUM(VLOOKUP($A30,'20Trips'!$A$3:$F$22,2,FALSE),VLOOKUP(N$1,'20Trips'!$A$3:$F$22,2,FALSE))&lt;'20Trips'!$AC$38,$A30&lt;&gt;N$1,#REF!=1),(VLOOKUP(N$1,'20Trips'!$A$3:$I$22,8,FALSE))-(VLOOKUP($A30,'20Trips'!$A$3:$I$22,9,FALSE))+'20Trips'!$B$23,0)</f>
        <v>#REF!</v>
      </c>
      <c r="O30" t="e">
        <f>IF(AND(SUM(VLOOKUP($A30,'20Trips'!$A$3:$F$22,2,FALSE),VLOOKUP(O$1,'20Trips'!$A$3:$F$22,2,FALSE))&lt;'20Trips'!$AC$38,$A30&lt;&gt;O$1,#REF!=1),(VLOOKUP(O$1,'20Trips'!$A$3:$I$22,8,FALSE))-(VLOOKUP($A30,'20Trips'!$A$3:$I$22,9,FALSE))+'20Trips'!$B$23,0)</f>
        <v>#REF!</v>
      </c>
      <c r="P30" t="e">
        <f>IF(AND(SUM(VLOOKUP($A30,'20Trips'!$A$3:$F$22,2,FALSE),VLOOKUP(P$1,'20Trips'!$A$3:$F$22,2,FALSE))&lt;'20Trips'!$AC$38,$A30&lt;&gt;P$1,#REF!=1),(VLOOKUP(P$1,'20Trips'!$A$3:$I$22,8,FALSE))-(VLOOKUP($A30,'20Trips'!$A$3:$I$22,9,FALSE))+'20Trips'!$B$23,0)</f>
        <v>#REF!</v>
      </c>
      <c r="Q30" t="e">
        <f>IF(AND(SUM(VLOOKUP($A30,'20Trips'!$A$3:$F$22,2,FALSE),VLOOKUP(Q$1,'20Trips'!$A$3:$F$22,2,FALSE))&lt;'20Trips'!$AC$38,$A30&lt;&gt;Q$1,#REF!=1),(VLOOKUP(Q$1,'20Trips'!$A$3:$I$22,8,FALSE))-(VLOOKUP($A30,'20Trips'!$A$3:$I$22,9,FALSE))+'20Trips'!$B$23,0)</f>
        <v>#REF!</v>
      </c>
      <c r="R30" t="e">
        <f>IF(AND(SUM(VLOOKUP($A30,'20Trips'!$A$3:$F$22,2,FALSE),VLOOKUP(R$1,'20Trips'!$A$3:$F$22,2,FALSE))&lt;'20Trips'!$AC$38,$A30&lt;&gt;R$1,#REF!=1),(VLOOKUP(R$1,'20Trips'!$A$3:$I$22,8,FALSE))-(VLOOKUP($A30,'20Trips'!$A$3:$I$22,9,FALSE))+'20Trips'!$B$23,0)</f>
        <v>#REF!</v>
      </c>
      <c r="S30" t="e">
        <f>IF(AND(SUM(VLOOKUP($A30,'20Trips'!$A$3:$F$22,2,FALSE),VLOOKUP(S$1,'20Trips'!$A$3:$F$22,2,FALSE))&lt;'20Trips'!$AC$38,$A30&lt;&gt;S$1,#REF!=1),(VLOOKUP(S$1,'20Trips'!$A$3:$I$22,8,FALSE))-(VLOOKUP($A30,'20Trips'!$A$3:$I$22,9,FALSE))+'20Trips'!$B$23,0)</f>
        <v>#REF!</v>
      </c>
      <c r="T30" t="e">
        <f>IF(AND(SUM(VLOOKUP($A30,'20Trips'!$A$3:$F$22,2,FALSE),VLOOKUP(T$1,'20Trips'!$A$3:$F$22,2,FALSE))&lt;'20Trips'!$AC$38,$A30&lt;&gt;T$1,#REF!=1),(VLOOKUP(T$1,'20Trips'!$A$3:$I$22,8,FALSE))-(VLOOKUP($A30,'20Trips'!$A$3:$I$22,9,FALSE))+'20Trips'!$B$23,0)</f>
        <v>#REF!</v>
      </c>
      <c r="U30" t="e">
        <f>IF(AND(SUM(VLOOKUP($A30,'20Trips'!$A$3:$F$22,2,FALSE),VLOOKUP(U$1,'20Trips'!$A$3:$F$22,2,FALSE))&lt;'20Trips'!$AC$38,$A30&lt;&gt;U$1,#REF!=1),(VLOOKUP(U$1,'20Trips'!$A$3:$I$22,8,FALSE))-(VLOOKUP($A30,'20Trips'!$A$3:$I$22,9,FALSE))+'20Trips'!$B$23,0)</f>
        <v>#REF!</v>
      </c>
      <c r="V30" t="e">
        <f>IF(AND(SUM(VLOOKUP($A30,'20Trips'!$A$3:$F$22,2,FALSE),VLOOKUP(V$1,'20Trips'!$A$3:$F$22,2,FALSE))&lt;'20Trips'!$AC$38,$A30&lt;&gt;V$1,#REF!=1),(VLOOKUP(V$1,'20Trips'!$A$3:$I$22,8,FALSE))-(VLOOKUP($A30,'20Trips'!$A$3:$I$22,9,FALSE))+'20Trips'!$B$23,0)</f>
        <v>#REF!</v>
      </c>
    </row>
    <row r="31" spans="1:26" x14ac:dyDescent="0.25">
      <c r="A31" t="s">
        <v>21</v>
      </c>
      <c r="B31">
        <v>0</v>
      </c>
      <c r="C31">
        <f>IF(AND(SUM(VLOOKUP($A31,'20Trips'!$A$3:$F$22,2,FALSE),VLOOKUP(C$1,'20Trips'!$A$3:$F$22,2,FALSE))&lt;'20Trips'!$AC$38,$A31&lt;&gt;C$1,feasible_mat!C34=1),(VLOOKUP(C$1,'20Trips'!$A$3:$I$22,8,FALSE))-(VLOOKUP($A31,'20Trips'!$A$3:$I$22,9,FALSE))+'20Trips'!$B$23,0)</f>
        <v>0</v>
      </c>
      <c r="D31" t="e">
        <f>IF(AND(SUM(VLOOKUP($A31,'20Trips'!$A$3:$F$22,2,FALSE),VLOOKUP(D$1,'20Trips'!$A$3:$F$22,2,FALSE))&lt;'20Trips'!$AC$38,$A31&lt;&gt;D$1,#REF!=1),(VLOOKUP(D$1,'20Trips'!$A$3:$I$22,8,FALSE))-(VLOOKUP($A31,'20Trips'!$A$3:$I$22,9,FALSE))+'20Trips'!$B$23,0)</f>
        <v>#REF!</v>
      </c>
      <c r="E31" t="e">
        <f>IF(AND(SUM(VLOOKUP($A31,'20Trips'!$A$3:$F$22,2,FALSE),VLOOKUP(E$1,'20Trips'!$A$3:$F$22,2,FALSE))&lt;'20Trips'!$AC$38,$A31&lt;&gt;E$1,#REF!=1),(VLOOKUP(E$1,'20Trips'!$A$3:$I$22,8,FALSE))-(VLOOKUP($A31,'20Trips'!$A$3:$I$22,9,FALSE))+'20Trips'!$B$23,0)</f>
        <v>#REF!</v>
      </c>
      <c r="F31" t="e">
        <f>IF(AND(SUM(VLOOKUP($A31,'20Trips'!$A$3:$F$22,2,FALSE),VLOOKUP(F$1,'20Trips'!$A$3:$F$22,2,FALSE))&lt;'20Trips'!$AC$38,$A31&lt;&gt;F$1,#REF!=1),(VLOOKUP(F$1,'20Trips'!$A$3:$I$22,8,FALSE))-(VLOOKUP($A31,'20Trips'!$A$3:$I$22,9,FALSE))+'20Trips'!$B$23,0)</f>
        <v>#REF!</v>
      </c>
      <c r="G31" t="e">
        <f>IF(AND(SUM(VLOOKUP($A31,'20Trips'!$A$3:$F$22,2,FALSE),VLOOKUP(G$1,'20Trips'!$A$3:$F$22,2,FALSE))&lt;'20Trips'!$AC$38,$A31&lt;&gt;G$1,#REF!=1),(VLOOKUP(G$1,'20Trips'!$A$3:$I$22,8,FALSE))-(VLOOKUP($A31,'20Trips'!$A$3:$I$22,9,FALSE))+'20Trips'!$B$23,0)</f>
        <v>#REF!</v>
      </c>
      <c r="H31" t="e">
        <f>IF(AND(SUM(VLOOKUP($A31,'20Trips'!$A$3:$F$22,2,FALSE),VLOOKUP(H$1,'20Trips'!$A$3:$F$22,2,FALSE))&lt;'20Trips'!$AC$38,$A31&lt;&gt;H$1,#REF!=1),(VLOOKUP(H$1,'20Trips'!$A$3:$I$22,8,FALSE))-(VLOOKUP($A31,'20Trips'!$A$3:$I$22,9,FALSE))+'20Trips'!$B$23,0)</f>
        <v>#REF!</v>
      </c>
      <c r="I31" t="e">
        <f>IF(AND(SUM(VLOOKUP($A31,'20Trips'!$A$3:$F$22,2,FALSE),VLOOKUP(I$1,'20Trips'!$A$3:$F$22,2,FALSE))&lt;'20Trips'!$AC$38,$A31&lt;&gt;I$1,#REF!=1),(VLOOKUP(I$1,'20Trips'!$A$3:$I$22,8,FALSE))-(VLOOKUP($A31,'20Trips'!$A$3:$I$22,9,FALSE))+'20Trips'!$B$23,0)</f>
        <v>#REF!</v>
      </c>
      <c r="J31" t="e">
        <f>IF(AND(SUM(VLOOKUP($A31,'20Trips'!$A$3:$F$22,2,FALSE),VLOOKUP(J$1,'20Trips'!$A$3:$F$22,2,FALSE))&lt;'20Trips'!$AC$38,$A31&lt;&gt;J$1,#REF!=1),(VLOOKUP(J$1,'20Trips'!$A$3:$I$22,8,FALSE))-(VLOOKUP($A31,'20Trips'!$A$3:$I$22,9,FALSE))+'20Trips'!$B$23,0)</f>
        <v>#REF!</v>
      </c>
      <c r="K31" t="e">
        <f>IF(AND(SUM(VLOOKUP($A31,'20Trips'!$A$3:$F$22,2,FALSE),VLOOKUP(K$1,'20Trips'!$A$3:$F$22,2,FALSE))&lt;'20Trips'!$AC$38,$A31&lt;&gt;K$1,#REF!=1),(VLOOKUP(K$1,'20Trips'!$A$3:$I$22,8,FALSE))-(VLOOKUP($A31,'20Trips'!$A$3:$I$22,9,FALSE))+'20Trips'!$B$23,0)</f>
        <v>#REF!</v>
      </c>
      <c r="L31" t="e">
        <f>IF(AND(SUM(VLOOKUP($A31,'20Trips'!$A$3:$F$22,2,FALSE),VLOOKUP(L$1,'20Trips'!$A$3:$F$22,2,FALSE))&lt;'20Trips'!$AC$38,$A31&lt;&gt;L$1,#REF!=1),(VLOOKUP(L$1,'20Trips'!$A$3:$I$22,8,FALSE))-(VLOOKUP($A31,'20Trips'!$A$3:$I$22,9,FALSE))+'20Trips'!$B$23,0)</f>
        <v>#REF!</v>
      </c>
      <c r="M31" t="e">
        <f>IF(AND(SUM(VLOOKUP($A31,'20Trips'!$A$3:$F$22,2,FALSE),VLOOKUP(M$1,'20Trips'!$A$3:$F$22,2,FALSE))&lt;'20Trips'!$AC$38,$A31&lt;&gt;M$1,#REF!=1),(VLOOKUP(M$1,'20Trips'!$A$3:$I$22,8,FALSE))-(VLOOKUP($A31,'20Trips'!$A$3:$I$22,9,FALSE))+'20Trips'!$B$23,0)</f>
        <v>#REF!</v>
      </c>
      <c r="N31" t="e">
        <f>IF(AND(SUM(VLOOKUP($A31,'20Trips'!$A$3:$F$22,2,FALSE),VLOOKUP(N$1,'20Trips'!$A$3:$F$22,2,FALSE))&lt;'20Trips'!$AC$38,$A31&lt;&gt;N$1,#REF!=1),(VLOOKUP(N$1,'20Trips'!$A$3:$I$22,8,FALSE))-(VLOOKUP($A31,'20Trips'!$A$3:$I$22,9,FALSE))+'20Trips'!$B$23,0)</f>
        <v>#REF!</v>
      </c>
      <c r="O31" t="e">
        <f>IF(AND(SUM(VLOOKUP($A31,'20Trips'!$A$3:$F$22,2,FALSE),VLOOKUP(O$1,'20Trips'!$A$3:$F$22,2,FALSE))&lt;'20Trips'!$AC$38,$A31&lt;&gt;O$1,#REF!=1),(VLOOKUP(O$1,'20Trips'!$A$3:$I$22,8,FALSE))-(VLOOKUP($A31,'20Trips'!$A$3:$I$22,9,FALSE))+'20Trips'!$B$23,0)</f>
        <v>#REF!</v>
      </c>
      <c r="P31" t="e">
        <f>IF(AND(SUM(VLOOKUP($A31,'20Trips'!$A$3:$F$22,2,FALSE),VLOOKUP(P$1,'20Trips'!$A$3:$F$22,2,FALSE))&lt;'20Trips'!$AC$38,$A31&lt;&gt;P$1,#REF!=1),(VLOOKUP(P$1,'20Trips'!$A$3:$I$22,8,FALSE))-(VLOOKUP($A31,'20Trips'!$A$3:$I$22,9,FALSE))+'20Trips'!$B$23,0)</f>
        <v>#REF!</v>
      </c>
      <c r="Q31" t="e">
        <f>IF(AND(SUM(VLOOKUP($A31,'20Trips'!$A$3:$F$22,2,FALSE),VLOOKUP(Q$1,'20Trips'!$A$3:$F$22,2,FALSE))&lt;'20Trips'!$AC$38,$A31&lt;&gt;Q$1,#REF!=1),(VLOOKUP(Q$1,'20Trips'!$A$3:$I$22,8,FALSE))-(VLOOKUP($A31,'20Trips'!$A$3:$I$22,9,FALSE))+'20Trips'!$B$23,0)</f>
        <v>#REF!</v>
      </c>
      <c r="R31" t="e">
        <f>IF(AND(SUM(VLOOKUP($A31,'20Trips'!$A$3:$F$22,2,FALSE),VLOOKUP(R$1,'20Trips'!$A$3:$F$22,2,FALSE))&lt;'20Trips'!$AC$38,$A31&lt;&gt;R$1,#REF!=1),(VLOOKUP(R$1,'20Trips'!$A$3:$I$22,8,FALSE))-(VLOOKUP($A31,'20Trips'!$A$3:$I$22,9,FALSE))+'20Trips'!$B$23,0)</f>
        <v>#REF!</v>
      </c>
      <c r="S31" t="e">
        <f>IF(AND(SUM(VLOOKUP($A31,'20Trips'!$A$3:$F$22,2,FALSE),VLOOKUP(S$1,'20Trips'!$A$3:$F$22,2,FALSE))&lt;'20Trips'!$AC$38,$A31&lt;&gt;S$1,#REF!=1),(VLOOKUP(S$1,'20Trips'!$A$3:$I$22,8,FALSE))-(VLOOKUP($A31,'20Trips'!$A$3:$I$22,9,FALSE))+'20Trips'!$B$23,0)</f>
        <v>#REF!</v>
      </c>
      <c r="T31" t="e">
        <f>IF(AND(SUM(VLOOKUP($A31,'20Trips'!$A$3:$F$22,2,FALSE),VLOOKUP(T$1,'20Trips'!$A$3:$F$22,2,FALSE))&lt;'20Trips'!$AC$38,$A31&lt;&gt;T$1,#REF!=1),(VLOOKUP(T$1,'20Trips'!$A$3:$I$22,8,FALSE))-(VLOOKUP($A31,'20Trips'!$A$3:$I$22,9,FALSE))+'20Trips'!$B$23,0)</f>
        <v>#REF!</v>
      </c>
      <c r="U31" t="e">
        <f>IF(AND(SUM(VLOOKUP($A31,'20Trips'!$A$3:$F$22,2,FALSE),VLOOKUP(U$1,'20Trips'!$A$3:$F$22,2,FALSE))&lt;'20Trips'!$AC$38,$A31&lt;&gt;U$1,#REF!=1),(VLOOKUP(U$1,'20Trips'!$A$3:$I$22,8,FALSE))-(VLOOKUP($A31,'20Trips'!$A$3:$I$22,9,FALSE))+'20Trips'!$B$23,0)</f>
        <v>#REF!</v>
      </c>
      <c r="V31" t="e">
        <f>IF(AND(SUM(VLOOKUP($A31,'20Trips'!$A$3:$F$22,2,FALSE),VLOOKUP(V$1,'20Trips'!$A$3:$F$22,2,FALSE))&lt;'20Trips'!$AC$38,$A31&lt;&gt;V$1,#REF!=1),(VLOOKUP(V$1,'20Trips'!$A$3:$I$22,8,FALSE))-(VLOOKUP($A31,'20Trips'!$A$3:$I$22,9,FALSE))+'20Trips'!$B$23,0)</f>
        <v>#REF!</v>
      </c>
    </row>
    <row r="32" spans="1:26" x14ac:dyDescent="0.25">
      <c r="A32" t="s">
        <v>22</v>
      </c>
      <c r="B32">
        <v>0</v>
      </c>
      <c r="C32">
        <f>IF(AND(SUM(VLOOKUP($A32,'20Trips'!$A$3:$F$22,2,FALSE),VLOOKUP(C$1,'20Trips'!$A$3:$F$22,2,FALSE))&lt;'20Trips'!$AC$38,$A32&lt;&gt;C$1,feasible_mat!C35=1),(VLOOKUP(C$1,'20Trips'!$A$3:$I$22,8,FALSE))-(VLOOKUP($A32,'20Trips'!$A$3:$I$22,9,FALSE))+'20Trips'!$B$23,0)</f>
        <v>0</v>
      </c>
      <c r="D32" t="e">
        <f>IF(AND(SUM(VLOOKUP($A32,'20Trips'!$A$3:$F$22,2,FALSE),VLOOKUP(D$1,'20Trips'!$A$3:$F$22,2,FALSE))&lt;'20Trips'!$AC$38,$A32&lt;&gt;D$1,#REF!=1),(VLOOKUP(D$1,'20Trips'!$A$3:$I$22,8,FALSE))-(VLOOKUP($A32,'20Trips'!$A$3:$I$22,9,FALSE))+'20Trips'!$B$23,0)</f>
        <v>#REF!</v>
      </c>
      <c r="E32" t="e">
        <f>IF(AND(SUM(VLOOKUP($A32,'20Trips'!$A$3:$F$22,2,FALSE),VLOOKUP(E$1,'20Trips'!$A$3:$F$22,2,FALSE))&lt;'20Trips'!$AC$38,$A32&lt;&gt;E$1,#REF!=1),(VLOOKUP(E$1,'20Trips'!$A$3:$I$22,8,FALSE))-(VLOOKUP($A32,'20Trips'!$A$3:$I$22,9,FALSE))+'20Trips'!$B$23,0)</f>
        <v>#REF!</v>
      </c>
      <c r="F32" t="e">
        <f>IF(AND(SUM(VLOOKUP($A32,'20Trips'!$A$3:$F$22,2,FALSE),VLOOKUP(F$1,'20Trips'!$A$3:$F$22,2,FALSE))&lt;'20Trips'!$AC$38,$A32&lt;&gt;F$1,#REF!=1),(VLOOKUP(F$1,'20Trips'!$A$3:$I$22,8,FALSE))-(VLOOKUP($A32,'20Trips'!$A$3:$I$22,9,FALSE))+'20Trips'!$B$23,0)</f>
        <v>#REF!</v>
      </c>
      <c r="G32" t="e">
        <f>IF(AND(SUM(VLOOKUP($A32,'20Trips'!$A$3:$F$22,2,FALSE),VLOOKUP(G$1,'20Trips'!$A$3:$F$22,2,FALSE))&lt;'20Trips'!$AC$38,$A32&lt;&gt;G$1,#REF!=1),(VLOOKUP(G$1,'20Trips'!$A$3:$I$22,8,FALSE))-(VLOOKUP($A32,'20Trips'!$A$3:$I$22,9,FALSE))+'20Trips'!$B$23,0)</f>
        <v>#REF!</v>
      </c>
      <c r="H32" t="e">
        <f>IF(AND(SUM(VLOOKUP($A32,'20Trips'!$A$3:$F$22,2,FALSE),VLOOKUP(H$1,'20Trips'!$A$3:$F$22,2,FALSE))&lt;'20Trips'!$AC$38,$A32&lt;&gt;H$1,#REF!=1),(VLOOKUP(H$1,'20Trips'!$A$3:$I$22,8,FALSE))-(VLOOKUP($A32,'20Trips'!$A$3:$I$22,9,FALSE))+'20Trips'!$B$23,0)</f>
        <v>#REF!</v>
      </c>
      <c r="I32" t="e">
        <f>IF(AND(SUM(VLOOKUP($A32,'20Trips'!$A$3:$F$22,2,FALSE),VLOOKUP(I$1,'20Trips'!$A$3:$F$22,2,FALSE))&lt;'20Trips'!$AC$38,$A32&lt;&gt;I$1,#REF!=1),(VLOOKUP(I$1,'20Trips'!$A$3:$I$22,8,FALSE))-(VLOOKUP($A32,'20Trips'!$A$3:$I$22,9,FALSE))+'20Trips'!$B$23,0)</f>
        <v>#REF!</v>
      </c>
      <c r="J32" t="e">
        <f>IF(AND(SUM(VLOOKUP($A32,'20Trips'!$A$3:$F$22,2,FALSE),VLOOKUP(J$1,'20Trips'!$A$3:$F$22,2,FALSE))&lt;'20Trips'!$AC$38,$A32&lt;&gt;J$1,#REF!=1),(VLOOKUP(J$1,'20Trips'!$A$3:$I$22,8,FALSE))-(VLOOKUP($A32,'20Trips'!$A$3:$I$22,9,FALSE))+'20Trips'!$B$23,0)</f>
        <v>#REF!</v>
      </c>
      <c r="K32" t="e">
        <f>IF(AND(SUM(VLOOKUP($A32,'20Trips'!$A$3:$F$22,2,FALSE),VLOOKUP(K$1,'20Trips'!$A$3:$F$22,2,FALSE))&lt;'20Trips'!$AC$38,$A32&lt;&gt;K$1,#REF!=1),(VLOOKUP(K$1,'20Trips'!$A$3:$I$22,8,FALSE))-(VLOOKUP($A32,'20Trips'!$A$3:$I$22,9,FALSE))+'20Trips'!$B$23,0)</f>
        <v>#REF!</v>
      </c>
      <c r="L32" t="e">
        <f>IF(AND(SUM(VLOOKUP($A32,'20Trips'!$A$3:$F$22,2,FALSE),VLOOKUP(L$1,'20Trips'!$A$3:$F$22,2,FALSE))&lt;'20Trips'!$AC$38,$A32&lt;&gt;L$1,#REF!=1),(VLOOKUP(L$1,'20Trips'!$A$3:$I$22,8,FALSE))-(VLOOKUP($A32,'20Trips'!$A$3:$I$22,9,FALSE))+'20Trips'!$B$23,0)</f>
        <v>#REF!</v>
      </c>
      <c r="M32" t="e">
        <f>IF(AND(SUM(VLOOKUP($A32,'20Trips'!$A$3:$F$22,2,FALSE),VLOOKUP(M$1,'20Trips'!$A$3:$F$22,2,FALSE))&lt;'20Trips'!$AC$38,$A32&lt;&gt;M$1,#REF!=1),(VLOOKUP(M$1,'20Trips'!$A$3:$I$22,8,FALSE))-(VLOOKUP($A32,'20Trips'!$A$3:$I$22,9,FALSE))+'20Trips'!$B$23,0)</f>
        <v>#REF!</v>
      </c>
      <c r="N32" t="e">
        <f>IF(AND(SUM(VLOOKUP($A32,'20Trips'!$A$3:$F$22,2,FALSE),VLOOKUP(N$1,'20Trips'!$A$3:$F$22,2,FALSE))&lt;'20Trips'!$AC$38,$A32&lt;&gt;N$1,#REF!=1),(VLOOKUP(N$1,'20Trips'!$A$3:$I$22,8,FALSE))-(VLOOKUP($A32,'20Trips'!$A$3:$I$22,9,FALSE))+'20Trips'!$B$23,0)</f>
        <v>#REF!</v>
      </c>
      <c r="O32" t="e">
        <f>IF(AND(SUM(VLOOKUP($A32,'20Trips'!$A$3:$F$22,2,FALSE),VLOOKUP(O$1,'20Trips'!$A$3:$F$22,2,FALSE))&lt;'20Trips'!$AC$38,$A32&lt;&gt;O$1,#REF!=1),(VLOOKUP(O$1,'20Trips'!$A$3:$I$22,8,FALSE))-(VLOOKUP($A32,'20Trips'!$A$3:$I$22,9,FALSE))+'20Trips'!$B$23,0)</f>
        <v>#REF!</v>
      </c>
      <c r="P32" t="e">
        <f>IF(AND(SUM(VLOOKUP($A32,'20Trips'!$A$3:$F$22,2,FALSE),VLOOKUP(P$1,'20Trips'!$A$3:$F$22,2,FALSE))&lt;'20Trips'!$AC$38,$A32&lt;&gt;P$1,#REF!=1),(VLOOKUP(P$1,'20Trips'!$A$3:$I$22,8,FALSE))-(VLOOKUP($A32,'20Trips'!$A$3:$I$22,9,FALSE))+'20Trips'!$B$23,0)</f>
        <v>#REF!</v>
      </c>
      <c r="Q32" t="e">
        <f>IF(AND(SUM(VLOOKUP($A32,'20Trips'!$A$3:$F$22,2,FALSE),VLOOKUP(Q$1,'20Trips'!$A$3:$F$22,2,FALSE))&lt;'20Trips'!$AC$38,$A32&lt;&gt;Q$1,#REF!=1),(VLOOKUP(Q$1,'20Trips'!$A$3:$I$22,8,FALSE))-(VLOOKUP($A32,'20Trips'!$A$3:$I$22,9,FALSE))+'20Trips'!$B$23,0)</f>
        <v>#REF!</v>
      </c>
      <c r="R32" t="e">
        <f>IF(AND(SUM(VLOOKUP($A32,'20Trips'!$A$3:$F$22,2,FALSE),VLOOKUP(R$1,'20Trips'!$A$3:$F$22,2,FALSE))&lt;'20Trips'!$AC$38,$A32&lt;&gt;R$1,#REF!=1),(VLOOKUP(R$1,'20Trips'!$A$3:$I$22,8,FALSE))-(VLOOKUP($A32,'20Trips'!$A$3:$I$22,9,FALSE))+'20Trips'!$B$23,0)</f>
        <v>#REF!</v>
      </c>
      <c r="S32" t="e">
        <f>IF(AND(SUM(VLOOKUP($A32,'20Trips'!$A$3:$F$22,2,FALSE),VLOOKUP(S$1,'20Trips'!$A$3:$F$22,2,FALSE))&lt;'20Trips'!$AC$38,$A32&lt;&gt;S$1,#REF!=1),(VLOOKUP(S$1,'20Trips'!$A$3:$I$22,8,FALSE))-(VLOOKUP($A32,'20Trips'!$A$3:$I$22,9,FALSE))+'20Trips'!$B$23,0)</f>
        <v>#REF!</v>
      </c>
      <c r="T32" t="e">
        <f>IF(AND(SUM(VLOOKUP($A32,'20Trips'!$A$3:$F$22,2,FALSE),VLOOKUP(T$1,'20Trips'!$A$3:$F$22,2,FALSE))&lt;'20Trips'!$AC$38,$A32&lt;&gt;T$1,#REF!=1),(VLOOKUP(T$1,'20Trips'!$A$3:$I$22,8,FALSE))-(VLOOKUP($A32,'20Trips'!$A$3:$I$22,9,FALSE))+'20Trips'!$B$23,0)</f>
        <v>#REF!</v>
      </c>
      <c r="U32" t="e">
        <f>IF(AND(SUM(VLOOKUP($A32,'20Trips'!$A$3:$F$22,2,FALSE),VLOOKUP(U$1,'20Trips'!$A$3:$F$22,2,FALSE))&lt;'20Trips'!$AC$38,$A32&lt;&gt;U$1,#REF!=1),(VLOOKUP(U$1,'20Trips'!$A$3:$I$22,8,FALSE))-(VLOOKUP($A32,'20Trips'!$A$3:$I$22,9,FALSE))+'20Trips'!$B$23,0)</f>
        <v>#REF!</v>
      </c>
      <c r="V32" t="e">
        <f>IF(AND(SUM(VLOOKUP($A32,'20Trips'!$A$3:$F$22,2,FALSE),VLOOKUP(V$1,'20Trips'!$A$3:$F$22,2,FALSE))&lt;'20Trips'!$AC$38,$A32&lt;&gt;V$1,#REF!=1),(VLOOKUP(V$1,'20Trips'!$A$3:$I$22,8,FALSE))-(VLOOKUP($A32,'20Trips'!$A$3:$I$22,9,FALSE))+'20Trips'!$B$23,0)</f>
        <v>#REF!</v>
      </c>
    </row>
    <row r="33" spans="1:22" x14ac:dyDescent="0.25">
      <c r="A33" t="s">
        <v>23</v>
      </c>
      <c r="B33">
        <v>0</v>
      </c>
      <c r="C33">
        <f>IF(AND(SUM(VLOOKUP($A33,'20Trips'!$A$3:$F$22,2,FALSE),VLOOKUP(C$1,'20Trips'!$A$3:$F$22,2,FALSE))&lt;'20Trips'!$AC$38,$A33&lt;&gt;C$1,feasible_mat!C36=1),(VLOOKUP(C$1,'20Trips'!$A$3:$I$22,8,FALSE))-(VLOOKUP($A33,'20Trips'!$A$3:$I$22,9,FALSE))+'20Trips'!$B$23,0)</f>
        <v>0</v>
      </c>
      <c r="D33" t="e">
        <f>IF(AND(SUM(VLOOKUP($A33,'20Trips'!$A$3:$F$22,2,FALSE),VLOOKUP(D$1,'20Trips'!$A$3:$F$22,2,FALSE))&lt;'20Trips'!$AC$38,$A33&lt;&gt;D$1,#REF!=1),(VLOOKUP(D$1,'20Trips'!$A$3:$I$22,8,FALSE))-(VLOOKUP($A33,'20Trips'!$A$3:$I$22,9,FALSE))+'20Trips'!$B$23,0)</f>
        <v>#REF!</v>
      </c>
      <c r="E33" t="e">
        <f>IF(AND(SUM(VLOOKUP($A33,'20Trips'!$A$3:$F$22,2,FALSE),VLOOKUP(E$1,'20Trips'!$A$3:$F$22,2,FALSE))&lt;'20Trips'!$AC$38,$A33&lt;&gt;E$1,#REF!=1),(VLOOKUP(E$1,'20Trips'!$A$3:$I$22,8,FALSE))-(VLOOKUP($A33,'20Trips'!$A$3:$I$22,9,FALSE))+'20Trips'!$B$23,0)</f>
        <v>#REF!</v>
      </c>
      <c r="F33" t="e">
        <f>IF(AND(SUM(VLOOKUP($A33,'20Trips'!$A$3:$F$22,2,FALSE),VLOOKUP(F$1,'20Trips'!$A$3:$F$22,2,FALSE))&lt;'20Trips'!$AC$38,$A33&lt;&gt;F$1,#REF!=1),(VLOOKUP(F$1,'20Trips'!$A$3:$I$22,8,FALSE))-(VLOOKUP($A33,'20Trips'!$A$3:$I$22,9,FALSE))+'20Trips'!$B$23,0)</f>
        <v>#REF!</v>
      </c>
      <c r="G33" t="e">
        <f>IF(AND(SUM(VLOOKUP($A33,'20Trips'!$A$3:$F$22,2,FALSE),VLOOKUP(G$1,'20Trips'!$A$3:$F$22,2,FALSE))&lt;'20Trips'!$AC$38,$A33&lt;&gt;G$1,#REF!=1),(VLOOKUP(G$1,'20Trips'!$A$3:$I$22,8,FALSE))-(VLOOKUP($A33,'20Trips'!$A$3:$I$22,9,FALSE))+'20Trips'!$B$23,0)</f>
        <v>#REF!</v>
      </c>
      <c r="H33" t="e">
        <f>IF(AND(SUM(VLOOKUP($A33,'20Trips'!$A$3:$F$22,2,FALSE),VLOOKUP(H$1,'20Trips'!$A$3:$F$22,2,FALSE))&lt;'20Trips'!$AC$38,$A33&lt;&gt;H$1,#REF!=1),(VLOOKUP(H$1,'20Trips'!$A$3:$I$22,8,FALSE))-(VLOOKUP($A33,'20Trips'!$A$3:$I$22,9,FALSE))+'20Trips'!$B$23,0)</f>
        <v>#REF!</v>
      </c>
      <c r="I33" t="e">
        <f>IF(AND(SUM(VLOOKUP($A33,'20Trips'!$A$3:$F$22,2,FALSE),VLOOKUP(I$1,'20Trips'!$A$3:$F$22,2,FALSE))&lt;'20Trips'!$AC$38,$A33&lt;&gt;I$1,#REF!=1),(VLOOKUP(I$1,'20Trips'!$A$3:$I$22,8,FALSE))-(VLOOKUP($A33,'20Trips'!$A$3:$I$22,9,FALSE))+'20Trips'!$B$23,0)</f>
        <v>#REF!</v>
      </c>
      <c r="J33" t="e">
        <f>IF(AND(SUM(VLOOKUP($A33,'20Trips'!$A$3:$F$22,2,FALSE),VLOOKUP(J$1,'20Trips'!$A$3:$F$22,2,FALSE))&lt;'20Trips'!$AC$38,$A33&lt;&gt;J$1,#REF!=1),(VLOOKUP(J$1,'20Trips'!$A$3:$I$22,8,FALSE))-(VLOOKUP($A33,'20Trips'!$A$3:$I$22,9,FALSE))+'20Trips'!$B$23,0)</f>
        <v>#REF!</v>
      </c>
      <c r="K33" t="e">
        <f>IF(AND(SUM(VLOOKUP($A33,'20Trips'!$A$3:$F$22,2,FALSE),VLOOKUP(K$1,'20Trips'!$A$3:$F$22,2,FALSE))&lt;'20Trips'!$AC$38,$A33&lt;&gt;K$1,#REF!=1),(VLOOKUP(K$1,'20Trips'!$A$3:$I$22,8,FALSE))-(VLOOKUP($A33,'20Trips'!$A$3:$I$22,9,FALSE))+'20Trips'!$B$23,0)</f>
        <v>#REF!</v>
      </c>
      <c r="L33" t="e">
        <f>IF(AND(SUM(VLOOKUP($A33,'20Trips'!$A$3:$F$22,2,FALSE),VLOOKUP(L$1,'20Trips'!$A$3:$F$22,2,FALSE))&lt;'20Trips'!$AC$38,$A33&lt;&gt;L$1,#REF!=1),(VLOOKUP(L$1,'20Trips'!$A$3:$I$22,8,FALSE))-(VLOOKUP($A33,'20Trips'!$A$3:$I$22,9,FALSE))+'20Trips'!$B$23,0)</f>
        <v>#REF!</v>
      </c>
      <c r="M33" t="e">
        <f>IF(AND(SUM(VLOOKUP($A33,'20Trips'!$A$3:$F$22,2,FALSE),VLOOKUP(M$1,'20Trips'!$A$3:$F$22,2,FALSE))&lt;'20Trips'!$AC$38,$A33&lt;&gt;M$1,#REF!=1),(VLOOKUP(M$1,'20Trips'!$A$3:$I$22,8,FALSE))-(VLOOKUP($A33,'20Trips'!$A$3:$I$22,9,FALSE))+'20Trips'!$B$23,0)</f>
        <v>#REF!</v>
      </c>
      <c r="N33" t="e">
        <f>IF(AND(SUM(VLOOKUP($A33,'20Trips'!$A$3:$F$22,2,FALSE),VLOOKUP(N$1,'20Trips'!$A$3:$F$22,2,FALSE))&lt;'20Trips'!$AC$38,$A33&lt;&gt;N$1,#REF!=1),(VLOOKUP(N$1,'20Trips'!$A$3:$I$22,8,FALSE))-(VLOOKUP($A33,'20Trips'!$A$3:$I$22,9,FALSE))+'20Trips'!$B$23,0)</f>
        <v>#REF!</v>
      </c>
      <c r="O33" t="e">
        <f>IF(AND(SUM(VLOOKUP($A33,'20Trips'!$A$3:$F$22,2,FALSE),VLOOKUP(O$1,'20Trips'!$A$3:$F$22,2,FALSE))&lt;'20Trips'!$AC$38,$A33&lt;&gt;O$1,#REF!=1),(VLOOKUP(O$1,'20Trips'!$A$3:$I$22,8,FALSE))-(VLOOKUP($A33,'20Trips'!$A$3:$I$22,9,FALSE))+'20Trips'!$B$23,0)</f>
        <v>#REF!</v>
      </c>
      <c r="P33" t="e">
        <f>IF(AND(SUM(VLOOKUP($A33,'20Trips'!$A$3:$F$22,2,FALSE),VLOOKUP(P$1,'20Trips'!$A$3:$F$22,2,FALSE))&lt;'20Trips'!$AC$38,$A33&lt;&gt;P$1,#REF!=1),(VLOOKUP(P$1,'20Trips'!$A$3:$I$22,8,FALSE))-(VLOOKUP($A33,'20Trips'!$A$3:$I$22,9,FALSE))+'20Trips'!$B$23,0)</f>
        <v>#REF!</v>
      </c>
      <c r="Q33" t="e">
        <f>IF(AND(SUM(VLOOKUP($A33,'20Trips'!$A$3:$F$22,2,FALSE),VLOOKUP(Q$1,'20Trips'!$A$3:$F$22,2,FALSE))&lt;'20Trips'!$AC$38,$A33&lt;&gt;Q$1,#REF!=1),(VLOOKUP(Q$1,'20Trips'!$A$3:$I$22,8,FALSE))-(VLOOKUP($A33,'20Trips'!$A$3:$I$22,9,FALSE))+'20Trips'!$B$23,0)</f>
        <v>#REF!</v>
      </c>
      <c r="R33" t="e">
        <f>IF(AND(SUM(VLOOKUP($A33,'20Trips'!$A$3:$F$22,2,FALSE),VLOOKUP(R$1,'20Trips'!$A$3:$F$22,2,FALSE))&lt;'20Trips'!$AC$38,$A33&lt;&gt;R$1,#REF!=1),(VLOOKUP(R$1,'20Trips'!$A$3:$I$22,8,FALSE))-(VLOOKUP($A33,'20Trips'!$A$3:$I$22,9,FALSE))+'20Trips'!$B$23,0)</f>
        <v>#REF!</v>
      </c>
      <c r="S33" t="e">
        <f>IF(AND(SUM(VLOOKUP($A33,'20Trips'!$A$3:$F$22,2,FALSE),VLOOKUP(S$1,'20Trips'!$A$3:$F$22,2,FALSE))&lt;'20Trips'!$AC$38,$A33&lt;&gt;S$1,#REF!=1),(VLOOKUP(S$1,'20Trips'!$A$3:$I$22,8,FALSE))-(VLOOKUP($A33,'20Trips'!$A$3:$I$22,9,FALSE))+'20Trips'!$B$23,0)</f>
        <v>#REF!</v>
      </c>
      <c r="T33" t="e">
        <f>IF(AND(SUM(VLOOKUP($A33,'20Trips'!$A$3:$F$22,2,FALSE),VLOOKUP(T$1,'20Trips'!$A$3:$F$22,2,FALSE))&lt;'20Trips'!$AC$38,$A33&lt;&gt;T$1,#REF!=1),(VLOOKUP(T$1,'20Trips'!$A$3:$I$22,8,FALSE))-(VLOOKUP($A33,'20Trips'!$A$3:$I$22,9,FALSE))+'20Trips'!$B$23,0)</f>
        <v>#REF!</v>
      </c>
      <c r="U33" t="e">
        <f>IF(AND(SUM(VLOOKUP($A33,'20Trips'!$A$3:$F$22,2,FALSE),VLOOKUP(U$1,'20Trips'!$A$3:$F$22,2,FALSE))&lt;'20Trips'!$AC$38,$A33&lt;&gt;U$1,#REF!=1),(VLOOKUP(U$1,'20Trips'!$A$3:$I$22,8,FALSE))-(VLOOKUP($A33,'20Trips'!$A$3:$I$22,9,FALSE))+'20Trips'!$B$23,0)</f>
        <v>#REF!</v>
      </c>
      <c r="V33" t="e">
        <f>IF(AND(SUM(VLOOKUP($A33,'20Trips'!$A$3:$F$22,2,FALSE),VLOOKUP(V$1,'20Trips'!$A$3:$F$22,2,FALSE))&lt;'20Trips'!$AC$38,$A33&lt;&gt;V$1,#REF!=1),(VLOOKUP(V$1,'20Trips'!$A$3:$I$22,8,FALSE))-(VLOOKUP($A33,'20Trips'!$A$3:$I$22,9,FALSE))+'20Trips'!$B$23,0)</f>
        <v>#REF!</v>
      </c>
    </row>
    <row r="34" spans="1:22" x14ac:dyDescent="0.25">
      <c r="A34" t="s">
        <v>26</v>
      </c>
      <c r="B34">
        <v>0</v>
      </c>
      <c r="C34">
        <f>IF(AND(SUM(VLOOKUP($A34,'20Trips'!$A$3:$F$22,2,FALSE),VLOOKUP(C$1,'20Trips'!$A$3:$F$22,2,FALSE))&lt;'20Trips'!$AC$38,$A34&lt;&gt;C$1,feasible_mat!C38=1),(VLOOKUP(C$1,'20Trips'!$A$3:$I$22,8,FALSE))-(VLOOKUP($A34,'20Trips'!$A$3:$I$22,9,FALSE))+'20Trips'!$B$23,0)</f>
        <v>0</v>
      </c>
      <c r="D34" t="e">
        <f>IF(AND(SUM(VLOOKUP($A34,'20Trips'!$A$3:$F$22,2,FALSE),VLOOKUP(D$1,'20Trips'!$A$3:$F$22,2,FALSE))&lt;'20Trips'!$AC$38,$A34&lt;&gt;D$1,#REF!=1),(VLOOKUP(D$1,'20Trips'!$A$3:$I$22,8,FALSE))-(VLOOKUP($A34,'20Trips'!$A$3:$I$22,9,FALSE))+'20Trips'!$B$23,0)</f>
        <v>#REF!</v>
      </c>
      <c r="E34" t="e">
        <f>IF(AND(SUM(VLOOKUP($A34,'20Trips'!$A$3:$F$22,2,FALSE),VLOOKUP(E$1,'20Trips'!$A$3:$F$22,2,FALSE))&lt;'20Trips'!$AC$38,$A34&lt;&gt;E$1,#REF!=1),(VLOOKUP(E$1,'20Trips'!$A$3:$I$22,8,FALSE))-(VLOOKUP($A34,'20Trips'!$A$3:$I$22,9,FALSE))+'20Trips'!$B$23,0)</f>
        <v>#REF!</v>
      </c>
      <c r="F34" t="e">
        <f>IF(AND(SUM(VLOOKUP($A34,'20Trips'!$A$3:$F$22,2,FALSE),VLOOKUP(F$1,'20Trips'!$A$3:$F$22,2,FALSE))&lt;'20Trips'!$AC$38,$A34&lt;&gt;F$1,#REF!=1),(VLOOKUP(F$1,'20Trips'!$A$3:$I$22,8,FALSE))-(VLOOKUP($A34,'20Trips'!$A$3:$I$22,9,FALSE))+'20Trips'!$B$23,0)</f>
        <v>#REF!</v>
      </c>
      <c r="G34" t="e">
        <f>IF(AND(SUM(VLOOKUP($A34,'20Trips'!$A$3:$F$22,2,FALSE),VLOOKUP(G$1,'20Trips'!$A$3:$F$22,2,FALSE))&lt;'20Trips'!$AC$38,$A34&lt;&gt;G$1,#REF!=1),(VLOOKUP(G$1,'20Trips'!$A$3:$I$22,8,FALSE))-(VLOOKUP($A34,'20Trips'!$A$3:$I$22,9,FALSE))+'20Trips'!$B$23,0)</f>
        <v>#REF!</v>
      </c>
      <c r="H34" t="e">
        <f>IF(AND(SUM(VLOOKUP($A34,'20Trips'!$A$3:$F$22,2,FALSE),VLOOKUP(H$1,'20Trips'!$A$3:$F$22,2,FALSE))&lt;'20Trips'!$AC$38,$A34&lt;&gt;H$1,#REF!=1),(VLOOKUP(H$1,'20Trips'!$A$3:$I$22,8,FALSE))-(VLOOKUP($A34,'20Trips'!$A$3:$I$22,9,FALSE))+'20Trips'!$B$23,0)</f>
        <v>#REF!</v>
      </c>
      <c r="I34" t="e">
        <f>IF(AND(SUM(VLOOKUP($A34,'20Trips'!$A$3:$F$22,2,FALSE),VLOOKUP(I$1,'20Trips'!$A$3:$F$22,2,FALSE))&lt;'20Trips'!$AC$38,$A34&lt;&gt;I$1,#REF!=1),(VLOOKUP(I$1,'20Trips'!$A$3:$I$22,8,FALSE))-(VLOOKUP($A34,'20Trips'!$A$3:$I$22,9,FALSE))+'20Trips'!$B$23,0)</f>
        <v>#REF!</v>
      </c>
      <c r="J34" t="e">
        <f>IF(AND(SUM(VLOOKUP($A34,'20Trips'!$A$3:$F$22,2,FALSE),VLOOKUP(J$1,'20Trips'!$A$3:$F$22,2,FALSE))&lt;'20Trips'!$AC$38,$A34&lt;&gt;J$1,#REF!=1),(VLOOKUP(J$1,'20Trips'!$A$3:$I$22,8,FALSE))-(VLOOKUP($A34,'20Trips'!$A$3:$I$22,9,FALSE))+'20Trips'!$B$23,0)</f>
        <v>#REF!</v>
      </c>
      <c r="K34" t="e">
        <f>IF(AND(SUM(VLOOKUP($A34,'20Trips'!$A$3:$F$22,2,FALSE),VLOOKUP(K$1,'20Trips'!$A$3:$F$22,2,FALSE))&lt;'20Trips'!$AC$38,$A34&lt;&gt;K$1,#REF!=1),(VLOOKUP(K$1,'20Trips'!$A$3:$I$22,8,FALSE))-(VLOOKUP($A34,'20Trips'!$A$3:$I$22,9,FALSE))+'20Trips'!$B$23,0)</f>
        <v>#REF!</v>
      </c>
      <c r="L34" t="e">
        <f>IF(AND(SUM(VLOOKUP($A34,'20Trips'!$A$3:$F$22,2,FALSE),VLOOKUP(L$1,'20Trips'!$A$3:$F$22,2,FALSE))&lt;'20Trips'!$AC$38,$A34&lt;&gt;L$1,#REF!=1),(VLOOKUP(L$1,'20Trips'!$A$3:$I$22,8,FALSE))-(VLOOKUP($A34,'20Trips'!$A$3:$I$22,9,FALSE))+'20Trips'!$B$23,0)</f>
        <v>#REF!</v>
      </c>
      <c r="M34" t="e">
        <f>IF(AND(SUM(VLOOKUP($A34,'20Trips'!$A$3:$F$22,2,FALSE),VLOOKUP(M$1,'20Trips'!$A$3:$F$22,2,FALSE))&lt;'20Trips'!$AC$38,$A34&lt;&gt;M$1,#REF!=1),(VLOOKUP(M$1,'20Trips'!$A$3:$I$22,8,FALSE))-(VLOOKUP($A34,'20Trips'!$A$3:$I$22,9,FALSE))+'20Trips'!$B$23,0)</f>
        <v>#REF!</v>
      </c>
      <c r="N34" t="e">
        <f>IF(AND(SUM(VLOOKUP($A34,'20Trips'!$A$3:$F$22,2,FALSE),VLOOKUP(N$1,'20Trips'!$A$3:$F$22,2,FALSE))&lt;'20Trips'!$AC$38,$A34&lt;&gt;N$1,#REF!=1),(VLOOKUP(N$1,'20Trips'!$A$3:$I$22,8,FALSE))-(VLOOKUP($A34,'20Trips'!$A$3:$I$22,9,FALSE))+'20Trips'!$B$23,0)</f>
        <v>#REF!</v>
      </c>
      <c r="O34" t="e">
        <f>IF(AND(SUM(VLOOKUP($A34,'20Trips'!$A$3:$F$22,2,FALSE),VLOOKUP(O$1,'20Trips'!$A$3:$F$22,2,FALSE))&lt;'20Trips'!$AC$38,$A34&lt;&gt;O$1,#REF!=1),(VLOOKUP(O$1,'20Trips'!$A$3:$I$22,8,FALSE))-(VLOOKUP($A34,'20Trips'!$A$3:$I$22,9,FALSE))+'20Trips'!$B$23,0)</f>
        <v>#REF!</v>
      </c>
      <c r="P34" t="e">
        <f>IF(AND(SUM(VLOOKUP($A34,'20Trips'!$A$3:$F$22,2,FALSE),VLOOKUP(P$1,'20Trips'!$A$3:$F$22,2,FALSE))&lt;'20Trips'!$AC$38,$A34&lt;&gt;P$1,#REF!=1),(VLOOKUP(P$1,'20Trips'!$A$3:$I$22,8,FALSE))-(VLOOKUP($A34,'20Trips'!$A$3:$I$22,9,FALSE))+'20Trips'!$B$23,0)</f>
        <v>#REF!</v>
      </c>
      <c r="Q34" t="e">
        <f>IF(AND(SUM(VLOOKUP($A34,'20Trips'!$A$3:$F$22,2,FALSE),VLOOKUP(Q$1,'20Trips'!$A$3:$F$22,2,FALSE))&lt;'20Trips'!$AC$38,$A34&lt;&gt;Q$1,#REF!=1),(VLOOKUP(Q$1,'20Trips'!$A$3:$I$22,8,FALSE))-(VLOOKUP($A34,'20Trips'!$A$3:$I$22,9,FALSE))+'20Trips'!$B$23,0)</f>
        <v>#REF!</v>
      </c>
      <c r="R34" t="e">
        <f>IF(AND(SUM(VLOOKUP($A34,'20Trips'!$A$3:$F$22,2,FALSE),VLOOKUP(R$1,'20Trips'!$A$3:$F$22,2,FALSE))&lt;'20Trips'!$AC$38,$A34&lt;&gt;R$1,#REF!=1),(VLOOKUP(R$1,'20Trips'!$A$3:$I$22,8,FALSE))-(VLOOKUP($A34,'20Trips'!$A$3:$I$22,9,FALSE))+'20Trips'!$B$23,0)</f>
        <v>#REF!</v>
      </c>
      <c r="S34" t="e">
        <f>IF(AND(SUM(VLOOKUP($A34,'20Trips'!$A$3:$F$22,2,FALSE),VLOOKUP(S$1,'20Trips'!$A$3:$F$22,2,FALSE))&lt;'20Trips'!$AC$38,$A34&lt;&gt;S$1,#REF!=1),(VLOOKUP(S$1,'20Trips'!$A$3:$I$22,8,FALSE))-(VLOOKUP($A34,'20Trips'!$A$3:$I$22,9,FALSE))+'20Trips'!$B$23,0)</f>
        <v>#REF!</v>
      </c>
      <c r="T34" t="e">
        <f>IF(AND(SUM(VLOOKUP($A34,'20Trips'!$A$3:$F$22,2,FALSE),VLOOKUP(T$1,'20Trips'!$A$3:$F$22,2,FALSE))&lt;'20Trips'!$AC$38,$A34&lt;&gt;T$1,#REF!=1),(VLOOKUP(T$1,'20Trips'!$A$3:$I$22,8,FALSE))-(VLOOKUP($A34,'20Trips'!$A$3:$I$22,9,FALSE))+'20Trips'!$B$23,0)</f>
        <v>#REF!</v>
      </c>
      <c r="U34" t="e">
        <f>IF(AND(SUM(VLOOKUP($A34,'20Trips'!$A$3:$F$22,2,FALSE),VLOOKUP(U$1,'20Trips'!$A$3:$F$22,2,FALSE))&lt;'20Trips'!$AC$38,$A34&lt;&gt;U$1,#REF!=1),(VLOOKUP(U$1,'20Trips'!$A$3:$I$22,8,FALSE))-(VLOOKUP($A34,'20Trips'!$A$3:$I$22,9,FALSE))+'20Trips'!$B$23,0)</f>
        <v>#REF!</v>
      </c>
      <c r="V34" t="e">
        <f>IF(AND(SUM(VLOOKUP($A34,'20Trips'!$A$3:$F$22,2,FALSE),VLOOKUP(V$1,'20Trips'!$A$3:$F$22,2,FALSE))&lt;'20Trips'!$AC$38,$A34&lt;&gt;V$1,#REF!=1),(VLOOKUP(V$1,'20Trips'!$A$3:$I$22,8,FALSE))-(VLOOKUP($A34,'20Trips'!$A$3:$I$22,9,FALSE))+'20Trips'!$B$23,0)</f>
        <v>#REF!</v>
      </c>
    </row>
    <row r="35" spans="1:22" x14ac:dyDescent="0.25">
      <c r="A35" t="s">
        <v>27</v>
      </c>
      <c r="B35">
        <v>0</v>
      </c>
      <c r="C35">
        <f>IF(AND(SUM(VLOOKUP($A35,'20Trips'!$A$3:$F$22,2,FALSE),VLOOKUP(C$1,'20Trips'!$A$3:$F$22,2,FALSE))&lt;'20Trips'!$AC$38,$A35&lt;&gt;C$1,feasible_mat!C39=1),(VLOOKUP(C$1,'20Trips'!$A$3:$I$22,8,FALSE))-(VLOOKUP($A35,'20Trips'!$A$3:$I$22,9,FALSE))+'20Trips'!$B$23,0)</f>
        <v>0</v>
      </c>
      <c r="D35" t="e">
        <f>IF(AND(SUM(VLOOKUP($A35,'20Trips'!$A$3:$F$22,2,FALSE),VLOOKUP(D$1,'20Trips'!$A$3:$F$22,2,FALSE))&lt;'20Trips'!$AC$38,$A35&lt;&gt;D$1,#REF!=1),(VLOOKUP(D$1,'20Trips'!$A$3:$I$22,8,FALSE))-(VLOOKUP($A35,'20Trips'!$A$3:$I$22,9,FALSE))+'20Trips'!$B$23,0)</f>
        <v>#REF!</v>
      </c>
      <c r="E35" t="e">
        <f>IF(AND(SUM(VLOOKUP($A35,'20Trips'!$A$3:$F$22,2,FALSE),VLOOKUP(E$1,'20Trips'!$A$3:$F$22,2,FALSE))&lt;'20Trips'!$AC$38,$A35&lt;&gt;E$1,#REF!=1),(VLOOKUP(E$1,'20Trips'!$A$3:$I$22,8,FALSE))-(VLOOKUP($A35,'20Trips'!$A$3:$I$22,9,FALSE))+'20Trips'!$B$23,0)</f>
        <v>#REF!</v>
      </c>
      <c r="F35" t="e">
        <f>IF(AND(SUM(VLOOKUP($A35,'20Trips'!$A$3:$F$22,2,FALSE),VLOOKUP(F$1,'20Trips'!$A$3:$F$22,2,FALSE))&lt;'20Trips'!$AC$38,$A35&lt;&gt;F$1,#REF!=1),(VLOOKUP(F$1,'20Trips'!$A$3:$I$22,8,FALSE))-(VLOOKUP($A35,'20Trips'!$A$3:$I$22,9,FALSE))+'20Trips'!$B$23,0)</f>
        <v>#REF!</v>
      </c>
      <c r="G35" t="e">
        <f>IF(AND(SUM(VLOOKUP($A35,'20Trips'!$A$3:$F$22,2,FALSE),VLOOKUP(G$1,'20Trips'!$A$3:$F$22,2,FALSE))&lt;'20Trips'!$AC$38,$A35&lt;&gt;G$1,#REF!=1),(VLOOKUP(G$1,'20Trips'!$A$3:$I$22,8,FALSE))-(VLOOKUP($A35,'20Trips'!$A$3:$I$22,9,FALSE))+'20Trips'!$B$23,0)</f>
        <v>#REF!</v>
      </c>
      <c r="H35" t="e">
        <f>IF(AND(SUM(VLOOKUP($A35,'20Trips'!$A$3:$F$22,2,FALSE),VLOOKUP(H$1,'20Trips'!$A$3:$F$22,2,FALSE))&lt;'20Trips'!$AC$38,$A35&lt;&gt;H$1,#REF!=1),(VLOOKUP(H$1,'20Trips'!$A$3:$I$22,8,FALSE))-(VLOOKUP($A35,'20Trips'!$A$3:$I$22,9,FALSE))+'20Trips'!$B$23,0)</f>
        <v>#REF!</v>
      </c>
      <c r="I35" t="e">
        <f>IF(AND(SUM(VLOOKUP($A35,'20Trips'!$A$3:$F$22,2,FALSE),VLOOKUP(I$1,'20Trips'!$A$3:$F$22,2,FALSE))&lt;'20Trips'!$AC$38,$A35&lt;&gt;I$1,#REF!=1),(VLOOKUP(I$1,'20Trips'!$A$3:$I$22,8,FALSE))-(VLOOKUP($A35,'20Trips'!$A$3:$I$22,9,FALSE))+'20Trips'!$B$23,0)</f>
        <v>#REF!</v>
      </c>
      <c r="J35" t="e">
        <f>IF(AND(SUM(VLOOKUP($A35,'20Trips'!$A$3:$F$22,2,FALSE),VLOOKUP(J$1,'20Trips'!$A$3:$F$22,2,FALSE))&lt;'20Trips'!$AC$38,$A35&lt;&gt;J$1,#REF!=1),(VLOOKUP(J$1,'20Trips'!$A$3:$I$22,8,FALSE))-(VLOOKUP($A35,'20Trips'!$A$3:$I$22,9,FALSE))+'20Trips'!$B$23,0)</f>
        <v>#REF!</v>
      </c>
      <c r="K35" t="e">
        <f>IF(AND(SUM(VLOOKUP($A35,'20Trips'!$A$3:$F$22,2,FALSE),VLOOKUP(K$1,'20Trips'!$A$3:$F$22,2,FALSE))&lt;'20Trips'!$AC$38,$A35&lt;&gt;K$1,#REF!=1),(VLOOKUP(K$1,'20Trips'!$A$3:$I$22,8,FALSE))-(VLOOKUP($A35,'20Trips'!$A$3:$I$22,9,FALSE))+'20Trips'!$B$23,0)</f>
        <v>#REF!</v>
      </c>
      <c r="L35" t="e">
        <f>IF(AND(SUM(VLOOKUP($A35,'20Trips'!$A$3:$F$22,2,FALSE),VLOOKUP(L$1,'20Trips'!$A$3:$F$22,2,FALSE))&lt;'20Trips'!$AC$38,$A35&lt;&gt;L$1,#REF!=1),(VLOOKUP(L$1,'20Trips'!$A$3:$I$22,8,FALSE))-(VLOOKUP($A35,'20Trips'!$A$3:$I$22,9,FALSE))+'20Trips'!$B$23,0)</f>
        <v>#REF!</v>
      </c>
      <c r="M35" t="e">
        <f>IF(AND(SUM(VLOOKUP($A35,'20Trips'!$A$3:$F$22,2,FALSE),VLOOKUP(M$1,'20Trips'!$A$3:$F$22,2,FALSE))&lt;'20Trips'!$AC$38,$A35&lt;&gt;M$1,#REF!=1),(VLOOKUP(M$1,'20Trips'!$A$3:$I$22,8,FALSE))-(VLOOKUP($A35,'20Trips'!$A$3:$I$22,9,FALSE))+'20Trips'!$B$23,0)</f>
        <v>#REF!</v>
      </c>
      <c r="N35" t="e">
        <f>IF(AND(SUM(VLOOKUP($A35,'20Trips'!$A$3:$F$22,2,FALSE),VLOOKUP(N$1,'20Trips'!$A$3:$F$22,2,FALSE))&lt;'20Trips'!$AC$38,$A35&lt;&gt;N$1,#REF!=1),(VLOOKUP(N$1,'20Trips'!$A$3:$I$22,8,FALSE))-(VLOOKUP($A35,'20Trips'!$A$3:$I$22,9,FALSE))+'20Trips'!$B$23,0)</f>
        <v>#REF!</v>
      </c>
      <c r="O35" t="e">
        <f>IF(AND(SUM(VLOOKUP($A35,'20Trips'!$A$3:$F$22,2,FALSE),VLOOKUP(O$1,'20Trips'!$A$3:$F$22,2,FALSE))&lt;'20Trips'!$AC$38,$A35&lt;&gt;O$1,#REF!=1),(VLOOKUP(O$1,'20Trips'!$A$3:$I$22,8,FALSE))-(VLOOKUP($A35,'20Trips'!$A$3:$I$22,9,FALSE))+'20Trips'!$B$23,0)</f>
        <v>#REF!</v>
      </c>
      <c r="P35" t="e">
        <f>IF(AND(SUM(VLOOKUP($A35,'20Trips'!$A$3:$F$22,2,FALSE),VLOOKUP(P$1,'20Trips'!$A$3:$F$22,2,FALSE))&lt;'20Trips'!$AC$38,$A35&lt;&gt;P$1,#REF!=1),(VLOOKUP(P$1,'20Trips'!$A$3:$I$22,8,FALSE))-(VLOOKUP($A35,'20Trips'!$A$3:$I$22,9,FALSE))+'20Trips'!$B$23,0)</f>
        <v>#REF!</v>
      </c>
      <c r="Q35" t="e">
        <f>IF(AND(SUM(VLOOKUP($A35,'20Trips'!$A$3:$F$22,2,FALSE),VLOOKUP(Q$1,'20Trips'!$A$3:$F$22,2,FALSE))&lt;'20Trips'!$AC$38,$A35&lt;&gt;Q$1,#REF!=1),(VLOOKUP(Q$1,'20Trips'!$A$3:$I$22,8,FALSE))-(VLOOKUP($A35,'20Trips'!$A$3:$I$22,9,FALSE))+'20Trips'!$B$23,0)</f>
        <v>#REF!</v>
      </c>
      <c r="R35" t="e">
        <f>IF(AND(SUM(VLOOKUP($A35,'20Trips'!$A$3:$F$22,2,FALSE),VLOOKUP(R$1,'20Trips'!$A$3:$F$22,2,FALSE))&lt;'20Trips'!$AC$38,$A35&lt;&gt;R$1,#REF!=1),(VLOOKUP(R$1,'20Trips'!$A$3:$I$22,8,FALSE))-(VLOOKUP($A35,'20Trips'!$A$3:$I$22,9,FALSE))+'20Trips'!$B$23,0)</f>
        <v>#REF!</v>
      </c>
      <c r="S35" t="e">
        <f>IF(AND(SUM(VLOOKUP($A35,'20Trips'!$A$3:$F$22,2,FALSE),VLOOKUP(S$1,'20Trips'!$A$3:$F$22,2,FALSE))&lt;'20Trips'!$AC$38,$A35&lt;&gt;S$1,#REF!=1),(VLOOKUP(S$1,'20Trips'!$A$3:$I$22,8,FALSE))-(VLOOKUP($A35,'20Trips'!$A$3:$I$22,9,FALSE))+'20Trips'!$B$23,0)</f>
        <v>#REF!</v>
      </c>
      <c r="T35" t="e">
        <f>IF(AND(SUM(VLOOKUP($A35,'20Trips'!$A$3:$F$22,2,FALSE),VLOOKUP(T$1,'20Trips'!$A$3:$F$22,2,FALSE))&lt;'20Trips'!$AC$38,$A35&lt;&gt;T$1,#REF!=1),(VLOOKUP(T$1,'20Trips'!$A$3:$I$22,8,FALSE))-(VLOOKUP($A35,'20Trips'!$A$3:$I$22,9,FALSE))+'20Trips'!$B$23,0)</f>
        <v>#REF!</v>
      </c>
      <c r="U35" t="e">
        <f>IF(AND(SUM(VLOOKUP($A35,'20Trips'!$A$3:$F$22,2,FALSE),VLOOKUP(U$1,'20Trips'!$A$3:$F$22,2,FALSE))&lt;'20Trips'!$AC$38,$A35&lt;&gt;U$1,#REF!=1),(VLOOKUP(U$1,'20Trips'!$A$3:$I$22,8,FALSE))-(VLOOKUP($A35,'20Trips'!$A$3:$I$22,9,FALSE))+'20Trips'!$B$23,0)</f>
        <v>#REF!</v>
      </c>
      <c r="V35" t="e">
        <f>IF(AND(SUM(VLOOKUP($A35,'20Trips'!$A$3:$F$22,2,FALSE),VLOOKUP(V$1,'20Trips'!$A$3:$F$22,2,FALSE))&lt;'20Trips'!$AC$38,$A35&lt;&gt;V$1,#REF!=1),(VLOOKUP(V$1,'20Trips'!$A$3:$I$22,8,FALSE))-(VLOOKUP($A35,'20Trips'!$A$3:$I$22,9,FALSE))+'20Trips'!$B$23,0)</f>
        <v>#REF!</v>
      </c>
    </row>
    <row r="36" spans="1:22" x14ac:dyDescent="0.25">
      <c r="A36" t="s">
        <v>28</v>
      </c>
      <c r="B36">
        <v>0</v>
      </c>
      <c r="C36">
        <f>IF(AND(SUM(VLOOKUP($A36,'20Trips'!$A$3:$F$22,2,FALSE),VLOOKUP(C$1,'20Trips'!$A$3:$F$22,2,FALSE))&lt;'20Trips'!$AC$38,$A36&lt;&gt;C$1,feasible_mat!C40=1),(VLOOKUP(C$1,'20Trips'!$A$3:$I$22,8,FALSE))-(VLOOKUP($A36,'20Trips'!$A$3:$I$22,9,FALSE))+'20Trips'!$B$23,0)</f>
        <v>0</v>
      </c>
      <c r="D36" t="e">
        <f>IF(AND(SUM(VLOOKUP($A36,'20Trips'!$A$3:$F$22,2,FALSE),VLOOKUP(D$1,'20Trips'!$A$3:$F$22,2,FALSE))&lt;'20Trips'!$AC$38,$A36&lt;&gt;D$1,#REF!=1),(VLOOKUP(D$1,'20Trips'!$A$3:$I$22,8,FALSE))-(VLOOKUP($A36,'20Trips'!$A$3:$I$22,9,FALSE))+'20Trips'!$B$23,0)</f>
        <v>#REF!</v>
      </c>
      <c r="E36" t="e">
        <f>IF(AND(SUM(VLOOKUP($A36,'20Trips'!$A$3:$F$22,2,FALSE),VLOOKUP(E$1,'20Trips'!$A$3:$F$22,2,FALSE))&lt;'20Trips'!$AC$38,$A36&lt;&gt;E$1,#REF!=1),(VLOOKUP(E$1,'20Trips'!$A$3:$I$22,8,FALSE))-(VLOOKUP($A36,'20Trips'!$A$3:$I$22,9,FALSE))+'20Trips'!$B$23,0)</f>
        <v>#REF!</v>
      </c>
      <c r="F36" t="e">
        <f>IF(AND(SUM(VLOOKUP($A36,'20Trips'!$A$3:$F$22,2,FALSE),VLOOKUP(F$1,'20Trips'!$A$3:$F$22,2,FALSE))&lt;'20Trips'!$AC$38,$A36&lt;&gt;F$1,#REF!=1),(VLOOKUP(F$1,'20Trips'!$A$3:$I$22,8,FALSE))-(VLOOKUP($A36,'20Trips'!$A$3:$I$22,9,FALSE))+'20Trips'!$B$23,0)</f>
        <v>#REF!</v>
      </c>
      <c r="G36" t="e">
        <f>IF(AND(SUM(VLOOKUP($A36,'20Trips'!$A$3:$F$22,2,FALSE),VLOOKUP(G$1,'20Trips'!$A$3:$F$22,2,FALSE))&lt;'20Trips'!$AC$38,$A36&lt;&gt;G$1,#REF!=1),(VLOOKUP(G$1,'20Trips'!$A$3:$I$22,8,FALSE))-(VLOOKUP($A36,'20Trips'!$A$3:$I$22,9,FALSE))+'20Trips'!$B$23,0)</f>
        <v>#REF!</v>
      </c>
      <c r="H36" t="e">
        <f>IF(AND(SUM(VLOOKUP($A36,'20Trips'!$A$3:$F$22,2,FALSE),VLOOKUP(H$1,'20Trips'!$A$3:$F$22,2,FALSE))&lt;'20Trips'!$AC$38,$A36&lt;&gt;H$1,#REF!=1),(VLOOKUP(H$1,'20Trips'!$A$3:$I$22,8,FALSE))-(VLOOKUP($A36,'20Trips'!$A$3:$I$22,9,FALSE))+'20Trips'!$B$23,0)</f>
        <v>#REF!</v>
      </c>
      <c r="I36" t="e">
        <f>IF(AND(SUM(VLOOKUP($A36,'20Trips'!$A$3:$F$22,2,FALSE),VLOOKUP(I$1,'20Trips'!$A$3:$F$22,2,FALSE))&lt;'20Trips'!$AC$38,$A36&lt;&gt;I$1,#REF!=1),(VLOOKUP(I$1,'20Trips'!$A$3:$I$22,8,FALSE))-(VLOOKUP($A36,'20Trips'!$A$3:$I$22,9,FALSE))+'20Trips'!$B$23,0)</f>
        <v>#REF!</v>
      </c>
      <c r="J36" t="e">
        <f>IF(AND(SUM(VLOOKUP($A36,'20Trips'!$A$3:$F$22,2,FALSE),VLOOKUP(J$1,'20Trips'!$A$3:$F$22,2,FALSE))&lt;'20Trips'!$AC$38,$A36&lt;&gt;J$1,#REF!=1),(VLOOKUP(J$1,'20Trips'!$A$3:$I$22,8,FALSE))-(VLOOKUP($A36,'20Trips'!$A$3:$I$22,9,FALSE))+'20Trips'!$B$23,0)</f>
        <v>#REF!</v>
      </c>
      <c r="K36" t="e">
        <f>IF(AND(SUM(VLOOKUP($A36,'20Trips'!$A$3:$F$22,2,FALSE),VLOOKUP(K$1,'20Trips'!$A$3:$F$22,2,FALSE))&lt;'20Trips'!$AC$38,$A36&lt;&gt;K$1,#REF!=1),(VLOOKUP(K$1,'20Trips'!$A$3:$I$22,8,FALSE))-(VLOOKUP($A36,'20Trips'!$A$3:$I$22,9,FALSE))+'20Trips'!$B$23,0)</f>
        <v>#REF!</v>
      </c>
      <c r="L36" t="e">
        <f>IF(AND(SUM(VLOOKUP($A36,'20Trips'!$A$3:$F$22,2,FALSE),VLOOKUP(L$1,'20Trips'!$A$3:$F$22,2,FALSE))&lt;'20Trips'!$AC$38,$A36&lt;&gt;L$1,#REF!=1),(VLOOKUP(L$1,'20Trips'!$A$3:$I$22,8,FALSE))-(VLOOKUP($A36,'20Trips'!$A$3:$I$22,9,FALSE))+'20Trips'!$B$23,0)</f>
        <v>#REF!</v>
      </c>
      <c r="M36" t="e">
        <f>IF(AND(SUM(VLOOKUP($A36,'20Trips'!$A$3:$F$22,2,FALSE),VLOOKUP(M$1,'20Trips'!$A$3:$F$22,2,FALSE))&lt;'20Trips'!$AC$38,$A36&lt;&gt;M$1,#REF!=1),(VLOOKUP(M$1,'20Trips'!$A$3:$I$22,8,FALSE))-(VLOOKUP($A36,'20Trips'!$A$3:$I$22,9,FALSE))+'20Trips'!$B$23,0)</f>
        <v>#REF!</v>
      </c>
      <c r="N36" t="e">
        <f>IF(AND(SUM(VLOOKUP($A36,'20Trips'!$A$3:$F$22,2,FALSE),VLOOKUP(N$1,'20Trips'!$A$3:$F$22,2,FALSE))&lt;'20Trips'!$AC$38,$A36&lt;&gt;N$1,#REF!=1),(VLOOKUP(N$1,'20Trips'!$A$3:$I$22,8,FALSE))-(VLOOKUP($A36,'20Trips'!$A$3:$I$22,9,FALSE))+'20Trips'!$B$23,0)</f>
        <v>#REF!</v>
      </c>
      <c r="O36" t="e">
        <f>IF(AND(SUM(VLOOKUP($A36,'20Trips'!$A$3:$F$22,2,FALSE),VLOOKUP(O$1,'20Trips'!$A$3:$F$22,2,FALSE))&lt;'20Trips'!$AC$38,$A36&lt;&gt;O$1,#REF!=1),(VLOOKUP(O$1,'20Trips'!$A$3:$I$22,8,FALSE))-(VLOOKUP($A36,'20Trips'!$A$3:$I$22,9,FALSE))+'20Trips'!$B$23,0)</f>
        <v>#REF!</v>
      </c>
      <c r="P36" t="e">
        <f>IF(AND(SUM(VLOOKUP($A36,'20Trips'!$A$3:$F$22,2,FALSE),VLOOKUP(P$1,'20Trips'!$A$3:$F$22,2,FALSE))&lt;'20Trips'!$AC$38,$A36&lt;&gt;P$1,#REF!=1),(VLOOKUP(P$1,'20Trips'!$A$3:$I$22,8,FALSE))-(VLOOKUP($A36,'20Trips'!$A$3:$I$22,9,FALSE))+'20Trips'!$B$23,0)</f>
        <v>#REF!</v>
      </c>
      <c r="Q36" t="e">
        <f>IF(AND(SUM(VLOOKUP($A36,'20Trips'!$A$3:$F$22,2,FALSE),VLOOKUP(Q$1,'20Trips'!$A$3:$F$22,2,FALSE))&lt;'20Trips'!$AC$38,$A36&lt;&gt;Q$1,#REF!=1),(VLOOKUP(Q$1,'20Trips'!$A$3:$I$22,8,FALSE))-(VLOOKUP($A36,'20Trips'!$A$3:$I$22,9,FALSE))+'20Trips'!$B$23,0)</f>
        <v>#REF!</v>
      </c>
      <c r="R36" t="e">
        <f>IF(AND(SUM(VLOOKUP($A36,'20Trips'!$A$3:$F$22,2,FALSE),VLOOKUP(R$1,'20Trips'!$A$3:$F$22,2,FALSE))&lt;'20Trips'!$AC$38,$A36&lt;&gt;R$1,#REF!=1),(VLOOKUP(R$1,'20Trips'!$A$3:$I$22,8,FALSE))-(VLOOKUP($A36,'20Trips'!$A$3:$I$22,9,FALSE))+'20Trips'!$B$23,0)</f>
        <v>#REF!</v>
      </c>
      <c r="S36" t="e">
        <f>IF(AND(SUM(VLOOKUP($A36,'20Trips'!$A$3:$F$22,2,FALSE),VLOOKUP(S$1,'20Trips'!$A$3:$F$22,2,FALSE))&lt;'20Trips'!$AC$38,$A36&lt;&gt;S$1,#REF!=1),(VLOOKUP(S$1,'20Trips'!$A$3:$I$22,8,FALSE))-(VLOOKUP($A36,'20Trips'!$A$3:$I$22,9,FALSE))+'20Trips'!$B$23,0)</f>
        <v>#REF!</v>
      </c>
      <c r="T36" t="e">
        <f>IF(AND(SUM(VLOOKUP($A36,'20Trips'!$A$3:$F$22,2,FALSE),VLOOKUP(T$1,'20Trips'!$A$3:$F$22,2,FALSE))&lt;'20Trips'!$AC$38,$A36&lt;&gt;T$1,#REF!=1),(VLOOKUP(T$1,'20Trips'!$A$3:$I$22,8,FALSE))-(VLOOKUP($A36,'20Trips'!$A$3:$I$22,9,FALSE))+'20Trips'!$B$23,0)</f>
        <v>#REF!</v>
      </c>
      <c r="U36" t="e">
        <f>IF(AND(SUM(VLOOKUP($A36,'20Trips'!$A$3:$F$22,2,FALSE),VLOOKUP(U$1,'20Trips'!$A$3:$F$22,2,FALSE))&lt;'20Trips'!$AC$38,$A36&lt;&gt;U$1,#REF!=1),(VLOOKUP(U$1,'20Trips'!$A$3:$I$22,8,FALSE))-(VLOOKUP($A36,'20Trips'!$A$3:$I$22,9,FALSE))+'20Trips'!$B$23,0)</f>
        <v>#REF!</v>
      </c>
      <c r="V36" t="e">
        <f>IF(AND(SUM(VLOOKUP($A36,'20Trips'!$A$3:$F$22,2,FALSE),VLOOKUP(V$1,'20Trips'!$A$3:$F$22,2,FALSE))&lt;'20Trips'!$AC$38,$A36&lt;&gt;V$1,#REF!=1),(VLOOKUP(V$1,'20Trips'!$A$3:$I$22,8,FALSE))-(VLOOKUP($A36,'20Trips'!$A$3:$I$22,9,FALSE))+'20Trips'!$B$23,0)</f>
        <v>#REF!</v>
      </c>
    </row>
    <row r="37" spans="1:22" x14ac:dyDescent="0.25">
      <c r="A37" t="s">
        <v>29</v>
      </c>
      <c r="B37">
        <v>0</v>
      </c>
      <c r="C37">
        <f>IF(AND(SUM(VLOOKUP($A37,'20Trips'!$A$3:$F$22,2,FALSE),VLOOKUP(C$1,'20Trips'!$A$3:$F$22,2,FALSE))&lt;'20Trips'!$AC$38,$A37&lt;&gt;C$1,feasible_mat!C41=1),(VLOOKUP(C$1,'20Trips'!$A$3:$I$22,8,FALSE))-(VLOOKUP($A37,'20Trips'!$A$3:$I$22,9,FALSE))+'20Trips'!$B$23,0)</f>
        <v>0</v>
      </c>
      <c r="D37" t="e">
        <f>IF(AND(SUM(VLOOKUP($A37,'20Trips'!$A$3:$F$22,2,FALSE),VLOOKUP(D$1,'20Trips'!$A$3:$F$22,2,FALSE))&lt;'20Trips'!$AC$38,$A37&lt;&gt;D$1,#REF!=1),(VLOOKUP(D$1,'20Trips'!$A$3:$I$22,8,FALSE))-(VLOOKUP($A37,'20Trips'!$A$3:$I$22,9,FALSE))+'20Trips'!$B$23,0)</f>
        <v>#REF!</v>
      </c>
      <c r="E37" t="e">
        <f>IF(AND(SUM(VLOOKUP($A37,'20Trips'!$A$3:$F$22,2,FALSE),VLOOKUP(E$1,'20Trips'!$A$3:$F$22,2,FALSE))&lt;'20Trips'!$AC$38,$A37&lt;&gt;E$1,#REF!=1),(VLOOKUP(E$1,'20Trips'!$A$3:$I$22,8,FALSE))-(VLOOKUP($A37,'20Trips'!$A$3:$I$22,9,FALSE))+'20Trips'!$B$23,0)</f>
        <v>#REF!</v>
      </c>
      <c r="F37" t="e">
        <f>IF(AND(SUM(VLOOKUP($A37,'20Trips'!$A$3:$F$22,2,FALSE),VLOOKUP(F$1,'20Trips'!$A$3:$F$22,2,FALSE))&lt;'20Trips'!$AC$38,$A37&lt;&gt;F$1,#REF!=1),(VLOOKUP(F$1,'20Trips'!$A$3:$I$22,8,FALSE))-(VLOOKUP($A37,'20Trips'!$A$3:$I$22,9,FALSE))+'20Trips'!$B$23,0)</f>
        <v>#REF!</v>
      </c>
      <c r="G37" t="e">
        <f>IF(AND(SUM(VLOOKUP($A37,'20Trips'!$A$3:$F$22,2,FALSE),VLOOKUP(G$1,'20Trips'!$A$3:$F$22,2,FALSE))&lt;'20Trips'!$AC$38,$A37&lt;&gt;G$1,#REF!=1),(VLOOKUP(G$1,'20Trips'!$A$3:$I$22,8,FALSE))-(VLOOKUP($A37,'20Trips'!$A$3:$I$22,9,FALSE))+'20Trips'!$B$23,0)</f>
        <v>#REF!</v>
      </c>
      <c r="H37" t="e">
        <f>IF(AND(SUM(VLOOKUP($A37,'20Trips'!$A$3:$F$22,2,FALSE),VLOOKUP(H$1,'20Trips'!$A$3:$F$22,2,FALSE))&lt;'20Trips'!$AC$38,$A37&lt;&gt;H$1,#REF!=1),(VLOOKUP(H$1,'20Trips'!$A$3:$I$22,8,FALSE))-(VLOOKUP($A37,'20Trips'!$A$3:$I$22,9,FALSE))+'20Trips'!$B$23,0)</f>
        <v>#REF!</v>
      </c>
      <c r="I37" t="e">
        <f>IF(AND(SUM(VLOOKUP($A37,'20Trips'!$A$3:$F$22,2,FALSE),VLOOKUP(I$1,'20Trips'!$A$3:$F$22,2,FALSE))&lt;'20Trips'!$AC$38,$A37&lt;&gt;I$1,#REF!=1),(VLOOKUP(I$1,'20Trips'!$A$3:$I$22,8,FALSE))-(VLOOKUP($A37,'20Trips'!$A$3:$I$22,9,FALSE))+'20Trips'!$B$23,0)</f>
        <v>#REF!</v>
      </c>
      <c r="J37" t="e">
        <f>IF(AND(SUM(VLOOKUP($A37,'20Trips'!$A$3:$F$22,2,FALSE),VLOOKUP(J$1,'20Trips'!$A$3:$F$22,2,FALSE))&lt;'20Trips'!$AC$38,$A37&lt;&gt;J$1,#REF!=1),(VLOOKUP(J$1,'20Trips'!$A$3:$I$22,8,FALSE))-(VLOOKUP($A37,'20Trips'!$A$3:$I$22,9,FALSE))+'20Trips'!$B$23,0)</f>
        <v>#REF!</v>
      </c>
      <c r="K37" t="e">
        <f>IF(AND(SUM(VLOOKUP($A37,'20Trips'!$A$3:$F$22,2,FALSE),VLOOKUP(K$1,'20Trips'!$A$3:$F$22,2,FALSE))&lt;'20Trips'!$AC$38,$A37&lt;&gt;K$1,#REF!=1),(VLOOKUP(K$1,'20Trips'!$A$3:$I$22,8,FALSE))-(VLOOKUP($A37,'20Trips'!$A$3:$I$22,9,FALSE))+'20Trips'!$B$23,0)</f>
        <v>#REF!</v>
      </c>
      <c r="L37" t="e">
        <f>IF(AND(SUM(VLOOKUP($A37,'20Trips'!$A$3:$F$22,2,FALSE),VLOOKUP(L$1,'20Trips'!$A$3:$F$22,2,FALSE))&lt;'20Trips'!$AC$38,$A37&lt;&gt;L$1,#REF!=1),(VLOOKUP(L$1,'20Trips'!$A$3:$I$22,8,FALSE))-(VLOOKUP($A37,'20Trips'!$A$3:$I$22,9,FALSE))+'20Trips'!$B$23,0)</f>
        <v>#REF!</v>
      </c>
      <c r="M37" t="e">
        <f>IF(AND(SUM(VLOOKUP($A37,'20Trips'!$A$3:$F$22,2,FALSE),VLOOKUP(M$1,'20Trips'!$A$3:$F$22,2,FALSE))&lt;'20Trips'!$AC$38,$A37&lt;&gt;M$1,#REF!=1),(VLOOKUP(M$1,'20Trips'!$A$3:$I$22,8,FALSE))-(VLOOKUP($A37,'20Trips'!$A$3:$I$22,9,FALSE))+'20Trips'!$B$23,0)</f>
        <v>#REF!</v>
      </c>
      <c r="N37" t="e">
        <f>IF(AND(SUM(VLOOKUP($A37,'20Trips'!$A$3:$F$22,2,FALSE),VLOOKUP(N$1,'20Trips'!$A$3:$F$22,2,FALSE))&lt;'20Trips'!$AC$38,$A37&lt;&gt;N$1,#REF!=1),(VLOOKUP(N$1,'20Trips'!$A$3:$I$22,8,FALSE))-(VLOOKUP($A37,'20Trips'!$A$3:$I$22,9,FALSE))+'20Trips'!$B$23,0)</f>
        <v>#REF!</v>
      </c>
      <c r="O37" t="e">
        <f>IF(AND(SUM(VLOOKUP($A37,'20Trips'!$A$3:$F$22,2,FALSE),VLOOKUP(O$1,'20Trips'!$A$3:$F$22,2,FALSE))&lt;'20Trips'!$AC$38,$A37&lt;&gt;O$1,#REF!=1),(VLOOKUP(O$1,'20Trips'!$A$3:$I$22,8,FALSE))-(VLOOKUP($A37,'20Trips'!$A$3:$I$22,9,FALSE))+'20Trips'!$B$23,0)</f>
        <v>#REF!</v>
      </c>
      <c r="P37" t="e">
        <f>IF(AND(SUM(VLOOKUP($A37,'20Trips'!$A$3:$F$22,2,FALSE),VLOOKUP(P$1,'20Trips'!$A$3:$F$22,2,FALSE))&lt;'20Trips'!$AC$38,$A37&lt;&gt;P$1,#REF!=1),(VLOOKUP(P$1,'20Trips'!$A$3:$I$22,8,FALSE))-(VLOOKUP($A37,'20Trips'!$A$3:$I$22,9,FALSE))+'20Trips'!$B$23,0)</f>
        <v>#REF!</v>
      </c>
      <c r="Q37" t="e">
        <f>IF(AND(SUM(VLOOKUP($A37,'20Trips'!$A$3:$F$22,2,FALSE),VLOOKUP(Q$1,'20Trips'!$A$3:$F$22,2,FALSE))&lt;'20Trips'!$AC$38,$A37&lt;&gt;Q$1,#REF!=1),(VLOOKUP(Q$1,'20Trips'!$A$3:$I$22,8,FALSE))-(VLOOKUP($A37,'20Trips'!$A$3:$I$22,9,FALSE))+'20Trips'!$B$23,0)</f>
        <v>#REF!</v>
      </c>
      <c r="R37" t="e">
        <f>IF(AND(SUM(VLOOKUP($A37,'20Trips'!$A$3:$F$22,2,FALSE),VLOOKUP(R$1,'20Trips'!$A$3:$F$22,2,FALSE))&lt;'20Trips'!$AC$38,$A37&lt;&gt;R$1,#REF!=1),(VLOOKUP(R$1,'20Trips'!$A$3:$I$22,8,FALSE))-(VLOOKUP($A37,'20Trips'!$A$3:$I$22,9,FALSE))+'20Trips'!$B$23,0)</f>
        <v>#REF!</v>
      </c>
      <c r="S37" t="e">
        <f>IF(AND(SUM(VLOOKUP($A37,'20Trips'!$A$3:$F$22,2,FALSE),VLOOKUP(S$1,'20Trips'!$A$3:$F$22,2,FALSE))&lt;'20Trips'!$AC$38,$A37&lt;&gt;S$1,#REF!=1),(VLOOKUP(S$1,'20Trips'!$A$3:$I$22,8,FALSE))-(VLOOKUP($A37,'20Trips'!$A$3:$I$22,9,FALSE))+'20Trips'!$B$23,0)</f>
        <v>#REF!</v>
      </c>
      <c r="T37" t="e">
        <f>IF(AND(SUM(VLOOKUP($A37,'20Trips'!$A$3:$F$22,2,FALSE),VLOOKUP(T$1,'20Trips'!$A$3:$F$22,2,FALSE))&lt;'20Trips'!$AC$38,$A37&lt;&gt;T$1,#REF!=1),(VLOOKUP(T$1,'20Trips'!$A$3:$I$22,8,FALSE))-(VLOOKUP($A37,'20Trips'!$A$3:$I$22,9,FALSE))+'20Trips'!$B$23,0)</f>
        <v>#REF!</v>
      </c>
      <c r="U37" t="e">
        <f>IF(AND(SUM(VLOOKUP($A37,'20Trips'!$A$3:$F$22,2,FALSE),VLOOKUP(U$1,'20Trips'!$A$3:$F$22,2,FALSE))&lt;'20Trips'!$AC$38,$A37&lt;&gt;U$1,#REF!=1),(VLOOKUP(U$1,'20Trips'!$A$3:$I$22,8,FALSE))-(VLOOKUP($A37,'20Trips'!$A$3:$I$22,9,FALSE))+'20Trips'!$B$23,0)</f>
        <v>#REF!</v>
      </c>
      <c r="V37" t="e">
        <f>IF(AND(SUM(VLOOKUP($A37,'20Trips'!$A$3:$F$22,2,FALSE),VLOOKUP(V$1,'20Trips'!$A$3:$F$22,2,FALSE))&lt;'20Trips'!$AC$38,$A37&lt;&gt;V$1,#REF!=1),(VLOOKUP(V$1,'20Trips'!$A$3:$I$22,8,FALSE))-(VLOOKUP($A37,'20Trips'!$A$3:$I$22,9,FALSE))+'20Trips'!$B$23,0)</f>
        <v>#REF!</v>
      </c>
    </row>
    <row r="38" spans="1:22" x14ac:dyDescent="0.25">
      <c r="A38" t="s">
        <v>30</v>
      </c>
      <c r="B38">
        <v>0</v>
      </c>
      <c r="C38">
        <f>IF(AND(SUM(VLOOKUP($A38,'20Trips'!$A$3:$F$22,2,FALSE),VLOOKUP(C$1,'20Trips'!$A$3:$F$22,2,FALSE))&lt;'20Trips'!$AC$38,$A38&lt;&gt;C$1,feasible_mat!C42=1),(VLOOKUP(C$1,'20Trips'!$A$3:$I$22,8,FALSE))-(VLOOKUP($A38,'20Trips'!$A$3:$I$22,9,FALSE))+'20Trips'!$B$23,0)</f>
        <v>0</v>
      </c>
      <c r="D38" t="e">
        <f>IF(AND(SUM(VLOOKUP($A38,'20Trips'!$A$3:$F$22,2,FALSE),VLOOKUP(D$1,'20Trips'!$A$3:$F$22,2,FALSE))&lt;'20Trips'!$AC$38,$A38&lt;&gt;D$1,#REF!=1),(VLOOKUP(D$1,'20Trips'!$A$3:$I$22,8,FALSE))-(VLOOKUP($A38,'20Trips'!$A$3:$I$22,9,FALSE))+'20Trips'!$B$23,0)</f>
        <v>#REF!</v>
      </c>
      <c r="E38" t="e">
        <f>IF(AND(SUM(VLOOKUP($A38,'20Trips'!$A$3:$F$22,2,FALSE),VLOOKUP(E$1,'20Trips'!$A$3:$F$22,2,FALSE))&lt;'20Trips'!$AC$38,$A38&lt;&gt;E$1,#REF!=1),(VLOOKUP(E$1,'20Trips'!$A$3:$I$22,8,FALSE))-(VLOOKUP($A38,'20Trips'!$A$3:$I$22,9,FALSE))+'20Trips'!$B$23,0)</f>
        <v>#REF!</v>
      </c>
      <c r="F38" t="e">
        <f>IF(AND(SUM(VLOOKUP($A38,'20Trips'!$A$3:$F$22,2,FALSE),VLOOKUP(F$1,'20Trips'!$A$3:$F$22,2,FALSE))&lt;'20Trips'!$AC$38,$A38&lt;&gt;F$1,#REF!=1),(VLOOKUP(F$1,'20Trips'!$A$3:$I$22,8,FALSE))-(VLOOKUP($A38,'20Trips'!$A$3:$I$22,9,FALSE))+'20Trips'!$B$23,0)</f>
        <v>#REF!</v>
      </c>
      <c r="G38" t="e">
        <f>IF(AND(SUM(VLOOKUP($A38,'20Trips'!$A$3:$F$22,2,FALSE),VLOOKUP(G$1,'20Trips'!$A$3:$F$22,2,FALSE))&lt;'20Trips'!$AC$38,$A38&lt;&gt;G$1,#REF!=1),(VLOOKUP(G$1,'20Trips'!$A$3:$I$22,8,FALSE))-(VLOOKUP($A38,'20Trips'!$A$3:$I$22,9,FALSE))+'20Trips'!$B$23,0)</f>
        <v>#REF!</v>
      </c>
      <c r="H38" t="e">
        <f>IF(AND(SUM(VLOOKUP($A38,'20Trips'!$A$3:$F$22,2,FALSE),VLOOKUP(H$1,'20Trips'!$A$3:$F$22,2,FALSE))&lt;'20Trips'!$AC$38,$A38&lt;&gt;H$1,#REF!=1),(VLOOKUP(H$1,'20Trips'!$A$3:$I$22,8,FALSE))-(VLOOKUP($A38,'20Trips'!$A$3:$I$22,9,FALSE))+'20Trips'!$B$23,0)</f>
        <v>#REF!</v>
      </c>
      <c r="I38" t="e">
        <f>IF(AND(SUM(VLOOKUP($A38,'20Trips'!$A$3:$F$22,2,FALSE),VLOOKUP(I$1,'20Trips'!$A$3:$F$22,2,FALSE))&lt;'20Trips'!$AC$38,$A38&lt;&gt;I$1,#REF!=1),(VLOOKUP(I$1,'20Trips'!$A$3:$I$22,8,FALSE))-(VLOOKUP($A38,'20Trips'!$A$3:$I$22,9,FALSE))+'20Trips'!$B$23,0)</f>
        <v>#REF!</v>
      </c>
      <c r="J38" t="e">
        <f>IF(AND(SUM(VLOOKUP($A38,'20Trips'!$A$3:$F$22,2,FALSE),VLOOKUP(J$1,'20Trips'!$A$3:$F$22,2,FALSE))&lt;'20Trips'!$AC$38,$A38&lt;&gt;J$1,#REF!=1),(VLOOKUP(J$1,'20Trips'!$A$3:$I$22,8,FALSE))-(VLOOKUP($A38,'20Trips'!$A$3:$I$22,9,FALSE))+'20Trips'!$B$23,0)</f>
        <v>#REF!</v>
      </c>
      <c r="K38" t="e">
        <f>IF(AND(SUM(VLOOKUP($A38,'20Trips'!$A$3:$F$22,2,FALSE),VLOOKUP(K$1,'20Trips'!$A$3:$F$22,2,FALSE))&lt;'20Trips'!$AC$38,$A38&lt;&gt;K$1,#REF!=1),(VLOOKUP(K$1,'20Trips'!$A$3:$I$22,8,FALSE))-(VLOOKUP($A38,'20Trips'!$A$3:$I$22,9,FALSE))+'20Trips'!$B$23,0)</f>
        <v>#REF!</v>
      </c>
      <c r="L38" t="e">
        <f>IF(AND(SUM(VLOOKUP($A38,'20Trips'!$A$3:$F$22,2,FALSE),VLOOKUP(L$1,'20Trips'!$A$3:$F$22,2,FALSE))&lt;'20Trips'!$AC$38,$A38&lt;&gt;L$1,#REF!=1),(VLOOKUP(L$1,'20Trips'!$A$3:$I$22,8,FALSE))-(VLOOKUP($A38,'20Trips'!$A$3:$I$22,9,FALSE))+'20Trips'!$B$23,0)</f>
        <v>#REF!</v>
      </c>
      <c r="M38" t="e">
        <f>IF(AND(SUM(VLOOKUP($A38,'20Trips'!$A$3:$F$22,2,FALSE),VLOOKUP(M$1,'20Trips'!$A$3:$F$22,2,FALSE))&lt;'20Trips'!$AC$38,$A38&lt;&gt;M$1,#REF!=1),(VLOOKUP(M$1,'20Trips'!$A$3:$I$22,8,FALSE))-(VLOOKUP($A38,'20Trips'!$A$3:$I$22,9,FALSE))+'20Trips'!$B$23,0)</f>
        <v>#REF!</v>
      </c>
      <c r="N38" t="e">
        <f>IF(AND(SUM(VLOOKUP($A38,'20Trips'!$A$3:$F$22,2,FALSE),VLOOKUP(N$1,'20Trips'!$A$3:$F$22,2,FALSE))&lt;'20Trips'!$AC$38,$A38&lt;&gt;N$1,#REF!=1),(VLOOKUP(N$1,'20Trips'!$A$3:$I$22,8,FALSE))-(VLOOKUP($A38,'20Trips'!$A$3:$I$22,9,FALSE))+'20Trips'!$B$23,0)</f>
        <v>#REF!</v>
      </c>
      <c r="O38" t="e">
        <f>IF(AND(SUM(VLOOKUP($A38,'20Trips'!$A$3:$F$22,2,FALSE),VLOOKUP(O$1,'20Trips'!$A$3:$F$22,2,FALSE))&lt;'20Trips'!$AC$38,$A38&lt;&gt;O$1,#REF!=1),(VLOOKUP(O$1,'20Trips'!$A$3:$I$22,8,FALSE))-(VLOOKUP($A38,'20Trips'!$A$3:$I$22,9,FALSE))+'20Trips'!$B$23,0)</f>
        <v>#REF!</v>
      </c>
      <c r="P38" t="e">
        <f>IF(AND(SUM(VLOOKUP($A38,'20Trips'!$A$3:$F$22,2,FALSE),VLOOKUP(P$1,'20Trips'!$A$3:$F$22,2,FALSE))&lt;'20Trips'!$AC$38,$A38&lt;&gt;P$1,#REF!=1),(VLOOKUP(P$1,'20Trips'!$A$3:$I$22,8,FALSE))-(VLOOKUP($A38,'20Trips'!$A$3:$I$22,9,FALSE))+'20Trips'!$B$23,0)</f>
        <v>#REF!</v>
      </c>
      <c r="Q38" t="e">
        <f>IF(AND(SUM(VLOOKUP($A38,'20Trips'!$A$3:$F$22,2,FALSE),VLOOKUP(Q$1,'20Trips'!$A$3:$F$22,2,FALSE))&lt;'20Trips'!$AC$38,$A38&lt;&gt;Q$1,#REF!=1),(VLOOKUP(Q$1,'20Trips'!$A$3:$I$22,8,FALSE))-(VLOOKUP($A38,'20Trips'!$A$3:$I$22,9,FALSE))+'20Trips'!$B$23,0)</f>
        <v>#REF!</v>
      </c>
      <c r="R38" t="e">
        <f>IF(AND(SUM(VLOOKUP($A38,'20Trips'!$A$3:$F$22,2,FALSE),VLOOKUP(R$1,'20Trips'!$A$3:$F$22,2,FALSE))&lt;'20Trips'!$AC$38,$A38&lt;&gt;R$1,#REF!=1),(VLOOKUP(R$1,'20Trips'!$A$3:$I$22,8,FALSE))-(VLOOKUP($A38,'20Trips'!$A$3:$I$22,9,FALSE))+'20Trips'!$B$23,0)</f>
        <v>#REF!</v>
      </c>
      <c r="S38" t="e">
        <f>IF(AND(SUM(VLOOKUP($A38,'20Trips'!$A$3:$F$22,2,FALSE),VLOOKUP(S$1,'20Trips'!$A$3:$F$22,2,FALSE))&lt;'20Trips'!$AC$38,$A38&lt;&gt;S$1,#REF!=1),(VLOOKUP(S$1,'20Trips'!$A$3:$I$22,8,FALSE))-(VLOOKUP($A38,'20Trips'!$A$3:$I$22,9,FALSE))+'20Trips'!$B$23,0)</f>
        <v>#REF!</v>
      </c>
      <c r="T38" t="e">
        <f>IF(AND(SUM(VLOOKUP($A38,'20Trips'!$A$3:$F$22,2,FALSE),VLOOKUP(T$1,'20Trips'!$A$3:$F$22,2,FALSE))&lt;'20Trips'!$AC$38,$A38&lt;&gt;T$1,#REF!=1),(VLOOKUP(T$1,'20Trips'!$A$3:$I$22,8,FALSE))-(VLOOKUP($A38,'20Trips'!$A$3:$I$22,9,FALSE))+'20Trips'!$B$23,0)</f>
        <v>#REF!</v>
      </c>
      <c r="U38" t="e">
        <f>IF(AND(SUM(VLOOKUP($A38,'20Trips'!$A$3:$F$22,2,FALSE),VLOOKUP(U$1,'20Trips'!$A$3:$F$22,2,FALSE))&lt;'20Trips'!$AC$38,$A38&lt;&gt;U$1,#REF!=1),(VLOOKUP(U$1,'20Trips'!$A$3:$I$22,8,FALSE))-(VLOOKUP($A38,'20Trips'!$A$3:$I$22,9,FALSE))+'20Trips'!$B$23,0)</f>
        <v>#REF!</v>
      </c>
      <c r="V38" t="e">
        <f>IF(AND(SUM(VLOOKUP($A38,'20Trips'!$A$3:$F$22,2,FALSE),VLOOKUP(V$1,'20Trips'!$A$3:$F$22,2,FALSE))&lt;'20Trips'!$AC$38,$A38&lt;&gt;V$1,#REF!=1),(VLOOKUP(V$1,'20Trips'!$A$3:$I$22,8,FALSE))-(VLOOKUP($A38,'20Trips'!$A$3:$I$22,9,FALSE))+'20Trips'!$B$23,0)</f>
        <v>#REF!</v>
      </c>
    </row>
    <row r="39" spans="1:22" x14ac:dyDescent="0.25">
      <c r="A39" t="s">
        <v>34</v>
      </c>
      <c r="B39">
        <v>0</v>
      </c>
      <c r="C39">
        <f>IF(AND(SUM(VLOOKUP($A39,'20Trips'!$A$3:$F$22,2,FALSE),VLOOKUP(C$1,'20Trips'!$A$3:$F$22,2,FALSE))&lt;'20Trips'!$AC$38,$A39&lt;&gt;C$1,feasible_mat!C46=1),(VLOOKUP(C$1,'20Trips'!$A$3:$I$22,8,FALSE))-(VLOOKUP($A39,'20Trips'!$A$3:$I$22,9,FALSE))+'20Trips'!$B$23,0)</f>
        <v>0</v>
      </c>
      <c r="D39" t="e">
        <f>IF(AND(SUM(VLOOKUP($A39,'20Trips'!$A$3:$F$22,2,FALSE),VLOOKUP(D$1,'20Trips'!$A$3:$F$22,2,FALSE))&lt;'20Trips'!$AC$38,$A39&lt;&gt;D$1,#REF!=1),(VLOOKUP(D$1,'20Trips'!$A$3:$I$22,8,FALSE))-(VLOOKUP($A39,'20Trips'!$A$3:$I$22,9,FALSE))+'20Trips'!$B$23,0)</f>
        <v>#REF!</v>
      </c>
      <c r="E39" t="e">
        <f>IF(AND(SUM(VLOOKUP($A39,'20Trips'!$A$3:$F$22,2,FALSE),VLOOKUP(E$1,'20Trips'!$A$3:$F$22,2,FALSE))&lt;'20Trips'!$AC$38,$A39&lt;&gt;E$1,#REF!=1),(VLOOKUP(E$1,'20Trips'!$A$3:$I$22,8,FALSE))-(VLOOKUP($A39,'20Trips'!$A$3:$I$22,9,FALSE))+'20Trips'!$B$23,0)</f>
        <v>#REF!</v>
      </c>
      <c r="F39" t="e">
        <f>IF(AND(SUM(VLOOKUP($A39,'20Trips'!$A$3:$F$22,2,FALSE),VLOOKUP(F$1,'20Trips'!$A$3:$F$22,2,FALSE))&lt;'20Trips'!$AC$38,$A39&lt;&gt;F$1,#REF!=1),(VLOOKUP(F$1,'20Trips'!$A$3:$I$22,8,FALSE))-(VLOOKUP($A39,'20Trips'!$A$3:$I$22,9,FALSE))+'20Trips'!$B$23,0)</f>
        <v>#REF!</v>
      </c>
      <c r="G39" t="e">
        <f>IF(AND(SUM(VLOOKUP($A39,'20Trips'!$A$3:$F$22,2,FALSE),VLOOKUP(G$1,'20Trips'!$A$3:$F$22,2,FALSE))&lt;'20Trips'!$AC$38,$A39&lt;&gt;G$1,#REF!=1),(VLOOKUP(G$1,'20Trips'!$A$3:$I$22,8,FALSE))-(VLOOKUP($A39,'20Trips'!$A$3:$I$22,9,FALSE))+'20Trips'!$B$23,0)</f>
        <v>#REF!</v>
      </c>
      <c r="H39" t="e">
        <f>IF(AND(SUM(VLOOKUP($A39,'20Trips'!$A$3:$F$22,2,FALSE),VLOOKUP(H$1,'20Trips'!$A$3:$F$22,2,FALSE))&lt;'20Trips'!$AC$38,$A39&lt;&gt;H$1,#REF!=1),(VLOOKUP(H$1,'20Trips'!$A$3:$I$22,8,FALSE))-(VLOOKUP($A39,'20Trips'!$A$3:$I$22,9,FALSE))+'20Trips'!$B$23,0)</f>
        <v>#REF!</v>
      </c>
      <c r="I39" t="e">
        <f>IF(AND(SUM(VLOOKUP($A39,'20Trips'!$A$3:$F$22,2,FALSE),VLOOKUP(I$1,'20Trips'!$A$3:$F$22,2,FALSE))&lt;'20Trips'!$AC$38,$A39&lt;&gt;I$1,#REF!=1),(VLOOKUP(I$1,'20Trips'!$A$3:$I$22,8,FALSE))-(VLOOKUP($A39,'20Trips'!$A$3:$I$22,9,FALSE))+'20Trips'!$B$23,0)</f>
        <v>#REF!</v>
      </c>
      <c r="J39" t="e">
        <f>IF(AND(SUM(VLOOKUP($A39,'20Trips'!$A$3:$F$22,2,FALSE),VLOOKUP(J$1,'20Trips'!$A$3:$F$22,2,FALSE))&lt;'20Trips'!$AC$38,$A39&lt;&gt;J$1,#REF!=1),(VLOOKUP(J$1,'20Trips'!$A$3:$I$22,8,FALSE))-(VLOOKUP($A39,'20Trips'!$A$3:$I$22,9,FALSE))+'20Trips'!$B$23,0)</f>
        <v>#REF!</v>
      </c>
      <c r="K39" t="e">
        <f>IF(AND(SUM(VLOOKUP($A39,'20Trips'!$A$3:$F$22,2,FALSE),VLOOKUP(K$1,'20Trips'!$A$3:$F$22,2,FALSE))&lt;'20Trips'!$AC$38,$A39&lt;&gt;K$1,#REF!=1),(VLOOKUP(K$1,'20Trips'!$A$3:$I$22,8,FALSE))-(VLOOKUP($A39,'20Trips'!$A$3:$I$22,9,FALSE))+'20Trips'!$B$23,0)</f>
        <v>#REF!</v>
      </c>
      <c r="L39" t="e">
        <f>IF(AND(SUM(VLOOKUP($A39,'20Trips'!$A$3:$F$22,2,FALSE),VLOOKUP(L$1,'20Trips'!$A$3:$F$22,2,FALSE))&lt;'20Trips'!$AC$38,$A39&lt;&gt;L$1,#REF!=1),(VLOOKUP(L$1,'20Trips'!$A$3:$I$22,8,FALSE))-(VLOOKUP($A39,'20Trips'!$A$3:$I$22,9,FALSE))+'20Trips'!$B$23,0)</f>
        <v>#REF!</v>
      </c>
      <c r="M39" t="e">
        <f>IF(AND(SUM(VLOOKUP($A39,'20Trips'!$A$3:$F$22,2,FALSE),VLOOKUP(M$1,'20Trips'!$A$3:$F$22,2,FALSE))&lt;'20Trips'!$AC$38,$A39&lt;&gt;M$1,#REF!=1),(VLOOKUP(M$1,'20Trips'!$A$3:$I$22,8,FALSE))-(VLOOKUP($A39,'20Trips'!$A$3:$I$22,9,FALSE))+'20Trips'!$B$23,0)</f>
        <v>#REF!</v>
      </c>
      <c r="N39" t="e">
        <f>IF(AND(SUM(VLOOKUP($A39,'20Trips'!$A$3:$F$22,2,FALSE),VLOOKUP(N$1,'20Trips'!$A$3:$F$22,2,FALSE))&lt;'20Trips'!$AC$38,$A39&lt;&gt;N$1,#REF!=1),(VLOOKUP(N$1,'20Trips'!$A$3:$I$22,8,FALSE))-(VLOOKUP($A39,'20Trips'!$A$3:$I$22,9,FALSE))+'20Trips'!$B$23,0)</f>
        <v>#REF!</v>
      </c>
      <c r="O39" t="e">
        <f>IF(AND(SUM(VLOOKUP($A39,'20Trips'!$A$3:$F$22,2,FALSE),VLOOKUP(O$1,'20Trips'!$A$3:$F$22,2,FALSE))&lt;'20Trips'!$AC$38,$A39&lt;&gt;O$1,#REF!=1),(VLOOKUP(O$1,'20Trips'!$A$3:$I$22,8,FALSE))-(VLOOKUP($A39,'20Trips'!$A$3:$I$22,9,FALSE))+'20Trips'!$B$23,0)</f>
        <v>#REF!</v>
      </c>
      <c r="P39" t="e">
        <f>IF(AND(SUM(VLOOKUP($A39,'20Trips'!$A$3:$F$22,2,FALSE),VLOOKUP(P$1,'20Trips'!$A$3:$F$22,2,FALSE))&lt;'20Trips'!$AC$38,$A39&lt;&gt;P$1,#REF!=1),(VLOOKUP(P$1,'20Trips'!$A$3:$I$22,8,FALSE))-(VLOOKUP($A39,'20Trips'!$A$3:$I$22,9,FALSE))+'20Trips'!$B$23,0)</f>
        <v>#REF!</v>
      </c>
      <c r="Q39" t="e">
        <f>IF(AND(SUM(VLOOKUP($A39,'20Trips'!$A$3:$F$22,2,FALSE),VLOOKUP(Q$1,'20Trips'!$A$3:$F$22,2,FALSE))&lt;'20Trips'!$AC$38,$A39&lt;&gt;Q$1,#REF!=1),(VLOOKUP(Q$1,'20Trips'!$A$3:$I$22,8,FALSE))-(VLOOKUP($A39,'20Trips'!$A$3:$I$22,9,FALSE))+'20Trips'!$B$23,0)</f>
        <v>#REF!</v>
      </c>
      <c r="R39" t="e">
        <f>IF(AND(SUM(VLOOKUP($A39,'20Trips'!$A$3:$F$22,2,FALSE),VLOOKUP(R$1,'20Trips'!$A$3:$F$22,2,FALSE))&lt;'20Trips'!$AC$38,$A39&lt;&gt;R$1,#REF!=1),(VLOOKUP(R$1,'20Trips'!$A$3:$I$22,8,FALSE))-(VLOOKUP($A39,'20Trips'!$A$3:$I$22,9,FALSE))+'20Trips'!$B$23,0)</f>
        <v>#REF!</v>
      </c>
      <c r="S39" t="e">
        <f>IF(AND(SUM(VLOOKUP($A39,'20Trips'!$A$3:$F$22,2,FALSE),VLOOKUP(S$1,'20Trips'!$A$3:$F$22,2,FALSE))&lt;'20Trips'!$AC$38,$A39&lt;&gt;S$1,#REF!=1),(VLOOKUP(S$1,'20Trips'!$A$3:$I$22,8,FALSE))-(VLOOKUP($A39,'20Trips'!$A$3:$I$22,9,FALSE))+'20Trips'!$B$23,0)</f>
        <v>#REF!</v>
      </c>
      <c r="T39" t="e">
        <f>IF(AND(SUM(VLOOKUP($A39,'20Trips'!$A$3:$F$22,2,FALSE),VLOOKUP(T$1,'20Trips'!$A$3:$F$22,2,FALSE))&lt;'20Trips'!$AC$38,$A39&lt;&gt;T$1,#REF!=1),(VLOOKUP(T$1,'20Trips'!$A$3:$I$22,8,FALSE))-(VLOOKUP($A39,'20Trips'!$A$3:$I$22,9,FALSE))+'20Trips'!$B$23,0)</f>
        <v>#REF!</v>
      </c>
      <c r="U39" t="e">
        <f>IF(AND(SUM(VLOOKUP($A39,'20Trips'!$A$3:$F$22,2,FALSE),VLOOKUP(U$1,'20Trips'!$A$3:$F$22,2,FALSE))&lt;'20Trips'!$AC$38,$A39&lt;&gt;U$1,#REF!=1),(VLOOKUP(U$1,'20Trips'!$A$3:$I$22,8,FALSE))-(VLOOKUP($A39,'20Trips'!$A$3:$I$22,9,FALSE))+'20Trips'!$B$23,0)</f>
        <v>#REF!</v>
      </c>
      <c r="V39" t="e">
        <f>IF(AND(SUM(VLOOKUP($A39,'20Trips'!$A$3:$F$22,2,FALSE),VLOOKUP(V$1,'20Trips'!$A$3:$F$22,2,FALSE))&lt;'20Trips'!$AC$38,$A39&lt;&gt;V$1,#REF!=1),(VLOOKUP(V$1,'20Trips'!$A$3:$I$22,8,FALSE))-(VLOOKUP($A39,'20Trips'!$A$3:$I$22,9,FALSE))+'20Trips'!$B$23,0)</f>
        <v>#REF!</v>
      </c>
    </row>
    <row r="40" spans="1:22" x14ac:dyDescent="0.25">
      <c r="A40" t="s">
        <v>35</v>
      </c>
      <c r="B40">
        <v>0</v>
      </c>
      <c r="C40">
        <f>IF(AND(SUM(VLOOKUP($A40,'20Trips'!$A$3:$F$22,2,FALSE),VLOOKUP(C$1,'20Trips'!$A$3:$F$22,2,FALSE))&lt;'20Trips'!$AC$38,$A40&lt;&gt;C$1,feasible_mat!C47=1),(VLOOKUP(C$1,'20Trips'!$A$3:$I$22,8,FALSE))-(VLOOKUP($A40,'20Trips'!$A$3:$I$22,9,FALSE))+'20Trips'!$B$23,0)</f>
        <v>0</v>
      </c>
      <c r="D40" t="e">
        <f>IF(AND(SUM(VLOOKUP($A40,'20Trips'!$A$3:$F$22,2,FALSE),VLOOKUP(D$1,'20Trips'!$A$3:$F$22,2,FALSE))&lt;'20Trips'!$AC$38,$A40&lt;&gt;D$1,#REF!=1),(VLOOKUP(D$1,'20Trips'!$A$3:$I$22,8,FALSE))-(VLOOKUP($A40,'20Trips'!$A$3:$I$22,9,FALSE))+'20Trips'!$B$23,0)</f>
        <v>#REF!</v>
      </c>
      <c r="E40" t="e">
        <f>IF(AND(SUM(VLOOKUP($A40,'20Trips'!$A$3:$F$22,2,FALSE),VLOOKUP(E$1,'20Trips'!$A$3:$F$22,2,FALSE))&lt;'20Trips'!$AC$38,$A40&lt;&gt;E$1,#REF!=1),(VLOOKUP(E$1,'20Trips'!$A$3:$I$22,8,FALSE))-(VLOOKUP($A40,'20Trips'!$A$3:$I$22,9,FALSE))+'20Trips'!$B$23,0)</f>
        <v>#REF!</v>
      </c>
      <c r="F40" t="e">
        <f>IF(AND(SUM(VLOOKUP($A40,'20Trips'!$A$3:$F$22,2,FALSE),VLOOKUP(F$1,'20Trips'!$A$3:$F$22,2,FALSE))&lt;'20Trips'!$AC$38,$A40&lt;&gt;F$1,#REF!=1),(VLOOKUP(F$1,'20Trips'!$A$3:$I$22,8,FALSE))-(VLOOKUP($A40,'20Trips'!$A$3:$I$22,9,FALSE))+'20Trips'!$B$23,0)</f>
        <v>#REF!</v>
      </c>
      <c r="G40" t="e">
        <f>IF(AND(SUM(VLOOKUP($A40,'20Trips'!$A$3:$F$22,2,FALSE),VLOOKUP(G$1,'20Trips'!$A$3:$F$22,2,FALSE))&lt;'20Trips'!$AC$38,$A40&lt;&gt;G$1,#REF!=1),(VLOOKUP(G$1,'20Trips'!$A$3:$I$22,8,FALSE))-(VLOOKUP($A40,'20Trips'!$A$3:$I$22,9,FALSE))+'20Trips'!$B$23,0)</f>
        <v>#REF!</v>
      </c>
      <c r="H40" t="e">
        <f>IF(AND(SUM(VLOOKUP($A40,'20Trips'!$A$3:$F$22,2,FALSE),VLOOKUP(H$1,'20Trips'!$A$3:$F$22,2,FALSE))&lt;'20Trips'!$AC$38,$A40&lt;&gt;H$1,#REF!=1),(VLOOKUP(H$1,'20Trips'!$A$3:$I$22,8,FALSE))-(VLOOKUP($A40,'20Trips'!$A$3:$I$22,9,FALSE))+'20Trips'!$B$23,0)</f>
        <v>#REF!</v>
      </c>
      <c r="I40" t="e">
        <f>IF(AND(SUM(VLOOKUP($A40,'20Trips'!$A$3:$F$22,2,FALSE),VLOOKUP(I$1,'20Trips'!$A$3:$F$22,2,FALSE))&lt;'20Trips'!$AC$38,$A40&lt;&gt;I$1,#REF!=1),(VLOOKUP(I$1,'20Trips'!$A$3:$I$22,8,FALSE))-(VLOOKUP($A40,'20Trips'!$A$3:$I$22,9,FALSE))+'20Trips'!$B$23,0)</f>
        <v>#REF!</v>
      </c>
      <c r="J40" t="e">
        <f>IF(AND(SUM(VLOOKUP($A40,'20Trips'!$A$3:$F$22,2,FALSE),VLOOKUP(J$1,'20Trips'!$A$3:$F$22,2,FALSE))&lt;'20Trips'!$AC$38,$A40&lt;&gt;J$1,#REF!=1),(VLOOKUP(J$1,'20Trips'!$A$3:$I$22,8,FALSE))-(VLOOKUP($A40,'20Trips'!$A$3:$I$22,9,FALSE))+'20Trips'!$B$23,0)</f>
        <v>#REF!</v>
      </c>
      <c r="K40" t="e">
        <f>IF(AND(SUM(VLOOKUP($A40,'20Trips'!$A$3:$F$22,2,FALSE),VLOOKUP(K$1,'20Trips'!$A$3:$F$22,2,FALSE))&lt;'20Trips'!$AC$38,$A40&lt;&gt;K$1,#REF!=1),(VLOOKUP(K$1,'20Trips'!$A$3:$I$22,8,FALSE))-(VLOOKUP($A40,'20Trips'!$A$3:$I$22,9,FALSE))+'20Trips'!$B$23,0)</f>
        <v>#REF!</v>
      </c>
      <c r="L40" t="e">
        <f>IF(AND(SUM(VLOOKUP($A40,'20Trips'!$A$3:$F$22,2,FALSE),VLOOKUP(L$1,'20Trips'!$A$3:$F$22,2,FALSE))&lt;'20Trips'!$AC$38,$A40&lt;&gt;L$1,#REF!=1),(VLOOKUP(L$1,'20Trips'!$A$3:$I$22,8,FALSE))-(VLOOKUP($A40,'20Trips'!$A$3:$I$22,9,FALSE))+'20Trips'!$B$23,0)</f>
        <v>#REF!</v>
      </c>
      <c r="M40" t="e">
        <f>IF(AND(SUM(VLOOKUP($A40,'20Trips'!$A$3:$F$22,2,FALSE),VLOOKUP(M$1,'20Trips'!$A$3:$F$22,2,FALSE))&lt;'20Trips'!$AC$38,$A40&lt;&gt;M$1,#REF!=1),(VLOOKUP(M$1,'20Trips'!$A$3:$I$22,8,FALSE))-(VLOOKUP($A40,'20Trips'!$A$3:$I$22,9,FALSE))+'20Trips'!$B$23,0)</f>
        <v>#REF!</v>
      </c>
      <c r="N40" t="e">
        <f>IF(AND(SUM(VLOOKUP($A40,'20Trips'!$A$3:$F$22,2,FALSE),VLOOKUP(N$1,'20Trips'!$A$3:$F$22,2,FALSE))&lt;'20Trips'!$AC$38,$A40&lt;&gt;N$1,#REF!=1),(VLOOKUP(N$1,'20Trips'!$A$3:$I$22,8,FALSE))-(VLOOKUP($A40,'20Trips'!$A$3:$I$22,9,FALSE))+'20Trips'!$B$23,0)</f>
        <v>#REF!</v>
      </c>
      <c r="O40" t="e">
        <f>IF(AND(SUM(VLOOKUP($A40,'20Trips'!$A$3:$F$22,2,FALSE),VLOOKUP(O$1,'20Trips'!$A$3:$F$22,2,FALSE))&lt;'20Trips'!$AC$38,$A40&lt;&gt;O$1,#REF!=1),(VLOOKUP(O$1,'20Trips'!$A$3:$I$22,8,FALSE))-(VLOOKUP($A40,'20Trips'!$A$3:$I$22,9,FALSE))+'20Trips'!$B$23,0)</f>
        <v>#REF!</v>
      </c>
      <c r="P40" t="e">
        <f>IF(AND(SUM(VLOOKUP($A40,'20Trips'!$A$3:$F$22,2,FALSE),VLOOKUP(P$1,'20Trips'!$A$3:$F$22,2,FALSE))&lt;'20Trips'!$AC$38,$A40&lt;&gt;P$1,#REF!=1),(VLOOKUP(P$1,'20Trips'!$A$3:$I$22,8,FALSE))-(VLOOKUP($A40,'20Trips'!$A$3:$I$22,9,FALSE))+'20Trips'!$B$23,0)</f>
        <v>#REF!</v>
      </c>
      <c r="Q40" t="e">
        <f>IF(AND(SUM(VLOOKUP($A40,'20Trips'!$A$3:$F$22,2,FALSE),VLOOKUP(Q$1,'20Trips'!$A$3:$F$22,2,FALSE))&lt;'20Trips'!$AC$38,$A40&lt;&gt;Q$1,#REF!=1),(VLOOKUP(Q$1,'20Trips'!$A$3:$I$22,8,FALSE))-(VLOOKUP($A40,'20Trips'!$A$3:$I$22,9,FALSE))+'20Trips'!$B$23,0)</f>
        <v>#REF!</v>
      </c>
      <c r="R40" t="e">
        <f>IF(AND(SUM(VLOOKUP($A40,'20Trips'!$A$3:$F$22,2,FALSE),VLOOKUP(R$1,'20Trips'!$A$3:$F$22,2,FALSE))&lt;'20Trips'!$AC$38,$A40&lt;&gt;R$1,#REF!=1),(VLOOKUP(R$1,'20Trips'!$A$3:$I$22,8,FALSE))-(VLOOKUP($A40,'20Trips'!$A$3:$I$22,9,FALSE))+'20Trips'!$B$23,0)</f>
        <v>#REF!</v>
      </c>
      <c r="S40" t="e">
        <f>IF(AND(SUM(VLOOKUP($A40,'20Trips'!$A$3:$F$22,2,FALSE),VLOOKUP(S$1,'20Trips'!$A$3:$F$22,2,FALSE))&lt;'20Trips'!$AC$38,$A40&lt;&gt;S$1,#REF!=1),(VLOOKUP(S$1,'20Trips'!$A$3:$I$22,8,FALSE))-(VLOOKUP($A40,'20Trips'!$A$3:$I$22,9,FALSE))+'20Trips'!$B$23,0)</f>
        <v>#REF!</v>
      </c>
      <c r="T40" t="e">
        <f>IF(AND(SUM(VLOOKUP($A40,'20Trips'!$A$3:$F$22,2,FALSE),VLOOKUP(T$1,'20Trips'!$A$3:$F$22,2,FALSE))&lt;'20Trips'!$AC$38,$A40&lt;&gt;T$1,#REF!=1),(VLOOKUP(T$1,'20Trips'!$A$3:$I$22,8,FALSE))-(VLOOKUP($A40,'20Trips'!$A$3:$I$22,9,FALSE))+'20Trips'!$B$23,0)</f>
        <v>#REF!</v>
      </c>
      <c r="U40" t="e">
        <f>IF(AND(SUM(VLOOKUP($A40,'20Trips'!$A$3:$F$22,2,FALSE),VLOOKUP(U$1,'20Trips'!$A$3:$F$22,2,FALSE))&lt;'20Trips'!$AC$38,$A40&lt;&gt;U$1,#REF!=1),(VLOOKUP(U$1,'20Trips'!$A$3:$I$22,8,FALSE))-(VLOOKUP($A40,'20Trips'!$A$3:$I$22,9,FALSE))+'20Trips'!$B$23,0)</f>
        <v>#REF!</v>
      </c>
      <c r="V40" t="e">
        <f>IF(AND(SUM(VLOOKUP($A40,'20Trips'!$A$3:$F$22,2,FALSE),VLOOKUP(V$1,'20Trips'!$A$3:$F$22,2,FALSE))&lt;'20Trips'!$AC$38,$A40&lt;&gt;V$1,#REF!=1),(VLOOKUP(V$1,'20Trips'!$A$3:$I$22,8,FALSE))-(VLOOKUP($A40,'20Trips'!$A$3:$I$22,9,FALSE))+'20Trips'!$B$23,0)</f>
        <v>#REF!</v>
      </c>
    </row>
    <row r="41" spans="1:22" x14ac:dyDescent="0.25">
      <c r="A41" t="s">
        <v>36</v>
      </c>
      <c r="B41">
        <v>0</v>
      </c>
      <c r="C41">
        <f>IF(AND(SUM(VLOOKUP($A41,'20Trips'!$A$3:$F$22,2,FALSE),VLOOKUP(C$1,'20Trips'!$A$3:$F$22,2,FALSE))&lt;'20Trips'!$AC$38,$A41&lt;&gt;C$1,feasible_mat!C48=1),(VLOOKUP(C$1,'20Trips'!$A$3:$I$22,8,FALSE))-(VLOOKUP($A41,'20Trips'!$A$3:$I$22,9,FALSE))+'20Trips'!$B$23,0)</f>
        <v>0</v>
      </c>
      <c r="D41" t="e">
        <f>IF(AND(SUM(VLOOKUP($A41,'20Trips'!$A$3:$F$22,2,FALSE),VLOOKUP(D$1,'20Trips'!$A$3:$F$22,2,FALSE))&lt;'20Trips'!$AC$38,$A41&lt;&gt;D$1,#REF!=1),(VLOOKUP(D$1,'20Trips'!$A$3:$I$22,8,FALSE))-(VLOOKUP($A41,'20Trips'!$A$3:$I$22,9,FALSE))+'20Trips'!$B$23,0)</f>
        <v>#REF!</v>
      </c>
      <c r="E41" t="e">
        <f>IF(AND(SUM(VLOOKUP($A41,'20Trips'!$A$3:$F$22,2,FALSE),VLOOKUP(E$1,'20Trips'!$A$3:$F$22,2,FALSE))&lt;'20Trips'!$AC$38,$A41&lt;&gt;E$1,#REF!=1),(VLOOKUP(E$1,'20Trips'!$A$3:$I$22,8,FALSE))-(VLOOKUP($A41,'20Trips'!$A$3:$I$22,9,FALSE))+'20Trips'!$B$23,0)</f>
        <v>#REF!</v>
      </c>
      <c r="F41" t="e">
        <f>IF(AND(SUM(VLOOKUP($A41,'20Trips'!$A$3:$F$22,2,FALSE),VLOOKUP(F$1,'20Trips'!$A$3:$F$22,2,FALSE))&lt;'20Trips'!$AC$38,$A41&lt;&gt;F$1,#REF!=1),(VLOOKUP(F$1,'20Trips'!$A$3:$I$22,8,FALSE))-(VLOOKUP($A41,'20Trips'!$A$3:$I$22,9,FALSE))+'20Trips'!$B$23,0)</f>
        <v>#REF!</v>
      </c>
      <c r="G41" t="e">
        <f>IF(AND(SUM(VLOOKUP($A41,'20Trips'!$A$3:$F$22,2,FALSE),VLOOKUP(G$1,'20Trips'!$A$3:$F$22,2,FALSE))&lt;'20Trips'!$AC$38,$A41&lt;&gt;G$1,#REF!=1),(VLOOKUP(G$1,'20Trips'!$A$3:$I$22,8,FALSE))-(VLOOKUP($A41,'20Trips'!$A$3:$I$22,9,FALSE))+'20Trips'!$B$23,0)</f>
        <v>#REF!</v>
      </c>
      <c r="H41" t="e">
        <f>IF(AND(SUM(VLOOKUP($A41,'20Trips'!$A$3:$F$22,2,FALSE),VLOOKUP(H$1,'20Trips'!$A$3:$F$22,2,FALSE))&lt;'20Trips'!$AC$38,$A41&lt;&gt;H$1,#REF!=1),(VLOOKUP(H$1,'20Trips'!$A$3:$I$22,8,FALSE))-(VLOOKUP($A41,'20Trips'!$A$3:$I$22,9,FALSE))+'20Trips'!$B$23,0)</f>
        <v>#REF!</v>
      </c>
      <c r="I41" t="e">
        <f>IF(AND(SUM(VLOOKUP($A41,'20Trips'!$A$3:$F$22,2,FALSE),VLOOKUP(I$1,'20Trips'!$A$3:$F$22,2,FALSE))&lt;'20Trips'!$AC$38,$A41&lt;&gt;I$1,#REF!=1),(VLOOKUP(I$1,'20Trips'!$A$3:$I$22,8,FALSE))-(VLOOKUP($A41,'20Trips'!$A$3:$I$22,9,FALSE))+'20Trips'!$B$23,0)</f>
        <v>#REF!</v>
      </c>
      <c r="J41" t="e">
        <f>IF(AND(SUM(VLOOKUP($A41,'20Trips'!$A$3:$F$22,2,FALSE),VLOOKUP(J$1,'20Trips'!$A$3:$F$22,2,FALSE))&lt;'20Trips'!$AC$38,$A41&lt;&gt;J$1,#REF!=1),(VLOOKUP(J$1,'20Trips'!$A$3:$I$22,8,FALSE))-(VLOOKUP($A41,'20Trips'!$A$3:$I$22,9,FALSE))+'20Trips'!$B$23,0)</f>
        <v>#REF!</v>
      </c>
      <c r="K41" t="e">
        <f>IF(AND(SUM(VLOOKUP($A41,'20Trips'!$A$3:$F$22,2,FALSE),VLOOKUP(K$1,'20Trips'!$A$3:$F$22,2,FALSE))&lt;'20Trips'!$AC$38,$A41&lt;&gt;K$1,#REF!=1),(VLOOKUP(K$1,'20Trips'!$A$3:$I$22,8,FALSE))-(VLOOKUP($A41,'20Trips'!$A$3:$I$22,9,FALSE))+'20Trips'!$B$23,0)</f>
        <v>#REF!</v>
      </c>
      <c r="L41" t="e">
        <f>IF(AND(SUM(VLOOKUP($A41,'20Trips'!$A$3:$F$22,2,FALSE),VLOOKUP(L$1,'20Trips'!$A$3:$F$22,2,FALSE))&lt;'20Trips'!$AC$38,$A41&lt;&gt;L$1,#REF!=1),(VLOOKUP(L$1,'20Trips'!$A$3:$I$22,8,FALSE))-(VLOOKUP($A41,'20Trips'!$A$3:$I$22,9,FALSE))+'20Trips'!$B$23,0)</f>
        <v>#REF!</v>
      </c>
      <c r="M41" t="e">
        <f>IF(AND(SUM(VLOOKUP($A41,'20Trips'!$A$3:$F$22,2,FALSE),VLOOKUP(M$1,'20Trips'!$A$3:$F$22,2,FALSE))&lt;'20Trips'!$AC$38,$A41&lt;&gt;M$1,#REF!=1),(VLOOKUP(M$1,'20Trips'!$A$3:$I$22,8,FALSE))-(VLOOKUP($A41,'20Trips'!$A$3:$I$22,9,FALSE))+'20Trips'!$B$23,0)</f>
        <v>#REF!</v>
      </c>
      <c r="N41" t="e">
        <f>IF(AND(SUM(VLOOKUP($A41,'20Trips'!$A$3:$F$22,2,FALSE),VLOOKUP(N$1,'20Trips'!$A$3:$F$22,2,FALSE))&lt;'20Trips'!$AC$38,$A41&lt;&gt;N$1,#REF!=1),(VLOOKUP(N$1,'20Trips'!$A$3:$I$22,8,FALSE))-(VLOOKUP($A41,'20Trips'!$A$3:$I$22,9,FALSE))+'20Trips'!$B$23,0)</f>
        <v>#REF!</v>
      </c>
      <c r="O41" t="e">
        <f>IF(AND(SUM(VLOOKUP($A41,'20Trips'!$A$3:$F$22,2,FALSE),VLOOKUP(O$1,'20Trips'!$A$3:$F$22,2,FALSE))&lt;'20Trips'!$AC$38,$A41&lt;&gt;O$1,#REF!=1),(VLOOKUP(O$1,'20Trips'!$A$3:$I$22,8,FALSE))-(VLOOKUP($A41,'20Trips'!$A$3:$I$22,9,FALSE))+'20Trips'!$B$23,0)</f>
        <v>#REF!</v>
      </c>
      <c r="P41" t="e">
        <f>IF(AND(SUM(VLOOKUP($A41,'20Trips'!$A$3:$F$22,2,FALSE),VLOOKUP(P$1,'20Trips'!$A$3:$F$22,2,FALSE))&lt;'20Trips'!$AC$38,$A41&lt;&gt;P$1,#REF!=1),(VLOOKUP(P$1,'20Trips'!$A$3:$I$22,8,FALSE))-(VLOOKUP($A41,'20Trips'!$A$3:$I$22,9,FALSE))+'20Trips'!$B$23,0)</f>
        <v>#REF!</v>
      </c>
      <c r="Q41" t="e">
        <f>IF(AND(SUM(VLOOKUP($A41,'20Trips'!$A$3:$F$22,2,FALSE),VLOOKUP(Q$1,'20Trips'!$A$3:$F$22,2,FALSE))&lt;'20Trips'!$AC$38,$A41&lt;&gt;Q$1,#REF!=1),(VLOOKUP(Q$1,'20Trips'!$A$3:$I$22,8,FALSE))-(VLOOKUP($A41,'20Trips'!$A$3:$I$22,9,FALSE))+'20Trips'!$B$23,0)</f>
        <v>#REF!</v>
      </c>
      <c r="R41" t="e">
        <f>IF(AND(SUM(VLOOKUP($A41,'20Trips'!$A$3:$F$22,2,FALSE),VLOOKUP(R$1,'20Trips'!$A$3:$F$22,2,FALSE))&lt;'20Trips'!$AC$38,$A41&lt;&gt;R$1,#REF!=1),(VLOOKUP(R$1,'20Trips'!$A$3:$I$22,8,FALSE))-(VLOOKUP($A41,'20Trips'!$A$3:$I$22,9,FALSE))+'20Trips'!$B$23,0)</f>
        <v>#REF!</v>
      </c>
      <c r="S41" t="e">
        <f>IF(AND(SUM(VLOOKUP($A41,'20Trips'!$A$3:$F$22,2,FALSE),VLOOKUP(S$1,'20Trips'!$A$3:$F$22,2,FALSE))&lt;'20Trips'!$AC$38,$A41&lt;&gt;S$1,#REF!=1),(VLOOKUP(S$1,'20Trips'!$A$3:$I$22,8,FALSE))-(VLOOKUP($A41,'20Trips'!$A$3:$I$22,9,FALSE))+'20Trips'!$B$23,0)</f>
        <v>#REF!</v>
      </c>
      <c r="T41" t="e">
        <f>IF(AND(SUM(VLOOKUP($A41,'20Trips'!$A$3:$F$22,2,FALSE),VLOOKUP(T$1,'20Trips'!$A$3:$F$22,2,FALSE))&lt;'20Trips'!$AC$38,$A41&lt;&gt;T$1,#REF!=1),(VLOOKUP(T$1,'20Trips'!$A$3:$I$22,8,FALSE))-(VLOOKUP($A41,'20Trips'!$A$3:$I$22,9,FALSE))+'20Trips'!$B$23,0)</f>
        <v>#REF!</v>
      </c>
      <c r="U41" t="e">
        <f>IF(AND(SUM(VLOOKUP($A41,'20Trips'!$A$3:$F$22,2,FALSE),VLOOKUP(U$1,'20Trips'!$A$3:$F$22,2,FALSE))&lt;'20Trips'!$AC$38,$A41&lt;&gt;U$1,#REF!=1),(VLOOKUP(U$1,'20Trips'!$A$3:$I$22,8,FALSE))-(VLOOKUP($A41,'20Trips'!$A$3:$I$22,9,FALSE))+'20Trips'!$B$23,0)</f>
        <v>#REF!</v>
      </c>
      <c r="V41" t="e">
        <f>IF(AND(SUM(VLOOKUP($A41,'20Trips'!$A$3:$F$22,2,FALSE),VLOOKUP(V$1,'20Trips'!$A$3:$F$22,2,FALSE))&lt;'20Trips'!$AC$38,$A41&lt;&gt;V$1,#REF!=1),(VLOOKUP(V$1,'20Trips'!$A$3:$I$22,8,FALSE))-(VLOOKUP($A41,'20Trips'!$A$3:$I$22,9,FALSE))+'20Trips'!$B$23,0)</f>
        <v>#REF!</v>
      </c>
    </row>
    <row r="42" spans="1:22" x14ac:dyDescent="0.25">
      <c r="A42" t="s">
        <v>37</v>
      </c>
      <c r="B42">
        <v>0</v>
      </c>
      <c r="C42">
        <f>IF(AND(SUM(VLOOKUP($A42,'20Trips'!$A$3:$F$22,2,FALSE),VLOOKUP(C$1,'20Trips'!$A$3:$F$22,2,FALSE))&lt;'20Trips'!$AC$38,$A42&lt;&gt;C$1,feasible_mat!C49=1),(VLOOKUP(C$1,'20Trips'!$A$3:$I$22,8,FALSE))-(VLOOKUP($A42,'20Trips'!$A$3:$I$22,9,FALSE))+'20Trips'!$B$23,0)</f>
        <v>0</v>
      </c>
      <c r="D42" t="e">
        <f>IF(AND(SUM(VLOOKUP($A42,'20Trips'!$A$3:$F$22,2,FALSE),VLOOKUP(D$1,'20Trips'!$A$3:$F$22,2,FALSE))&lt;'20Trips'!$AC$38,$A42&lt;&gt;D$1,#REF!=1),(VLOOKUP(D$1,'20Trips'!$A$3:$I$22,8,FALSE))-(VLOOKUP($A42,'20Trips'!$A$3:$I$22,9,FALSE))+'20Trips'!$B$23,0)</f>
        <v>#REF!</v>
      </c>
      <c r="E42" t="e">
        <f>IF(AND(SUM(VLOOKUP($A42,'20Trips'!$A$3:$F$22,2,FALSE),VLOOKUP(E$1,'20Trips'!$A$3:$F$22,2,FALSE))&lt;'20Trips'!$AC$38,$A42&lt;&gt;E$1,#REF!=1),(VLOOKUP(E$1,'20Trips'!$A$3:$I$22,8,FALSE))-(VLOOKUP($A42,'20Trips'!$A$3:$I$22,9,FALSE))+'20Trips'!$B$23,0)</f>
        <v>#REF!</v>
      </c>
      <c r="F42" t="e">
        <f>IF(AND(SUM(VLOOKUP($A42,'20Trips'!$A$3:$F$22,2,FALSE),VLOOKUP(F$1,'20Trips'!$A$3:$F$22,2,FALSE))&lt;'20Trips'!$AC$38,$A42&lt;&gt;F$1,#REF!=1),(VLOOKUP(F$1,'20Trips'!$A$3:$I$22,8,FALSE))-(VLOOKUP($A42,'20Trips'!$A$3:$I$22,9,FALSE))+'20Trips'!$B$23,0)</f>
        <v>#REF!</v>
      </c>
      <c r="G42" t="e">
        <f>IF(AND(SUM(VLOOKUP($A42,'20Trips'!$A$3:$F$22,2,FALSE),VLOOKUP(G$1,'20Trips'!$A$3:$F$22,2,FALSE))&lt;'20Trips'!$AC$38,$A42&lt;&gt;G$1,#REF!=1),(VLOOKUP(G$1,'20Trips'!$A$3:$I$22,8,FALSE))-(VLOOKUP($A42,'20Trips'!$A$3:$I$22,9,FALSE))+'20Trips'!$B$23,0)</f>
        <v>#REF!</v>
      </c>
      <c r="H42" t="e">
        <f>IF(AND(SUM(VLOOKUP($A42,'20Trips'!$A$3:$F$22,2,FALSE),VLOOKUP(H$1,'20Trips'!$A$3:$F$22,2,FALSE))&lt;'20Trips'!$AC$38,$A42&lt;&gt;H$1,#REF!=1),(VLOOKUP(H$1,'20Trips'!$A$3:$I$22,8,FALSE))-(VLOOKUP($A42,'20Trips'!$A$3:$I$22,9,FALSE))+'20Trips'!$B$23,0)</f>
        <v>#REF!</v>
      </c>
      <c r="I42" t="e">
        <f>IF(AND(SUM(VLOOKUP($A42,'20Trips'!$A$3:$F$22,2,FALSE),VLOOKUP(I$1,'20Trips'!$A$3:$F$22,2,FALSE))&lt;'20Trips'!$AC$38,$A42&lt;&gt;I$1,#REF!=1),(VLOOKUP(I$1,'20Trips'!$A$3:$I$22,8,FALSE))-(VLOOKUP($A42,'20Trips'!$A$3:$I$22,9,FALSE))+'20Trips'!$B$23,0)</f>
        <v>#REF!</v>
      </c>
      <c r="J42" t="e">
        <f>IF(AND(SUM(VLOOKUP($A42,'20Trips'!$A$3:$F$22,2,FALSE),VLOOKUP(J$1,'20Trips'!$A$3:$F$22,2,FALSE))&lt;'20Trips'!$AC$38,$A42&lt;&gt;J$1,#REF!=1),(VLOOKUP(J$1,'20Trips'!$A$3:$I$22,8,FALSE))-(VLOOKUP($A42,'20Trips'!$A$3:$I$22,9,FALSE))+'20Trips'!$B$23,0)</f>
        <v>#REF!</v>
      </c>
      <c r="K42" t="e">
        <f>IF(AND(SUM(VLOOKUP($A42,'20Trips'!$A$3:$F$22,2,FALSE),VLOOKUP(K$1,'20Trips'!$A$3:$F$22,2,FALSE))&lt;'20Trips'!$AC$38,$A42&lt;&gt;K$1,#REF!=1),(VLOOKUP(K$1,'20Trips'!$A$3:$I$22,8,FALSE))-(VLOOKUP($A42,'20Trips'!$A$3:$I$22,9,FALSE))+'20Trips'!$B$23,0)</f>
        <v>#REF!</v>
      </c>
      <c r="L42" t="e">
        <f>IF(AND(SUM(VLOOKUP($A42,'20Trips'!$A$3:$F$22,2,FALSE),VLOOKUP(L$1,'20Trips'!$A$3:$F$22,2,FALSE))&lt;'20Trips'!$AC$38,$A42&lt;&gt;L$1,#REF!=1),(VLOOKUP(L$1,'20Trips'!$A$3:$I$22,8,FALSE))-(VLOOKUP($A42,'20Trips'!$A$3:$I$22,9,FALSE))+'20Trips'!$B$23,0)</f>
        <v>#REF!</v>
      </c>
      <c r="M42" t="e">
        <f>IF(AND(SUM(VLOOKUP($A42,'20Trips'!$A$3:$F$22,2,FALSE),VLOOKUP(M$1,'20Trips'!$A$3:$F$22,2,FALSE))&lt;'20Trips'!$AC$38,$A42&lt;&gt;M$1,#REF!=1),(VLOOKUP(M$1,'20Trips'!$A$3:$I$22,8,FALSE))-(VLOOKUP($A42,'20Trips'!$A$3:$I$22,9,FALSE))+'20Trips'!$B$23,0)</f>
        <v>#REF!</v>
      </c>
      <c r="N42" t="e">
        <f>IF(AND(SUM(VLOOKUP($A42,'20Trips'!$A$3:$F$22,2,FALSE),VLOOKUP(N$1,'20Trips'!$A$3:$F$22,2,FALSE))&lt;'20Trips'!$AC$38,$A42&lt;&gt;N$1,#REF!=1),(VLOOKUP(N$1,'20Trips'!$A$3:$I$22,8,FALSE))-(VLOOKUP($A42,'20Trips'!$A$3:$I$22,9,FALSE))+'20Trips'!$B$23,0)</f>
        <v>#REF!</v>
      </c>
      <c r="O42" t="e">
        <f>IF(AND(SUM(VLOOKUP($A42,'20Trips'!$A$3:$F$22,2,FALSE),VLOOKUP(O$1,'20Trips'!$A$3:$F$22,2,FALSE))&lt;'20Trips'!$AC$38,$A42&lt;&gt;O$1,#REF!=1),(VLOOKUP(O$1,'20Trips'!$A$3:$I$22,8,FALSE))-(VLOOKUP($A42,'20Trips'!$A$3:$I$22,9,FALSE))+'20Trips'!$B$23,0)</f>
        <v>#REF!</v>
      </c>
      <c r="P42" t="e">
        <f>IF(AND(SUM(VLOOKUP($A42,'20Trips'!$A$3:$F$22,2,FALSE),VLOOKUP(P$1,'20Trips'!$A$3:$F$22,2,FALSE))&lt;'20Trips'!$AC$38,$A42&lt;&gt;P$1,#REF!=1),(VLOOKUP(P$1,'20Trips'!$A$3:$I$22,8,FALSE))-(VLOOKUP($A42,'20Trips'!$A$3:$I$22,9,FALSE))+'20Trips'!$B$23,0)</f>
        <v>#REF!</v>
      </c>
      <c r="Q42" t="e">
        <f>IF(AND(SUM(VLOOKUP($A42,'20Trips'!$A$3:$F$22,2,FALSE),VLOOKUP(Q$1,'20Trips'!$A$3:$F$22,2,FALSE))&lt;'20Trips'!$AC$38,$A42&lt;&gt;Q$1,#REF!=1),(VLOOKUP(Q$1,'20Trips'!$A$3:$I$22,8,FALSE))-(VLOOKUP($A42,'20Trips'!$A$3:$I$22,9,FALSE))+'20Trips'!$B$23,0)</f>
        <v>#REF!</v>
      </c>
      <c r="R42" t="e">
        <f>IF(AND(SUM(VLOOKUP($A42,'20Trips'!$A$3:$F$22,2,FALSE),VLOOKUP(R$1,'20Trips'!$A$3:$F$22,2,FALSE))&lt;'20Trips'!$AC$38,$A42&lt;&gt;R$1,#REF!=1),(VLOOKUP(R$1,'20Trips'!$A$3:$I$22,8,FALSE))-(VLOOKUP($A42,'20Trips'!$A$3:$I$22,9,FALSE))+'20Trips'!$B$23,0)</f>
        <v>#REF!</v>
      </c>
      <c r="S42" t="e">
        <f>IF(AND(SUM(VLOOKUP($A42,'20Trips'!$A$3:$F$22,2,FALSE),VLOOKUP(S$1,'20Trips'!$A$3:$F$22,2,FALSE))&lt;'20Trips'!$AC$38,$A42&lt;&gt;S$1,#REF!=1),(VLOOKUP(S$1,'20Trips'!$A$3:$I$22,8,FALSE))-(VLOOKUP($A42,'20Trips'!$A$3:$I$22,9,FALSE))+'20Trips'!$B$23,0)</f>
        <v>#REF!</v>
      </c>
      <c r="T42" t="e">
        <f>IF(AND(SUM(VLOOKUP($A42,'20Trips'!$A$3:$F$22,2,FALSE),VLOOKUP(T$1,'20Trips'!$A$3:$F$22,2,FALSE))&lt;'20Trips'!$AC$38,$A42&lt;&gt;T$1,#REF!=1),(VLOOKUP(T$1,'20Trips'!$A$3:$I$22,8,FALSE))-(VLOOKUP($A42,'20Trips'!$A$3:$I$22,9,FALSE))+'20Trips'!$B$23,0)</f>
        <v>#REF!</v>
      </c>
      <c r="U42" t="e">
        <f>IF(AND(SUM(VLOOKUP($A42,'20Trips'!$A$3:$F$22,2,FALSE),VLOOKUP(U$1,'20Trips'!$A$3:$F$22,2,FALSE))&lt;'20Trips'!$AC$38,$A42&lt;&gt;U$1,#REF!=1),(VLOOKUP(U$1,'20Trips'!$A$3:$I$22,8,FALSE))-(VLOOKUP($A42,'20Trips'!$A$3:$I$22,9,FALSE))+'20Trips'!$B$23,0)</f>
        <v>#REF!</v>
      </c>
      <c r="V42" t="e">
        <f>IF(AND(SUM(VLOOKUP($A42,'20Trips'!$A$3:$F$22,2,FALSE),VLOOKUP(V$1,'20Trips'!$A$3:$F$22,2,FALSE))&lt;'20Trips'!$AC$38,$A42&lt;&gt;V$1,#REF!=1),(VLOOKUP(V$1,'20Trips'!$A$3:$I$22,8,FALSE))-(VLOOKUP($A42,'20Trips'!$A$3:$I$22,9,FALSE))+'20Trips'!$B$23,0)</f>
        <v>#REF!</v>
      </c>
    </row>
    <row r="43" spans="1:22" x14ac:dyDescent="0.25">
      <c r="A43" t="s">
        <v>38</v>
      </c>
      <c r="B43">
        <v>0</v>
      </c>
      <c r="C43">
        <f>IF(AND(SUM(VLOOKUP($A43,'20Trips'!$A$3:$F$22,2,FALSE),VLOOKUP(C$1,'20Trips'!$A$3:$F$22,2,FALSE))&lt;'20Trips'!$AC$38,$A43&lt;&gt;C$1,feasible_mat!C50=1),(VLOOKUP(C$1,'20Trips'!$A$3:$I$22,8,FALSE))-(VLOOKUP($A43,'20Trips'!$A$3:$I$22,9,FALSE))+'20Trips'!$B$23,0)</f>
        <v>0</v>
      </c>
      <c r="D43" t="e">
        <f>IF(AND(SUM(VLOOKUP($A43,'20Trips'!$A$3:$F$22,2,FALSE),VLOOKUP(D$1,'20Trips'!$A$3:$F$22,2,FALSE))&lt;'20Trips'!$AC$38,$A43&lt;&gt;D$1,#REF!=1),(VLOOKUP(D$1,'20Trips'!$A$3:$I$22,8,FALSE))-(VLOOKUP($A43,'20Trips'!$A$3:$I$22,9,FALSE))+'20Trips'!$B$23,0)</f>
        <v>#REF!</v>
      </c>
      <c r="E43" t="e">
        <f>IF(AND(SUM(VLOOKUP($A43,'20Trips'!$A$3:$F$22,2,FALSE),VLOOKUP(E$1,'20Trips'!$A$3:$F$22,2,FALSE))&lt;'20Trips'!$AC$38,$A43&lt;&gt;E$1,#REF!=1),(VLOOKUP(E$1,'20Trips'!$A$3:$I$22,8,FALSE))-(VLOOKUP($A43,'20Trips'!$A$3:$I$22,9,FALSE))+'20Trips'!$B$23,0)</f>
        <v>#REF!</v>
      </c>
      <c r="F43" t="e">
        <f>IF(AND(SUM(VLOOKUP($A43,'20Trips'!$A$3:$F$22,2,FALSE),VLOOKUP(F$1,'20Trips'!$A$3:$F$22,2,FALSE))&lt;'20Trips'!$AC$38,$A43&lt;&gt;F$1,#REF!=1),(VLOOKUP(F$1,'20Trips'!$A$3:$I$22,8,FALSE))-(VLOOKUP($A43,'20Trips'!$A$3:$I$22,9,FALSE))+'20Trips'!$B$23,0)</f>
        <v>#REF!</v>
      </c>
      <c r="G43" t="e">
        <f>IF(AND(SUM(VLOOKUP($A43,'20Trips'!$A$3:$F$22,2,FALSE),VLOOKUP(G$1,'20Trips'!$A$3:$F$22,2,FALSE))&lt;'20Trips'!$AC$38,$A43&lt;&gt;G$1,#REF!=1),(VLOOKUP(G$1,'20Trips'!$A$3:$I$22,8,FALSE))-(VLOOKUP($A43,'20Trips'!$A$3:$I$22,9,FALSE))+'20Trips'!$B$23,0)</f>
        <v>#REF!</v>
      </c>
      <c r="H43" t="e">
        <f>IF(AND(SUM(VLOOKUP($A43,'20Trips'!$A$3:$F$22,2,FALSE),VLOOKUP(H$1,'20Trips'!$A$3:$F$22,2,FALSE))&lt;'20Trips'!$AC$38,$A43&lt;&gt;H$1,#REF!=1),(VLOOKUP(H$1,'20Trips'!$A$3:$I$22,8,FALSE))-(VLOOKUP($A43,'20Trips'!$A$3:$I$22,9,FALSE))+'20Trips'!$B$23,0)</f>
        <v>#REF!</v>
      </c>
      <c r="I43" t="e">
        <f>IF(AND(SUM(VLOOKUP($A43,'20Trips'!$A$3:$F$22,2,FALSE),VLOOKUP(I$1,'20Trips'!$A$3:$F$22,2,FALSE))&lt;'20Trips'!$AC$38,$A43&lt;&gt;I$1,#REF!=1),(VLOOKUP(I$1,'20Trips'!$A$3:$I$22,8,FALSE))-(VLOOKUP($A43,'20Trips'!$A$3:$I$22,9,FALSE))+'20Trips'!$B$23,0)</f>
        <v>#REF!</v>
      </c>
      <c r="J43" t="e">
        <f>IF(AND(SUM(VLOOKUP($A43,'20Trips'!$A$3:$F$22,2,FALSE),VLOOKUP(J$1,'20Trips'!$A$3:$F$22,2,FALSE))&lt;'20Trips'!$AC$38,$A43&lt;&gt;J$1,#REF!=1),(VLOOKUP(J$1,'20Trips'!$A$3:$I$22,8,FALSE))-(VLOOKUP($A43,'20Trips'!$A$3:$I$22,9,FALSE))+'20Trips'!$B$23,0)</f>
        <v>#REF!</v>
      </c>
      <c r="K43" t="e">
        <f>IF(AND(SUM(VLOOKUP($A43,'20Trips'!$A$3:$F$22,2,FALSE),VLOOKUP(K$1,'20Trips'!$A$3:$F$22,2,FALSE))&lt;'20Trips'!$AC$38,$A43&lt;&gt;K$1,#REF!=1),(VLOOKUP(K$1,'20Trips'!$A$3:$I$22,8,FALSE))-(VLOOKUP($A43,'20Trips'!$A$3:$I$22,9,FALSE))+'20Trips'!$B$23,0)</f>
        <v>#REF!</v>
      </c>
      <c r="L43" t="e">
        <f>IF(AND(SUM(VLOOKUP($A43,'20Trips'!$A$3:$F$22,2,FALSE),VLOOKUP(L$1,'20Trips'!$A$3:$F$22,2,FALSE))&lt;'20Trips'!$AC$38,$A43&lt;&gt;L$1,#REF!=1),(VLOOKUP(L$1,'20Trips'!$A$3:$I$22,8,FALSE))-(VLOOKUP($A43,'20Trips'!$A$3:$I$22,9,FALSE))+'20Trips'!$B$23,0)</f>
        <v>#REF!</v>
      </c>
      <c r="M43" t="e">
        <f>IF(AND(SUM(VLOOKUP($A43,'20Trips'!$A$3:$F$22,2,FALSE),VLOOKUP(M$1,'20Trips'!$A$3:$F$22,2,FALSE))&lt;'20Trips'!$AC$38,$A43&lt;&gt;M$1,#REF!=1),(VLOOKUP(M$1,'20Trips'!$A$3:$I$22,8,FALSE))-(VLOOKUP($A43,'20Trips'!$A$3:$I$22,9,FALSE))+'20Trips'!$B$23,0)</f>
        <v>#REF!</v>
      </c>
      <c r="N43" t="e">
        <f>IF(AND(SUM(VLOOKUP($A43,'20Trips'!$A$3:$F$22,2,FALSE),VLOOKUP(N$1,'20Trips'!$A$3:$F$22,2,FALSE))&lt;'20Trips'!$AC$38,$A43&lt;&gt;N$1,#REF!=1),(VLOOKUP(N$1,'20Trips'!$A$3:$I$22,8,FALSE))-(VLOOKUP($A43,'20Trips'!$A$3:$I$22,9,FALSE))+'20Trips'!$B$23,0)</f>
        <v>#REF!</v>
      </c>
      <c r="O43" t="e">
        <f>IF(AND(SUM(VLOOKUP($A43,'20Trips'!$A$3:$F$22,2,FALSE),VLOOKUP(O$1,'20Trips'!$A$3:$F$22,2,FALSE))&lt;'20Trips'!$AC$38,$A43&lt;&gt;O$1,#REF!=1),(VLOOKUP(O$1,'20Trips'!$A$3:$I$22,8,FALSE))-(VLOOKUP($A43,'20Trips'!$A$3:$I$22,9,FALSE))+'20Trips'!$B$23,0)</f>
        <v>#REF!</v>
      </c>
      <c r="P43" t="e">
        <f>IF(AND(SUM(VLOOKUP($A43,'20Trips'!$A$3:$F$22,2,FALSE),VLOOKUP(P$1,'20Trips'!$A$3:$F$22,2,FALSE))&lt;'20Trips'!$AC$38,$A43&lt;&gt;P$1,#REF!=1),(VLOOKUP(P$1,'20Trips'!$A$3:$I$22,8,FALSE))-(VLOOKUP($A43,'20Trips'!$A$3:$I$22,9,FALSE))+'20Trips'!$B$23,0)</f>
        <v>#REF!</v>
      </c>
      <c r="Q43" t="e">
        <f>IF(AND(SUM(VLOOKUP($A43,'20Trips'!$A$3:$F$22,2,FALSE),VLOOKUP(Q$1,'20Trips'!$A$3:$F$22,2,FALSE))&lt;'20Trips'!$AC$38,$A43&lt;&gt;Q$1,#REF!=1),(VLOOKUP(Q$1,'20Trips'!$A$3:$I$22,8,FALSE))-(VLOOKUP($A43,'20Trips'!$A$3:$I$22,9,FALSE))+'20Trips'!$B$23,0)</f>
        <v>#REF!</v>
      </c>
      <c r="R43" t="e">
        <f>IF(AND(SUM(VLOOKUP($A43,'20Trips'!$A$3:$F$22,2,FALSE),VLOOKUP(R$1,'20Trips'!$A$3:$F$22,2,FALSE))&lt;'20Trips'!$AC$38,$A43&lt;&gt;R$1,#REF!=1),(VLOOKUP(R$1,'20Trips'!$A$3:$I$22,8,FALSE))-(VLOOKUP($A43,'20Trips'!$A$3:$I$22,9,FALSE))+'20Trips'!$B$23,0)</f>
        <v>#REF!</v>
      </c>
      <c r="S43" t="e">
        <f>IF(AND(SUM(VLOOKUP($A43,'20Trips'!$A$3:$F$22,2,FALSE),VLOOKUP(S$1,'20Trips'!$A$3:$F$22,2,FALSE))&lt;'20Trips'!$AC$38,$A43&lt;&gt;S$1,#REF!=1),(VLOOKUP(S$1,'20Trips'!$A$3:$I$22,8,FALSE))-(VLOOKUP($A43,'20Trips'!$A$3:$I$22,9,FALSE))+'20Trips'!$B$23,0)</f>
        <v>#REF!</v>
      </c>
      <c r="T43" t="e">
        <f>IF(AND(SUM(VLOOKUP($A43,'20Trips'!$A$3:$F$22,2,FALSE),VLOOKUP(T$1,'20Trips'!$A$3:$F$22,2,FALSE))&lt;'20Trips'!$AC$38,$A43&lt;&gt;T$1,#REF!=1),(VLOOKUP(T$1,'20Trips'!$A$3:$I$22,8,FALSE))-(VLOOKUP($A43,'20Trips'!$A$3:$I$22,9,FALSE))+'20Trips'!$B$23,0)</f>
        <v>#REF!</v>
      </c>
      <c r="U43" t="e">
        <f>IF(AND(SUM(VLOOKUP($A43,'20Trips'!$A$3:$F$22,2,FALSE),VLOOKUP(U$1,'20Trips'!$A$3:$F$22,2,FALSE))&lt;'20Trips'!$AC$38,$A43&lt;&gt;U$1,#REF!=1),(VLOOKUP(U$1,'20Trips'!$A$3:$I$22,8,FALSE))-(VLOOKUP($A43,'20Trips'!$A$3:$I$22,9,FALSE))+'20Trips'!$B$23,0)</f>
        <v>#REF!</v>
      </c>
      <c r="V43" t="e">
        <f>IF(AND(SUM(VLOOKUP($A43,'20Trips'!$A$3:$F$22,2,FALSE),VLOOKUP(V$1,'20Trips'!$A$3:$F$22,2,FALSE))&lt;'20Trips'!$AC$38,$A43&lt;&gt;V$1,#REF!=1),(VLOOKUP(V$1,'20Trips'!$A$3:$I$22,8,FALSE))-(VLOOKUP($A43,'20Trips'!$A$3:$I$22,9,FALSE))+'20Trips'!$B$23,0)</f>
        <v>#REF!</v>
      </c>
    </row>
    <row r="44" spans="1:22" x14ac:dyDescent="0.25">
      <c r="A44" t="s">
        <v>46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</v>
      </c>
      <c r="B45">
        <v>0</v>
      </c>
      <c r="C45" t="e">
        <f>IF(AND(SUM(VLOOKUP($A45,'20Trips'!$A$3:$F$22,2,FALSE),VLOOKUP(C$1,'20Trips'!$A$3:$F$22,2,FALSE))&lt;'20Trips'!$AC$38,$A45&lt;&gt;C$1,#REF!=1),(VLOOKUP(C$1,'20Trips'!$A$3:$I$22,8,FALSE))-(VLOOKUP($A45,'20Trips'!$A$3:$I$22,9,FALSE))+'20Trips'!$B$24,0)</f>
        <v>#REF!</v>
      </c>
      <c r="D45" t="e">
        <f>IF(AND(SUM(VLOOKUP($A45,'20Trips'!$A$3:$F$22,2,FALSE),VLOOKUP(D$1,'20Trips'!$A$3:$F$22,2,FALSE))&lt;'20Trips'!$AC$38,$A45&lt;&gt;D$1,#REF!=1),(VLOOKUP(D$1,'20Trips'!$A$3:$I$22,8,FALSE))-(VLOOKUP($A45,'20Trips'!$A$3:$I$22,9,FALSE))+'20Trips'!$B$24,0)</f>
        <v>#REF!</v>
      </c>
      <c r="E45" t="e">
        <f>IF(AND(SUM(VLOOKUP($A45,'20Trips'!$A$3:$F$22,2,FALSE),VLOOKUP(E$1,'20Trips'!$A$3:$F$22,2,FALSE))&lt;'20Trips'!$AC$38,$A45&lt;&gt;E$1,#REF!=1),(VLOOKUP(E$1,'20Trips'!$A$3:$I$22,8,FALSE))-(VLOOKUP($A45,'20Trips'!$A$3:$I$22,9,FALSE))+'20Trips'!$B$24,0)</f>
        <v>#REF!</v>
      </c>
      <c r="F45" t="e">
        <f>IF(AND(SUM(VLOOKUP($A45,'20Trips'!$A$3:$F$22,2,FALSE),VLOOKUP(F$1,'20Trips'!$A$3:$F$22,2,FALSE))&lt;'20Trips'!$AC$38,$A45&lt;&gt;F$1,#REF!=1),(VLOOKUP(F$1,'20Trips'!$A$3:$I$22,8,FALSE))-(VLOOKUP($A45,'20Trips'!$A$3:$I$22,9,FALSE))+'20Trips'!$B$24,0)</f>
        <v>#REF!</v>
      </c>
      <c r="G45" t="e">
        <f>IF(AND(SUM(VLOOKUP($A45,'20Trips'!$A$3:$F$22,2,FALSE),VLOOKUP(G$1,'20Trips'!$A$3:$F$22,2,FALSE))&lt;'20Trips'!$AC$38,$A45&lt;&gt;G$1,#REF!=1),(VLOOKUP(G$1,'20Trips'!$A$3:$I$22,8,FALSE))-(VLOOKUP($A45,'20Trips'!$A$3:$I$22,9,FALSE))+'20Trips'!$B$24,0)</f>
        <v>#REF!</v>
      </c>
      <c r="H45" t="e">
        <f>IF(AND(SUM(VLOOKUP($A45,'20Trips'!$A$3:$F$22,2,FALSE),VLOOKUP(H$1,'20Trips'!$A$3:$F$22,2,FALSE))&lt;'20Trips'!$AC$38,$A45&lt;&gt;H$1,#REF!=1),(VLOOKUP(H$1,'20Trips'!$A$3:$I$22,8,FALSE))-(VLOOKUP($A45,'20Trips'!$A$3:$I$22,9,FALSE))+'20Trips'!$B$24,0)</f>
        <v>#REF!</v>
      </c>
      <c r="I45" t="e">
        <f>IF(AND(SUM(VLOOKUP($A45,'20Trips'!$A$3:$F$22,2,FALSE),VLOOKUP(I$1,'20Trips'!$A$3:$F$22,2,FALSE))&lt;'20Trips'!$AC$38,$A45&lt;&gt;I$1,#REF!=1),(VLOOKUP(I$1,'20Trips'!$A$3:$I$22,8,FALSE))-(VLOOKUP($A45,'20Trips'!$A$3:$I$22,9,FALSE))+'20Trips'!$B$24,0)</f>
        <v>#REF!</v>
      </c>
      <c r="J45" t="e">
        <f>IF(AND(SUM(VLOOKUP($A45,'20Trips'!$A$3:$F$22,2,FALSE),VLOOKUP(J$1,'20Trips'!$A$3:$F$22,2,FALSE))&lt;'20Trips'!$AC$38,$A45&lt;&gt;J$1,#REF!=1),(VLOOKUP(J$1,'20Trips'!$A$3:$I$22,8,FALSE))-(VLOOKUP($A45,'20Trips'!$A$3:$I$22,9,FALSE))+'20Trips'!$B$24,0)</f>
        <v>#REF!</v>
      </c>
      <c r="K45" t="e">
        <f>IF(AND(SUM(VLOOKUP($A45,'20Trips'!$A$3:$F$22,2,FALSE),VLOOKUP(K$1,'20Trips'!$A$3:$F$22,2,FALSE))&lt;'20Trips'!$AC$38,$A45&lt;&gt;K$1,#REF!=1),(VLOOKUP(K$1,'20Trips'!$A$3:$I$22,8,FALSE))-(VLOOKUP($A45,'20Trips'!$A$3:$I$22,9,FALSE))+'20Trips'!$B$24,0)</f>
        <v>#REF!</v>
      </c>
      <c r="L45" t="e">
        <f>IF(AND(SUM(VLOOKUP($A45,'20Trips'!$A$3:$F$22,2,FALSE),VLOOKUP(L$1,'20Trips'!$A$3:$F$22,2,FALSE))&lt;'20Trips'!$AC$38,$A45&lt;&gt;L$1,#REF!=1),(VLOOKUP(L$1,'20Trips'!$A$3:$I$22,8,FALSE))-(VLOOKUP($A45,'20Trips'!$A$3:$I$22,9,FALSE))+'20Trips'!$B$24,0)</f>
        <v>#REF!</v>
      </c>
      <c r="M45" t="e">
        <f>IF(AND(SUM(VLOOKUP($A45,'20Trips'!$A$3:$F$22,2,FALSE),VLOOKUP(M$1,'20Trips'!$A$3:$F$22,2,FALSE))&lt;'20Trips'!$AC$38,$A45&lt;&gt;M$1,#REF!=1),(VLOOKUP(M$1,'20Trips'!$A$3:$I$22,8,FALSE))-(VLOOKUP($A45,'20Trips'!$A$3:$I$22,9,FALSE))+'20Trips'!$B$24,0)</f>
        <v>#REF!</v>
      </c>
      <c r="N45" t="e">
        <f>IF(AND(SUM(VLOOKUP($A45,'20Trips'!$A$3:$F$22,2,FALSE),VLOOKUP(N$1,'20Trips'!$A$3:$F$22,2,FALSE))&lt;'20Trips'!$AC$38,$A45&lt;&gt;N$1,#REF!=1),(VLOOKUP(N$1,'20Trips'!$A$3:$I$22,8,FALSE))-(VLOOKUP($A45,'20Trips'!$A$3:$I$22,9,FALSE))+'20Trips'!$B$24,0)</f>
        <v>#REF!</v>
      </c>
      <c r="O45" t="e">
        <f>IF(AND(SUM(VLOOKUP($A45,'20Trips'!$A$3:$F$22,2,FALSE),VLOOKUP(O$1,'20Trips'!$A$3:$F$22,2,FALSE))&lt;'20Trips'!$AC$38,$A45&lt;&gt;O$1,#REF!=1),(VLOOKUP(O$1,'20Trips'!$A$3:$I$22,8,FALSE))-(VLOOKUP($A45,'20Trips'!$A$3:$I$22,9,FALSE))+'20Trips'!$B$24,0)</f>
        <v>#REF!</v>
      </c>
      <c r="P45" t="e">
        <f>IF(AND(SUM(VLOOKUP($A45,'20Trips'!$A$3:$F$22,2,FALSE),VLOOKUP(P$1,'20Trips'!$A$3:$F$22,2,FALSE))&lt;'20Trips'!$AC$38,$A45&lt;&gt;P$1,#REF!=1),(VLOOKUP(P$1,'20Trips'!$A$3:$I$22,8,FALSE))-(VLOOKUP($A45,'20Trips'!$A$3:$I$22,9,FALSE))+'20Trips'!$B$24,0)</f>
        <v>#REF!</v>
      </c>
      <c r="Q45" t="e">
        <f>IF(AND(SUM(VLOOKUP($A45,'20Trips'!$A$3:$F$22,2,FALSE),VLOOKUP(Q$1,'20Trips'!$A$3:$F$22,2,FALSE))&lt;'20Trips'!$AC$38,$A45&lt;&gt;Q$1,#REF!=1),(VLOOKUP(Q$1,'20Trips'!$A$3:$I$22,8,FALSE))-(VLOOKUP($A45,'20Trips'!$A$3:$I$22,9,FALSE))+'20Trips'!$B$24,0)</f>
        <v>#REF!</v>
      </c>
      <c r="R45" t="e">
        <f>IF(AND(SUM(VLOOKUP($A45,'20Trips'!$A$3:$F$22,2,FALSE),VLOOKUP(R$1,'20Trips'!$A$3:$F$22,2,FALSE))&lt;'20Trips'!$AC$38,$A45&lt;&gt;R$1,#REF!=1),(VLOOKUP(R$1,'20Trips'!$A$3:$I$22,8,FALSE))-(VLOOKUP($A45,'20Trips'!$A$3:$I$22,9,FALSE))+'20Trips'!$B$24,0)</f>
        <v>#REF!</v>
      </c>
      <c r="S45" t="e">
        <f>IF(AND(SUM(VLOOKUP($A45,'20Trips'!$A$3:$F$22,2,FALSE),VLOOKUP(S$1,'20Trips'!$A$3:$F$22,2,FALSE))&lt;'20Trips'!$AC$38,$A45&lt;&gt;S$1,#REF!=1),(VLOOKUP(S$1,'20Trips'!$A$3:$I$22,8,FALSE))-(VLOOKUP($A45,'20Trips'!$A$3:$I$22,9,FALSE))+'20Trips'!$B$24,0)</f>
        <v>#REF!</v>
      </c>
      <c r="T45" t="e">
        <f>IF(AND(SUM(VLOOKUP($A45,'20Trips'!$A$3:$F$22,2,FALSE),VLOOKUP(T$1,'20Trips'!$A$3:$F$22,2,FALSE))&lt;'20Trips'!$AC$38,$A45&lt;&gt;T$1,#REF!=1),(VLOOKUP(T$1,'20Trips'!$A$3:$I$22,8,FALSE))-(VLOOKUP($A45,'20Trips'!$A$3:$I$22,9,FALSE))+'20Trips'!$B$24,0)</f>
        <v>#REF!</v>
      </c>
      <c r="U45" t="e">
        <f>IF(AND(SUM(VLOOKUP($A45,'20Trips'!$A$3:$F$22,2,FALSE),VLOOKUP(U$1,'20Trips'!$A$3:$F$22,2,FALSE))&lt;'20Trips'!$AC$38,$A45&lt;&gt;U$1,#REF!=1),(VLOOKUP(U$1,'20Trips'!$A$3:$I$22,8,FALSE))-(VLOOKUP($A45,'20Trips'!$A$3:$I$22,9,FALSE))+'20Trips'!$B$24,0)</f>
        <v>#REF!</v>
      </c>
      <c r="V45" t="e">
        <f>IF(AND(SUM(VLOOKUP($A45,'20Trips'!$A$3:$F$22,2,FALSE),VLOOKUP(V$1,'20Trips'!$A$3:$F$22,2,FALSE))&lt;'20Trips'!$AC$38,$A45&lt;&gt;V$1,#REF!=1),(VLOOKUP(V$1,'20Trips'!$A$3:$I$22,8,FALSE))-(VLOOKUP($A45,'20Trips'!$A$3:$I$22,9,FALSE))+'20Trips'!$B$24,0)</f>
        <v>#REF!</v>
      </c>
    </row>
    <row r="46" spans="1:22" x14ac:dyDescent="0.25">
      <c r="A46" t="s">
        <v>9</v>
      </c>
      <c r="B46">
        <v>0</v>
      </c>
      <c r="C46" t="e">
        <f>IF(AND(SUM(VLOOKUP($A46,'20Trips'!$A$3:$F$22,2,FALSE),VLOOKUP(C$1,'20Trips'!$A$3:$F$22,2,FALSE))&lt;'20Trips'!$AC$38,$A46&lt;&gt;C$1,#REF!=1),(VLOOKUP(C$1,'20Trips'!$A$3:$I$22,8,FALSE))-(VLOOKUP($A46,'20Trips'!$A$3:$I$22,9,FALSE))+'20Trips'!$B$24,0)</f>
        <v>#REF!</v>
      </c>
      <c r="D46" t="e">
        <f>IF(AND(SUM(VLOOKUP($A46,'20Trips'!$A$3:$F$22,2,FALSE),VLOOKUP(D$1,'20Trips'!$A$3:$F$22,2,FALSE))&lt;'20Trips'!$AC$38,$A46&lt;&gt;D$1,#REF!=1),(VLOOKUP(D$1,'20Trips'!$A$3:$I$22,8,FALSE))-(VLOOKUP($A46,'20Trips'!$A$3:$I$22,9,FALSE))+'20Trips'!$B$24,0)</f>
        <v>#REF!</v>
      </c>
      <c r="E46" t="e">
        <f>IF(AND(SUM(VLOOKUP($A46,'20Trips'!$A$3:$F$22,2,FALSE),VLOOKUP(E$1,'20Trips'!$A$3:$F$22,2,FALSE))&lt;'20Trips'!$AC$38,$A46&lt;&gt;E$1,#REF!=1),(VLOOKUP(E$1,'20Trips'!$A$3:$I$22,8,FALSE))-(VLOOKUP($A46,'20Trips'!$A$3:$I$22,9,FALSE))+'20Trips'!$B$24,0)</f>
        <v>#REF!</v>
      </c>
      <c r="F46" t="e">
        <f>IF(AND(SUM(VLOOKUP($A46,'20Trips'!$A$3:$F$22,2,FALSE),VLOOKUP(F$1,'20Trips'!$A$3:$F$22,2,FALSE))&lt;'20Trips'!$AC$38,$A46&lt;&gt;F$1,#REF!=1),(VLOOKUP(F$1,'20Trips'!$A$3:$I$22,8,FALSE))-(VLOOKUP($A46,'20Trips'!$A$3:$I$22,9,FALSE))+'20Trips'!$B$24,0)</f>
        <v>#REF!</v>
      </c>
      <c r="G46" t="e">
        <f>IF(AND(SUM(VLOOKUP($A46,'20Trips'!$A$3:$F$22,2,FALSE),VLOOKUP(G$1,'20Trips'!$A$3:$F$22,2,FALSE))&lt;'20Trips'!$AC$38,$A46&lt;&gt;G$1,#REF!=1),(VLOOKUP(G$1,'20Trips'!$A$3:$I$22,8,FALSE))-(VLOOKUP($A46,'20Trips'!$A$3:$I$22,9,FALSE))+'20Trips'!$B$24,0)</f>
        <v>#REF!</v>
      </c>
      <c r="H46" t="e">
        <f>IF(AND(SUM(VLOOKUP($A46,'20Trips'!$A$3:$F$22,2,FALSE),VLOOKUP(H$1,'20Trips'!$A$3:$F$22,2,FALSE))&lt;'20Trips'!$AC$38,$A46&lt;&gt;H$1,#REF!=1),(VLOOKUP(H$1,'20Trips'!$A$3:$I$22,8,FALSE))-(VLOOKUP($A46,'20Trips'!$A$3:$I$22,9,FALSE))+'20Trips'!$B$24,0)</f>
        <v>#REF!</v>
      </c>
      <c r="I46" t="e">
        <f>IF(AND(SUM(VLOOKUP($A46,'20Trips'!$A$3:$F$22,2,FALSE),VLOOKUP(I$1,'20Trips'!$A$3:$F$22,2,FALSE))&lt;'20Trips'!$AC$38,$A46&lt;&gt;I$1,#REF!=1),(VLOOKUP(I$1,'20Trips'!$A$3:$I$22,8,FALSE))-(VLOOKUP($A46,'20Trips'!$A$3:$I$22,9,FALSE))+'20Trips'!$B$24,0)</f>
        <v>#REF!</v>
      </c>
      <c r="J46" t="e">
        <f>IF(AND(SUM(VLOOKUP($A46,'20Trips'!$A$3:$F$22,2,FALSE),VLOOKUP(J$1,'20Trips'!$A$3:$F$22,2,FALSE))&lt;'20Trips'!$AC$38,$A46&lt;&gt;J$1,#REF!=1),(VLOOKUP(J$1,'20Trips'!$A$3:$I$22,8,FALSE))-(VLOOKUP($A46,'20Trips'!$A$3:$I$22,9,FALSE))+'20Trips'!$B$24,0)</f>
        <v>#REF!</v>
      </c>
      <c r="K46" t="e">
        <f>IF(AND(SUM(VLOOKUP($A46,'20Trips'!$A$3:$F$22,2,FALSE),VLOOKUP(K$1,'20Trips'!$A$3:$F$22,2,FALSE))&lt;'20Trips'!$AC$38,$A46&lt;&gt;K$1,#REF!=1),(VLOOKUP(K$1,'20Trips'!$A$3:$I$22,8,FALSE))-(VLOOKUP($A46,'20Trips'!$A$3:$I$22,9,FALSE))+'20Trips'!$B$24,0)</f>
        <v>#REF!</v>
      </c>
      <c r="L46" t="e">
        <f>IF(AND(SUM(VLOOKUP($A46,'20Trips'!$A$3:$F$22,2,FALSE),VLOOKUP(L$1,'20Trips'!$A$3:$F$22,2,FALSE))&lt;'20Trips'!$AC$38,$A46&lt;&gt;L$1,#REF!=1),(VLOOKUP(L$1,'20Trips'!$A$3:$I$22,8,FALSE))-(VLOOKUP($A46,'20Trips'!$A$3:$I$22,9,FALSE))+'20Trips'!$B$24,0)</f>
        <v>#REF!</v>
      </c>
      <c r="M46" t="e">
        <f>IF(AND(SUM(VLOOKUP($A46,'20Trips'!$A$3:$F$22,2,FALSE),VLOOKUP(M$1,'20Trips'!$A$3:$F$22,2,FALSE))&lt;'20Trips'!$AC$38,$A46&lt;&gt;M$1,#REF!=1),(VLOOKUP(M$1,'20Trips'!$A$3:$I$22,8,FALSE))-(VLOOKUP($A46,'20Trips'!$A$3:$I$22,9,FALSE))+'20Trips'!$B$24,0)</f>
        <v>#REF!</v>
      </c>
      <c r="N46" t="e">
        <f>IF(AND(SUM(VLOOKUP($A46,'20Trips'!$A$3:$F$22,2,FALSE),VLOOKUP(N$1,'20Trips'!$A$3:$F$22,2,FALSE))&lt;'20Trips'!$AC$38,$A46&lt;&gt;N$1,#REF!=1),(VLOOKUP(N$1,'20Trips'!$A$3:$I$22,8,FALSE))-(VLOOKUP($A46,'20Trips'!$A$3:$I$22,9,FALSE))+'20Trips'!$B$24,0)</f>
        <v>#REF!</v>
      </c>
      <c r="O46" t="e">
        <f>IF(AND(SUM(VLOOKUP($A46,'20Trips'!$A$3:$F$22,2,FALSE),VLOOKUP(O$1,'20Trips'!$A$3:$F$22,2,FALSE))&lt;'20Trips'!$AC$38,$A46&lt;&gt;O$1,#REF!=1),(VLOOKUP(O$1,'20Trips'!$A$3:$I$22,8,FALSE))-(VLOOKUP($A46,'20Trips'!$A$3:$I$22,9,FALSE))+'20Trips'!$B$24,0)</f>
        <v>#REF!</v>
      </c>
      <c r="P46" t="e">
        <f>IF(AND(SUM(VLOOKUP($A46,'20Trips'!$A$3:$F$22,2,FALSE),VLOOKUP(P$1,'20Trips'!$A$3:$F$22,2,FALSE))&lt;'20Trips'!$AC$38,$A46&lt;&gt;P$1,#REF!=1),(VLOOKUP(P$1,'20Trips'!$A$3:$I$22,8,FALSE))-(VLOOKUP($A46,'20Trips'!$A$3:$I$22,9,FALSE))+'20Trips'!$B$24,0)</f>
        <v>#REF!</v>
      </c>
      <c r="Q46" t="e">
        <f>IF(AND(SUM(VLOOKUP($A46,'20Trips'!$A$3:$F$22,2,FALSE),VLOOKUP(Q$1,'20Trips'!$A$3:$F$22,2,FALSE))&lt;'20Trips'!$AC$38,$A46&lt;&gt;Q$1,#REF!=1),(VLOOKUP(Q$1,'20Trips'!$A$3:$I$22,8,FALSE))-(VLOOKUP($A46,'20Trips'!$A$3:$I$22,9,FALSE))+'20Trips'!$B$24,0)</f>
        <v>#REF!</v>
      </c>
      <c r="R46" t="e">
        <f>IF(AND(SUM(VLOOKUP($A46,'20Trips'!$A$3:$F$22,2,FALSE),VLOOKUP(R$1,'20Trips'!$A$3:$F$22,2,FALSE))&lt;'20Trips'!$AC$38,$A46&lt;&gt;R$1,#REF!=1),(VLOOKUP(R$1,'20Trips'!$A$3:$I$22,8,FALSE))-(VLOOKUP($A46,'20Trips'!$A$3:$I$22,9,FALSE))+'20Trips'!$B$24,0)</f>
        <v>#REF!</v>
      </c>
      <c r="S46" t="e">
        <f>IF(AND(SUM(VLOOKUP($A46,'20Trips'!$A$3:$F$22,2,FALSE),VLOOKUP(S$1,'20Trips'!$A$3:$F$22,2,FALSE))&lt;'20Trips'!$AC$38,$A46&lt;&gt;S$1,#REF!=1),(VLOOKUP(S$1,'20Trips'!$A$3:$I$22,8,FALSE))-(VLOOKUP($A46,'20Trips'!$A$3:$I$22,9,FALSE))+'20Trips'!$B$24,0)</f>
        <v>#REF!</v>
      </c>
      <c r="T46" t="e">
        <f>IF(AND(SUM(VLOOKUP($A46,'20Trips'!$A$3:$F$22,2,FALSE),VLOOKUP(T$1,'20Trips'!$A$3:$F$22,2,FALSE))&lt;'20Trips'!$AC$38,$A46&lt;&gt;T$1,#REF!=1),(VLOOKUP(T$1,'20Trips'!$A$3:$I$22,8,FALSE))-(VLOOKUP($A46,'20Trips'!$A$3:$I$22,9,FALSE))+'20Trips'!$B$24,0)</f>
        <v>#REF!</v>
      </c>
      <c r="U46" t="e">
        <f>IF(AND(SUM(VLOOKUP($A46,'20Trips'!$A$3:$F$22,2,FALSE),VLOOKUP(U$1,'20Trips'!$A$3:$F$22,2,FALSE))&lt;'20Trips'!$AC$38,$A46&lt;&gt;U$1,#REF!=1),(VLOOKUP(U$1,'20Trips'!$A$3:$I$22,8,FALSE))-(VLOOKUP($A46,'20Trips'!$A$3:$I$22,9,FALSE))+'20Trips'!$B$24,0)</f>
        <v>#REF!</v>
      </c>
      <c r="V46" t="e">
        <f>IF(AND(SUM(VLOOKUP($A46,'20Trips'!$A$3:$F$22,2,FALSE),VLOOKUP(V$1,'20Trips'!$A$3:$F$22,2,FALSE))&lt;'20Trips'!$AC$38,$A46&lt;&gt;V$1,#REF!=1),(VLOOKUP(V$1,'20Trips'!$A$3:$I$22,8,FALSE))-(VLOOKUP($A46,'20Trips'!$A$3:$I$22,9,FALSE))+'20Trips'!$B$24,0)</f>
        <v>#REF!</v>
      </c>
    </row>
    <row r="47" spans="1:22" x14ac:dyDescent="0.25">
      <c r="A47" t="s">
        <v>10</v>
      </c>
      <c r="B47">
        <v>0</v>
      </c>
      <c r="C47" t="e">
        <f>IF(AND(SUM(VLOOKUP($A47,'20Trips'!$A$3:$F$22,2,FALSE),VLOOKUP(C$1,'20Trips'!$A$3:$F$22,2,FALSE))&lt;'20Trips'!$AC$38,$A47&lt;&gt;C$1,#REF!=1),(VLOOKUP(C$1,'20Trips'!$A$3:$I$22,8,FALSE))-(VLOOKUP($A47,'20Trips'!$A$3:$I$22,9,FALSE))+'20Trips'!$B$24,0)</f>
        <v>#REF!</v>
      </c>
      <c r="D47" t="e">
        <f>IF(AND(SUM(VLOOKUP($A47,'20Trips'!$A$3:$F$22,2,FALSE),VLOOKUP(D$1,'20Trips'!$A$3:$F$22,2,FALSE))&lt;'20Trips'!$AC$38,$A47&lt;&gt;D$1,#REF!=1),(VLOOKUP(D$1,'20Trips'!$A$3:$I$22,8,FALSE))-(VLOOKUP($A47,'20Trips'!$A$3:$I$22,9,FALSE))+'20Trips'!$B$24,0)</f>
        <v>#REF!</v>
      </c>
      <c r="E47" t="e">
        <f>IF(AND(SUM(VLOOKUP($A47,'20Trips'!$A$3:$F$22,2,FALSE),VLOOKUP(E$1,'20Trips'!$A$3:$F$22,2,FALSE))&lt;'20Trips'!$AC$38,$A47&lt;&gt;E$1,#REF!=1),(VLOOKUP(E$1,'20Trips'!$A$3:$I$22,8,FALSE))-(VLOOKUP($A47,'20Trips'!$A$3:$I$22,9,FALSE))+'20Trips'!$B$24,0)</f>
        <v>#REF!</v>
      </c>
      <c r="F47" t="e">
        <f>IF(AND(SUM(VLOOKUP($A47,'20Trips'!$A$3:$F$22,2,FALSE),VLOOKUP(F$1,'20Trips'!$A$3:$F$22,2,FALSE))&lt;'20Trips'!$AC$38,$A47&lt;&gt;F$1,#REF!=1),(VLOOKUP(F$1,'20Trips'!$A$3:$I$22,8,FALSE))-(VLOOKUP($A47,'20Trips'!$A$3:$I$22,9,FALSE))+'20Trips'!$B$24,0)</f>
        <v>#REF!</v>
      </c>
      <c r="G47" t="e">
        <f>IF(AND(SUM(VLOOKUP($A47,'20Trips'!$A$3:$F$22,2,FALSE),VLOOKUP(G$1,'20Trips'!$A$3:$F$22,2,FALSE))&lt;'20Trips'!$AC$38,$A47&lt;&gt;G$1,#REF!=1),(VLOOKUP(G$1,'20Trips'!$A$3:$I$22,8,FALSE))-(VLOOKUP($A47,'20Trips'!$A$3:$I$22,9,FALSE))+'20Trips'!$B$24,0)</f>
        <v>#REF!</v>
      </c>
      <c r="H47" t="e">
        <f>IF(AND(SUM(VLOOKUP($A47,'20Trips'!$A$3:$F$22,2,FALSE),VLOOKUP(H$1,'20Trips'!$A$3:$F$22,2,FALSE))&lt;'20Trips'!$AC$38,$A47&lt;&gt;H$1,#REF!=1),(VLOOKUP(H$1,'20Trips'!$A$3:$I$22,8,FALSE))-(VLOOKUP($A47,'20Trips'!$A$3:$I$22,9,FALSE))+'20Trips'!$B$24,0)</f>
        <v>#REF!</v>
      </c>
      <c r="I47" t="e">
        <f>IF(AND(SUM(VLOOKUP($A47,'20Trips'!$A$3:$F$22,2,FALSE),VLOOKUP(I$1,'20Trips'!$A$3:$F$22,2,FALSE))&lt;'20Trips'!$AC$38,$A47&lt;&gt;I$1,#REF!=1),(VLOOKUP(I$1,'20Trips'!$A$3:$I$22,8,FALSE))-(VLOOKUP($A47,'20Trips'!$A$3:$I$22,9,FALSE))+'20Trips'!$B$24,0)</f>
        <v>#REF!</v>
      </c>
      <c r="J47" t="e">
        <f>IF(AND(SUM(VLOOKUP($A47,'20Trips'!$A$3:$F$22,2,FALSE),VLOOKUP(J$1,'20Trips'!$A$3:$F$22,2,FALSE))&lt;'20Trips'!$AC$38,$A47&lt;&gt;J$1,#REF!=1),(VLOOKUP(J$1,'20Trips'!$A$3:$I$22,8,FALSE))-(VLOOKUP($A47,'20Trips'!$A$3:$I$22,9,FALSE))+'20Trips'!$B$24,0)</f>
        <v>#REF!</v>
      </c>
      <c r="K47" t="e">
        <f>IF(AND(SUM(VLOOKUP($A47,'20Trips'!$A$3:$F$22,2,FALSE),VLOOKUP(K$1,'20Trips'!$A$3:$F$22,2,FALSE))&lt;'20Trips'!$AC$38,$A47&lt;&gt;K$1,#REF!=1),(VLOOKUP(K$1,'20Trips'!$A$3:$I$22,8,FALSE))-(VLOOKUP($A47,'20Trips'!$A$3:$I$22,9,FALSE))+'20Trips'!$B$24,0)</f>
        <v>#REF!</v>
      </c>
      <c r="L47" t="e">
        <f>IF(AND(SUM(VLOOKUP($A47,'20Trips'!$A$3:$F$22,2,FALSE),VLOOKUP(L$1,'20Trips'!$A$3:$F$22,2,FALSE))&lt;'20Trips'!$AC$38,$A47&lt;&gt;L$1,#REF!=1),(VLOOKUP(L$1,'20Trips'!$A$3:$I$22,8,FALSE))-(VLOOKUP($A47,'20Trips'!$A$3:$I$22,9,FALSE))+'20Trips'!$B$24,0)</f>
        <v>#REF!</v>
      </c>
      <c r="M47" t="e">
        <f>IF(AND(SUM(VLOOKUP($A47,'20Trips'!$A$3:$F$22,2,FALSE),VLOOKUP(M$1,'20Trips'!$A$3:$F$22,2,FALSE))&lt;'20Trips'!$AC$38,$A47&lt;&gt;M$1,#REF!=1),(VLOOKUP(M$1,'20Trips'!$A$3:$I$22,8,FALSE))-(VLOOKUP($A47,'20Trips'!$A$3:$I$22,9,FALSE))+'20Trips'!$B$24,0)</f>
        <v>#REF!</v>
      </c>
      <c r="N47" t="e">
        <f>IF(AND(SUM(VLOOKUP($A47,'20Trips'!$A$3:$F$22,2,FALSE),VLOOKUP(N$1,'20Trips'!$A$3:$F$22,2,FALSE))&lt;'20Trips'!$AC$38,$A47&lt;&gt;N$1,#REF!=1),(VLOOKUP(N$1,'20Trips'!$A$3:$I$22,8,FALSE))-(VLOOKUP($A47,'20Trips'!$A$3:$I$22,9,FALSE))+'20Trips'!$B$24,0)</f>
        <v>#REF!</v>
      </c>
      <c r="O47" t="e">
        <f>IF(AND(SUM(VLOOKUP($A47,'20Trips'!$A$3:$F$22,2,FALSE),VLOOKUP(O$1,'20Trips'!$A$3:$F$22,2,FALSE))&lt;'20Trips'!$AC$38,$A47&lt;&gt;O$1,#REF!=1),(VLOOKUP(O$1,'20Trips'!$A$3:$I$22,8,FALSE))-(VLOOKUP($A47,'20Trips'!$A$3:$I$22,9,FALSE))+'20Trips'!$B$24,0)</f>
        <v>#REF!</v>
      </c>
      <c r="P47" t="e">
        <f>IF(AND(SUM(VLOOKUP($A47,'20Trips'!$A$3:$F$22,2,FALSE),VLOOKUP(P$1,'20Trips'!$A$3:$F$22,2,FALSE))&lt;'20Trips'!$AC$38,$A47&lt;&gt;P$1,#REF!=1),(VLOOKUP(P$1,'20Trips'!$A$3:$I$22,8,FALSE))-(VLOOKUP($A47,'20Trips'!$A$3:$I$22,9,FALSE))+'20Trips'!$B$24,0)</f>
        <v>#REF!</v>
      </c>
      <c r="Q47" t="e">
        <f>IF(AND(SUM(VLOOKUP($A47,'20Trips'!$A$3:$F$22,2,FALSE),VLOOKUP(Q$1,'20Trips'!$A$3:$F$22,2,FALSE))&lt;'20Trips'!$AC$38,$A47&lt;&gt;Q$1,#REF!=1),(VLOOKUP(Q$1,'20Trips'!$A$3:$I$22,8,FALSE))-(VLOOKUP($A47,'20Trips'!$A$3:$I$22,9,FALSE))+'20Trips'!$B$24,0)</f>
        <v>#REF!</v>
      </c>
      <c r="R47" t="e">
        <f>IF(AND(SUM(VLOOKUP($A47,'20Trips'!$A$3:$F$22,2,FALSE),VLOOKUP(R$1,'20Trips'!$A$3:$F$22,2,FALSE))&lt;'20Trips'!$AC$38,$A47&lt;&gt;R$1,#REF!=1),(VLOOKUP(R$1,'20Trips'!$A$3:$I$22,8,FALSE))-(VLOOKUP($A47,'20Trips'!$A$3:$I$22,9,FALSE))+'20Trips'!$B$24,0)</f>
        <v>#REF!</v>
      </c>
      <c r="S47" t="e">
        <f>IF(AND(SUM(VLOOKUP($A47,'20Trips'!$A$3:$F$22,2,FALSE),VLOOKUP(S$1,'20Trips'!$A$3:$F$22,2,FALSE))&lt;'20Trips'!$AC$38,$A47&lt;&gt;S$1,#REF!=1),(VLOOKUP(S$1,'20Trips'!$A$3:$I$22,8,FALSE))-(VLOOKUP($A47,'20Trips'!$A$3:$I$22,9,FALSE))+'20Trips'!$B$24,0)</f>
        <v>#REF!</v>
      </c>
      <c r="T47" t="e">
        <f>IF(AND(SUM(VLOOKUP($A47,'20Trips'!$A$3:$F$22,2,FALSE),VLOOKUP(T$1,'20Trips'!$A$3:$F$22,2,FALSE))&lt;'20Trips'!$AC$38,$A47&lt;&gt;T$1,#REF!=1),(VLOOKUP(T$1,'20Trips'!$A$3:$I$22,8,FALSE))-(VLOOKUP($A47,'20Trips'!$A$3:$I$22,9,FALSE))+'20Trips'!$B$24,0)</f>
        <v>#REF!</v>
      </c>
      <c r="U47" t="e">
        <f>IF(AND(SUM(VLOOKUP($A47,'20Trips'!$A$3:$F$22,2,FALSE),VLOOKUP(U$1,'20Trips'!$A$3:$F$22,2,FALSE))&lt;'20Trips'!$AC$38,$A47&lt;&gt;U$1,#REF!=1),(VLOOKUP(U$1,'20Trips'!$A$3:$I$22,8,FALSE))-(VLOOKUP($A47,'20Trips'!$A$3:$I$22,9,FALSE))+'20Trips'!$B$24,0)</f>
        <v>#REF!</v>
      </c>
      <c r="V47" t="e">
        <f>IF(AND(SUM(VLOOKUP($A47,'20Trips'!$A$3:$F$22,2,FALSE),VLOOKUP(V$1,'20Trips'!$A$3:$F$22,2,FALSE))&lt;'20Trips'!$AC$38,$A47&lt;&gt;V$1,#REF!=1),(VLOOKUP(V$1,'20Trips'!$A$3:$I$22,8,FALSE))-(VLOOKUP($A47,'20Trips'!$A$3:$I$22,9,FALSE))+'20Trips'!$B$24,0)</f>
        <v>#REF!</v>
      </c>
    </row>
    <row r="48" spans="1:22" x14ac:dyDescent="0.25">
      <c r="A48" t="s">
        <v>11</v>
      </c>
      <c r="B48">
        <v>0</v>
      </c>
      <c r="C48" t="e">
        <f>IF(AND(SUM(VLOOKUP($A48,'20Trips'!$A$3:$F$22,2,FALSE),VLOOKUP(C$1,'20Trips'!$A$3:$F$22,2,FALSE))&lt;'20Trips'!$AC$38,$A48&lt;&gt;C$1,#REF!=1),(VLOOKUP(C$1,'20Trips'!$A$3:$I$22,8,FALSE))-(VLOOKUP($A48,'20Trips'!$A$3:$I$22,9,FALSE))+'20Trips'!$B$24,0)</f>
        <v>#REF!</v>
      </c>
      <c r="D48" t="e">
        <f>IF(AND(SUM(VLOOKUP($A48,'20Trips'!$A$3:$F$22,2,FALSE),VLOOKUP(D$1,'20Trips'!$A$3:$F$22,2,FALSE))&lt;'20Trips'!$AC$38,$A48&lt;&gt;D$1,#REF!=1),(VLOOKUP(D$1,'20Trips'!$A$3:$I$22,8,FALSE))-(VLOOKUP($A48,'20Trips'!$A$3:$I$22,9,FALSE))+'20Trips'!$B$24,0)</f>
        <v>#REF!</v>
      </c>
      <c r="E48" t="e">
        <f>IF(AND(SUM(VLOOKUP($A48,'20Trips'!$A$3:$F$22,2,FALSE),VLOOKUP(E$1,'20Trips'!$A$3:$F$22,2,FALSE))&lt;'20Trips'!$AC$38,$A48&lt;&gt;E$1,#REF!=1),(VLOOKUP(E$1,'20Trips'!$A$3:$I$22,8,FALSE))-(VLOOKUP($A48,'20Trips'!$A$3:$I$22,9,FALSE))+'20Trips'!$B$24,0)</f>
        <v>#REF!</v>
      </c>
      <c r="F48" t="e">
        <f>IF(AND(SUM(VLOOKUP($A48,'20Trips'!$A$3:$F$22,2,FALSE),VLOOKUP(F$1,'20Trips'!$A$3:$F$22,2,FALSE))&lt;'20Trips'!$AC$38,$A48&lt;&gt;F$1,#REF!=1),(VLOOKUP(F$1,'20Trips'!$A$3:$I$22,8,FALSE))-(VLOOKUP($A48,'20Trips'!$A$3:$I$22,9,FALSE))+'20Trips'!$B$24,0)</f>
        <v>#REF!</v>
      </c>
      <c r="G48" t="e">
        <f>IF(AND(SUM(VLOOKUP($A48,'20Trips'!$A$3:$F$22,2,FALSE),VLOOKUP(G$1,'20Trips'!$A$3:$F$22,2,FALSE))&lt;'20Trips'!$AC$38,$A48&lt;&gt;G$1,#REF!=1),(VLOOKUP(G$1,'20Trips'!$A$3:$I$22,8,FALSE))-(VLOOKUP($A48,'20Trips'!$A$3:$I$22,9,FALSE))+'20Trips'!$B$24,0)</f>
        <v>#REF!</v>
      </c>
      <c r="H48" t="e">
        <f>IF(AND(SUM(VLOOKUP($A48,'20Trips'!$A$3:$F$22,2,FALSE),VLOOKUP(H$1,'20Trips'!$A$3:$F$22,2,FALSE))&lt;'20Trips'!$AC$38,$A48&lt;&gt;H$1,#REF!=1),(VLOOKUP(H$1,'20Trips'!$A$3:$I$22,8,FALSE))-(VLOOKUP($A48,'20Trips'!$A$3:$I$22,9,FALSE))+'20Trips'!$B$24,0)</f>
        <v>#REF!</v>
      </c>
      <c r="I48" t="e">
        <f>IF(AND(SUM(VLOOKUP($A48,'20Trips'!$A$3:$F$22,2,FALSE),VLOOKUP(I$1,'20Trips'!$A$3:$F$22,2,FALSE))&lt;'20Trips'!$AC$38,$A48&lt;&gt;I$1,#REF!=1),(VLOOKUP(I$1,'20Trips'!$A$3:$I$22,8,FALSE))-(VLOOKUP($A48,'20Trips'!$A$3:$I$22,9,FALSE))+'20Trips'!$B$24,0)</f>
        <v>#REF!</v>
      </c>
      <c r="J48" t="e">
        <f>IF(AND(SUM(VLOOKUP($A48,'20Trips'!$A$3:$F$22,2,FALSE),VLOOKUP(J$1,'20Trips'!$A$3:$F$22,2,FALSE))&lt;'20Trips'!$AC$38,$A48&lt;&gt;J$1,#REF!=1),(VLOOKUP(J$1,'20Trips'!$A$3:$I$22,8,FALSE))-(VLOOKUP($A48,'20Trips'!$A$3:$I$22,9,FALSE))+'20Trips'!$B$24,0)</f>
        <v>#REF!</v>
      </c>
      <c r="K48" t="e">
        <f>IF(AND(SUM(VLOOKUP($A48,'20Trips'!$A$3:$F$22,2,FALSE),VLOOKUP(K$1,'20Trips'!$A$3:$F$22,2,FALSE))&lt;'20Trips'!$AC$38,$A48&lt;&gt;K$1,#REF!=1),(VLOOKUP(K$1,'20Trips'!$A$3:$I$22,8,FALSE))-(VLOOKUP($A48,'20Trips'!$A$3:$I$22,9,FALSE))+'20Trips'!$B$24,0)</f>
        <v>#REF!</v>
      </c>
      <c r="L48" t="e">
        <f>IF(AND(SUM(VLOOKUP($A48,'20Trips'!$A$3:$F$22,2,FALSE),VLOOKUP(L$1,'20Trips'!$A$3:$F$22,2,FALSE))&lt;'20Trips'!$AC$38,$A48&lt;&gt;L$1,#REF!=1),(VLOOKUP(L$1,'20Trips'!$A$3:$I$22,8,FALSE))-(VLOOKUP($A48,'20Trips'!$A$3:$I$22,9,FALSE))+'20Trips'!$B$24,0)</f>
        <v>#REF!</v>
      </c>
      <c r="M48" t="e">
        <f>IF(AND(SUM(VLOOKUP($A48,'20Trips'!$A$3:$F$22,2,FALSE),VLOOKUP(M$1,'20Trips'!$A$3:$F$22,2,FALSE))&lt;'20Trips'!$AC$38,$A48&lt;&gt;M$1,#REF!=1),(VLOOKUP(M$1,'20Trips'!$A$3:$I$22,8,FALSE))-(VLOOKUP($A48,'20Trips'!$A$3:$I$22,9,FALSE))+'20Trips'!$B$24,0)</f>
        <v>#REF!</v>
      </c>
      <c r="N48" t="e">
        <f>IF(AND(SUM(VLOOKUP($A48,'20Trips'!$A$3:$F$22,2,FALSE),VLOOKUP(N$1,'20Trips'!$A$3:$F$22,2,FALSE))&lt;'20Trips'!$AC$38,$A48&lt;&gt;N$1,#REF!=1),(VLOOKUP(N$1,'20Trips'!$A$3:$I$22,8,FALSE))-(VLOOKUP($A48,'20Trips'!$A$3:$I$22,9,FALSE))+'20Trips'!$B$24,0)</f>
        <v>#REF!</v>
      </c>
      <c r="O48" t="e">
        <f>IF(AND(SUM(VLOOKUP($A48,'20Trips'!$A$3:$F$22,2,FALSE),VLOOKUP(O$1,'20Trips'!$A$3:$F$22,2,FALSE))&lt;'20Trips'!$AC$38,$A48&lt;&gt;O$1,#REF!=1),(VLOOKUP(O$1,'20Trips'!$A$3:$I$22,8,FALSE))-(VLOOKUP($A48,'20Trips'!$A$3:$I$22,9,FALSE))+'20Trips'!$B$24,0)</f>
        <v>#REF!</v>
      </c>
      <c r="P48" t="e">
        <f>IF(AND(SUM(VLOOKUP($A48,'20Trips'!$A$3:$F$22,2,FALSE),VLOOKUP(P$1,'20Trips'!$A$3:$F$22,2,FALSE))&lt;'20Trips'!$AC$38,$A48&lt;&gt;P$1,#REF!=1),(VLOOKUP(P$1,'20Trips'!$A$3:$I$22,8,FALSE))-(VLOOKUP($A48,'20Trips'!$A$3:$I$22,9,FALSE))+'20Trips'!$B$24,0)</f>
        <v>#REF!</v>
      </c>
      <c r="Q48" t="e">
        <f>IF(AND(SUM(VLOOKUP($A48,'20Trips'!$A$3:$F$22,2,FALSE),VLOOKUP(Q$1,'20Trips'!$A$3:$F$22,2,FALSE))&lt;'20Trips'!$AC$38,$A48&lt;&gt;Q$1,#REF!=1),(VLOOKUP(Q$1,'20Trips'!$A$3:$I$22,8,FALSE))-(VLOOKUP($A48,'20Trips'!$A$3:$I$22,9,FALSE))+'20Trips'!$B$24,0)</f>
        <v>#REF!</v>
      </c>
      <c r="R48" t="e">
        <f>IF(AND(SUM(VLOOKUP($A48,'20Trips'!$A$3:$F$22,2,FALSE),VLOOKUP(R$1,'20Trips'!$A$3:$F$22,2,FALSE))&lt;'20Trips'!$AC$38,$A48&lt;&gt;R$1,#REF!=1),(VLOOKUP(R$1,'20Trips'!$A$3:$I$22,8,FALSE))-(VLOOKUP($A48,'20Trips'!$A$3:$I$22,9,FALSE))+'20Trips'!$B$24,0)</f>
        <v>#REF!</v>
      </c>
      <c r="S48" t="e">
        <f>IF(AND(SUM(VLOOKUP($A48,'20Trips'!$A$3:$F$22,2,FALSE),VLOOKUP(S$1,'20Trips'!$A$3:$F$22,2,FALSE))&lt;'20Trips'!$AC$38,$A48&lt;&gt;S$1,#REF!=1),(VLOOKUP(S$1,'20Trips'!$A$3:$I$22,8,FALSE))-(VLOOKUP($A48,'20Trips'!$A$3:$I$22,9,FALSE))+'20Trips'!$B$24,0)</f>
        <v>#REF!</v>
      </c>
      <c r="T48" t="e">
        <f>IF(AND(SUM(VLOOKUP($A48,'20Trips'!$A$3:$F$22,2,FALSE),VLOOKUP(T$1,'20Trips'!$A$3:$F$22,2,FALSE))&lt;'20Trips'!$AC$38,$A48&lt;&gt;T$1,#REF!=1),(VLOOKUP(T$1,'20Trips'!$A$3:$I$22,8,FALSE))-(VLOOKUP($A48,'20Trips'!$A$3:$I$22,9,FALSE))+'20Trips'!$B$24,0)</f>
        <v>#REF!</v>
      </c>
      <c r="U48" t="e">
        <f>IF(AND(SUM(VLOOKUP($A48,'20Trips'!$A$3:$F$22,2,FALSE),VLOOKUP(U$1,'20Trips'!$A$3:$F$22,2,FALSE))&lt;'20Trips'!$AC$38,$A48&lt;&gt;U$1,#REF!=1),(VLOOKUP(U$1,'20Trips'!$A$3:$I$22,8,FALSE))-(VLOOKUP($A48,'20Trips'!$A$3:$I$22,9,FALSE))+'20Trips'!$B$24,0)</f>
        <v>#REF!</v>
      </c>
      <c r="V48" t="e">
        <f>IF(AND(SUM(VLOOKUP($A48,'20Trips'!$A$3:$F$22,2,FALSE),VLOOKUP(V$1,'20Trips'!$A$3:$F$22,2,FALSE))&lt;'20Trips'!$AC$38,$A48&lt;&gt;V$1,#REF!=1),(VLOOKUP(V$1,'20Trips'!$A$3:$I$22,8,FALSE))-(VLOOKUP($A48,'20Trips'!$A$3:$I$22,9,FALSE))+'20Trips'!$B$24,0)</f>
        <v>#REF!</v>
      </c>
    </row>
    <row r="49" spans="1:22" x14ac:dyDescent="0.25">
      <c r="A49" t="s">
        <v>12</v>
      </c>
      <c r="B49">
        <v>0</v>
      </c>
      <c r="C49" t="e">
        <f>IF(AND(SUM(VLOOKUP($A49,'20Trips'!$A$3:$F$22,2,FALSE),VLOOKUP(C$1,'20Trips'!$A$3:$F$22,2,FALSE))&lt;'20Trips'!$AC$38,$A49&lt;&gt;C$1,#REF!=1),(VLOOKUP(C$1,'20Trips'!$A$3:$I$22,8,FALSE))-(VLOOKUP($A49,'20Trips'!$A$3:$I$22,9,FALSE))+'20Trips'!$B$24,0)</f>
        <v>#REF!</v>
      </c>
      <c r="D49" t="e">
        <f>IF(AND(SUM(VLOOKUP($A49,'20Trips'!$A$3:$F$22,2,FALSE),VLOOKUP(D$1,'20Trips'!$A$3:$F$22,2,FALSE))&lt;'20Trips'!$AC$38,$A49&lt;&gt;D$1,#REF!=1),(VLOOKUP(D$1,'20Trips'!$A$3:$I$22,8,FALSE))-(VLOOKUP($A49,'20Trips'!$A$3:$I$22,9,FALSE))+'20Trips'!$B$24,0)</f>
        <v>#REF!</v>
      </c>
      <c r="E49" t="e">
        <f>IF(AND(SUM(VLOOKUP($A49,'20Trips'!$A$3:$F$22,2,FALSE),VLOOKUP(E$1,'20Trips'!$A$3:$F$22,2,FALSE))&lt;'20Trips'!$AC$38,$A49&lt;&gt;E$1,#REF!=1),(VLOOKUP(E$1,'20Trips'!$A$3:$I$22,8,FALSE))-(VLOOKUP($A49,'20Trips'!$A$3:$I$22,9,FALSE))+'20Trips'!$B$24,0)</f>
        <v>#REF!</v>
      </c>
      <c r="F49" t="e">
        <f>IF(AND(SUM(VLOOKUP($A49,'20Trips'!$A$3:$F$22,2,FALSE),VLOOKUP(F$1,'20Trips'!$A$3:$F$22,2,FALSE))&lt;'20Trips'!$AC$38,$A49&lt;&gt;F$1,#REF!=1),(VLOOKUP(F$1,'20Trips'!$A$3:$I$22,8,FALSE))-(VLOOKUP($A49,'20Trips'!$A$3:$I$22,9,FALSE))+'20Trips'!$B$24,0)</f>
        <v>#REF!</v>
      </c>
      <c r="G49" t="e">
        <f>IF(AND(SUM(VLOOKUP($A49,'20Trips'!$A$3:$F$22,2,FALSE),VLOOKUP(G$1,'20Trips'!$A$3:$F$22,2,FALSE))&lt;'20Trips'!$AC$38,$A49&lt;&gt;G$1,#REF!=1),(VLOOKUP(G$1,'20Trips'!$A$3:$I$22,8,FALSE))-(VLOOKUP($A49,'20Trips'!$A$3:$I$22,9,FALSE))+'20Trips'!$B$24,0)</f>
        <v>#REF!</v>
      </c>
      <c r="H49" t="e">
        <f>IF(AND(SUM(VLOOKUP($A49,'20Trips'!$A$3:$F$22,2,FALSE),VLOOKUP(H$1,'20Trips'!$A$3:$F$22,2,FALSE))&lt;'20Trips'!$AC$38,$A49&lt;&gt;H$1,#REF!=1),(VLOOKUP(H$1,'20Trips'!$A$3:$I$22,8,FALSE))-(VLOOKUP($A49,'20Trips'!$A$3:$I$22,9,FALSE))+'20Trips'!$B$24,0)</f>
        <v>#REF!</v>
      </c>
      <c r="I49" t="e">
        <f>IF(AND(SUM(VLOOKUP($A49,'20Trips'!$A$3:$F$22,2,FALSE),VLOOKUP(I$1,'20Trips'!$A$3:$F$22,2,FALSE))&lt;'20Trips'!$AC$38,$A49&lt;&gt;I$1,#REF!=1),(VLOOKUP(I$1,'20Trips'!$A$3:$I$22,8,FALSE))-(VLOOKUP($A49,'20Trips'!$A$3:$I$22,9,FALSE))+'20Trips'!$B$24,0)</f>
        <v>#REF!</v>
      </c>
      <c r="J49" t="e">
        <f>IF(AND(SUM(VLOOKUP($A49,'20Trips'!$A$3:$F$22,2,FALSE),VLOOKUP(J$1,'20Trips'!$A$3:$F$22,2,FALSE))&lt;'20Trips'!$AC$38,$A49&lt;&gt;J$1,#REF!=1),(VLOOKUP(J$1,'20Trips'!$A$3:$I$22,8,FALSE))-(VLOOKUP($A49,'20Trips'!$A$3:$I$22,9,FALSE))+'20Trips'!$B$24,0)</f>
        <v>#REF!</v>
      </c>
      <c r="K49" t="e">
        <f>IF(AND(SUM(VLOOKUP($A49,'20Trips'!$A$3:$F$22,2,FALSE),VLOOKUP(K$1,'20Trips'!$A$3:$F$22,2,FALSE))&lt;'20Trips'!$AC$38,$A49&lt;&gt;K$1,#REF!=1),(VLOOKUP(K$1,'20Trips'!$A$3:$I$22,8,FALSE))-(VLOOKUP($A49,'20Trips'!$A$3:$I$22,9,FALSE))+'20Trips'!$B$24,0)</f>
        <v>#REF!</v>
      </c>
      <c r="L49" t="e">
        <f>IF(AND(SUM(VLOOKUP($A49,'20Trips'!$A$3:$F$22,2,FALSE),VLOOKUP(L$1,'20Trips'!$A$3:$F$22,2,FALSE))&lt;'20Trips'!$AC$38,$A49&lt;&gt;L$1,#REF!=1),(VLOOKUP(L$1,'20Trips'!$A$3:$I$22,8,FALSE))-(VLOOKUP($A49,'20Trips'!$A$3:$I$22,9,FALSE))+'20Trips'!$B$24,0)</f>
        <v>#REF!</v>
      </c>
      <c r="M49" t="e">
        <f>IF(AND(SUM(VLOOKUP($A49,'20Trips'!$A$3:$F$22,2,FALSE),VLOOKUP(M$1,'20Trips'!$A$3:$F$22,2,FALSE))&lt;'20Trips'!$AC$38,$A49&lt;&gt;M$1,#REF!=1),(VLOOKUP(M$1,'20Trips'!$A$3:$I$22,8,FALSE))-(VLOOKUP($A49,'20Trips'!$A$3:$I$22,9,FALSE))+'20Trips'!$B$24,0)</f>
        <v>#REF!</v>
      </c>
      <c r="N49" t="e">
        <f>IF(AND(SUM(VLOOKUP($A49,'20Trips'!$A$3:$F$22,2,FALSE),VLOOKUP(N$1,'20Trips'!$A$3:$F$22,2,FALSE))&lt;'20Trips'!$AC$38,$A49&lt;&gt;N$1,#REF!=1),(VLOOKUP(N$1,'20Trips'!$A$3:$I$22,8,FALSE))-(VLOOKUP($A49,'20Trips'!$A$3:$I$22,9,FALSE))+'20Trips'!$B$24,0)</f>
        <v>#REF!</v>
      </c>
      <c r="O49" t="e">
        <f>IF(AND(SUM(VLOOKUP($A49,'20Trips'!$A$3:$F$22,2,FALSE),VLOOKUP(O$1,'20Trips'!$A$3:$F$22,2,FALSE))&lt;'20Trips'!$AC$38,$A49&lt;&gt;O$1,#REF!=1),(VLOOKUP(O$1,'20Trips'!$A$3:$I$22,8,FALSE))-(VLOOKUP($A49,'20Trips'!$A$3:$I$22,9,FALSE))+'20Trips'!$B$24,0)</f>
        <v>#REF!</v>
      </c>
      <c r="P49" t="e">
        <f>IF(AND(SUM(VLOOKUP($A49,'20Trips'!$A$3:$F$22,2,FALSE),VLOOKUP(P$1,'20Trips'!$A$3:$F$22,2,FALSE))&lt;'20Trips'!$AC$38,$A49&lt;&gt;P$1,#REF!=1),(VLOOKUP(P$1,'20Trips'!$A$3:$I$22,8,FALSE))-(VLOOKUP($A49,'20Trips'!$A$3:$I$22,9,FALSE))+'20Trips'!$B$24,0)</f>
        <v>#REF!</v>
      </c>
      <c r="Q49" t="e">
        <f>IF(AND(SUM(VLOOKUP($A49,'20Trips'!$A$3:$F$22,2,FALSE),VLOOKUP(Q$1,'20Trips'!$A$3:$F$22,2,FALSE))&lt;'20Trips'!$AC$38,$A49&lt;&gt;Q$1,#REF!=1),(VLOOKUP(Q$1,'20Trips'!$A$3:$I$22,8,FALSE))-(VLOOKUP($A49,'20Trips'!$A$3:$I$22,9,FALSE))+'20Trips'!$B$24,0)</f>
        <v>#REF!</v>
      </c>
      <c r="R49" t="e">
        <f>IF(AND(SUM(VLOOKUP($A49,'20Trips'!$A$3:$F$22,2,FALSE),VLOOKUP(R$1,'20Trips'!$A$3:$F$22,2,FALSE))&lt;'20Trips'!$AC$38,$A49&lt;&gt;R$1,#REF!=1),(VLOOKUP(R$1,'20Trips'!$A$3:$I$22,8,FALSE))-(VLOOKUP($A49,'20Trips'!$A$3:$I$22,9,FALSE))+'20Trips'!$B$24,0)</f>
        <v>#REF!</v>
      </c>
      <c r="S49" t="e">
        <f>IF(AND(SUM(VLOOKUP($A49,'20Trips'!$A$3:$F$22,2,FALSE),VLOOKUP(S$1,'20Trips'!$A$3:$F$22,2,FALSE))&lt;'20Trips'!$AC$38,$A49&lt;&gt;S$1,#REF!=1),(VLOOKUP(S$1,'20Trips'!$A$3:$I$22,8,FALSE))-(VLOOKUP($A49,'20Trips'!$A$3:$I$22,9,FALSE))+'20Trips'!$B$24,0)</f>
        <v>#REF!</v>
      </c>
      <c r="T49" t="e">
        <f>IF(AND(SUM(VLOOKUP($A49,'20Trips'!$A$3:$F$22,2,FALSE),VLOOKUP(T$1,'20Trips'!$A$3:$F$22,2,FALSE))&lt;'20Trips'!$AC$38,$A49&lt;&gt;T$1,#REF!=1),(VLOOKUP(T$1,'20Trips'!$A$3:$I$22,8,FALSE))-(VLOOKUP($A49,'20Trips'!$A$3:$I$22,9,FALSE))+'20Trips'!$B$24,0)</f>
        <v>#REF!</v>
      </c>
      <c r="U49" t="e">
        <f>IF(AND(SUM(VLOOKUP($A49,'20Trips'!$A$3:$F$22,2,FALSE),VLOOKUP(U$1,'20Trips'!$A$3:$F$22,2,FALSE))&lt;'20Trips'!$AC$38,$A49&lt;&gt;U$1,#REF!=1),(VLOOKUP(U$1,'20Trips'!$A$3:$I$22,8,FALSE))-(VLOOKUP($A49,'20Trips'!$A$3:$I$22,9,FALSE))+'20Trips'!$B$24,0)</f>
        <v>#REF!</v>
      </c>
      <c r="V49" t="e">
        <f>IF(AND(SUM(VLOOKUP($A49,'20Trips'!$A$3:$F$22,2,FALSE),VLOOKUP(V$1,'20Trips'!$A$3:$F$22,2,FALSE))&lt;'20Trips'!$AC$38,$A49&lt;&gt;V$1,#REF!=1),(VLOOKUP(V$1,'20Trips'!$A$3:$I$22,8,FALSE))-(VLOOKUP($A49,'20Trips'!$A$3:$I$22,9,FALSE))+'20Trips'!$B$24,0)</f>
        <v>#REF!</v>
      </c>
    </row>
    <row r="50" spans="1:22" x14ac:dyDescent="0.25">
      <c r="A50" t="s">
        <v>18</v>
      </c>
      <c r="B50">
        <v>0</v>
      </c>
      <c r="C50" t="e">
        <f>IF(AND(SUM(VLOOKUP($A50,'20Trips'!$A$3:$F$22,2,FALSE),VLOOKUP(C$1,'20Trips'!$A$3:$F$22,2,FALSE))&lt;'20Trips'!$AC$38,$A50&lt;&gt;C$1,#REF!=1),(VLOOKUP(C$1,'20Trips'!$A$3:$I$22,8,FALSE))-(VLOOKUP($A50,'20Trips'!$A$3:$I$22,9,FALSE))+'20Trips'!$B$24,0)</f>
        <v>#REF!</v>
      </c>
      <c r="D50" t="e">
        <f>IF(AND(SUM(VLOOKUP($A50,'20Trips'!$A$3:$F$22,2,FALSE),VLOOKUP(D$1,'20Trips'!$A$3:$F$22,2,FALSE))&lt;'20Trips'!$AC$38,$A50&lt;&gt;D$1,#REF!=1),(VLOOKUP(D$1,'20Trips'!$A$3:$I$22,8,FALSE))-(VLOOKUP($A50,'20Trips'!$A$3:$I$22,9,FALSE))+'20Trips'!$B$24,0)</f>
        <v>#REF!</v>
      </c>
      <c r="E50" t="e">
        <f>IF(AND(SUM(VLOOKUP($A50,'20Trips'!$A$3:$F$22,2,FALSE),VLOOKUP(E$1,'20Trips'!$A$3:$F$22,2,FALSE))&lt;'20Trips'!$AC$38,$A50&lt;&gt;E$1,#REF!=1),(VLOOKUP(E$1,'20Trips'!$A$3:$I$22,8,FALSE))-(VLOOKUP($A50,'20Trips'!$A$3:$I$22,9,FALSE))+'20Trips'!$B$24,0)</f>
        <v>#REF!</v>
      </c>
      <c r="F50" t="e">
        <f>IF(AND(SUM(VLOOKUP($A50,'20Trips'!$A$3:$F$22,2,FALSE),VLOOKUP(F$1,'20Trips'!$A$3:$F$22,2,FALSE))&lt;'20Trips'!$AC$38,$A50&lt;&gt;F$1,#REF!=1),(VLOOKUP(F$1,'20Trips'!$A$3:$I$22,8,FALSE))-(VLOOKUP($A50,'20Trips'!$A$3:$I$22,9,FALSE))+'20Trips'!$B$24,0)</f>
        <v>#REF!</v>
      </c>
      <c r="G50" t="e">
        <f>IF(AND(SUM(VLOOKUP($A50,'20Trips'!$A$3:$F$22,2,FALSE),VLOOKUP(G$1,'20Trips'!$A$3:$F$22,2,FALSE))&lt;'20Trips'!$AC$38,$A50&lt;&gt;G$1,#REF!=1),(VLOOKUP(G$1,'20Trips'!$A$3:$I$22,8,FALSE))-(VLOOKUP($A50,'20Trips'!$A$3:$I$22,9,FALSE))+'20Trips'!$B$24,0)</f>
        <v>#REF!</v>
      </c>
      <c r="H50" t="e">
        <f>IF(AND(SUM(VLOOKUP($A50,'20Trips'!$A$3:$F$22,2,FALSE),VLOOKUP(H$1,'20Trips'!$A$3:$F$22,2,FALSE))&lt;'20Trips'!$AC$38,$A50&lt;&gt;H$1,#REF!=1),(VLOOKUP(H$1,'20Trips'!$A$3:$I$22,8,FALSE))-(VLOOKUP($A50,'20Trips'!$A$3:$I$22,9,FALSE))+'20Trips'!$B$24,0)</f>
        <v>#REF!</v>
      </c>
      <c r="I50" t="e">
        <f>IF(AND(SUM(VLOOKUP($A50,'20Trips'!$A$3:$F$22,2,FALSE),VLOOKUP(I$1,'20Trips'!$A$3:$F$22,2,FALSE))&lt;'20Trips'!$AC$38,$A50&lt;&gt;I$1,#REF!=1),(VLOOKUP(I$1,'20Trips'!$A$3:$I$22,8,FALSE))-(VLOOKUP($A50,'20Trips'!$A$3:$I$22,9,FALSE))+'20Trips'!$B$24,0)</f>
        <v>#REF!</v>
      </c>
      <c r="J50" t="e">
        <f>IF(AND(SUM(VLOOKUP($A50,'20Trips'!$A$3:$F$22,2,FALSE),VLOOKUP(J$1,'20Trips'!$A$3:$F$22,2,FALSE))&lt;'20Trips'!$AC$38,$A50&lt;&gt;J$1,#REF!=1),(VLOOKUP(J$1,'20Trips'!$A$3:$I$22,8,FALSE))-(VLOOKUP($A50,'20Trips'!$A$3:$I$22,9,FALSE))+'20Trips'!$B$24,0)</f>
        <v>#REF!</v>
      </c>
      <c r="K50" t="e">
        <f>IF(AND(SUM(VLOOKUP($A50,'20Trips'!$A$3:$F$22,2,FALSE),VLOOKUP(K$1,'20Trips'!$A$3:$F$22,2,FALSE))&lt;'20Trips'!$AC$38,$A50&lt;&gt;K$1,#REF!=1),(VLOOKUP(K$1,'20Trips'!$A$3:$I$22,8,FALSE))-(VLOOKUP($A50,'20Trips'!$A$3:$I$22,9,FALSE))+'20Trips'!$B$24,0)</f>
        <v>#REF!</v>
      </c>
      <c r="L50" t="e">
        <f>IF(AND(SUM(VLOOKUP($A50,'20Trips'!$A$3:$F$22,2,FALSE),VLOOKUP(L$1,'20Trips'!$A$3:$F$22,2,FALSE))&lt;'20Trips'!$AC$38,$A50&lt;&gt;L$1,#REF!=1),(VLOOKUP(L$1,'20Trips'!$A$3:$I$22,8,FALSE))-(VLOOKUP($A50,'20Trips'!$A$3:$I$22,9,FALSE))+'20Trips'!$B$24,0)</f>
        <v>#REF!</v>
      </c>
      <c r="M50" t="e">
        <f>IF(AND(SUM(VLOOKUP($A50,'20Trips'!$A$3:$F$22,2,FALSE),VLOOKUP(M$1,'20Trips'!$A$3:$F$22,2,FALSE))&lt;'20Trips'!$AC$38,$A50&lt;&gt;M$1,#REF!=1),(VLOOKUP(M$1,'20Trips'!$A$3:$I$22,8,FALSE))-(VLOOKUP($A50,'20Trips'!$A$3:$I$22,9,FALSE))+'20Trips'!$B$24,0)</f>
        <v>#REF!</v>
      </c>
      <c r="N50" t="e">
        <f>IF(AND(SUM(VLOOKUP($A50,'20Trips'!$A$3:$F$22,2,FALSE),VLOOKUP(N$1,'20Trips'!$A$3:$F$22,2,FALSE))&lt;'20Trips'!$AC$38,$A50&lt;&gt;N$1,#REF!=1),(VLOOKUP(N$1,'20Trips'!$A$3:$I$22,8,FALSE))-(VLOOKUP($A50,'20Trips'!$A$3:$I$22,9,FALSE))+'20Trips'!$B$24,0)</f>
        <v>#REF!</v>
      </c>
      <c r="O50" t="e">
        <f>IF(AND(SUM(VLOOKUP($A50,'20Trips'!$A$3:$F$22,2,FALSE),VLOOKUP(O$1,'20Trips'!$A$3:$F$22,2,FALSE))&lt;'20Trips'!$AC$38,$A50&lt;&gt;O$1,#REF!=1),(VLOOKUP(O$1,'20Trips'!$A$3:$I$22,8,FALSE))-(VLOOKUP($A50,'20Trips'!$A$3:$I$22,9,FALSE))+'20Trips'!$B$24,0)</f>
        <v>#REF!</v>
      </c>
      <c r="P50" t="e">
        <f>IF(AND(SUM(VLOOKUP($A50,'20Trips'!$A$3:$F$22,2,FALSE),VLOOKUP(P$1,'20Trips'!$A$3:$F$22,2,FALSE))&lt;'20Trips'!$AC$38,$A50&lt;&gt;P$1,#REF!=1),(VLOOKUP(P$1,'20Trips'!$A$3:$I$22,8,FALSE))-(VLOOKUP($A50,'20Trips'!$A$3:$I$22,9,FALSE))+'20Trips'!$B$24,0)</f>
        <v>#REF!</v>
      </c>
      <c r="Q50" t="e">
        <f>IF(AND(SUM(VLOOKUP($A50,'20Trips'!$A$3:$F$22,2,FALSE),VLOOKUP(Q$1,'20Trips'!$A$3:$F$22,2,FALSE))&lt;'20Trips'!$AC$38,$A50&lt;&gt;Q$1,#REF!=1),(VLOOKUP(Q$1,'20Trips'!$A$3:$I$22,8,FALSE))-(VLOOKUP($A50,'20Trips'!$A$3:$I$22,9,FALSE))+'20Trips'!$B$24,0)</f>
        <v>#REF!</v>
      </c>
      <c r="R50" t="e">
        <f>IF(AND(SUM(VLOOKUP($A50,'20Trips'!$A$3:$F$22,2,FALSE),VLOOKUP(R$1,'20Trips'!$A$3:$F$22,2,FALSE))&lt;'20Trips'!$AC$38,$A50&lt;&gt;R$1,#REF!=1),(VLOOKUP(R$1,'20Trips'!$A$3:$I$22,8,FALSE))-(VLOOKUP($A50,'20Trips'!$A$3:$I$22,9,FALSE))+'20Trips'!$B$24,0)</f>
        <v>#REF!</v>
      </c>
      <c r="S50" t="e">
        <f>IF(AND(SUM(VLOOKUP($A50,'20Trips'!$A$3:$F$22,2,FALSE),VLOOKUP(S$1,'20Trips'!$A$3:$F$22,2,FALSE))&lt;'20Trips'!$AC$38,$A50&lt;&gt;S$1,#REF!=1),(VLOOKUP(S$1,'20Trips'!$A$3:$I$22,8,FALSE))-(VLOOKUP($A50,'20Trips'!$A$3:$I$22,9,FALSE))+'20Trips'!$B$24,0)</f>
        <v>#REF!</v>
      </c>
      <c r="T50" t="e">
        <f>IF(AND(SUM(VLOOKUP($A50,'20Trips'!$A$3:$F$22,2,FALSE),VLOOKUP(T$1,'20Trips'!$A$3:$F$22,2,FALSE))&lt;'20Trips'!$AC$38,$A50&lt;&gt;T$1,#REF!=1),(VLOOKUP(T$1,'20Trips'!$A$3:$I$22,8,FALSE))-(VLOOKUP($A50,'20Trips'!$A$3:$I$22,9,FALSE))+'20Trips'!$B$24,0)</f>
        <v>#REF!</v>
      </c>
      <c r="U50" t="e">
        <f>IF(AND(SUM(VLOOKUP($A50,'20Trips'!$A$3:$F$22,2,FALSE),VLOOKUP(U$1,'20Trips'!$A$3:$F$22,2,FALSE))&lt;'20Trips'!$AC$38,$A50&lt;&gt;U$1,#REF!=1),(VLOOKUP(U$1,'20Trips'!$A$3:$I$22,8,FALSE))-(VLOOKUP($A50,'20Trips'!$A$3:$I$22,9,FALSE))+'20Trips'!$B$24,0)</f>
        <v>#REF!</v>
      </c>
      <c r="V50" t="e">
        <f>IF(AND(SUM(VLOOKUP($A50,'20Trips'!$A$3:$F$22,2,FALSE),VLOOKUP(V$1,'20Trips'!$A$3:$F$22,2,FALSE))&lt;'20Trips'!$AC$38,$A50&lt;&gt;V$1,#REF!=1),(VLOOKUP(V$1,'20Trips'!$A$3:$I$22,8,FALSE))-(VLOOKUP($A50,'20Trips'!$A$3:$I$22,9,FALSE))+'20Trips'!$B$24,0)</f>
        <v>#REF!</v>
      </c>
    </row>
    <row r="51" spans="1:22" x14ac:dyDescent="0.25">
      <c r="A51" t="s">
        <v>20</v>
      </c>
      <c r="B51">
        <v>0</v>
      </c>
      <c r="C51" t="e">
        <f>IF(AND(SUM(VLOOKUP($A51,'20Trips'!$A$3:$F$22,2,FALSE),VLOOKUP(C$1,'20Trips'!$A$3:$F$22,2,FALSE))&lt;'20Trips'!$AC$38,$A51&lt;&gt;C$1,#REF!=1),(VLOOKUP(C$1,'20Trips'!$A$3:$I$22,8,FALSE))-(VLOOKUP($A51,'20Trips'!$A$3:$I$22,9,FALSE))+'20Trips'!$B$24,0)</f>
        <v>#REF!</v>
      </c>
      <c r="D51" t="e">
        <f>IF(AND(SUM(VLOOKUP($A51,'20Trips'!$A$3:$F$22,2,FALSE),VLOOKUP(D$1,'20Trips'!$A$3:$F$22,2,FALSE))&lt;'20Trips'!$AC$38,$A51&lt;&gt;D$1,#REF!=1),(VLOOKUP(D$1,'20Trips'!$A$3:$I$22,8,FALSE))-(VLOOKUP($A51,'20Trips'!$A$3:$I$22,9,FALSE))+'20Trips'!$B$24,0)</f>
        <v>#REF!</v>
      </c>
      <c r="E51" t="e">
        <f>IF(AND(SUM(VLOOKUP($A51,'20Trips'!$A$3:$F$22,2,FALSE),VLOOKUP(E$1,'20Trips'!$A$3:$F$22,2,FALSE))&lt;'20Trips'!$AC$38,$A51&lt;&gt;E$1,#REF!=1),(VLOOKUP(E$1,'20Trips'!$A$3:$I$22,8,FALSE))-(VLOOKUP($A51,'20Trips'!$A$3:$I$22,9,FALSE))+'20Trips'!$B$24,0)</f>
        <v>#REF!</v>
      </c>
      <c r="F51" t="e">
        <f>IF(AND(SUM(VLOOKUP($A51,'20Trips'!$A$3:$F$22,2,FALSE),VLOOKUP(F$1,'20Trips'!$A$3:$F$22,2,FALSE))&lt;'20Trips'!$AC$38,$A51&lt;&gt;F$1,#REF!=1),(VLOOKUP(F$1,'20Trips'!$A$3:$I$22,8,FALSE))-(VLOOKUP($A51,'20Trips'!$A$3:$I$22,9,FALSE))+'20Trips'!$B$24,0)</f>
        <v>#REF!</v>
      </c>
      <c r="G51" t="e">
        <f>IF(AND(SUM(VLOOKUP($A51,'20Trips'!$A$3:$F$22,2,FALSE),VLOOKUP(G$1,'20Trips'!$A$3:$F$22,2,FALSE))&lt;'20Trips'!$AC$38,$A51&lt;&gt;G$1,#REF!=1),(VLOOKUP(G$1,'20Trips'!$A$3:$I$22,8,FALSE))-(VLOOKUP($A51,'20Trips'!$A$3:$I$22,9,FALSE))+'20Trips'!$B$24,0)</f>
        <v>#REF!</v>
      </c>
      <c r="H51" t="e">
        <f>IF(AND(SUM(VLOOKUP($A51,'20Trips'!$A$3:$F$22,2,FALSE),VLOOKUP(H$1,'20Trips'!$A$3:$F$22,2,FALSE))&lt;'20Trips'!$AC$38,$A51&lt;&gt;H$1,#REF!=1),(VLOOKUP(H$1,'20Trips'!$A$3:$I$22,8,FALSE))-(VLOOKUP($A51,'20Trips'!$A$3:$I$22,9,FALSE))+'20Trips'!$B$24,0)</f>
        <v>#REF!</v>
      </c>
      <c r="I51" t="e">
        <f>IF(AND(SUM(VLOOKUP($A51,'20Trips'!$A$3:$F$22,2,FALSE),VLOOKUP(I$1,'20Trips'!$A$3:$F$22,2,FALSE))&lt;'20Trips'!$AC$38,$A51&lt;&gt;I$1,#REF!=1),(VLOOKUP(I$1,'20Trips'!$A$3:$I$22,8,FALSE))-(VLOOKUP($A51,'20Trips'!$A$3:$I$22,9,FALSE))+'20Trips'!$B$24,0)</f>
        <v>#REF!</v>
      </c>
      <c r="J51" t="e">
        <f>IF(AND(SUM(VLOOKUP($A51,'20Trips'!$A$3:$F$22,2,FALSE),VLOOKUP(J$1,'20Trips'!$A$3:$F$22,2,FALSE))&lt;'20Trips'!$AC$38,$A51&lt;&gt;J$1,#REF!=1),(VLOOKUP(J$1,'20Trips'!$A$3:$I$22,8,FALSE))-(VLOOKUP($A51,'20Trips'!$A$3:$I$22,9,FALSE))+'20Trips'!$B$24,0)</f>
        <v>#REF!</v>
      </c>
      <c r="K51" t="e">
        <f>IF(AND(SUM(VLOOKUP($A51,'20Trips'!$A$3:$F$22,2,FALSE),VLOOKUP(K$1,'20Trips'!$A$3:$F$22,2,FALSE))&lt;'20Trips'!$AC$38,$A51&lt;&gt;K$1,#REF!=1),(VLOOKUP(K$1,'20Trips'!$A$3:$I$22,8,FALSE))-(VLOOKUP($A51,'20Trips'!$A$3:$I$22,9,FALSE))+'20Trips'!$B$24,0)</f>
        <v>#REF!</v>
      </c>
      <c r="L51" t="e">
        <f>IF(AND(SUM(VLOOKUP($A51,'20Trips'!$A$3:$F$22,2,FALSE),VLOOKUP(L$1,'20Trips'!$A$3:$F$22,2,FALSE))&lt;'20Trips'!$AC$38,$A51&lt;&gt;L$1,#REF!=1),(VLOOKUP(L$1,'20Trips'!$A$3:$I$22,8,FALSE))-(VLOOKUP($A51,'20Trips'!$A$3:$I$22,9,FALSE))+'20Trips'!$B$24,0)</f>
        <v>#REF!</v>
      </c>
      <c r="M51" t="e">
        <f>IF(AND(SUM(VLOOKUP($A51,'20Trips'!$A$3:$F$22,2,FALSE),VLOOKUP(M$1,'20Trips'!$A$3:$F$22,2,FALSE))&lt;'20Trips'!$AC$38,$A51&lt;&gt;M$1,#REF!=1),(VLOOKUP(M$1,'20Trips'!$A$3:$I$22,8,FALSE))-(VLOOKUP($A51,'20Trips'!$A$3:$I$22,9,FALSE))+'20Trips'!$B$24,0)</f>
        <v>#REF!</v>
      </c>
      <c r="N51" t="e">
        <f>IF(AND(SUM(VLOOKUP($A51,'20Trips'!$A$3:$F$22,2,FALSE),VLOOKUP(N$1,'20Trips'!$A$3:$F$22,2,FALSE))&lt;'20Trips'!$AC$38,$A51&lt;&gt;N$1,#REF!=1),(VLOOKUP(N$1,'20Trips'!$A$3:$I$22,8,FALSE))-(VLOOKUP($A51,'20Trips'!$A$3:$I$22,9,FALSE))+'20Trips'!$B$24,0)</f>
        <v>#REF!</v>
      </c>
      <c r="O51" t="e">
        <f>IF(AND(SUM(VLOOKUP($A51,'20Trips'!$A$3:$F$22,2,FALSE),VLOOKUP(O$1,'20Trips'!$A$3:$F$22,2,FALSE))&lt;'20Trips'!$AC$38,$A51&lt;&gt;O$1,#REF!=1),(VLOOKUP(O$1,'20Trips'!$A$3:$I$22,8,FALSE))-(VLOOKUP($A51,'20Trips'!$A$3:$I$22,9,FALSE))+'20Trips'!$B$24,0)</f>
        <v>#REF!</v>
      </c>
      <c r="P51" t="e">
        <f>IF(AND(SUM(VLOOKUP($A51,'20Trips'!$A$3:$F$22,2,FALSE),VLOOKUP(P$1,'20Trips'!$A$3:$F$22,2,FALSE))&lt;'20Trips'!$AC$38,$A51&lt;&gt;P$1,#REF!=1),(VLOOKUP(P$1,'20Trips'!$A$3:$I$22,8,FALSE))-(VLOOKUP($A51,'20Trips'!$A$3:$I$22,9,FALSE))+'20Trips'!$B$24,0)</f>
        <v>#REF!</v>
      </c>
      <c r="Q51" t="e">
        <f>IF(AND(SUM(VLOOKUP($A51,'20Trips'!$A$3:$F$22,2,FALSE),VLOOKUP(Q$1,'20Trips'!$A$3:$F$22,2,FALSE))&lt;'20Trips'!$AC$38,$A51&lt;&gt;Q$1,#REF!=1),(VLOOKUP(Q$1,'20Trips'!$A$3:$I$22,8,FALSE))-(VLOOKUP($A51,'20Trips'!$A$3:$I$22,9,FALSE))+'20Trips'!$B$24,0)</f>
        <v>#REF!</v>
      </c>
      <c r="R51" t="e">
        <f>IF(AND(SUM(VLOOKUP($A51,'20Trips'!$A$3:$F$22,2,FALSE),VLOOKUP(R$1,'20Trips'!$A$3:$F$22,2,FALSE))&lt;'20Trips'!$AC$38,$A51&lt;&gt;R$1,#REF!=1),(VLOOKUP(R$1,'20Trips'!$A$3:$I$22,8,FALSE))-(VLOOKUP($A51,'20Trips'!$A$3:$I$22,9,FALSE))+'20Trips'!$B$24,0)</f>
        <v>#REF!</v>
      </c>
      <c r="S51" t="e">
        <f>IF(AND(SUM(VLOOKUP($A51,'20Trips'!$A$3:$F$22,2,FALSE),VLOOKUP(S$1,'20Trips'!$A$3:$F$22,2,FALSE))&lt;'20Trips'!$AC$38,$A51&lt;&gt;S$1,#REF!=1),(VLOOKUP(S$1,'20Trips'!$A$3:$I$22,8,FALSE))-(VLOOKUP($A51,'20Trips'!$A$3:$I$22,9,FALSE))+'20Trips'!$B$24,0)</f>
        <v>#REF!</v>
      </c>
      <c r="T51" t="e">
        <f>IF(AND(SUM(VLOOKUP($A51,'20Trips'!$A$3:$F$22,2,FALSE),VLOOKUP(T$1,'20Trips'!$A$3:$F$22,2,FALSE))&lt;'20Trips'!$AC$38,$A51&lt;&gt;T$1,#REF!=1),(VLOOKUP(T$1,'20Trips'!$A$3:$I$22,8,FALSE))-(VLOOKUP($A51,'20Trips'!$A$3:$I$22,9,FALSE))+'20Trips'!$B$24,0)</f>
        <v>#REF!</v>
      </c>
      <c r="U51" t="e">
        <f>IF(AND(SUM(VLOOKUP($A51,'20Trips'!$A$3:$F$22,2,FALSE),VLOOKUP(U$1,'20Trips'!$A$3:$F$22,2,FALSE))&lt;'20Trips'!$AC$38,$A51&lt;&gt;U$1,#REF!=1),(VLOOKUP(U$1,'20Trips'!$A$3:$I$22,8,FALSE))-(VLOOKUP($A51,'20Trips'!$A$3:$I$22,9,FALSE))+'20Trips'!$B$24,0)</f>
        <v>#REF!</v>
      </c>
      <c r="V51" t="e">
        <f>IF(AND(SUM(VLOOKUP($A51,'20Trips'!$A$3:$F$22,2,FALSE),VLOOKUP(V$1,'20Trips'!$A$3:$F$22,2,FALSE))&lt;'20Trips'!$AC$38,$A51&lt;&gt;V$1,#REF!=1),(VLOOKUP(V$1,'20Trips'!$A$3:$I$22,8,FALSE))-(VLOOKUP($A51,'20Trips'!$A$3:$I$22,9,FALSE))+'20Trips'!$B$24,0)</f>
        <v>#REF!</v>
      </c>
    </row>
    <row r="52" spans="1:22" x14ac:dyDescent="0.25">
      <c r="A52" t="s">
        <v>21</v>
      </c>
      <c r="B52">
        <v>0</v>
      </c>
      <c r="C52" t="e">
        <f>IF(AND(SUM(VLOOKUP($A52,'20Trips'!$A$3:$F$22,2,FALSE),VLOOKUP(C$1,'20Trips'!$A$3:$F$22,2,FALSE))&lt;'20Trips'!$AC$38,$A52&lt;&gt;C$1,#REF!=1),(VLOOKUP(C$1,'20Trips'!$A$3:$I$22,8,FALSE))-(VLOOKUP($A52,'20Trips'!$A$3:$I$22,9,FALSE))+'20Trips'!$B$24,0)</f>
        <v>#REF!</v>
      </c>
      <c r="D52" t="e">
        <f>IF(AND(SUM(VLOOKUP($A52,'20Trips'!$A$3:$F$22,2,FALSE),VLOOKUP(D$1,'20Trips'!$A$3:$F$22,2,FALSE))&lt;'20Trips'!$AC$38,$A52&lt;&gt;D$1,#REF!=1),(VLOOKUP(D$1,'20Trips'!$A$3:$I$22,8,FALSE))-(VLOOKUP($A52,'20Trips'!$A$3:$I$22,9,FALSE))+'20Trips'!$B$24,0)</f>
        <v>#REF!</v>
      </c>
      <c r="E52" t="e">
        <f>IF(AND(SUM(VLOOKUP($A52,'20Trips'!$A$3:$F$22,2,FALSE),VLOOKUP(E$1,'20Trips'!$A$3:$F$22,2,FALSE))&lt;'20Trips'!$AC$38,$A52&lt;&gt;E$1,#REF!=1),(VLOOKUP(E$1,'20Trips'!$A$3:$I$22,8,FALSE))-(VLOOKUP($A52,'20Trips'!$A$3:$I$22,9,FALSE))+'20Trips'!$B$24,0)</f>
        <v>#REF!</v>
      </c>
      <c r="F52" t="e">
        <f>IF(AND(SUM(VLOOKUP($A52,'20Trips'!$A$3:$F$22,2,FALSE),VLOOKUP(F$1,'20Trips'!$A$3:$F$22,2,FALSE))&lt;'20Trips'!$AC$38,$A52&lt;&gt;F$1,#REF!=1),(VLOOKUP(F$1,'20Trips'!$A$3:$I$22,8,FALSE))-(VLOOKUP($A52,'20Trips'!$A$3:$I$22,9,FALSE))+'20Trips'!$B$24,0)</f>
        <v>#REF!</v>
      </c>
      <c r="G52" t="e">
        <f>IF(AND(SUM(VLOOKUP($A52,'20Trips'!$A$3:$F$22,2,FALSE),VLOOKUP(G$1,'20Trips'!$A$3:$F$22,2,FALSE))&lt;'20Trips'!$AC$38,$A52&lt;&gt;G$1,#REF!=1),(VLOOKUP(G$1,'20Trips'!$A$3:$I$22,8,FALSE))-(VLOOKUP($A52,'20Trips'!$A$3:$I$22,9,FALSE))+'20Trips'!$B$24,0)</f>
        <v>#REF!</v>
      </c>
      <c r="H52" t="e">
        <f>IF(AND(SUM(VLOOKUP($A52,'20Trips'!$A$3:$F$22,2,FALSE),VLOOKUP(H$1,'20Trips'!$A$3:$F$22,2,FALSE))&lt;'20Trips'!$AC$38,$A52&lt;&gt;H$1,#REF!=1),(VLOOKUP(H$1,'20Trips'!$A$3:$I$22,8,FALSE))-(VLOOKUP($A52,'20Trips'!$A$3:$I$22,9,FALSE))+'20Trips'!$B$24,0)</f>
        <v>#REF!</v>
      </c>
      <c r="I52" t="e">
        <f>IF(AND(SUM(VLOOKUP($A52,'20Trips'!$A$3:$F$22,2,FALSE),VLOOKUP(I$1,'20Trips'!$A$3:$F$22,2,FALSE))&lt;'20Trips'!$AC$38,$A52&lt;&gt;I$1,#REF!=1),(VLOOKUP(I$1,'20Trips'!$A$3:$I$22,8,FALSE))-(VLOOKUP($A52,'20Trips'!$A$3:$I$22,9,FALSE))+'20Trips'!$B$24,0)</f>
        <v>#REF!</v>
      </c>
      <c r="J52" t="e">
        <f>IF(AND(SUM(VLOOKUP($A52,'20Trips'!$A$3:$F$22,2,FALSE),VLOOKUP(J$1,'20Trips'!$A$3:$F$22,2,FALSE))&lt;'20Trips'!$AC$38,$A52&lt;&gt;J$1,#REF!=1),(VLOOKUP(J$1,'20Trips'!$A$3:$I$22,8,FALSE))-(VLOOKUP($A52,'20Trips'!$A$3:$I$22,9,FALSE))+'20Trips'!$B$24,0)</f>
        <v>#REF!</v>
      </c>
      <c r="K52" t="e">
        <f>IF(AND(SUM(VLOOKUP($A52,'20Trips'!$A$3:$F$22,2,FALSE),VLOOKUP(K$1,'20Trips'!$A$3:$F$22,2,FALSE))&lt;'20Trips'!$AC$38,$A52&lt;&gt;K$1,#REF!=1),(VLOOKUP(K$1,'20Trips'!$A$3:$I$22,8,FALSE))-(VLOOKUP($A52,'20Trips'!$A$3:$I$22,9,FALSE))+'20Trips'!$B$24,0)</f>
        <v>#REF!</v>
      </c>
      <c r="L52" t="e">
        <f>IF(AND(SUM(VLOOKUP($A52,'20Trips'!$A$3:$F$22,2,FALSE),VLOOKUP(L$1,'20Trips'!$A$3:$F$22,2,FALSE))&lt;'20Trips'!$AC$38,$A52&lt;&gt;L$1,#REF!=1),(VLOOKUP(L$1,'20Trips'!$A$3:$I$22,8,FALSE))-(VLOOKUP($A52,'20Trips'!$A$3:$I$22,9,FALSE))+'20Trips'!$B$24,0)</f>
        <v>#REF!</v>
      </c>
      <c r="M52" t="e">
        <f>IF(AND(SUM(VLOOKUP($A52,'20Trips'!$A$3:$F$22,2,FALSE),VLOOKUP(M$1,'20Trips'!$A$3:$F$22,2,FALSE))&lt;'20Trips'!$AC$38,$A52&lt;&gt;M$1,#REF!=1),(VLOOKUP(M$1,'20Trips'!$A$3:$I$22,8,FALSE))-(VLOOKUP($A52,'20Trips'!$A$3:$I$22,9,FALSE))+'20Trips'!$B$24,0)</f>
        <v>#REF!</v>
      </c>
      <c r="N52" t="e">
        <f>IF(AND(SUM(VLOOKUP($A52,'20Trips'!$A$3:$F$22,2,FALSE),VLOOKUP(N$1,'20Trips'!$A$3:$F$22,2,FALSE))&lt;'20Trips'!$AC$38,$A52&lt;&gt;N$1,#REF!=1),(VLOOKUP(N$1,'20Trips'!$A$3:$I$22,8,FALSE))-(VLOOKUP($A52,'20Trips'!$A$3:$I$22,9,FALSE))+'20Trips'!$B$24,0)</f>
        <v>#REF!</v>
      </c>
      <c r="O52" t="e">
        <f>IF(AND(SUM(VLOOKUP($A52,'20Trips'!$A$3:$F$22,2,FALSE),VLOOKUP(O$1,'20Trips'!$A$3:$F$22,2,FALSE))&lt;'20Trips'!$AC$38,$A52&lt;&gt;O$1,#REF!=1),(VLOOKUP(O$1,'20Trips'!$A$3:$I$22,8,FALSE))-(VLOOKUP($A52,'20Trips'!$A$3:$I$22,9,FALSE))+'20Trips'!$B$24,0)</f>
        <v>#REF!</v>
      </c>
      <c r="P52" t="e">
        <f>IF(AND(SUM(VLOOKUP($A52,'20Trips'!$A$3:$F$22,2,FALSE),VLOOKUP(P$1,'20Trips'!$A$3:$F$22,2,FALSE))&lt;'20Trips'!$AC$38,$A52&lt;&gt;P$1,#REF!=1),(VLOOKUP(P$1,'20Trips'!$A$3:$I$22,8,FALSE))-(VLOOKUP($A52,'20Trips'!$A$3:$I$22,9,FALSE))+'20Trips'!$B$24,0)</f>
        <v>#REF!</v>
      </c>
      <c r="Q52" t="e">
        <f>IF(AND(SUM(VLOOKUP($A52,'20Trips'!$A$3:$F$22,2,FALSE),VLOOKUP(Q$1,'20Trips'!$A$3:$F$22,2,FALSE))&lt;'20Trips'!$AC$38,$A52&lt;&gt;Q$1,#REF!=1),(VLOOKUP(Q$1,'20Trips'!$A$3:$I$22,8,FALSE))-(VLOOKUP($A52,'20Trips'!$A$3:$I$22,9,FALSE))+'20Trips'!$B$24,0)</f>
        <v>#REF!</v>
      </c>
      <c r="R52" t="e">
        <f>IF(AND(SUM(VLOOKUP($A52,'20Trips'!$A$3:$F$22,2,FALSE),VLOOKUP(R$1,'20Trips'!$A$3:$F$22,2,FALSE))&lt;'20Trips'!$AC$38,$A52&lt;&gt;R$1,#REF!=1),(VLOOKUP(R$1,'20Trips'!$A$3:$I$22,8,FALSE))-(VLOOKUP($A52,'20Trips'!$A$3:$I$22,9,FALSE))+'20Trips'!$B$24,0)</f>
        <v>#REF!</v>
      </c>
      <c r="S52" t="e">
        <f>IF(AND(SUM(VLOOKUP($A52,'20Trips'!$A$3:$F$22,2,FALSE),VLOOKUP(S$1,'20Trips'!$A$3:$F$22,2,FALSE))&lt;'20Trips'!$AC$38,$A52&lt;&gt;S$1,#REF!=1),(VLOOKUP(S$1,'20Trips'!$A$3:$I$22,8,FALSE))-(VLOOKUP($A52,'20Trips'!$A$3:$I$22,9,FALSE))+'20Trips'!$B$24,0)</f>
        <v>#REF!</v>
      </c>
      <c r="T52" t="e">
        <f>IF(AND(SUM(VLOOKUP($A52,'20Trips'!$A$3:$F$22,2,FALSE),VLOOKUP(T$1,'20Trips'!$A$3:$F$22,2,FALSE))&lt;'20Trips'!$AC$38,$A52&lt;&gt;T$1,#REF!=1),(VLOOKUP(T$1,'20Trips'!$A$3:$I$22,8,FALSE))-(VLOOKUP($A52,'20Trips'!$A$3:$I$22,9,FALSE))+'20Trips'!$B$24,0)</f>
        <v>#REF!</v>
      </c>
      <c r="U52" t="e">
        <f>IF(AND(SUM(VLOOKUP($A52,'20Trips'!$A$3:$F$22,2,FALSE),VLOOKUP(U$1,'20Trips'!$A$3:$F$22,2,FALSE))&lt;'20Trips'!$AC$38,$A52&lt;&gt;U$1,#REF!=1),(VLOOKUP(U$1,'20Trips'!$A$3:$I$22,8,FALSE))-(VLOOKUP($A52,'20Trips'!$A$3:$I$22,9,FALSE))+'20Trips'!$B$24,0)</f>
        <v>#REF!</v>
      </c>
      <c r="V52" t="e">
        <f>IF(AND(SUM(VLOOKUP($A52,'20Trips'!$A$3:$F$22,2,FALSE),VLOOKUP(V$1,'20Trips'!$A$3:$F$22,2,FALSE))&lt;'20Trips'!$AC$38,$A52&lt;&gt;V$1,#REF!=1),(VLOOKUP(V$1,'20Trips'!$A$3:$I$22,8,FALSE))-(VLOOKUP($A52,'20Trips'!$A$3:$I$22,9,FALSE))+'20Trips'!$B$24,0)</f>
        <v>#REF!</v>
      </c>
    </row>
    <row r="53" spans="1:22" x14ac:dyDescent="0.25">
      <c r="A53" t="s">
        <v>22</v>
      </c>
      <c r="B53">
        <v>0</v>
      </c>
      <c r="C53" t="e">
        <f>IF(AND(SUM(VLOOKUP($A53,'20Trips'!$A$3:$F$22,2,FALSE),VLOOKUP(C$1,'20Trips'!$A$3:$F$22,2,FALSE))&lt;'20Trips'!$AC$38,$A53&lt;&gt;C$1,#REF!=1),(VLOOKUP(C$1,'20Trips'!$A$3:$I$22,8,FALSE))-(VLOOKUP($A53,'20Trips'!$A$3:$I$22,9,FALSE))+'20Trips'!$B$24,0)</f>
        <v>#REF!</v>
      </c>
      <c r="D53" t="e">
        <f>IF(AND(SUM(VLOOKUP($A53,'20Trips'!$A$3:$F$22,2,FALSE),VLOOKUP(D$1,'20Trips'!$A$3:$F$22,2,FALSE))&lt;'20Trips'!$AC$38,$A53&lt;&gt;D$1,#REF!=1),(VLOOKUP(D$1,'20Trips'!$A$3:$I$22,8,FALSE))-(VLOOKUP($A53,'20Trips'!$A$3:$I$22,9,FALSE))+'20Trips'!$B$24,0)</f>
        <v>#REF!</v>
      </c>
      <c r="E53" t="e">
        <f>IF(AND(SUM(VLOOKUP($A53,'20Trips'!$A$3:$F$22,2,FALSE),VLOOKUP(E$1,'20Trips'!$A$3:$F$22,2,FALSE))&lt;'20Trips'!$AC$38,$A53&lt;&gt;E$1,#REF!=1),(VLOOKUP(E$1,'20Trips'!$A$3:$I$22,8,FALSE))-(VLOOKUP($A53,'20Trips'!$A$3:$I$22,9,FALSE))+'20Trips'!$B$24,0)</f>
        <v>#REF!</v>
      </c>
      <c r="F53" t="e">
        <f>IF(AND(SUM(VLOOKUP($A53,'20Trips'!$A$3:$F$22,2,FALSE),VLOOKUP(F$1,'20Trips'!$A$3:$F$22,2,FALSE))&lt;'20Trips'!$AC$38,$A53&lt;&gt;F$1,#REF!=1),(VLOOKUP(F$1,'20Trips'!$A$3:$I$22,8,FALSE))-(VLOOKUP($A53,'20Trips'!$A$3:$I$22,9,FALSE))+'20Trips'!$B$24,0)</f>
        <v>#REF!</v>
      </c>
      <c r="G53" t="e">
        <f>IF(AND(SUM(VLOOKUP($A53,'20Trips'!$A$3:$F$22,2,FALSE),VLOOKUP(G$1,'20Trips'!$A$3:$F$22,2,FALSE))&lt;'20Trips'!$AC$38,$A53&lt;&gt;G$1,#REF!=1),(VLOOKUP(G$1,'20Trips'!$A$3:$I$22,8,FALSE))-(VLOOKUP($A53,'20Trips'!$A$3:$I$22,9,FALSE))+'20Trips'!$B$24,0)</f>
        <v>#REF!</v>
      </c>
      <c r="H53" t="e">
        <f>IF(AND(SUM(VLOOKUP($A53,'20Trips'!$A$3:$F$22,2,FALSE),VLOOKUP(H$1,'20Trips'!$A$3:$F$22,2,FALSE))&lt;'20Trips'!$AC$38,$A53&lt;&gt;H$1,#REF!=1),(VLOOKUP(H$1,'20Trips'!$A$3:$I$22,8,FALSE))-(VLOOKUP($A53,'20Trips'!$A$3:$I$22,9,FALSE))+'20Trips'!$B$24,0)</f>
        <v>#REF!</v>
      </c>
      <c r="I53" t="e">
        <f>IF(AND(SUM(VLOOKUP($A53,'20Trips'!$A$3:$F$22,2,FALSE),VLOOKUP(I$1,'20Trips'!$A$3:$F$22,2,FALSE))&lt;'20Trips'!$AC$38,$A53&lt;&gt;I$1,#REF!=1),(VLOOKUP(I$1,'20Trips'!$A$3:$I$22,8,FALSE))-(VLOOKUP($A53,'20Trips'!$A$3:$I$22,9,FALSE))+'20Trips'!$B$24,0)</f>
        <v>#REF!</v>
      </c>
      <c r="J53" t="e">
        <f>IF(AND(SUM(VLOOKUP($A53,'20Trips'!$A$3:$F$22,2,FALSE),VLOOKUP(J$1,'20Trips'!$A$3:$F$22,2,FALSE))&lt;'20Trips'!$AC$38,$A53&lt;&gt;J$1,#REF!=1),(VLOOKUP(J$1,'20Trips'!$A$3:$I$22,8,FALSE))-(VLOOKUP($A53,'20Trips'!$A$3:$I$22,9,FALSE))+'20Trips'!$B$24,0)</f>
        <v>#REF!</v>
      </c>
      <c r="K53" t="e">
        <f>IF(AND(SUM(VLOOKUP($A53,'20Trips'!$A$3:$F$22,2,FALSE),VLOOKUP(K$1,'20Trips'!$A$3:$F$22,2,FALSE))&lt;'20Trips'!$AC$38,$A53&lt;&gt;K$1,#REF!=1),(VLOOKUP(K$1,'20Trips'!$A$3:$I$22,8,FALSE))-(VLOOKUP($A53,'20Trips'!$A$3:$I$22,9,FALSE))+'20Trips'!$B$24,0)</f>
        <v>#REF!</v>
      </c>
      <c r="L53" t="e">
        <f>IF(AND(SUM(VLOOKUP($A53,'20Trips'!$A$3:$F$22,2,FALSE),VLOOKUP(L$1,'20Trips'!$A$3:$F$22,2,FALSE))&lt;'20Trips'!$AC$38,$A53&lt;&gt;L$1,#REF!=1),(VLOOKUP(L$1,'20Trips'!$A$3:$I$22,8,FALSE))-(VLOOKUP($A53,'20Trips'!$A$3:$I$22,9,FALSE))+'20Trips'!$B$24,0)</f>
        <v>#REF!</v>
      </c>
      <c r="M53" t="e">
        <f>IF(AND(SUM(VLOOKUP($A53,'20Trips'!$A$3:$F$22,2,FALSE),VLOOKUP(M$1,'20Trips'!$A$3:$F$22,2,FALSE))&lt;'20Trips'!$AC$38,$A53&lt;&gt;M$1,#REF!=1),(VLOOKUP(M$1,'20Trips'!$A$3:$I$22,8,FALSE))-(VLOOKUP($A53,'20Trips'!$A$3:$I$22,9,FALSE))+'20Trips'!$B$24,0)</f>
        <v>#REF!</v>
      </c>
      <c r="N53" t="e">
        <f>IF(AND(SUM(VLOOKUP($A53,'20Trips'!$A$3:$F$22,2,FALSE),VLOOKUP(N$1,'20Trips'!$A$3:$F$22,2,FALSE))&lt;'20Trips'!$AC$38,$A53&lt;&gt;N$1,#REF!=1),(VLOOKUP(N$1,'20Trips'!$A$3:$I$22,8,FALSE))-(VLOOKUP($A53,'20Trips'!$A$3:$I$22,9,FALSE))+'20Trips'!$B$24,0)</f>
        <v>#REF!</v>
      </c>
      <c r="O53" t="e">
        <f>IF(AND(SUM(VLOOKUP($A53,'20Trips'!$A$3:$F$22,2,FALSE),VLOOKUP(O$1,'20Trips'!$A$3:$F$22,2,FALSE))&lt;'20Trips'!$AC$38,$A53&lt;&gt;O$1,#REF!=1),(VLOOKUP(O$1,'20Trips'!$A$3:$I$22,8,FALSE))-(VLOOKUP($A53,'20Trips'!$A$3:$I$22,9,FALSE))+'20Trips'!$B$24,0)</f>
        <v>#REF!</v>
      </c>
      <c r="P53" t="e">
        <f>IF(AND(SUM(VLOOKUP($A53,'20Trips'!$A$3:$F$22,2,FALSE),VLOOKUP(P$1,'20Trips'!$A$3:$F$22,2,FALSE))&lt;'20Trips'!$AC$38,$A53&lt;&gt;P$1,#REF!=1),(VLOOKUP(P$1,'20Trips'!$A$3:$I$22,8,FALSE))-(VLOOKUP($A53,'20Trips'!$A$3:$I$22,9,FALSE))+'20Trips'!$B$24,0)</f>
        <v>#REF!</v>
      </c>
      <c r="Q53" t="e">
        <f>IF(AND(SUM(VLOOKUP($A53,'20Trips'!$A$3:$F$22,2,FALSE),VLOOKUP(Q$1,'20Trips'!$A$3:$F$22,2,FALSE))&lt;'20Trips'!$AC$38,$A53&lt;&gt;Q$1,#REF!=1),(VLOOKUP(Q$1,'20Trips'!$A$3:$I$22,8,FALSE))-(VLOOKUP($A53,'20Trips'!$A$3:$I$22,9,FALSE))+'20Trips'!$B$24,0)</f>
        <v>#REF!</v>
      </c>
      <c r="R53" t="e">
        <f>IF(AND(SUM(VLOOKUP($A53,'20Trips'!$A$3:$F$22,2,FALSE),VLOOKUP(R$1,'20Trips'!$A$3:$F$22,2,FALSE))&lt;'20Trips'!$AC$38,$A53&lt;&gt;R$1,#REF!=1),(VLOOKUP(R$1,'20Trips'!$A$3:$I$22,8,FALSE))-(VLOOKUP($A53,'20Trips'!$A$3:$I$22,9,FALSE))+'20Trips'!$B$24,0)</f>
        <v>#REF!</v>
      </c>
      <c r="S53" t="e">
        <f>IF(AND(SUM(VLOOKUP($A53,'20Trips'!$A$3:$F$22,2,FALSE),VLOOKUP(S$1,'20Trips'!$A$3:$F$22,2,FALSE))&lt;'20Trips'!$AC$38,$A53&lt;&gt;S$1,#REF!=1),(VLOOKUP(S$1,'20Trips'!$A$3:$I$22,8,FALSE))-(VLOOKUP($A53,'20Trips'!$A$3:$I$22,9,FALSE))+'20Trips'!$B$24,0)</f>
        <v>#REF!</v>
      </c>
      <c r="T53" t="e">
        <f>IF(AND(SUM(VLOOKUP($A53,'20Trips'!$A$3:$F$22,2,FALSE),VLOOKUP(T$1,'20Trips'!$A$3:$F$22,2,FALSE))&lt;'20Trips'!$AC$38,$A53&lt;&gt;T$1,#REF!=1),(VLOOKUP(T$1,'20Trips'!$A$3:$I$22,8,FALSE))-(VLOOKUP($A53,'20Trips'!$A$3:$I$22,9,FALSE))+'20Trips'!$B$24,0)</f>
        <v>#REF!</v>
      </c>
      <c r="U53" t="e">
        <f>IF(AND(SUM(VLOOKUP($A53,'20Trips'!$A$3:$F$22,2,FALSE),VLOOKUP(U$1,'20Trips'!$A$3:$F$22,2,FALSE))&lt;'20Trips'!$AC$38,$A53&lt;&gt;U$1,#REF!=1),(VLOOKUP(U$1,'20Trips'!$A$3:$I$22,8,FALSE))-(VLOOKUP($A53,'20Trips'!$A$3:$I$22,9,FALSE))+'20Trips'!$B$24,0)</f>
        <v>#REF!</v>
      </c>
      <c r="V53" t="e">
        <f>IF(AND(SUM(VLOOKUP($A53,'20Trips'!$A$3:$F$22,2,FALSE),VLOOKUP(V$1,'20Trips'!$A$3:$F$22,2,FALSE))&lt;'20Trips'!$AC$38,$A53&lt;&gt;V$1,#REF!=1),(VLOOKUP(V$1,'20Trips'!$A$3:$I$22,8,FALSE))-(VLOOKUP($A53,'20Trips'!$A$3:$I$22,9,FALSE))+'20Trips'!$B$24,0)</f>
        <v>#REF!</v>
      </c>
    </row>
    <row r="54" spans="1:22" x14ac:dyDescent="0.25">
      <c r="A54" t="s">
        <v>23</v>
      </c>
      <c r="B54">
        <v>0</v>
      </c>
      <c r="C54" t="e">
        <f>IF(AND(SUM(VLOOKUP($A54,'20Trips'!$A$3:$F$22,2,FALSE),VLOOKUP(C$1,'20Trips'!$A$3:$F$22,2,FALSE))&lt;'20Trips'!$AC$38,$A54&lt;&gt;C$1,#REF!=1),(VLOOKUP(C$1,'20Trips'!$A$3:$I$22,8,FALSE))-(VLOOKUP($A54,'20Trips'!$A$3:$I$22,9,FALSE))+'20Trips'!$B$24,0)</f>
        <v>#REF!</v>
      </c>
      <c r="D54" t="e">
        <f>IF(AND(SUM(VLOOKUP($A54,'20Trips'!$A$3:$F$22,2,FALSE),VLOOKUP(D$1,'20Trips'!$A$3:$F$22,2,FALSE))&lt;'20Trips'!$AC$38,$A54&lt;&gt;D$1,#REF!=1),(VLOOKUP(D$1,'20Trips'!$A$3:$I$22,8,FALSE))-(VLOOKUP($A54,'20Trips'!$A$3:$I$22,9,FALSE))+'20Trips'!$B$24,0)</f>
        <v>#REF!</v>
      </c>
      <c r="E54" t="e">
        <f>IF(AND(SUM(VLOOKUP($A54,'20Trips'!$A$3:$F$22,2,FALSE),VLOOKUP(E$1,'20Trips'!$A$3:$F$22,2,FALSE))&lt;'20Trips'!$AC$38,$A54&lt;&gt;E$1,#REF!=1),(VLOOKUP(E$1,'20Trips'!$A$3:$I$22,8,FALSE))-(VLOOKUP($A54,'20Trips'!$A$3:$I$22,9,FALSE))+'20Trips'!$B$24,0)</f>
        <v>#REF!</v>
      </c>
      <c r="F54" t="e">
        <f>IF(AND(SUM(VLOOKUP($A54,'20Trips'!$A$3:$F$22,2,FALSE),VLOOKUP(F$1,'20Trips'!$A$3:$F$22,2,FALSE))&lt;'20Trips'!$AC$38,$A54&lt;&gt;F$1,#REF!=1),(VLOOKUP(F$1,'20Trips'!$A$3:$I$22,8,FALSE))-(VLOOKUP($A54,'20Trips'!$A$3:$I$22,9,FALSE))+'20Trips'!$B$24,0)</f>
        <v>#REF!</v>
      </c>
      <c r="G54" t="e">
        <f>IF(AND(SUM(VLOOKUP($A54,'20Trips'!$A$3:$F$22,2,FALSE),VLOOKUP(G$1,'20Trips'!$A$3:$F$22,2,FALSE))&lt;'20Trips'!$AC$38,$A54&lt;&gt;G$1,#REF!=1),(VLOOKUP(G$1,'20Trips'!$A$3:$I$22,8,FALSE))-(VLOOKUP($A54,'20Trips'!$A$3:$I$22,9,FALSE))+'20Trips'!$B$24,0)</f>
        <v>#REF!</v>
      </c>
      <c r="H54" t="e">
        <f>IF(AND(SUM(VLOOKUP($A54,'20Trips'!$A$3:$F$22,2,FALSE),VLOOKUP(H$1,'20Trips'!$A$3:$F$22,2,FALSE))&lt;'20Trips'!$AC$38,$A54&lt;&gt;H$1,#REF!=1),(VLOOKUP(H$1,'20Trips'!$A$3:$I$22,8,FALSE))-(VLOOKUP($A54,'20Trips'!$A$3:$I$22,9,FALSE))+'20Trips'!$B$24,0)</f>
        <v>#REF!</v>
      </c>
      <c r="I54" t="e">
        <f>IF(AND(SUM(VLOOKUP($A54,'20Trips'!$A$3:$F$22,2,FALSE),VLOOKUP(I$1,'20Trips'!$A$3:$F$22,2,FALSE))&lt;'20Trips'!$AC$38,$A54&lt;&gt;I$1,#REF!=1),(VLOOKUP(I$1,'20Trips'!$A$3:$I$22,8,FALSE))-(VLOOKUP($A54,'20Trips'!$A$3:$I$22,9,FALSE))+'20Trips'!$B$24,0)</f>
        <v>#REF!</v>
      </c>
      <c r="J54" t="e">
        <f>IF(AND(SUM(VLOOKUP($A54,'20Trips'!$A$3:$F$22,2,FALSE),VLOOKUP(J$1,'20Trips'!$A$3:$F$22,2,FALSE))&lt;'20Trips'!$AC$38,$A54&lt;&gt;J$1,#REF!=1),(VLOOKUP(J$1,'20Trips'!$A$3:$I$22,8,FALSE))-(VLOOKUP($A54,'20Trips'!$A$3:$I$22,9,FALSE))+'20Trips'!$B$24,0)</f>
        <v>#REF!</v>
      </c>
      <c r="K54" t="e">
        <f>IF(AND(SUM(VLOOKUP($A54,'20Trips'!$A$3:$F$22,2,FALSE),VLOOKUP(K$1,'20Trips'!$A$3:$F$22,2,FALSE))&lt;'20Trips'!$AC$38,$A54&lt;&gt;K$1,#REF!=1),(VLOOKUP(K$1,'20Trips'!$A$3:$I$22,8,FALSE))-(VLOOKUP($A54,'20Trips'!$A$3:$I$22,9,FALSE))+'20Trips'!$B$24,0)</f>
        <v>#REF!</v>
      </c>
      <c r="L54" t="e">
        <f>IF(AND(SUM(VLOOKUP($A54,'20Trips'!$A$3:$F$22,2,FALSE),VLOOKUP(L$1,'20Trips'!$A$3:$F$22,2,FALSE))&lt;'20Trips'!$AC$38,$A54&lt;&gt;L$1,#REF!=1),(VLOOKUP(L$1,'20Trips'!$A$3:$I$22,8,FALSE))-(VLOOKUP($A54,'20Trips'!$A$3:$I$22,9,FALSE))+'20Trips'!$B$24,0)</f>
        <v>#REF!</v>
      </c>
      <c r="M54" t="e">
        <f>IF(AND(SUM(VLOOKUP($A54,'20Trips'!$A$3:$F$22,2,FALSE),VLOOKUP(M$1,'20Trips'!$A$3:$F$22,2,FALSE))&lt;'20Trips'!$AC$38,$A54&lt;&gt;M$1,#REF!=1),(VLOOKUP(M$1,'20Trips'!$A$3:$I$22,8,FALSE))-(VLOOKUP($A54,'20Trips'!$A$3:$I$22,9,FALSE))+'20Trips'!$B$24,0)</f>
        <v>#REF!</v>
      </c>
      <c r="N54" t="e">
        <f>IF(AND(SUM(VLOOKUP($A54,'20Trips'!$A$3:$F$22,2,FALSE),VLOOKUP(N$1,'20Trips'!$A$3:$F$22,2,FALSE))&lt;'20Trips'!$AC$38,$A54&lt;&gt;N$1,#REF!=1),(VLOOKUP(N$1,'20Trips'!$A$3:$I$22,8,FALSE))-(VLOOKUP($A54,'20Trips'!$A$3:$I$22,9,FALSE))+'20Trips'!$B$24,0)</f>
        <v>#REF!</v>
      </c>
      <c r="O54" t="e">
        <f>IF(AND(SUM(VLOOKUP($A54,'20Trips'!$A$3:$F$22,2,FALSE),VLOOKUP(O$1,'20Trips'!$A$3:$F$22,2,FALSE))&lt;'20Trips'!$AC$38,$A54&lt;&gt;O$1,#REF!=1),(VLOOKUP(O$1,'20Trips'!$A$3:$I$22,8,FALSE))-(VLOOKUP($A54,'20Trips'!$A$3:$I$22,9,FALSE))+'20Trips'!$B$24,0)</f>
        <v>#REF!</v>
      </c>
      <c r="P54" t="e">
        <f>IF(AND(SUM(VLOOKUP($A54,'20Trips'!$A$3:$F$22,2,FALSE),VLOOKUP(P$1,'20Trips'!$A$3:$F$22,2,FALSE))&lt;'20Trips'!$AC$38,$A54&lt;&gt;P$1,#REF!=1),(VLOOKUP(P$1,'20Trips'!$A$3:$I$22,8,FALSE))-(VLOOKUP($A54,'20Trips'!$A$3:$I$22,9,FALSE))+'20Trips'!$B$24,0)</f>
        <v>#REF!</v>
      </c>
      <c r="Q54" t="e">
        <f>IF(AND(SUM(VLOOKUP($A54,'20Trips'!$A$3:$F$22,2,FALSE),VLOOKUP(Q$1,'20Trips'!$A$3:$F$22,2,FALSE))&lt;'20Trips'!$AC$38,$A54&lt;&gt;Q$1,#REF!=1),(VLOOKUP(Q$1,'20Trips'!$A$3:$I$22,8,FALSE))-(VLOOKUP($A54,'20Trips'!$A$3:$I$22,9,FALSE))+'20Trips'!$B$24,0)</f>
        <v>#REF!</v>
      </c>
      <c r="R54" t="e">
        <f>IF(AND(SUM(VLOOKUP($A54,'20Trips'!$A$3:$F$22,2,FALSE),VLOOKUP(R$1,'20Trips'!$A$3:$F$22,2,FALSE))&lt;'20Trips'!$AC$38,$A54&lt;&gt;R$1,#REF!=1),(VLOOKUP(R$1,'20Trips'!$A$3:$I$22,8,FALSE))-(VLOOKUP($A54,'20Trips'!$A$3:$I$22,9,FALSE))+'20Trips'!$B$24,0)</f>
        <v>#REF!</v>
      </c>
      <c r="S54" t="e">
        <f>IF(AND(SUM(VLOOKUP($A54,'20Trips'!$A$3:$F$22,2,FALSE),VLOOKUP(S$1,'20Trips'!$A$3:$F$22,2,FALSE))&lt;'20Trips'!$AC$38,$A54&lt;&gt;S$1,#REF!=1),(VLOOKUP(S$1,'20Trips'!$A$3:$I$22,8,FALSE))-(VLOOKUP($A54,'20Trips'!$A$3:$I$22,9,FALSE))+'20Trips'!$B$24,0)</f>
        <v>#REF!</v>
      </c>
      <c r="T54" t="e">
        <f>IF(AND(SUM(VLOOKUP($A54,'20Trips'!$A$3:$F$22,2,FALSE),VLOOKUP(T$1,'20Trips'!$A$3:$F$22,2,FALSE))&lt;'20Trips'!$AC$38,$A54&lt;&gt;T$1,#REF!=1),(VLOOKUP(T$1,'20Trips'!$A$3:$I$22,8,FALSE))-(VLOOKUP($A54,'20Trips'!$A$3:$I$22,9,FALSE))+'20Trips'!$B$24,0)</f>
        <v>#REF!</v>
      </c>
      <c r="U54" t="e">
        <f>IF(AND(SUM(VLOOKUP($A54,'20Trips'!$A$3:$F$22,2,FALSE),VLOOKUP(U$1,'20Trips'!$A$3:$F$22,2,FALSE))&lt;'20Trips'!$AC$38,$A54&lt;&gt;U$1,#REF!=1),(VLOOKUP(U$1,'20Trips'!$A$3:$I$22,8,FALSE))-(VLOOKUP($A54,'20Trips'!$A$3:$I$22,9,FALSE))+'20Trips'!$B$24,0)</f>
        <v>#REF!</v>
      </c>
      <c r="V54" t="e">
        <f>IF(AND(SUM(VLOOKUP($A54,'20Trips'!$A$3:$F$22,2,FALSE),VLOOKUP(V$1,'20Trips'!$A$3:$F$22,2,FALSE))&lt;'20Trips'!$AC$38,$A54&lt;&gt;V$1,#REF!=1),(VLOOKUP(V$1,'20Trips'!$A$3:$I$22,8,FALSE))-(VLOOKUP($A54,'20Trips'!$A$3:$I$22,9,FALSE))+'20Trips'!$B$24,0)</f>
        <v>#REF!</v>
      </c>
    </row>
    <row r="55" spans="1:22" x14ac:dyDescent="0.25">
      <c r="A55" t="s">
        <v>26</v>
      </c>
      <c r="B55">
        <v>0</v>
      </c>
      <c r="C55" t="e">
        <f>IF(AND(SUM(VLOOKUP($A55,'20Trips'!$A$3:$F$22,2,FALSE),VLOOKUP(C$1,'20Trips'!$A$3:$F$22,2,FALSE))&lt;'20Trips'!$AC$38,$A55&lt;&gt;C$1,#REF!=1),(VLOOKUP(C$1,'20Trips'!$A$3:$I$22,8,FALSE))-(VLOOKUP($A55,'20Trips'!$A$3:$I$22,9,FALSE))+'20Trips'!$B$24,0)</f>
        <v>#REF!</v>
      </c>
      <c r="D55" t="e">
        <f>IF(AND(SUM(VLOOKUP($A55,'20Trips'!$A$3:$F$22,2,FALSE),VLOOKUP(D$1,'20Trips'!$A$3:$F$22,2,FALSE))&lt;'20Trips'!$AC$38,$A55&lt;&gt;D$1,#REF!=1),(VLOOKUP(D$1,'20Trips'!$A$3:$I$22,8,FALSE))-(VLOOKUP($A55,'20Trips'!$A$3:$I$22,9,FALSE))+'20Trips'!$B$24,0)</f>
        <v>#REF!</v>
      </c>
      <c r="E55" t="e">
        <f>IF(AND(SUM(VLOOKUP($A55,'20Trips'!$A$3:$F$22,2,FALSE),VLOOKUP(E$1,'20Trips'!$A$3:$F$22,2,FALSE))&lt;'20Trips'!$AC$38,$A55&lt;&gt;E$1,#REF!=1),(VLOOKUP(E$1,'20Trips'!$A$3:$I$22,8,FALSE))-(VLOOKUP($A55,'20Trips'!$A$3:$I$22,9,FALSE))+'20Trips'!$B$24,0)</f>
        <v>#REF!</v>
      </c>
      <c r="F55" t="e">
        <f>IF(AND(SUM(VLOOKUP($A55,'20Trips'!$A$3:$F$22,2,FALSE),VLOOKUP(F$1,'20Trips'!$A$3:$F$22,2,FALSE))&lt;'20Trips'!$AC$38,$A55&lt;&gt;F$1,#REF!=1),(VLOOKUP(F$1,'20Trips'!$A$3:$I$22,8,FALSE))-(VLOOKUP($A55,'20Trips'!$A$3:$I$22,9,FALSE))+'20Trips'!$B$24,0)</f>
        <v>#REF!</v>
      </c>
      <c r="G55" t="e">
        <f>IF(AND(SUM(VLOOKUP($A55,'20Trips'!$A$3:$F$22,2,FALSE),VLOOKUP(G$1,'20Trips'!$A$3:$F$22,2,FALSE))&lt;'20Trips'!$AC$38,$A55&lt;&gt;G$1,#REF!=1),(VLOOKUP(G$1,'20Trips'!$A$3:$I$22,8,FALSE))-(VLOOKUP($A55,'20Trips'!$A$3:$I$22,9,FALSE))+'20Trips'!$B$24,0)</f>
        <v>#REF!</v>
      </c>
      <c r="H55" t="e">
        <f>IF(AND(SUM(VLOOKUP($A55,'20Trips'!$A$3:$F$22,2,FALSE),VLOOKUP(H$1,'20Trips'!$A$3:$F$22,2,FALSE))&lt;'20Trips'!$AC$38,$A55&lt;&gt;H$1,#REF!=1),(VLOOKUP(H$1,'20Trips'!$A$3:$I$22,8,FALSE))-(VLOOKUP($A55,'20Trips'!$A$3:$I$22,9,FALSE))+'20Trips'!$B$24,0)</f>
        <v>#REF!</v>
      </c>
      <c r="I55" t="e">
        <f>IF(AND(SUM(VLOOKUP($A55,'20Trips'!$A$3:$F$22,2,FALSE),VLOOKUP(I$1,'20Trips'!$A$3:$F$22,2,FALSE))&lt;'20Trips'!$AC$38,$A55&lt;&gt;I$1,#REF!=1),(VLOOKUP(I$1,'20Trips'!$A$3:$I$22,8,FALSE))-(VLOOKUP($A55,'20Trips'!$A$3:$I$22,9,FALSE))+'20Trips'!$B$24,0)</f>
        <v>#REF!</v>
      </c>
      <c r="J55" t="e">
        <f>IF(AND(SUM(VLOOKUP($A55,'20Trips'!$A$3:$F$22,2,FALSE),VLOOKUP(J$1,'20Trips'!$A$3:$F$22,2,FALSE))&lt;'20Trips'!$AC$38,$A55&lt;&gt;J$1,#REF!=1),(VLOOKUP(J$1,'20Trips'!$A$3:$I$22,8,FALSE))-(VLOOKUP($A55,'20Trips'!$A$3:$I$22,9,FALSE))+'20Trips'!$B$24,0)</f>
        <v>#REF!</v>
      </c>
      <c r="K55" t="e">
        <f>IF(AND(SUM(VLOOKUP($A55,'20Trips'!$A$3:$F$22,2,FALSE),VLOOKUP(K$1,'20Trips'!$A$3:$F$22,2,FALSE))&lt;'20Trips'!$AC$38,$A55&lt;&gt;K$1,#REF!=1),(VLOOKUP(K$1,'20Trips'!$A$3:$I$22,8,FALSE))-(VLOOKUP($A55,'20Trips'!$A$3:$I$22,9,FALSE))+'20Trips'!$B$24,0)</f>
        <v>#REF!</v>
      </c>
      <c r="L55" t="e">
        <f>IF(AND(SUM(VLOOKUP($A55,'20Trips'!$A$3:$F$22,2,FALSE),VLOOKUP(L$1,'20Trips'!$A$3:$F$22,2,FALSE))&lt;'20Trips'!$AC$38,$A55&lt;&gt;L$1,#REF!=1),(VLOOKUP(L$1,'20Trips'!$A$3:$I$22,8,FALSE))-(VLOOKUP($A55,'20Trips'!$A$3:$I$22,9,FALSE))+'20Trips'!$B$24,0)</f>
        <v>#REF!</v>
      </c>
      <c r="M55" t="e">
        <f>IF(AND(SUM(VLOOKUP($A55,'20Trips'!$A$3:$F$22,2,FALSE),VLOOKUP(M$1,'20Trips'!$A$3:$F$22,2,FALSE))&lt;'20Trips'!$AC$38,$A55&lt;&gt;M$1,#REF!=1),(VLOOKUP(M$1,'20Trips'!$A$3:$I$22,8,FALSE))-(VLOOKUP($A55,'20Trips'!$A$3:$I$22,9,FALSE))+'20Trips'!$B$24,0)</f>
        <v>#REF!</v>
      </c>
      <c r="N55" t="e">
        <f>IF(AND(SUM(VLOOKUP($A55,'20Trips'!$A$3:$F$22,2,FALSE),VLOOKUP(N$1,'20Trips'!$A$3:$F$22,2,FALSE))&lt;'20Trips'!$AC$38,$A55&lt;&gt;N$1,#REF!=1),(VLOOKUP(N$1,'20Trips'!$A$3:$I$22,8,FALSE))-(VLOOKUP($A55,'20Trips'!$A$3:$I$22,9,FALSE))+'20Trips'!$B$24,0)</f>
        <v>#REF!</v>
      </c>
      <c r="O55" t="e">
        <f>IF(AND(SUM(VLOOKUP($A55,'20Trips'!$A$3:$F$22,2,FALSE),VLOOKUP(O$1,'20Trips'!$A$3:$F$22,2,FALSE))&lt;'20Trips'!$AC$38,$A55&lt;&gt;O$1,#REF!=1),(VLOOKUP(O$1,'20Trips'!$A$3:$I$22,8,FALSE))-(VLOOKUP($A55,'20Trips'!$A$3:$I$22,9,FALSE))+'20Trips'!$B$24,0)</f>
        <v>#REF!</v>
      </c>
      <c r="P55" t="e">
        <f>IF(AND(SUM(VLOOKUP($A55,'20Trips'!$A$3:$F$22,2,FALSE),VLOOKUP(P$1,'20Trips'!$A$3:$F$22,2,FALSE))&lt;'20Trips'!$AC$38,$A55&lt;&gt;P$1,#REF!=1),(VLOOKUP(P$1,'20Trips'!$A$3:$I$22,8,FALSE))-(VLOOKUP($A55,'20Trips'!$A$3:$I$22,9,FALSE))+'20Trips'!$B$24,0)</f>
        <v>#REF!</v>
      </c>
      <c r="Q55" t="e">
        <f>IF(AND(SUM(VLOOKUP($A55,'20Trips'!$A$3:$F$22,2,FALSE),VLOOKUP(Q$1,'20Trips'!$A$3:$F$22,2,FALSE))&lt;'20Trips'!$AC$38,$A55&lt;&gt;Q$1,#REF!=1),(VLOOKUP(Q$1,'20Trips'!$A$3:$I$22,8,FALSE))-(VLOOKUP($A55,'20Trips'!$A$3:$I$22,9,FALSE))+'20Trips'!$B$24,0)</f>
        <v>#REF!</v>
      </c>
      <c r="R55" t="e">
        <f>IF(AND(SUM(VLOOKUP($A55,'20Trips'!$A$3:$F$22,2,FALSE),VLOOKUP(R$1,'20Trips'!$A$3:$F$22,2,FALSE))&lt;'20Trips'!$AC$38,$A55&lt;&gt;R$1,#REF!=1),(VLOOKUP(R$1,'20Trips'!$A$3:$I$22,8,FALSE))-(VLOOKUP($A55,'20Trips'!$A$3:$I$22,9,FALSE))+'20Trips'!$B$24,0)</f>
        <v>#REF!</v>
      </c>
      <c r="S55" t="e">
        <f>IF(AND(SUM(VLOOKUP($A55,'20Trips'!$A$3:$F$22,2,FALSE),VLOOKUP(S$1,'20Trips'!$A$3:$F$22,2,FALSE))&lt;'20Trips'!$AC$38,$A55&lt;&gt;S$1,#REF!=1),(VLOOKUP(S$1,'20Trips'!$A$3:$I$22,8,FALSE))-(VLOOKUP($A55,'20Trips'!$A$3:$I$22,9,FALSE))+'20Trips'!$B$24,0)</f>
        <v>#REF!</v>
      </c>
      <c r="T55" t="e">
        <f>IF(AND(SUM(VLOOKUP($A55,'20Trips'!$A$3:$F$22,2,FALSE),VLOOKUP(T$1,'20Trips'!$A$3:$F$22,2,FALSE))&lt;'20Trips'!$AC$38,$A55&lt;&gt;T$1,#REF!=1),(VLOOKUP(T$1,'20Trips'!$A$3:$I$22,8,FALSE))-(VLOOKUP($A55,'20Trips'!$A$3:$I$22,9,FALSE))+'20Trips'!$B$24,0)</f>
        <v>#REF!</v>
      </c>
      <c r="U55" t="e">
        <f>IF(AND(SUM(VLOOKUP($A55,'20Trips'!$A$3:$F$22,2,FALSE),VLOOKUP(U$1,'20Trips'!$A$3:$F$22,2,FALSE))&lt;'20Trips'!$AC$38,$A55&lt;&gt;U$1,#REF!=1),(VLOOKUP(U$1,'20Trips'!$A$3:$I$22,8,FALSE))-(VLOOKUP($A55,'20Trips'!$A$3:$I$22,9,FALSE))+'20Trips'!$B$24,0)</f>
        <v>#REF!</v>
      </c>
      <c r="V55" t="e">
        <f>IF(AND(SUM(VLOOKUP($A55,'20Trips'!$A$3:$F$22,2,FALSE),VLOOKUP(V$1,'20Trips'!$A$3:$F$22,2,FALSE))&lt;'20Trips'!$AC$38,$A55&lt;&gt;V$1,#REF!=1),(VLOOKUP(V$1,'20Trips'!$A$3:$I$22,8,FALSE))-(VLOOKUP($A55,'20Trips'!$A$3:$I$22,9,FALSE))+'20Trips'!$B$24,0)</f>
        <v>#REF!</v>
      </c>
    </row>
    <row r="56" spans="1:22" x14ac:dyDescent="0.25">
      <c r="A56" t="s">
        <v>27</v>
      </c>
      <c r="B56">
        <v>0</v>
      </c>
      <c r="C56" t="e">
        <f>IF(AND(SUM(VLOOKUP($A56,'20Trips'!$A$3:$F$22,2,FALSE),VLOOKUP(C$1,'20Trips'!$A$3:$F$22,2,FALSE))&lt;'20Trips'!$AC$38,$A56&lt;&gt;C$1,#REF!=1),(VLOOKUP(C$1,'20Trips'!$A$3:$I$22,8,FALSE))-(VLOOKUP($A56,'20Trips'!$A$3:$I$22,9,FALSE))+'20Trips'!$B$24,0)</f>
        <v>#REF!</v>
      </c>
      <c r="D56" t="e">
        <f>IF(AND(SUM(VLOOKUP($A56,'20Trips'!$A$3:$F$22,2,FALSE),VLOOKUP(D$1,'20Trips'!$A$3:$F$22,2,FALSE))&lt;'20Trips'!$AC$38,$A56&lt;&gt;D$1,#REF!=1),(VLOOKUP(D$1,'20Trips'!$A$3:$I$22,8,FALSE))-(VLOOKUP($A56,'20Trips'!$A$3:$I$22,9,FALSE))+'20Trips'!$B$24,0)</f>
        <v>#REF!</v>
      </c>
      <c r="E56" t="e">
        <f>IF(AND(SUM(VLOOKUP($A56,'20Trips'!$A$3:$F$22,2,FALSE),VLOOKUP(E$1,'20Trips'!$A$3:$F$22,2,FALSE))&lt;'20Trips'!$AC$38,$A56&lt;&gt;E$1,#REF!=1),(VLOOKUP(E$1,'20Trips'!$A$3:$I$22,8,FALSE))-(VLOOKUP($A56,'20Trips'!$A$3:$I$22,9,FALSE))+'20Trips'!$B$24,0)</f>
        <v>#REF!</v>
      </c>
      <c r="F56" t="e">
        <f>IF(AND(SUM(VLOOKUP($A56,'20Trips'!$A$3:$F$22,2,FALSE),VLOOKUP(F$1,'20Trips'!$A$3:$F$22,2,FALSE))&lt;'20Trips'!$AC$38,$A56&lt;&gt;F$1,#REF!=1),(VLOOKUP(F$1,'20Trips'!$A$3:$I$22,8,FALSE))-(VLOOKUP($A56,'20Trips'!$A$3:$I$22,9,FALSE))+'20Trips'!$B$24,0)</f>
        <v>#REF!</v>
      </c>
      <c r="G56" t="e">
        <f>IF(AND(SUM(VLOOKUP($A56,'20Trips'!$A$3:$F$22,2,FALSE),VLOOKUP(G$1,'20Trips'!$A$3:$F$22,2,FALSE))&lt;'20Trips'!$AC$38,$A56&lt;&gt;G$1,#REF!=1),(VLOOKUP(G$1,'20Trips'!$A$3:$I$22,8,FALSE))-(VLOOKUP($A56,'20Trips'!$A$3:$I$22,9,FALSE))+'20Trips'!$B$24,0)</f>
        <v>#REF!</v>
      </c>
      <c r="H56" t="e">
        <f>IF(AND(SUM(VLOOKUP($A56,'20Trips'!$A$3:$F$22,2,FALSE),VLOOKUP(H$1,'20Trips'!$A$3:$F$22,2,FALSE))&lt;'20Trips'!$AC$38,$A56&lt;&gt;H$1,#REF!=1),(VLOOKUP(H$1,'20Trips'!$A$3:$I$22,8,FALSE))-(VLOOKUP($A56,'20Trips'!$A$3:$I$22,9,FALSE))+'20Trips'!$B$24,0)</f>
        <v>#REF!</v>
      </c>
      <c r="I56" t="e">
        <f>IF(AND(SUM(VLOOKUP($A56,'20Trips'!$A$3:$F$22,2,FALSE),VLOOKUP(I$1,'20Trips'!$A$3:$F$22,2,FALSE))&lt;'20Trips'!$AC$38,$A56&lt;&gt;I$1,#REF!=1),(VLOOKUP(I$1,'20Trips'!$A$3:$I$22,8,FALSE))-(VLOOKUP($A56,'20Trips'!$A$3:$I$22,9,FALSE))+'20Trips'!$B$24,0)</f>
        <v>#REF!</v>
      </c>
      <c r="J56" t="e">
        <f>IF(AND(SUM(VLOOKUP($A56,'20Trips'!$A$3:$F$22,2,FALSE),VLOOKUP(J$1,'20Trips'!$A$3:$F$22,2,FALSE))&lt;'20Trips'!$AC$38,$A56&lt;&gt;J$1,#REF!=1),(VLOOKUP(J$1,'20Trips'!$A$3:$I$22,8,FALSE))-(VLOOKUP($A56,'20Trips'!$A$3:$I$22,9,FALSE))+'20Trips'!$B$24,0)</f>
        <v>#REF!</v>
      </c>
      <c r="K56" t="e">
        <f>IF(AND(SUM(VLOOKUP($A56,'20Trips'!$A$3:$F$22,2,FALSE),VLOOKUP(K$1,'20Trips'!$A$3:$F$22,2,FALSE))&lt;'20Trips'!$AC$38,$A56&lt;&gt;K$1,#REF!=1),(VLOOKUP(K$1,'20Trips'!$A$3:$I$22,8,FALSE))-(VLOOKUP($A56,'20Trips'!$A$3:$I$22,9,FALSE))+'20Trips'!$B$24,0)</f>
        <v>#REF!</v>
      </c>
      <c r="L56" t="e">
        <f>IF(AND(SUM(VLOOKUP($A56,'20Trips'!$A$3:$F$22,2,FALSE),VLOOKUP(L$1,'20Trips'!$A$3:$F$22,2,FALSE))&lt;'20Trips'!$AC$38,$A56&lt;&gt;L$1,#REF!=1),(VLOOKUP(L$1,'20Trips'!$A$3:$I$22,8,FALSE))-(VLOOKUP($A56,'20Trips'!$A$3:$I$22,9,FALSE))+'20Trips'!$B$24,0)</f>
        <v>#REF!</v>
      </c>
      <c r="M56" t="e">
        <f>IF(AND(SUM(VLOOKUP($A56,'20Trips'!$A$3:$F$22,2,FALSE),VLOOKUP(M$1,'20Trips'!$A$3:$F$22,2,FALSE))&lt;'20Trips'!$AC$38,$A56&lt;&gt;M$1,#REF!=1),(VLOOKUP(M$1,'20Trips'!$A$3:$I$22,8,FALSE))-(VLOOKUP($A56,'20Trips'!$A$3:$I$22,9,FALSE))+'20Trips'!$B$24,0)</f>
        <v>#REF!</v>
      </c>
      <c r="N56" t="e">
        <f>IF(AND(SUM(VLOOKUP($A56,'20Trips'!$A$3:$F$22,2,FALSE),VLOOKUP(N$1,'20Trips'!$A$3:$F$22,2,FALSE))&lt;'20Trips'!$AC$38,$A56&lt;&gt;N$1,#REF!=1),(VLOOKUP(N$1,'20Trips'!$A$3:$I$22,8,FALSE))-(VLOOKUP($A56,'20Trips'!$A$3:$I$22,9,FALSE))+'20Trips'!$B$24,0)</f>
        <v>#REF!</v>
      </c>
      <c r="O56" t="e">
        <f>IF(AND(SUM(VLOOKUP($A56,'20Trips'!$A$3:$F$22,2,FALSE),VLOOKUP(O$1,'20Trips'!$A$3:$F$22,2,FALSE))&lt;'20Trips'!$AC$38,$A56&lt;&gt;O$1,#REF!=1),(VLOOKUP(O$1,'20Trips'!$A$3:$I$22,8,FALSE))-(VLOOKUP($A56,'20Trips'!$A$3:$I$22,9,FALSE))+'20Trips'!$B$24,0)</f>
        <v>#REF!</v>
      </c>
      <c r="P56" t="e">
        <f>IF(AND(SUM(VLOOKUP($A56,'20Trips'!$A$3:$F$22,2,FALSE),VLOOKUP(P$1,'20Trips'!$A$3:$F$22,2,FALSE))&lt;'20Trips'!$AC$38,$A56&lt;&gt;P$1,#REF!=1),(VLOOKUP(P$1,'20Trips'!$A$3:$I$22,8,FALSE))-(VLOOKUP($A56,'20Trips'!$A$3:$I$22,9,FALSE))+'20Trips'!$B$24,0)</f>
        <v>#REF!</v>
      </c>
      <c r="Q56" t="e">
        <f>IF(AND(SUM(VLOOKUP($A56,'20Trips'!$A$3:$F$22,2,FALSE),VLOOKUP(Q$1,'20Trips'!$A$3:$F$22,2,FALSE))&lt;'20Trips'!$AC$38,$A56&lt;&gt;Q$1,#REF!=1),(VLOOKUP(Q$1,'20Trips'!$A$3:$I$22,8,FALSE))-(VLOOKUP($A56,'20Trips'!$A$3:$I$22,9,FALSE))+'20Trips'!$B$24,0)</f>
        <v>#REF!</v>
      </c>
      <c r="R56" t="e">
        <f>IF(AND(SUM(VLOOKUP($A56,'20Trips'!$A$3:$F$22,2,FALSE),VLOOKUP(R$1,'20Trips'!$A$3:$F$22,2,FALSE))&lt;'20Trips'!$AC$38,$A56&lt;&gt;R$1,#REF!=1),(VLOOKUP(R$1,'20Trips'!$A$3:$I$22,8,FALSE))-(VLOOKUP($A56,'20Trips'!$A$3:$I$22,9,FALSE))+'20Trips'!$B$24,0)</f>
        <v>#REF!</v>
      </c>
      <c r="S56" t="e">
        <f>IF(AND(SUM(VLOOKUP($A56,'20Trips'!$A$3:$F$22,2,FALSE),VLOOKUP(S$1,'20Trips'!$A$3:$F$22,2,FALSE))&lt;'20Trips'!$AC$38,$A56&lt;&gt;S$1,#REF!=1),(VLOOKUP(S$1,'20Trips'!$A$3:$I$22,8,FALSE))-(VLOOKUP($A56,'20Trips'!$A$3:$I$22,9,FALSE))+'20Trips'!$B$24,0)</f>
        <v>#REF!</v>
      </c>
      <c r="T56" t="e">
        <f>IF(AND(SUM(VLOOKUP($A56,'20Trips'!$A$3:$F$22,2,FALSE),VLOOKUP(T$1,'20Trips'!$A$3:$F$22,2,FALSE))&lt;'20Trips'!$AC$38,$A56&lt;&gt;T$1,#REF!=1),(VLOOKUP(T$1,'20Trips'!$A$3:$I$22,8,FALSE))-(VLOOKUP($A56,'20Trips'!$A$3:$I$22,9,FALSE))+'20Trips'!$B$24,0)</f>
        <v>#REF!</v>
      </c>
      <c r="U56" t="e">
        <f>IF(AND(SUM(VLOOKUP($A56,'20Trips'!$A$3:$F$22,2,FALSE),VLOOKUP(U$1,'20Trips'!$A$3:$F$22,2,FALSE))&lt;'20Trips'!$AC$38,$A56&lt;&gt;U$1,#REF!=1),(VLOOKUP(U$1,'20Trips'!$A$3:$I$22,8,FALSE))-(VLOOKUP($A56,'20Trips'!$A$3:$I$22,9,FALSE))+'20Trips'!$B$24,0)</f>
        <v>#REF!</v>
      </c>
      <c r="V56" t="e">
        <f>IF(AND(SUM(VLOOKUP($A56,'20Trips'!$A$3:$F$22,2,FALSE),VLOOKUP(V$1,'20Trips'!$A$3:$F$22,2,FALSE))&lt;'20Trips'!$AC$38,$A56&lt;&gt;V$1,#REF!=1),(VLOOKUP(V$1,'20Trips'!$A$3:$I$22,8,FALSE))-(VLOOKUP($A56,'20Trips'!$A$3:$I$22,9,FALSE))+'20Trips'!$B$24,0)</f>
        <v>#REF!</v>
      </c>
    </row>
    <row r="57" spans="1:22" x14ac:dyDescent="0.25">
      <c r="A57" t="s">
        <v>28</v>
      </c>
      <c r="B57">
        <v>0</v>
      </c>
      <c r="C57" t="e">
        <f>IF(AND(SUM(VLOOKUP($A57,'20Trips'!$A$3:$F$22,2,FALSE),VLOOKUP(C$1,'20Trips'!$A$3:$F$22,2,FALSE))&lt;'20Trips'!$AC$38,$A57&lt;&gt;C$1,#REF!=1),(VLOOKUP(C$1,'20Trips'!$A$3:$I$22,8,FALSE))-(VLOOKUP($A57,'20Trips'!$A$3:$I$22,9,FALSE))+'20Trips'!$B$24,0)</f>
        <v>#REF!</v>
      </c>
      <c r="D57" t="e">
        <f>IF(AND(SUM(VLOOKUP($A57,'20Trips'!$A$3:$F$22,2,FALSE),VLOOKUP(D$1,'20Trips'!$A$3:$F$22,2,FALSE))&lt;'20Trips'!$AC$38,$A57&lt;&gt;D$1,#REF!=1),(VLOOKUP(D$1,'20Trips'!$A$3:$I$22,8,FALSE))-(VLOOKUP($A57,'20Trips'!$A$3:$I$22,9,FALSE))+'20Trips'!$B$24,0)</f>
        <v>#REF!</v>
      </c>
      <c r="E57" t="e">
        <f>IF(AND(SUM(VLOOKUP($A57,'20Trips'!$A$3:$F$22,2,FALSE),VLOOKUP(E$1,'20Trips'!$A$3:$F$22,2,FALSE))&lt;'20Trips'!$AC$38,$A57&lt;&gt;E$1,#REF!=1),(VLOOKUP(E$1,'20Trips'!$A$3:$I$22,8,FALSE))-(VLOOKUP($A57,'20Trips'!$A$3:$I$22,9,FALSE))+'20Trips'!$B$24,0)</f>
        <v>#REF!</v>
      </c>
      <c r="F57" t="e">
        <f>IF(AND(SUM(VLOOKUP($A57,'20Trips'!$A$3:$F$22,2,FALSE),VLOOKUP(F$1,'20Trips'!$A$3:$F$22,2,FALSE))&lt;'20Trips'!$AC$38,$A57&lt;&gt;F$1,#REF!=1),(VLOOKUP(F$1,'20Trips'!$A$3:$I$22,8,FALSE))-(VLOOKUP($A57,'20Trips'!$A$3:$I$22,9,FALSE))+'20Trips'!$B$24,0)</f>
        <v>#REF!</v>
      </c>
      <c r="G57" t="e">
        <f>IF(AND(SUM(VLOOKUP($A57,'20Trips'!$A$3:$F$22,2,FALSE),VLOOKUP(G$1,'20Trips'!$A$3:$F$22,2,FALSE))&lt;'20Trips'!$AC$38,$A57&lt;&gt;G$1,#REF!=1),(VLOOKUP(G$1,'20Trips'!$A$3:$I$22,8,FALSE))-(VLOOKUP($A57,'20Trips'!$A$3:$I$22,9,FALSE))+'20Trips'!$B$24,0)</f>
        <v>#REF!</v>
      </c>
      <c r="H57" t="e">
        <f>IF(AND(SUM(VLOOKUP($A57,'20Trips'!$A$3:$F$22,2,FALSE),VLOOKUP(H$1,'20Trips'!$A$3:$F$22,2,FALSE))&lt;'20Trips'!$AC$38,$A57&lt;&gt;H$1,#REF!=1),(VLOOKUP(H$1,'20Trips'!$A$3:$I$22,8,FALSE))-(VLOOKUP($A57,'20Trips'!$A$3:$I$22,9,FALSE))+'20Trips'!$B$24,0)</f>
        <v>#REF!</v>
      </c>
      <c r="I57" t="e">
        <f>IF(AND(SUM(VLOOKUP($A57,'20Trips'!$A$3:$F$22,2,FALSE),VLOOKUP(I$1,'20Trips'!$A$3:$F$22,2,FALSE))&lt;'20Trips'!$AC$38,$A57&lt;&gt;I$1,#REF!=1),(VLOOKUP(I$1,'20Trips'!$A$3:$I$22,8,FALSE))-(VLOOKUP($A57,'20Trips'!$A$3:$I$22,9,FALSE))+'20Trips'!$B$24,0)</f>
        <v>#REF!</v>
      </c>
      <c r="J57" t="e">
        <f>IF(AND(SUM(VLOOKUP($A57,'20Trips'!$A$3:$F$22,2,FALSE),VLOOKUP(J$1,'20Trips'!$A$3:$F$22,2,FALSE))&lt;'20Trips'!$AC$38,$A57&lt;&gt;J$1,#REF!=1),(VLOOKUP(J$1,'20Trips'!$A$3:$I$22,8,FALSE))-(VLOOKUP($A57,'20Trips'!$A$3:$I$22,9,FALSE))+'20Trips'!$B$24,0)</f>
        <v>#REF!</v>
      </c>
      <c r="K57" t="e">
        <f>IF(AND(SUM(VLOOKUP($A57,'20Trips'!$A$3:$F$22,2,FALSE),VLOOKUP(K$1,'20Trips'!$A$3:$F$22,2,FALSE))&lt;'20Trips'!$AC$38,$A57&lt;&gt;K$1,#REF!=1),(VLOOKUP(K$1,'20Trips'!$A$3:$I$22,8,FALSE))-(VLOOKUP($A57,'20Trips'!$A$3:$I$22,9,FALSE))+'20Trips'!$B$24,0)</f>
        <v>#REF!</v>
      </c>
      <c r="L57" t="e">
        <f>IF(AND(SUM(VLOOKUP($A57,'20Trips'!$A$3:$F$22,2,FALSE),VLOOKUP(L$1,'20Trips'!$A$3:$F$22,2,FALSE))&lt;'20Trips'!$AC$38,$A57&lt;&gt;L$1,#REF!=1),(VLOOKUP(L$1,'20Trips'!$A$3:$I$22,8,FALSE))-(VLOOKUP($A57,'20Trips'!$A$3:$I$22,9,FALSE))+'20Trips'!$B$24,0)</f>
        <v>#REF!</v>
      </c>
      <c r="M57" t="e">
        <f>IF(AND(SUM(VLOOKUP($A57,'20Trips'!$A$3:$F$22,2,FALSE),VLOOKUP(M$1,'20Trips'!$A$3:$F$22,2,FALSE))&lt;'20Trips'!$AC$38,$A57&lt;&gt;M$1,#REF!=1),(VLOOKUP(M$1,'20Trips'!$A$3:$I$22,8,FALSE))-(VLOOKUP($A57,'20Trips'!$A$3:$I$22,9,FALSE))+'20Trips'!$B$24,0)</f>
        <v>#REF!</v>
      </c>
      <c r="N57" t="e">
        <f>IF(AND(SUM(VLOOKUP($A57,'20Trips'!$A$3:$F$22,2,FALSE),VLOOKUP(N$1,'20Trips'!$A$3:$F$22,2,FALSE))&lt;'20Trips'!$AC$38,$A57&lt;&gt;N$1,#REF!=1),(VLOOKUP(N$1,'20Trips'!$A$3:$I$22,8,FALSE))-(VLOOKUP($A57,'20Trips'!$A$3:$I$22,9,FALSE))+'20Trips'!$B$24,0)</f>
        <v>#REF!</v>
      </c>
      <c r="O57" t="e">
        <f>IF(AND(SUM(VLOOKUP($A57,'20Trips'!$A$3:$F$22,2,FALSE),VLOOKUP(O$1,'20Trips'!$A$3:$F$22,2,FALSE))&lt;'20Trips'!$AC$38,$A57&lt;&gt;O$1,#REF!=1),(VLOOKUP(O$1,'20Trips'!$A$3:$I$22,8,FALSE))-(VLOOKUP($A57,'20Trips'!$A$3:$I$22,9,FALSE))+'20Trips'!$B$24,0)</f>
        <v>#REF!</v>
      </c>
      <c r="P57" t="e">
        <f>IF(AND(SUM(VLOOKUP($A57,'20Trips'!$A$3:$F$22,2,FALSE),VLOOKUP(P$1,'20Trips'!$A$3:$F$22,2,FALSE))&lt;'20Trips'!$AC$38,$A57&lt;&gt;P$1,#REF!=1),(VLOOKUP(P$1,'20Trips'!$A$3:$I$22,8,FALSE))-(VLOOKUP($A57,'20Trips'!$A$3:$I$22,9,FALSE))+'20Trips'!$B$24,0)</f>
        <v>#REF!</v>
      </c>
      <c r="Q57" t="e">
        <f>IF(AND(SUM(VLOOKUP($A57,'20Trips'!$A$3:$F$22,2,FALSE),VLOOKUP(Q$1,'20Trips'!$A$3:$F$22,2,FALSE))&lt;'20Trips'!$AC$38,$A57&lt;&gt;Q$1,#REF!=1),(VLOOKUP(Q$1,'20Trips'!$A$3:$I$22,8,FALSE))-(VLOOKUP($A57,'20Trips'!$A$3:$I$22,9,FALSE))+'20Trips'!$B$24,0)</f>
        <v>#REF!</v>
      </c>
      <c r="R57" t="e">
        <f>IF(AND(SUM(VLOOKUP($A57,'20Trips'!$A$3:$F$22,2,FALSE),VLOOKUP(R$1,'20Trips'!$A$3:$F$22,2,FALSE))&lt;'20Trips'!$AC$38,$A57&lt;&gt;R$1,#REF!=1),(VLOOKUP(R$1,'20Trips'!$A$3:$I$22,8,FALSE))-(VLOOKUP($A57,'20Trips'!$A$3:$I$22,9,FALSE))+'20Trips'!$B$24,0)</f>
        <v>#REF!</v>
      </c>
      <c r="S57" t="e">
        <f>IF(AND(SUM(VLOOKUP($A57,'20Trips'!$A$3:$F$22,2,FALSE),VLOOKUP(S$1,'20Trips'!$A$3:$F$22,2,FALSE))&lt;'20Trips'!$AC$38,$A57&lt;&gt;S$1,#REF!=1),(VLOOKUP(S$1,'20Trips'!$A$3:$I$22,8,FALSE))-(VLOOKUP($A57,'20Trips'!$A$3:$I$22,9,FALSE))+'20Trips'!$B$24,0)</f>
        <v>#REF!</v>
      </c>
      <c r="T57" t="e">
        <f>IF(AND(SUM(VLOOKUP($A57,'20Trips'!$A$3:$F$22,2,FALSE),VLOOKUP(T$1,'20Trips'!$A$3:$F$22,2,FALSE))&lt;'20Trips'!$AC$38,$A57&lt;&gt;T$1,#REF!=1),(VLOOKUP(T$1,'20Trips'!$A$3:$I$22,8,FALSE))-(VLOOKUP($A57,'20Trips'!$A$3:$I$22,9,FALSE))+'20Trips'!$B$24,0)</f>
        <v>#REF!</v>
      </c>
      <c r="U57" t="e">
        <f>IF(AND(SUM(VLOOKUP($A57,'20Trips'!$A$3:$F$22,2,FALSE),VLOOKUP(U$1,'20Trips'!$A$3:$F$22,2,FALSE))&lt;'20Trips'!$AC$38,$A57&lt;&gt;U$1,#REF!=1),(VLOOKUP(U$1,'20Trips'!$A$3:$I$22,8,FALSE))-(VLOOKUP($A57,'20Trips'!$A$3:$I$22,9,FALSE))+'20Trips'!$B$24,0)</f>
        <v>#REF!</v>
      </c>
      <c r="V57" t="e">
        <f>IF(AND(SUM(VLOOKUP($A57,'20Trips'!$A$3:$F$22,2,FALSE),VLOOKUP(V$1,'20Trips'!$A$3:$F$22,2,FALSE))&lt;'20Trips'!$AC$38,$A57&lt;&gt;V$1,#REF!=1),(VLOOKUP(V$1,'20Trips'!$A$3:$I$22,8,FALSE))-(VLOOKUP($A57,'20Trips'!$A$3:$I$22,9,FALSE))+'20Trips'!$B$24,0)</f>
        <v>#REF!</v>
      </c>
    </row>
    <row r="58" spans="1:22" x14ac:dyDescent="0.25">
      <c r="A58" t="s">
        <v>29</v>
      </c>
      <c r="B58">
        <v>0</v>
      </c>
      <c r="C58" t="e">
        <f>IF(AND(SUM(VLOOKUP($A58,'20Trips'!$A$3:$F$22,2,FALSE),VLOOKUP(C$1,'20Trips'!$A$3:$F$22,2,FALSE))&lt;'20Trips'!$AC$38,$A58&lt;&gt;C$1,#REF!=1),(VLOOKUP(C$1,'20Trips'!$A$3:$I$22,8,FALSE))-(VLOOKUP($A58,'20Trips'!$A$3:$I$22,9,FALSE))+'20Trips'!$B$24,0)</f>
        <v>#REF!</v>
      </c>
      <c r="D58" t="e">
        <f>IF(AND(SUM(VLOOKUP($A58,'20Trips'!$A$3:$F$22,2,FALSE),VLOOKUP(D$1,'20Trips'!$A$3:$F$22,2,FALSE))&lt;'20Trips'!$AC$38,$A58&lt;&gt;D$1,#REF!=1),(VLOOKUP(D$1,'20Trips'!$A$3:$I$22,8,FALSE))-(VLOOKUP($A58,'20Trips'!$A$3:$I$22,9,FALSE))+'20Trips'!$B$24,0)</f>
        <v>#REF!</v>
      </c>
      <c r="E58" t="e">
        <f>IF(AND(SUM(VLOOKUP($A58,'20Trips'!$A$3:$F$22,2,FALSE),VLOOKUP(E$1,'20Trips'!$A$3:$F$22,2,FALSE))&lt;'20Trips'!$AC$38,$A58&lt;&gt;E$1,#REF!=1),(VLOOKUP(E$1,'20Trips'!$A$3:$I$22,8,FALSE))-(VLOOKUP($A58,'20Trips'!$A$3:$I$22,9,FALSE))+'20Trips'!$B$24,0)</f>
        <v>#REF!</v>
      </c>
      <c r="F58" t="e">
        <f>IF(AND(SUM(VLOOKUP($A58,'20Trips'!$A$3:$F$22,2,FALSE),VLOOKUP(F$1,'20Trips'!$A$3:$F$22,2,FALSE))&lt;'20Trips'!$AC$38,$A58&lt;&gt;F$1,#REF!=1),(VLOOKUP(F$1,'20Trips'!$A$3:$I$22,8,FALSE))-(VLOOKUP($A58,'20Trips'!$A$3:$I$22,9,FALSE))+'20Trips'!$B$24,0)</f>
        <v>#REF!</v>
      </c>
      <c r="G58" t="e">
        <f>IF(AND(SUM(VLOOKUP($A58,'20Trips'!$A$3:$F$22,2,FALSE),VLOOKUP(G$1,'20Trips'!$A$3:$F$22,2,FALSE))&lt;'20Trips'!$AC$38,$A58&lt;&gt;G$1,#REF!=1),(VLOOKUP(G$1,'20Trips'!$A$3:$I$22,8,FALSE))-(VLOOKUP($A58,'20Trips'!$A$3:$I$22,9,FALSE))+'20Trips'!$B$24,0)</f>
        <v>#REF!</v>
      </c>
      <c r="H58" t="e">
        <f>IF(AND(SUM(VLOOKUP($A58,'20Trips'!$A$3:$F$22,2,FALSE),VLOOKUP(H$1,'20Trips'!$A$3:$F$22,2,FALSE))&lt;'20Trips'!$AC$38,$A58&lt;&gt;H$1,#REF!=1),(VLOOKUP(H$1,'20Trips'!$A$3:$I$22,8,FALSE))-(VLOOKUP($A58,'20Trips'!$A$3:$I$22,9,FALSE))+'20Trips'!$B$24,0)</f>
        <v>#REF!</v>
      </c>
      <c r="I58" t="e">
        <f>IF(AND(SUM(VLOOKUP($A58,'20Trips'!$A$3:$F$22,2,FALSE),VLOOKUP(I$1,'20Trips'!$A$3:$F$22,2,FALSE))&lt;'20Trips'!$AC$38,$A58&lt;&gt;I$1,#REF!=1),(VLOOKUP(I$1,'20Trips'!$A$3:$I$22,8,FALSE))-(VLOOKUP($A58,'20Trips'!$A$3:$I$22,9,FALSE))+'20Trips'!$B$24,0)</f>
        <v>#REF!</v>
      </c>
      <c r="J58" t="e">
        <f>IF(AND(SUM(VLOOKUP($A58,'20Trips'!$A$3:$F$22,2,FALSE),VLOOKUP(J$1,'20Trips'!$A$3:$F$22,2,FALSE))&lt;'20Trips'!$AC$38,$A58&lt;&gt;J$1,#REF!=1),(VLOOKUP(J$1,'20Trips'!$A$3:$I$22,8,FALSE))-(VLOOKUP($A58,'20Trips'!$A$3:$I$22,9,FALSE))+'20Trips'!$B$24,0)</f>
        <v>#REF!</v>
      </c>
      <c r="K58" t="e">
        <f>IF(AND(SUM(VLOOKUP($A58,'20Trips'!$A$3:$F$22,2,FALSE),VLOOKUP(K$1,'20Trips'!$A$3:$F$22,2,FALSE))&lt;'20Trips'!$AC$38,$A58&lt;&gt;K$1,#REF!=1),(VLOOKUP(K$1,'20Trips'!$A$3:$I$22,8,FALSE))-(VLOOKUP($A58,'20Trips'!$A$3:$I$22,9,FALSE))+'20Trips'!$B$24,0)</f>
        <v>#REF!</v>
      </c>
      <c r="L58" t="e">
        <f>IF(AND(SUM(VLOOKUP($A58,'20Trips'!$A$3:$F$22,2,FALSE),VLOOKUP(L$1,'20Trips'!$A$3:$F$22,2,FALSE))&lt;'20Trips'!$AC$38,$A58&lt;&gt;L$1,#REF!=1),(VLOOKUP(L$1,'20Trips'!$A$3:$I$22,8,FALSE))-(VLOOKUP($A58,'20Trips'!$A$3:$I$22,9,FALSE))+'20Trips'!$B$24,0)</f>
        <v>#REF!</v>
      </c>
      <c r="M58" t="e">
        <f>IF(AND(SUM(VLOOKUP($A58,'20Trips'!$A$3:$F$22,2,FALSE),VLOOKUP(M$1,'20Trips'!$A$3:$F$22,2,FALSE))&lt;'20Trips'!$AC$38,$A58&lt;&gt;M$1,#REF!=1),(VLOOKUP(M$1,'20Trips'!$A$3:$I$22,8,FALSE))-(VLOOKUP($A58,'20Trips'!$A$3:$I$22,9,FALSE))+'20Trips'!$B$24,0)</f>
        <v>#REF!</v>
      </c>
      <c r="N58" t="e">
        <f>IF(AND(SUM(VLOOKUP($A58,'20Trips'!$A$3:$F$22,2,FALSE),VLOOKUP(N$1,'20Trips'!$A$3:$F$22,2,FALSE))&lt;'20Trips'!$AC$38,$A58&lt;&gt;N$1,#REF!=1),(VLOOKUP(N$1,'20Trips'!$A$3:$I$22,8,FALSE))-(VLOOKUP($A58,'20Trips'!$A$3:$I$22,9,FALSE))+'20Trips'!$B$24,0)</f>
        <v>#REF!</v>
      </c>
      <c r="O58" t="e">
        <f>IF(AND(SUM(VLOOKUP($A58,'20Trips'!$A$3:$F$22,2,FALSE),VLOOKUP(O$1,'20Trips'!$A$3:$F$22,2,FALSE))&lt;'20Trips'!$AC$38,$A58&lt;&gt;O$1,#REF!=1),(VLOOKUP(O$1,'20Trips'!$A$3:$I$22,8,FALSE))-(VLOOKUP($A58,'20Trips'!$A$3:$I$22,9,FALSE))+'20Trips'!$B$24,0)</f>
        <v>#REF!</v>
      </c>
      <c r="P58" t="e">
        <f>IF(AND(SUM(VLOOKUP($A58,'20Trips'!$A$3:$F$22,2,FALSE),VLOOKUP(P$1,'20Trips'!$A$3:$F$22,2,FALSE))&lt;'20Trips'!$AC$38,$A58&lt;&gt;P$1,#REF!=1),(VLOOKUP(P$1,'20Trips'!$A$3:$I$22,8,FALSE))-(VLOOKUP($A58,'20Trips'!$A$3:$I$22,9,FALSE))+'20Trips'!$B$24,0)</f>
        <v>#REF!</v>
      </c>
      <c r="Q58" t="e">
        <f>IF(AND(SUM(VLOOKUP($A58,'20Trips'!$A$3:$F$22,2,FALSE),VLOOKUP(Q$1,'20Trips'!$A$3:$F$22,2,FALSE))&lt;'20Trips'!$AC$38,$A58&lt;&gt;Q$1,#REF!=1),(VLOOKUP(Q$1,'20Trips'!$A$3:$I$22,8,FALSE))-(VLOOKUP($A58,'20Trips'!$A$3:$I$22,9,FALSE))+'20Trips'!$B$24,0)</f>
        <v>#REF!</v>
      </c>
      <c r="R58" t="e">
        <f>IF(AND(SUM(VLOOKUP($A58,'20Trips'!$A$3:$F$22,2,FALSE),VLOOKUP(R$1,'20Trips'!$A$3:$F$22,2,FALSE))&lt;'20Trips'!$AC$38,$A58&lt;&gt;R$1,#REF!=1),(VLOOKUP(R$1,'20Trips'!$A$3:$I$22,8,FALSE))-(VLOOKUP($A58,'20Trips'!$A$3:$I$22,9,FALSE))+'20Trips'!$B$24,0)</f>
        <v>#REF!</v>
      </c>
      <c r="S58" t="e">
        <f>IF(AND(SUM(VLOOKUP($A58,'20Trips'!$A$3:$F$22,2,FALSE),VLOOKUP(S$1,'20Trips'!$A$3:$F$22,2,FALSE))&lt;'20Trips'!$AC$38,$A58&lt;&gt;S$1,#REF!=1),(VLOOKUP(S$1,'20Trips'!$A$3:$I$22,8,FALSE))-(VLOOKUP($A58,'20Trips'!$A$3:$I$22,9,FALSE))+'20Trips'!$B$24,0)</f>
        <v>#REF!</v>
      </c>
      <c r="T58" t="e">
        <f>IF(AND(SUM(VLOOKUP($A58,'20Trips'!$A$3:$F$22,2,FALSE),VLOOKUP(T$1,'20Trips'!$A$3:$F$22,2,FALSE))&lt;'20Trips'!$AC$38,$A58&lt;&gt;T$1,#REF!=1),(VLOOKUP(T$1,'20Trips'!$A$3:$I$22,8,FALSE))-(VLOOKUP($A58,'20Trips'!$A$3:$I$22,9,FALSE))+'20Trips'!$B$24,0)</f>
        <v>#REF!</v>
      </c>
      <c r="U58" t="e">
        <f>IF(AND(SUM(VLOOKUP($A58,'20Trips'!$A$3:$F$22,2,FALSE),VLOOKUP(U$1,'20Trips'!$A$3:$F$22,2,FALSE))&lt;'20Trips'!$AC$38,$A58&lt;&gt;U$1,#REF!=1),(VLOOKUP(U$1,'20Trips'!$A$3:$I$22,8,FALSE))-(VLOOKUP($A58,'20Trips'!$A$3:$I$22,9,FALSE))+'20Trips'!$B$24,0)</f>
        <v>#REF!</v>
      </c>
      <c r="V58" t="e">
        <f>IF(AND(SUM(VLOOKUP($A58,'20Trips'!$A$3:$F$22,2,FALSE),VLOOKUP(V$1,'20Trips'!$A$3:$F$22,2,FALSE))&lt;'20Trips'!$AC$38,$A58&lt;&gt;V$1,#REF!=1),(VLOOKUP(V$1,'20Trips'!$A$3:$I$22,8,FALSE))-(VLOOKUP($A58,'20Trips'!$A$3:$I$22,9,FALSE))+'20Trips'!$B$24,0)</f>
        <v>#REF!</v>
      </c>
    </row>
    <row r="59" spans="1:22" x14ac:dyDescent="0.25">
      <c r="A59" t="s">
        <v>30</v>
      </c>
      <c r="B59">
        <v>0</v>
      </c>
      <c r="C59" t="e">
        <f>IF(AND(SUM(VLOOKUP($A59,'20Trips'!$A$3:$F$22,2,FALSE),VLOOKUP(C$1,'20Trips'!$A$3:$F$22,2,FALSE))&lt;'20Trips'!$AC$38,$A59&lt;&gt;C$1,#REF!=1),(VLOOKUP(C$1,'20Trips'!$A$3:$I$22,8,FALSE))-(VLOOKUP($A59,'20Trips'!$A$3:$I$22,9,FALSE))+'20Trips'!$B$24,0)</f>
        <v>#REF!</v>
      </c>
      <c r="D59" t="e">
        <f>IF(AND(SUM(VLOOKUP($A59,'20Trips'!$A$3:$F$22,2,FALSE),VLOOKUP(D$1,'20Trips'!$A$3:$F$22,2,FALSE))&lt;'20Trips'!$AC$38,$A59&lt;&gt;D$1,#REF!=1),(VLOOKUP(D$1,'20Trips'!$A$3:$I$22,8,FALSE))-(VLOOKUP($A59,'20Trips'!$A$3:$I$22,9,FALSE))+'20Trips'!$B$24,0)</f>
        <v>#REF!</v>
      </c>
      <c r="E59" t="e">
        <f>IF(AND(SUM(VLOOKUP($A59,'20Trips'!$A$3:$F$22,2,FALSE),VLOOKUP(E$1,'20Trips'!$A$3:$F$22,2,FALSE))&lt;'20Trips'!$AC$38,$A59&lt;&gt;E$1,#REF!=1),(VLOOKUP(E$1,'20Trips'!$A$3:$I$22,8,FALSE))-(VLOOKUP($A59,'20Trips'!$A$3:$I$22,9,FALSE))+'20Trips'!$B$24,0)</f>
        <v>#REF!</v>
      </c>
      <c r="F59" t="e">
        <f>IF(AND(SUM(VLOOKUP($A59,'20Trips'!$A$3:$F$22,2,FALSE),VLOOKUP(F$1,'20Trips'!$A$3:$F$22,2,FALSE))&lt;'20Trips'!$AC$38,$A59&lt;&gt;F$1,#REF!=1),(VLOOKUP(F$1,'20Trips'!$A$3:$I$22,8,FALSE))-(VLOOKUP($A59,'20Trips'!$A$3:$I$22,9,FALSE))+'20Trips'!$B$24,0)</f>
        <v>#REF!</v>
      </c>
      <c r="G59" t="e">
        <f>IF(AND(SUM(VLOOKUP($A59,'20Trips'!$A$3:$F$22,2,FALSE),VLOOKUP(G$1,'20Trips'!$A$3:$F$22,2,FALSE))&lt;'20Trips'!$AC$38,$A59&lt;&gt;G$1,#REF!=1),(VLOOKUP(G$1,'20Trips'!$A$3:$I$22,8,FALSE))-(VLOOKUP($A59,'20Trips'!$A$3:$I$22,9,FALSE))+'20Trips'!$B$24,0)</f>
        <v>#REF!</v>
      </c>
      <c r="H59" t="e">
        <f>IF(AND(SUM(VLOOKUP($A59,'20Trips'!$A$3:$F$22,2,FALSE),VLOOKUP(H$1,'20Trips'!$A$3:$F$22,2,FALSE))&lt;'20Trips'!$AC$38,$A59&lt;&gt;H$1,#REF!=1),(VLOOKUP(H$1,'20Trips'!$A$3:$I$22,8,FALSE))-(VLOOKUP($A59,'20Trips'!$A$3:$I$22,9,FALSE))+'20Trips'!$B$24,0)</f>
        <v>#REF!</v>
      </c>
      <c r="I59" t="e">
        <f>IF(AND(SUM(VLOOKUP($A59,'20Trips'!$A$3:$F$22,2,FALSE),VLOOKUP(I$1,'20Trips'!$A$3:$F$22,2,FALSE))&lt;'20Trips'!$AC$38,$A59&lt;&gt;I$1,#REF!=1),(VLOOKUP(I$1,'20Trips'!$A$3:$I$22,8,FALSE))-(VLOOKUP($A59,'20Trips'!$A$3:$I$22,9,FALSE))+'20Trips'!$B$24,0)</f>
        <v>#REF!</v>
      </c>
      <c r="J59" t="e">
        <f>IF(AND(SUM(VLOOKUP($A59,'20Trips'!$A$3:$F$22,2,FALSE),VLOOKUP(J$1,'20Trips'!$A$3:$F$22,2,FALSE))&lt;'20Trips'!$AC$38,$A59&lt;&gt;J$1,#REF!=1),(VLOOKUP(J$1,'20Trips'!$A$3:$I$22,8,FALSE))-(VLOOKUP($A59,'20Trips'!$A$3:$I$22,9,FALSE))+'20Trips'!$B$24,0)</f>
        <v>#REF!</v>
      </c>
      <c r="K59" t="e">
        <f>IF(AND(SUM(VLOOKUP($A59,'20Trips'!$A$3:$F$22,2,FALSE),VLOOKUP(K$1,'20Trips'!$A$3:$F$22,2,FALSE))&lt;'20Trips'!$AC$38,$A59&lt;&gt;K$1,#REF!=1),(VLOOKUP(K$1,'20Trips'!$A$3:$I$22,8,FALSE))-(VLOOKUP($A59,'20Trips'!$A$3:$I$22,9,FALSE))+'20Trips'!$B$24,0)</f>
        <v>#REF!</v>
      </c>
      <c r="L59" t="e">
        <f>IF(AND(SUM(VLOOKUP($A59,'20Trips'!$A$3:$F$22,2,FALSE),VLOOKUP(L$1,'20Trips'!$A$3:$F$22,2,FALSE))&lt;'20Trips'!$AC$38,$A59&lt;&gt;L$1,#REF!=1),(VLOOKUP(L$1,'20Trips'!$A$3:$I$22,8,FALSE))-(VLOOKUP($A59,'20Trips'!$A$3:$I$22,9,FALSE))+'20Trips'!$B$24,0)</f>
        <v>#REF!</v>
      </c>
      <c r="M59" t="e">
        <f>IF(AND(SUM(VLOOKUP($A59,'20Trips'!$A$3:$F$22,2,FALSE),VLOOKUP(M$1,'20Trips'!$A$3:$F$22,2,FALSE))&lt;'20Trips'!$AC$38,$A59&lt;&gt;M$1,#REF!=1),(VLOOKUP(M$1,'20Trips'!$A$3:$I$22,8,FALSE))-(VLOOKUP($A59,'20Trips'!$A$3:$I$22,9,FALSE))+'20Trips'!$B$24,0)</f>
        <v>#REF!</v>
      </c>
      <c r="N59" t="e">
        <f>IF(AND(SUM(VLOOKUP($A59,'20Trips'!$A$3:$F$22,2,FALSE),VLOOKUP(N$1,'20Trips'!$A$3:$F$22,2,FALSE))&lt;'20Trips'!$AC$38,$A59&lt;&gt;N$1,#REF!=1),(VLOOKUP(N$1,'20Trips'!$A$3:$I$22,8,FALSE))-(VLOOKUP($A59,'20Trips'!$A$3:$I$22,9,FALSE))+'20Trips'!$B$24,0)</f>
        <v>#REF!</v>
      </c>
      <c r="O59" t="e">
        <f>IF(AND(SUM(VLOOKUP($A59,'20Trips'!$A$3:$F$22,2,FALSE),VLOOKUP(O$1,'20Trips'!$A$3:$F$22,2,FALSE))&lt;'20Trips'!$AC$38,$A59&lt;&gt;O$1,#REF!=1),(VLOOKUP(O$1,'20Trips'!$A$3:$I$22,8,FALSE))-(VLOOKUP($A59,'20Trips'!$A$3:$I$22,9,FALSE))+'20Trips'!$B$24,0)</f>
        <v>#REF!</v>
      </c>
      <c r="P59" t="e">
        <f>IF(AND(SUM(VLOOKUP($A59,'20Trips'!$A$3:$F$22,2,FALSE),VLOOKUP(P$1,'20Trips'!$A$3:$F$22,2,FALSE))&lt;'20Trips'!$AC$38,$A59&lt;&gt;P$1,#REF!=1),(VLOOKUP(P$1,'20Trips'!$A$3:$I$22,8,FALSE))-(VLOOKUP($A59,'20Trips'!$A$3:$I$22,9,FALSE))+'20Trips'!$B$24,0)</f>
        <v>#REF!</v>
      </c>
      <c r="Q59" t="e">
        <f>IF(AND(SUM(VLOOKUP($A59,'20Trips'!$A$3:$F$22,2,FALSE),VLOOKUP(Q$1,'20Trips'!$A$3:$F$22,2,FALSE))&lt;'20Trips'!$AC$38,$A59&lt;&gt;Q$1,#REF!=1),(VLOOKUP(Q$1,'20Trips'!$A$3:$I$22,8,FALSE))-(VLOOKUP($A59,'20Trips'!$A$3:$I$22,9,FALSE))+'20Trips'!$B$24,0)</f>
        <v>#REF!</v>
      </c>
      <c r="R59" t="e">
        <f>IF(AND(SUM(VLOOKUP($A59,'20Trips'!$A$3:$F$22,2,FALSE),VLOOKUP(R$1,'20Trips'!$A$3:$F$22,2,FALSE))&lt;'20Trips'!$AC$38,$A59&lt;&gt;R$1,#REF!=1),(VLOOKUP(R$1,'20Trips'!$A$3:$I$22,8,FALSE))-(VLOOKUP($A59,'20Trips'!$A$3:$I$22,9,FALSE))+'20Trips'!$B$24,0)</f>
        <v>#REF!</v>
      </c>
      <c r="S59" t="e">
        <f>IF(AND(SUM(VLOOKUP($A59,'20Trips'!$A$3:$F$22,2,FALSE),VLOOKUP(S$1,'20Trips'!$A$3:$F$22,2,FALSE))&lt;'20Trips'!$AC$38,$A59&lt;&gt;S$1,#REF!=1),(VLOOKUP(S$1,'20Trips'!$A$3:$I$22,8,FALSE))-(VLOOKUP($A59,'20Trips'!$A$3:$I$22,9,FALSE))+'20Trips'!$B$24,0)</f>
        <v>#REF!</v>
      </c>
      <c r="T59" t="e">
        <f>IF(AND(SUM(VLOOKUP($A59,'20Trips'!$A$3:$F$22,2,FALSE),VLOOKUP(T$1,'20Trips'!$A$3:$F$22,2,FALSE))&lt;'20Trips'!$AC$38,$A59&lt;&gt;T$1,#REF!=1),(VLOOKUP(T$1,'20Trips'!$A$3:$I$22,8,FALSE))-(VLOOKUP($A59,'20Trips'!$A$3:$I$22,9,FALSE))+'20Trips'!$B$24,0)</f>
        <v>#REF!</v>
      </c>
      <c r="U59" t="e">
        <f>IF(AND(SUM(VLOOKUP($A59,'20Trips'!$A$3:$F$22,2,FALSE),VLOOKUP(U$1,'20Trips'!$A$3:$F$22,2,FALSE))&lt;'20Trips'!$AC$38,$A59&lt;&gt;U$1,#REF!=1),(VLOOKUP(U$1,'20Trips'!$A$3:$I$22,8,FALSE))-(VLOOKUP($A59,'20Trips'!$A$3:$I$22,9,FALSE))+'20Trips'!$B$24,0)</f>
        <v>#REF!</v>
      </c>
      <c r="V59" t="e">
        <f>IF(AND(SUM(VLOOKUP($A59,'20Trips'!$A$3:$F$22,2,FALSE),VLOOKUP(V$1,'20Trips'!$A$3:$F$22,2,FALSE))&lt;'20Trips'!$AC$38,$A59&lt;&gt;V$1,#REF!=1),(VLOOKUP(V$1,'20Trips'!$A$3:$I$22,8,FALSE))-(VLOOKUP($A59,'20Trips'!$A$3:$I$22,9,FALSE))+'20Trips'!$B$24,0)</f>
        <v>#REF!</v>
      </c>
    </row>
    <row r="60" spans="1:22" x14ac:dyDescent="0.25">
      <c r="A60" t="s">
        <v>34</v>
      </c>
      <c r="B60">
        <v>0</v>
      </c>
      <c r="C60" t="e">
        <f>IF(AND(SUM(VLOOKUP($A60,'20Trips'!$A$3:$F$22,2,FALSE),VLOOKUP(C$1,'20Trips'!$A$3:$F$22,2,FALSE))&lt;'20Trips'!$AC$38,$A60&lt;&gt;C$1,#REF!=1),(VLOOKUP(C$1,'20Trips'!$A$3:$I$22,8,FALSE))-(VLOOKUP($A60,'20Trips'!$A$3:$I$22,9,FALSE))+'20Trips'!$B$24,0)</f>
        <v>#REF!</v>
      </c>
      <c r="D60" t="e">
        <f>IF(AND(SUM(VLOOKUP($A60,'20Trips'!$A$3:$F$22,2,FALSE),VLOOKUP(D$1,'20Trips'!$A$3:$F$22,2,FALSE))&lt;'20Trips'!$AC$38,$A60&lt;&gt;D$1,#REF!=1),(VLOOKUP(D$1,'20Trips'!$A$3:$I$22,8,FALSE))-(VLOOKUP($A60,'20Trips'!$A$3:$I$22,9,FALSE))+'20Trips'!$B$24,0)</f>
        <v>#REF!</v>
      </c>
      <c r="E60" t="e">
        <f>IF(AND(SUM(VLOOKUP($A60,'20Trips'!$A$3:$F$22,2,FALSE),VLOOKUP(E$1,'20Trips'!$A$3:$F$22,2,FALSE))&lt;'20Trips'!$AC$38,$A60&lt;&gt;E$1,#REF!=1),(VLOOKUP(E$1,'20Trips'!$A$3:$I$22,8,FALSE))-(VLOOKUP($A60,'20Trips'!$A$3:$I$22,9,FALSE))+'20Trips'!$B$24,0)</f>
        <v>#REF!</v>
      </c>
      <c r="F60" t="e">
        <f>IF(AND(SUM(VLOOKUP($A60,'20Trips'!$A$3:$F$22,2,FALSE),VLOOKUP(F$1,'20Trips'!$A$3:$F$22,2,FALSE))&lt;'20Trips'!$AC$38,$A60&lt;&gt;F$1,#REF!=1),(VLOOKUP(F$1,'20Trips'!$A$3:$I$22,8,FALSE))-(VLOOKUP($A60,'20Trips'!$A$3:$I$22,9,FALSE))+'20Trips'!$B$24,0)</f>
        <v>#REF!</v>
      </c>
      <c r="G60" t="e">
        <f>IF(AND(SUM(VLOOKUP($A60,'20Trips'!$A$3:$F$22,2,FALSE),VLOOKUP(G$1,'20Trips'!$A$3:$F$22,2,FALSE))&lt;'20Trips'!$AC$38,$A60&lt;&gt;G$1,#REF!=1),(VLOOKUP(G$1,'20Trips'!$A$3:$I$22,8,FALSE))-(VLOOKUP($A60,'20Trips'!$A$3:$I$22,9,FALSE))+'20Trips'!$B$24,0)</f>
        <v>#REF!</v>
      </c>
      <c r="H60" t="e">
        <f>IF(AND(SUM(VLOOKUP($A60,'20Trips'!$A$3:$F$22,2,FALSE),VLOOKUP(H$1,'20Trips'!$A$3:$F$22,2,FALSE))&lt;'20Trips'!$AC$38,$A60&lt;&gt;H$1,#REF!=1),(VLOOKUP(H$1,'20Trips'!$A$3:$I$22,8,FALSE))-(VLOOKUP($A60,'20Trips'!$A$3:$I$22,9,FALSE))+'20Trips'!$B$24,0)</f>
        <v>#REF!</v>
      </c>
      <c r="I60" t="e">
        <f>IF(AND(SUM(VLOOKUP($A60,'20Trips'!$A$3:$F$22,2,FALSE),VLOOKUP(I$1,'20Trips'!$A$3:$F$22,2,FALSE))&lt;'20Trips'!$AC$38,$A60&lt;&gt;I$1,#REF!=1),(VLOOKUP(I$1,'20Trips'!$A$3:$I$22,8,FALSE))-(VLOOKUP($A60,'20Trips'!$A$3:$I$22,9,FALSE))+'20Trips'!$B$24,0)</f>
        <v>#REF!</v>
      </c>
      <c r="J60" t="e">
        <f>IF(AND(SUM(VLOOKUP($A60,'20Trips'!$A$3:$F$22,2,FALSE),VLOOKUP(J$1,'20Trips'!$A$3:$F$22,2,FALSE))&lt;'20Trips'!$AC$38,$A60&lt;&gt;J$1,#REF!=1),(VLOOKUP(J$1,'20Trips'!$A$3:$I$22,8,FALSE))-(VLOOKUP($A60,'20Trips'!$A$3:$I$22,9,FALSE))+'20Trips'!$B$24,0)</f>
        <v>#REF!</v>
      </c>
      <c r="K60" t="e">
        <f>IF(AND(SUM(VLOOKUP($A60,'20Trips'!$A$3:$F$22,2,FALSE),VLOOKUP(K$1,'20Trips'!$A$3:$F$22,2,FALSE))&lt;'20Trips'!$AC$38,$A60&lt;&gt;K$1,#REF!=1),(VLOOKUP(K$1,'20Trips'!$A$3:$I$22,8,FALSE))-(VLOOKUP($A60,'20Trips'!$A$3:$I$22,9,FALSE))+'20Trips'!$B$24,0)</f>
        <v>#REF!</v>
      </c>
      <c r="L60" t="e">
        <f>IF(AND(SUM(VLOOKUP($A60,'20Trips'!$A$3:$F$22,2,FALSE),VLOOKUP(L$1,'20Trips'!$A$3:$F$22,2,FALSE))&lt;'20Trips'!$AC$38,$A60&lt;&gt;L$1,#REF!=1),(VLOOKUP(L$1,'20Trips'!$A$3:$I$22,8,FALSE))-(VLOOKUP($A60,'20Trips'!$A$3:$I$22,9,FALSE))+'20Trips'!$B$24,0)</f>
        <v>#REF!</v>
      </c>
      <c r="M60" t="e">
        <f>IF(AND(SUM(VLOOKUP($A60,'20Trips'!$A$3:$F$22,2,FALSE),VLOOKUP(M$1,'20Trips'!$A$3:$F$22,2,FALSE))&lt;'20Trips'!$AC$38,$A60&lt;&gt;M$1,#REF!=1),(VLOOKUP(M$1,'20Trips'!$A$3:$I$22,8,FALSE))-(VLOOKUP($A60,'20Trips'!$A$3:$I$22,9,FALSE))+'20Trips'!$B$24,0)</f>
        <v>#REF!</v>
      </c>
      <c r="N60" t="e">
        <f>IF(AND(SUM(VLOOKUP($A60,'20Trips'!$A$3:$F$22,2,FALSE),VLOOKUP(N$1,'20Trips'!$A$3:$F$22,2,FALSE))&lt;'20Trips'!$AC$38,$A60&lt;&gt;N$1,#REF!=1),(VLOOKUP(N$1,'20Trips'!$A$3:$I$22,8,FALSE))-(VLOOKUP($A60,'20Trips'!$A$3:$I$22,9,FALSE))+'20Trips'!$B$24,0)</f>
        <v>#REF!</v>
      </c>
      <c r="O60" t="e">
        <f>IF(AND(SUM(VLOOKUP($A60,'20Trips'!$A$3:$F$22,2,FALSE),VLOOKUP(O$1,'20Trips'!$A$3:$F$22,2,FALSE))&lt;'20Trips'!$AC$38,$A60&lt;&gt;O$1,#REF!=1),(VLOOKUP(O$1,'20Trips'!$A$3:$I$22,8,FALSE))-(VLOOKUP($A60,'20Trips'!$A$3:$I$22,9,FALSE))+'20Trips'!$B$24,0)</f>
        <v>#REF!</v>
      </c>
      <c r="P60" t="e">
        <f>IF(AND(SUM(VLOOKUP($A60,'20Trips'!$A$3:$F$22,2,FALSE),VLOOKUP(P$1,'20Trips'!$A$3:$F$22,2,FALSE))&lt;'20Trips'!$AC$38,$A60&lt;&gt;P$1,#REF!=1),(VLOOKUP(P$1,'20Trips'!$A$3:$I$22,8,FALSE))-(VLOOKUP($A60,'20Trips'!$A$3:$I$22,9,FALSE))+'20Trips'!$B$24,0)</f>
        <v>#REF!</v>
      </c>
      <c r="Q60" t="e">
        <f>IF(AND(SUM(VLOOKUP($A60,'20Trips'!$A$3:$F$22,2,FALSE),VLOOKUP(Q$1,'20Trips'!$A$3:$F$22,2,FALSE))&lt;'20Trips'!$AC$38,$A60&lt;&gt;Q$1,#REF!=1),(VLOOKUP(Q$1,'20Trips'!$A$3:$I$22,8,FALSE))-(VLOOKUP($A60,'20Trips'!$A$3:$I$22,9,FALSE))+'20Trips'!$B$24,0)</f>
        <v>#REF!</v>
      </c>
      <c r="R60" t="e">
        <f>IF(AND(SUM(VLOOKUP($A60,'20Trips'!$A$3:$F$22,2,FALSE),VLOOKUP(R$1,'20Trips'!$A$3:$F$22,2,FALSE))&lt;'20Trips'!$AC$38,$A60&lt;&gt;R$1,#REF!=1),(VLOOKUP(R$1,'20Trips'!$A$3:$I$22,8,FALSE))-(VLOOKUP($A60,'20Trips'!$A$3:$I$22,9,FALSE))+'20Trips'!$B$24,0)</f>
        <v>#REF!</v>
      </c>
      <c r="S60" t="e">
        <f>IF(AND(SUM(VLOOKUP($A60,'20Trips'!$A$3:$F$22,2,FALSE),VLOOKUP(S$1,'20Trips'!$A$3:$F$22,2,FALSE))&lt;'20Trips'!$AC$38,$A60&lt;&gt;S$1,#REF!=1),(VLOOKUP(S$1,'20Trips'!$A$3:$I$22,8,FALSE))-(VLOOKUP($A60,'20Trips'!$A$3:$I$22,9,FALSE))+'20Trips'!$B$24,0)</f>
        <v>#REF!</v>
      </c>
      <c r="T60" t="e">
        <f>IF(AND(SUM(VLOOKUP($A60,'20Trips'!$A$3:$F$22,2,FALSE),VLOOKUP(T$1,'20Trips'!$A$3:$F$22,2,FALSE))&lt;'20Trips'!$AC$38,$A60&lt;&gt;T$1,#REF!=1),(VLOOKUP(T$1,'20Trips'!$A$3:$I$22,8,FALSE))-(VLOOKUP($A60,'20Trips'!$A$3:$I$22,9,FALSE))+'20Trips'!$B$24,0)</f>
        <v>#REF!</v>
      </c>
      <c r="U60" t="e">
        <f>IF(AND(SUM(VLOOKUP($A60,'20Trips'!$A$3:$F$22,2,FALSE),VLOOKUP(U$1,'20Trips'!$A$3:$F$22,2,FALSE))&lt;'20Trips'!$AC$38,$A60&lt;&gt;U$1,#REF!=1),(VLOOKUP(U$1,'20Trips'!$A$3:$I$22,8,FALSE))-(VLOOKUP($A60,'20Trips'!$A$3:$I$22,9,FALSE))+'20Trips'!$B$24,0)</f>
        <v>#REF!</v>
      </c>
      <c r="V60" t="e">
        <f>IF(AND(SUM(VLOOKUP($A60,'20Trips'!$A$3:$F$22,2,FALSE),VLOOKUP(V$1,'20Trips'!$A$3:$F$22,2,FALSE))&lt;'20Trips'!$AC$38,$A60&lt;&gt;V$1,#REF!=1),(VLOOKUP(V$1,'20Trips'!$A$3:$I$22,8,FALSE))-(VLOOKUP($A60,'20Trips'!$A$3:$I$22,9,FALSE))+'20Trips'!$B$24,0)</f>
        <v>#REF!</v>
      </c>
    </row>
    <row r="61" spans="1:22" x14ac:dyDescent="0.25">
      <c r="A61" t="s">
        <v>35</v>
      </c>
      <c r="B61">
        <v>0</v>
      </c>
      <c r="C61" t="e">
        <f>IF(AND(SUM(VLOOKUP($A61,'20Trips'!$A$3:$F$22,2,FALSE),VLOOKUP(C$1,'20Trips'!$A$3:$F$22,2,FALSE))&lt;'20Trips'!$AC$38,$A61&lt;&gt;C$1,#REF!=1),(VLOOKUP(C$1,'20Trips'!$A$3:$I$22,8,FALSE))-(VLOOKUP($A61,'20Trips'!$A$3:$I$22,9,FALSE))+'20Trips'!$B$24,0)</f>
        <v>#REF!</v>
      </c>
      <c r="D61" t="e">
        <f>IF(AND(SUM(VLOOKUP($A61,'20Trips'!$A$3:$F$22,2,FALSE),VLOOKUP(D$1,'20Trips'!$A$3:$F$22,2,FALSE))&lt;'20Trips'!$AC$38,$A61&lt;&gt;D$1,#REF!=1),(VLOOKUP(D$1,'20Trips'!$A$3:$I$22,8,FALSE))-(VLOOKUP($A61,'20Trips'!$A$3:$I$22,9,FALSE))+'20Trips'!$B$24,0)</f>
        <v>#REF!</v>
      </c>
      <c r="E61" t="e">
        <f>IF(AND(SUM(VLOOKUP($A61,'20Trips'!$A$3:$F$22,2,FALSE),VLOOKUP(E$1,'20Trips'!$A$3:$F$22,2,FALSE))&lt;'20Trips'!$AC$38,$A61&lt;&gt;E$1,#REF!=1),(VLOOKUP(E$1,'20Trips'!$A$3:$I$22,8,FALSE))-(VLOOKUP($A61,'20Trips'!$A$3:$I$22,9,FALSE))+'20Trips'!$B$24,0)</f>
        <v>#REF!</v>
      </c>
      <c r="F61" t="e">
        <f>IF(AND(SUM(VLOOKUP($A61,'20Trips'!$A$3:$F$22,2,FALSE),VLOOKUP(F$1,'20Trips'!$A$3:$F$22,2,FALSE))&lt;'20Trips'!$AC$38,$A61&lt;&gt;F$1,#REF!=1),(VLOOKUP(F$1,'20Trips'!$A$3:$I$22,8,FALSE))-(VLOOKUP($A61,'20Trips'!$A$3:$I$22,9,FALSE))+'20Trips'!$B$24,0)</f>
        <v>#REF!</v>
      </c>
      <c r="G61" t="e">
        <f>IF(AND(SUM(VLOOKUP($A61,'20Trips'!$A$3:$F$22,2,FALSE),VLOOKUP(G$1,'20Trips'!$A$3:$F$22,2,FALSE))&lt;'20Trips'!$AC$38,$A61&lt;&gt;G$1,#REF!=1),(VLOOKUP(G$1,'20Trips'!$A$3:$I$22,8,FALSE))-(VLOOKUP($A61,'20Trips'!$A$3:$I$22,9,FALSE))+'20Trips'!$B$24,0)</f>
        <v>#REF!</v>
      </c>
      <c r="H61" t="e">
        <f>IF(AND(SUM(VLOOKUP($A61,'20Trips'!$A$3:$F$22,2,FALSE),VLOOKUP(H$1,'20Trips'!$A$3:$F$22,2,FALSE))&lt;'20Trips'!$AC$38,$A61&lt;&gt;H$1,#REF!=1),(VLOOKUP(H$1,'20Trips'!$A$3:$I$22,8,FALSE))-(VLOOKUP($A61,'20Trips'!$A$3:$I$22,9,FALSE))+'20Trips'!$B$24,0)</f>
        <v>#REF!</v>
      </c>
      <c r="I61" t="e">
        <f>IF(AND(SUM(VLOOKUP($A61,'20Trips'!$A$3:$F$22,2,FALSE),VLOOKUP(I$1,'20Trips'!$A$3:$F$22,2,FALSE))&lt;'20Trips'!$AC$38,$A61&lt;&gt;I$1,#REF!=1),(VLOOKUP(I$1,'20Trips'!$A$3:$I$22,8,FALSE))-(VLOOKUP($A61,'20Trips'!$A$3:$I$22,9,FALSE))+'20Trips'!$B$24,0)</f>
        <v>#REF!</v>
      </c>
      <c r="J61" t="e">
        <f>IF(AND(SUM(VLOOKUP($A61,'20Trips'!$A$3:$F$22,2,FALSE),VLOOKUP(J$1,'20Trips'!$A$3:$F$22,2,FALSE))&lt;'20Trips'!$AC$38,$A61&lt;&gt;J$1,#REF!=1),(VLOOKUP(J$1,'20Trips'!$A$3:$I$22,8,FALSE))-(VLOOKUP($A61,'20Trips'!$A$3:$I$22,9,FALSE))+'20Trips'!$B$24,0)</f>
        <v>#REF!</v>
      </c>
      <c r="K61" t="e">
        <f>IF(AND(SUM(VLOOKUP($A61,'20Trips'!$A$3:$F$22,2,FALSE),VLOOKUP(K$1,'20Trips'!$A$3:$F$22,2,FALSE))&lt;'20Trips'!$AC$38,$A61&lt;&gt;K$1,#REF!=1),(VLOOKUP(K$1,'20Trips'!$A$3:$I$22,8,FALSE))-(VLOOKUP($A61,'20Trips'!$A$3:$I$22,9,FALSE))+'20Trips'!$B$24,0)</f>
        <v>#REF!</v>
      </c>
      <c r="L61" t="e">
        <f>IF(AND(SUM(VLOOKUP($A61,'20Trips'!$A$3:$F$22,2,FALSE),VLOOKUP(L$1,'20Trips'!$A$3:$F$22,2,FALSE))&lt;'20Trips'!$AC$38,$A61&lt;&gt;L$1,#REF!=1),(VLOOKUP(L$1,'20Trips'!$A$3:$I$22,8,FALSE))-(VLOOKUP($A61,'20Trips'!$A$3:$I$22,9,FALSE))+'20Trips'!$B$24,0)</f>
        <v>#REF!</v>
      </c>
      <c r="M61" t="e">
        <f>IF(AND(SUM(VLOOKUP($A61,'20Trips'!$A$3:$F$22,2,FALSE),VLOOKUP(M$1,'20Trips'!$A$3:$F$22,2,FALSE))&lt;'20Trips'!$AC$38,$A61&lt;&gt;M$1,#REF!=1),(VLOOKUP(M$1,'20Trips'!$A$3:$I$22,8,FALSE))-(VLOOKUP($A61,'20Trips'!$A$3:$I$22,9,FALSE))+'20Trips'!$B$24,0)</f>
        <v>#REF!</v>
      </c>
      <c r="N61" t="e">
        <f>IF(AND(SUM(VLOOKUP($A61,'20Trips'!$A$3:$F$22,2,FALSE),VLOOKUP(N$1,'20Trips'!$A$3:$F$22,2,FALSE))&lt;'20Trips'!$AC$38,$A61&lt;&gt;N$1,#REF!=1),(VLOOKUP(N$1,'20Trips'!$A$3:$I$22,8,FALSE))-(VLOOKUP($A61,'20Trips'!$A$3:$I$22,9,FALSE))+'20Trips'!$B$24,0)</f>
        <v>#REF!</v>
      </c>
      <c r="O61" t="e">
        <f>IF(AND(SUM(VLOOKUP($A61,'20Trips'!$A$3:$F$22,2,FALSE),VLOOKUP(O$1,'20Trips'!$A$3:$F$22,2,FALSE))&lt;'20Trips'!$AC$38,$A61&lt;&gt;O$1,#REF!=1),(VLOOKUP(O$1,'20Trips'!$A$3:$I$22,8,FALSE))-(VLOOKUP($A61,'20Trips'!$A$3:$I$22,9,FALSE))+'20Trips'!$B$24,0)</f>
        <v>#REF!</v>
      </c>
      <c r="P61" t="e">
        <f>IF(AND(SUM(VLOOKUP($A61,'20Trips'!$A$3:$F$22,2,FALSE),VLOOKUP(P$1,'20Trips'!$A$3:$F$22,2,FALSE))&lt;'20Trips'!$AC$38,$A61&lt;&gt;P$1,#REF!=1),(VLOOKUP(P$1,'20Trips'!$A$3:$I$22,8,FALSE))-(VLOOKUP($A61,'20Trips'!$A$3:$I$22,9,FALSE))+'20Trips'!$B$24,0)</f>
        <v>#REF!</v>
      </c>
      <c r="Q61" t="e">
        <f>IF(AND(SUM(VLOOKUP($A61,'20Trips'!$A$3:$F$22,2,FALSE),VLOOKUP(Q$1,'20Trips'!$A$3:$F$22,2,FALSE))&lt;'20Trips'!$AC$38,$A61&lt;&gt;Q$1,#REF!=1),(VLOOKUP(Q$1,'20Trips'!$A$3:$I$22,8,FALSE))-(VLOOKUP($A61,'20Trips'!$A$3:$I$22,9,FALSE))+'20Trips'!$B$24,0)</f>
        <v>#REF!</v>
      </c>
      <c r="R61" t="e">
        <f>IF(AND(SUM(VLOOKUP($A61,'20Trips'!$A$3:$F$22,2,FALSE),VLOOKUP(R$1,'20Trips'!$A$3:$F$22,2,FALSE))&lt;'20Trips'!$AC$38,$A61&lt;&gt;R$1,#REF!=1),(VLOOKUP(R$1,'20Trips'!$A$3:$I$22,8,FALSE))-(VLOOKUP($A61,'20Trips'!$A$3:$I$22,9,FALSE))+'20Trips'!$B$24,0)</f>
        <v>#REF!</v>
      </c>
      <c r="S61" t="e">
        <f>IF(AND(SUM(VLOOKUP($A61,'20Trips'!$A$3:$F$22,2,FALSE),VLOOKUP(S$1,'20Trips'!$A$3:$F$22,2,FALSE))&lt;'20Trips'!$AC$38,$A61&lt;&gt;S$1,#REF!=1),(VLOOKUP(S$1,'20Trips'!$A$3:$I$22,8,FALSE))-(VLOOKUP($A61,'20Trips'!$A$3:$I$22,9,FALSE))+'20Trips'!$B$24,0)</f>
        <v>#REF!</v>
      </c>
      <c r="T61" t="e">
        <f>IF(AND(SUM(VLOOKUP($A61,'20Trips'!$A$3:$F$22,2,FALSE),VLOOKUP(T$1,'20Trips'!$A$3:$F$22,2,FALSE))&lt;'20Trips'!$AC$38,$A61&lt;&gt;T$1,#REF!=1),(VLOOKUP(T$1,'20Trips'!$A$3:$I$22,8,FALSE))-(VLOOKUP($A61,'20Trips'!$A$3:$I$22,9,FALSE))+'20Trips'!$B$24,0)</f>
        <v>#REF!</v>
      </c>
      <c r="U61" t="e">
        <f>IF(AND(SUM(VLOOKUP($A61,'20Trips'!$A$3:$F$22,2,FALSE),VLOOKUP(U$1,'20Trips'!$A$3:$F$22,2,FALSE))&lt;'20Trips'!$AC$38,$A61&lt;&gt;U$1,#REF!=1),(VLOOKUP(U$1,'20Trips'!$A$3:$I$22,8,FALSE))-(VLOOKUP($A61,'20Trips'!$A$3:$I$22,9,FALSE))+'20Trips'!$B$24,0)</f>
        <v>#REF!</v>
      </c>
      <c r="V61" t="e">
        <f>IF(AND(SUM(VLOOKUP($A61,'20Trips'!$A$3:$F$22,2,FALSE),VLOOKUP(V$1,'20Trips'!$A$3:$F$22,2,FALSE))&lt;'20Trips'!$AC$38,$A61&lt;&gt;V$1,#REF!=1),(VLOOKUP(V$1,'20Trips'!$A$3:$I$22,8,FALSE))-(VLOOKUP($A61,'20Trips'!$A$3:$I$22,9,FALSE))+'20Trips'!$B$24,0)</f>
        <v>#REF!</v>
      </c>
    </row>
    <row r="62" spans="1:22" x14ac:dyDescent="0.25">
      <c r="A62" t="s">
        <v>36</v>
      </c>
      <c r="B62">
        <v>0</v>
      </c>
      <c r="C62" t="e">
        <f>IF(AND(SUM(VLOOKUP($A62,'20Trips'!$A$3:$F$22,2,FALSE),VLOOKUP(C$1,'20Trips'!$A$3:$F$22,2,FALSE))&lt;'20Trips'!$AC$38,$A62&lt;&gt;C$1,#REF!=1),(VLOOKUP(C$1,'20Trips'!$A$3:$I$22,8,FALSE))-(VLOOKUP($A62,'20Trips'!$A$3:$I$22,9,FALSE))+'20Trips'!$B$24,0)</f>
        <v>#REF!</v>
      </c>
      <c r="D62" t="e">
        <f>IF(AND(SUM(VLOOKUP($A62,'20Trips'!$A$3:$F$22,2,FALSE),VLOOKUP(D$1,'20Trips'!$A$3:$F$22,2,FALSE))&lt;'20Trips'!$AC$38,$A62&lt;&gt;D$1,#REF!=1),(VLOOKUP(D$1,'20Trips'!$A$3:$I$22,8,FALSE))-(VLOOKUP($A62,'20Trips'!$A$3:$I$22,9,FALSE))+'20Trips'!$B$24,0)</f>
        <v>#REF!</v>
      </c>
      <c r="E62" t="e">
        <f>IF(AND(SUM(VLOOKUP($A62,'20Trips'!$A$3:$F$22,2,FALSE),VLOOKUP(E$1,'20Trips'!$A$3:$F$22,2,FALSE))&lt;'20Trips'!$AC$38,$A62&lt;&gt;E$1,#REF!=1),(VLOOKUP(E$1,'20Trips'!$A$3:$I$22,8,FALSE))-(VLOOKUP($A62,'20Trips'!$A$3:$I$22,9,FALSE))+'20Trips'!$B$24,0)</f>
        <v>#REF!</v>
      </c>
      <c r="F62" t="e">
        <f>IF(AND(SUM(VLOOKUP($A62,'20Trips'!$A$3:$F$22,2,FALSE),VLOOKUP(F$1,'20Trips'!$A$3:$F$22,2,FALSE))&lt;'20Trips'!$AC$38,$A62&lt;&gt;F$1,#REF!=1),(VLOOKUP(F$1,'20Trips'!$A$3:$I$22,8,FALSE))-(VLOOKUP($A62,'20Trips'!$A$3:$I$22,9,FALSE))+'20Trips'!$B$24,0)</f>
        <v>#REF!</v>
      </c>
      <c r="G62" t="e">
        <f>IF(AND(SUM(VLOOKUP($A62,'20Trips'!$A$3:$F$22,2,FALSE),VLOOKUP(G$1,'20Trips'!$A$3:$F$22,2,FALSE))&lt;'20Trips'!$AC$38,$A62&lt;&gt;G$1,#REF!=1),(VLOOKUP(G$1,'20Trips'!$A$3:$I$22,8,FALSE))-(VLOOKUP($A62,'20Trips'!$A$3:$I$22,9,FALSE))+'20Trips'!$B$24,0)</f>
        <v>#REF!</v>
      </c>
      <c r="H62" t="e">
        <f>IF(AND(SUM(VLOOKUP($A62,'20Trips'!$A$3:$F$22,2,FALSE),VLOOKUP(H$1,'20Trips'!$A$3:$F$22,2,FALSE))&lt;'20Trips'!$AC$38,$A62&lt;&gt;H$1,#REF!=1),(VLOOKUP(H$1,'20Trips'!$A$3:$I$22,8,FALSE))-(VLOOKUP($A62,'20Trips'!$A$3:$I$22,9,FALSE))+'20Trips'!$B$24,0)</f>
        <v>#REF!</v>
      </c>
      <c r="I62" t="e">
        <f>IF(AND(SUM(VLOOKUP($A62,'20Trips'!$A$3:$F$22,2,FALSE),VLOOKUP(I$1,'20Trips'!$A$3:$F$22,2,FALSE))&lt;'20Trips'!$AC$38,$A62&lt;&gt;I$1,#REF!=1),(VLOOKUP(I$1,'20Trips'!$A$3:$I$22,8,FALSE))-(VLOOKUP($A62,'20Trips'!$A$3:$I$22,9,FALSE))+'20Trips'!$B$24,0)</f>
        <v>#REF!</v>
      </c>
      <c r="J62" t="e">
        <f>IF(AND(SUM(VLOOKUP($A62,'20Trips'!$A$3:$F$22,2,FALSE),VLOOKUP(J$1,'20Trips'!$A$3:$F$22,2,FALSE))&lt;'20Trips'!$AC$38,$A62&lt;&gt;J$1,#REF!=1),(VLOOKUP(J$1,'20Trips'!$A$3:$I$22,8,FALSE))-(VLOOKUP($A62,'20Trips'!$A$3:$I$22,9,FALSE))+'20Trips'!$B$24,0)</f>
        <v>#REF!</v>
      </c>
      <c r="K62" t="e">
        <f>IF(AND(SUM(VLOOKUP($A62,'20Trips'!$A$3:$F$22,2,FALSE),VLOOKUP(K$1,'20Trips'!$A$3:$F$22,2,FALSE))&lt;'20Trips'!$AC$38,$A62&lt;&gt;K$1,#REF!=1),(VLOOKUP(K$1,'20Trips'!$A$3:$I$22,8,FALSE))-(VLOOKUP($A62,'20Trips'!$A$3:$I$22,9,FALSE))+'20Trips'!$B$24,0)</f>
        <v>#REF!</v>
      </c>
      <c r="L62" t="e">
        <f>IF(AND(SUM(VLOOKUP($A62,'20Trips'!$A$3:$F$22,2,FALSE),VLOOKUP(L$1,'20Trips'!$A$3:$F$22,2,FALSE))&lt;'20Trips'!$AC$38,$A62&lt;&gt;L$1,#REF!=1),(VLOOKUP(L$1,'20Trips'!$A$3:$I$22,8,FALSE))-(VLOOKUP($A62,'20Trips'!$A$3:$I$22,9,FALSE))+'20Trips'!$B$24,0)</f>
        <v>#REF!</v>
      </c>
      <c r="M62" t="e">
        <f>IF(AND(SUM(VLOOKUP($A62,'20Trips'!$A$3:$F$22,2,FALSE),VLOOKUP(M$1,'20Trips'!$A$3:$F$22,2,FALSE))&lt;'20Trips'!$AC$38,$A62&lt;&gt;M$1,#REF!=1),(VLOOKUP(M$1,'20Trips'!$A$3:$I$22,8,FALSE))-(VLOOKUP($A62,'20Trips'!$A$3:$I$22,9,FALSE))+'20Trips'!$B$24,0)</f>
        <v>#REF!</v>
      </c>
      <c r="N62" t="e">
        <f>IF(AND(SUM(VLOOKUP($A62,'20Trips'!$A$3:$F$22,2,FALSE),VLOOKUP(N$1,'20Trips'!$A$3:$F$22,2,FALSE))&lt;'20Trips'!$AC$38,$A62&lt;&gt;N$1,#REF!=1),(VLOOKUP(N$1,'20Trips'!$A$3:$I$22,8,FALSE))-(VLOOKUP($A62,'20Trips'!$A$3:$I$22,9,FALSE))+'20Trips'!$B$24,0)</f>
        <v>#REF!</v>
      </c>
      <c r="O62" t="e">
        <f>IF(AND(SUM(VLOOKUP($A62,'20Trips'!$A$3:$F$22,2,FALSE),VLOOKUP(O$1,'20Trips'!$A$3:$F$22,2,FALSE))&lt;'20Trips'!$AC$38,$A62&lt;&gt;O$1,#REF!=1),(VLOOKUP(O$1,'20Trips'!$A$3:$I$22,8,FALSE))-(VLOOKUP($A62,'20Trips'!$A$3:$I$22,9,FALSE))+'20Trips'!$B$24,0)</f>
        <v>#REF!</v>
      </c>
      <c r="P62" t="e">
        <f>IF(AND(SUM(VLOOKUP($A62,'20Trips'!$A$3:$F$22,2,FALSE),VLOOKUP(P$1,'20Trips'!$A$3:$F$22,2,FALSE))&lt;'20Trips'!$AC$38,$A62&lt;&gt;P$1,#REF!=1),(VLOOKUP(P$1,'20Trips'!$A$3:$I$22,8,FALSE))-(VLOOKUP($A62,'20Trips'!$A$3:$I$22,9,FALSE))+'20Trips'!$B$24,0)</f>
        <v>#REF!</v>
      </c>
      <c r="Q62" t="e">
        <f>IF(AND(SUM(VLOOKUP($A62,'20Trips'!$A$3:$F$22,2,FALSE),VLOOKUP(Q$1,'20Trips'!$A$3:$F$22,2,FALSE))&lt;'20Trips'!$AC$38,$A62&lt;&gt;Q$1,#REF!=1),(VLOOKUP(Q$1,'20Trips'!$A$3:$I$22,8,FALSE))-(VLOOKUP($A62,'20Trips'!$A$3:$I$22,9,FALSE))+'20Trips'!$B$24,0)</f>
        <v>#REF!</v>
      </c>
      <c r="R62" t="e">
        <f>IF(AND(SUM(VLOOKUP($A62,'20Trips'!$A$3:$F$22,2,FALSE),VLOOKUP(R$1,'20Trips'!$A$3:$F$22,2,FALSE))&lt;'20Trips'!$AC$38,$A62&lt;&gt;R$1,#REF!=1),(VLOOKUP(R$1,'20Trips'!$A$3:$I$22,8,FALSE))-(VLOOKUP($A62,'20Trips'!$A$3:$I$22,9,FALSE))+'20Trips'!$B$24,0)</f>
        <v>#REF!</v>
      </c>
      <c r="S62" t="e">
        <f>IF(AND(SUM(VLOOKUP($A62,'20Trips'!$A$3:$F$22,2,FALSE),VLOOKUP(S$1,'20Trips'!$A$3:$F$22,2,FALSE))&lt;'20Trips'!$AC$38,$A62&lt;&gt;S$1,#REF!=1),(VLOOKUP(S$1,'20Trips'!$A$3:$I$22,8,FALSE))-(VLOOKUP($A62,'20Trips'!$A$3:$I$22,9,FALSE))+'20Trips'!$B$24,0)</f>
        <v>#REF!</v>
      </c>
      <c r="T62" t="e">
        <f>IF(AND(SUM(VLOOKUP($A62,'20Trips'!$A$3:$F$22,2,FALSE),VLOOKUP(T$1,'20Trips'!$A$3:$F$22,2,FALSE))&lt;'20Trips'!$AC$38,$A62&lt;&gt;T$1,#REF!=1),(VLOOKUP(T$1,'20Trips'!$A$3:$I$22,8,FALSE))-(VLOOKUP($A62,'20Trips'!$A$3:$I$22,9,FALSE))+'20Trips'!$B$24,0)</f>
        <v>#REF!</v>
      </c>
      <c r="U62" t="e">
        <f>IF(AND(SUM(VLOOKUP($A62,'20Trips'!$A$3:$F$22,2,FALSE),VLOOKUP(U$1,'20Trips'!$A$3:$F$22,2,FALSE))&lt;'20Trips'!$AC$38,$A62&lt;&gt;U$1,#REF!=1),(VLOOKUP(U$1,'20Trips'!$A$3:$I$22,8,FALSE))-(VLOOKUP($A62,'20Trips'!$A$3:$I$22,9,FALSE))+'20Trips'!$B$24,0)</f>
        <v>#REF!</v>
      </c>
      <c r="V62" t="e">
        <f>IF(AND(SUM(VLOOKUP($A62,'20Trips'!$A$3:$F$22,2,FALSE),VLOOKUP(V$1,'20Trips'!$A$3:$F$22,2,FALSE))&lt;'20Trips'!$AC$38,$A62&lt;&gt;V$1,#REF!=1),(VLOOKUP(V$1,'20Trips'!$A$3:$I$22,8,FALSE))-(VLOOKUP($A62,'20Trips'!$A$3:$I$22,9,FALSE))+'20Trips'!$B$24,0)</f>
        <v>#REF!</v>
      </c>
    </row>
    <row r="63" spans="1:22" x14ac:dyDescent="0.25">
      <c r="A63" t="s">
        <v>37</v>
      </c>
      <c r="B63">
        <v>0</v>
      </c>
      <c r="C63" t="e">
        <f>IF(AND(SUM(VLOOKUP($A63,'20Trips'!$A$3:$F$22,2,FALSE),VLOOKUP(C$1,'20Trips'!$A$3:$F$22,2,FALSE))&lt;'20Trips'!$AC$38,$A63&lt;&gt;C$1,#REF!=1),(VLOOKUP(C$1,'20Trips'!$A$3:$I$22,8,FALSE))-(VLOOKUP($A63,'20Trips'!$A$3:$I$22,9,FALSE))+'20Trips'!$B$24,0)</f>
        <v>#REF!</v>
      </c>
      <c r="D63" t="e">
        <f>IF(AND(SUM(VLOOKUP($A63,'20Trips'!$A$3:$F$22,2,FALSE),VLOOKUP(D$1,'20Trips'!$A$3:$F$22,2,FALSE))&lt;'20Trips'!$AC$38,$A63&lt;&gt;D$1,#REF!=1),(VLOOKUP(D$1,'20Trips'!$A$3:$I$22,8,FALSE))-(VLOOKUP($A63,'20Trips'!$A$3:$I$22,9,FALSE))+'20Trips'!$B$24,0)</f>
        <v>#REF!</v>
      </c>
      <c r="E63" t="e">
        <f>IF(AND(SUM(VLOOKUP($A63,'20Trips'!$A$3:$F$22,2,FALSE),VLOOKUP(E$1,'20Trips'!$A$3:$F$22,2,FALSE))&lt;'20Trips'!$AC$38,$A63&lt;&gt;E$1,#REF!=1),(VLOOKUP(E$1,'20Trips'!$A$3:$I$22,8,FALSE))-(VLOOKUP($A63,'20Trips'!$A$3:$I$22,9,FALSE))+'20Trips'!$B$24,0)</f>
        <v>#REF!</v>
      </c>
      <c r="F63" t="e">
        <f>IF(AND(SUM(VLOOKUP($A63,'20Trips'!$A$3:$F$22,2,FALSE),VLOOKUP(F$1,'20Trips'!$A$3:$F$22,2,FALSE))&lt;'20Trips'!$AC$38,$A63&lt;&gt;F$1,#REF!=1),(VLOOKUP(F$1,'20Trips'!$A$3:$I$22,8,FALSE))-(VLOOKUP($A63,'20Trips'!$A$3:$I$22,9,FALSE))+'20Trips'!$B$24,0)</f>
        <v>#REF!</v>
      </c>
      <c r="G63" t="e">
        <f>IF(AND(SUM(VLOOKUP($A63,'20Trips'!$A$3:$F$22,2,FALSE),VLOOKUP(G$1,'20Trips'!$A$3:$F$22,2,FALSE))&lt;'20Trips'!$AC$38,$A63&lt;&gt;G$1,#REF!=1),(VLOOKUP(G$1,'20Trips'!$A$3:$I$22,8,FALSE))-(VLOOKUP($A63,'20Trips'!$A$3:$I$22,9,FALSE))+'20Trips'!$B$24,0)</f>
        <v>#REF!</v>
      </c>
      <c r="H63" t="e">
        <f>IF(AND(SUM(VLOOKUP($A63,'20Trips'!$A$3:$F$22,2,FALSE),VLOOKUP(H$1,'20Trips'!$A$3:$F$22,2,FALSE))&lt;'20Trips'!$AC$38,$A63&lt;&gt;H$1,#REF!=1),(VLOOKUP(H$1,'20Trips'!$A$3:$I$22,8,FALSE))-(VLOOKUP($A63,'20Trips'!$A$3:$I$22,9,FALSE))+'20Trips'!$B$24,0)</f>
        <v>#REF!</v>
      </c>
      <c r="I63" t="e">
        <f>IF(AND(SUM(VLOOKUP($A63,'20Trips'!$A$3:$F$22,2,FALSE),VLOOKUP(I$1,'20Trips'!$A$3:$F$22,2,FALSE))&lt;'20Trips'!$AC$38,$A63&lt;&gt;I$1,#REF!=1),(VLOOKUP(I$1,'20Trips'!$A$3:$I$22,8,FALSE))-(VLOOKUP($A63,'20Trips'!$A$3:$I$22,9,FALSE))+'20Trips'!$B$24,0)</f>
        <v>#REF!</v>
      </c>
      <c r="J63" t="e">
        <f>IF(AND(SUM(VLOOKUP($A63,'20Trips'!$A$3:$F$22,2,FALSE),VLOOKUP(J$1,'20Trips'!$A$3:$F$22,2,FALSE))&lt;'20Trips'!$AC$38,$A63&lt;&gt;J$1,#REF!=1),(VLOOKUP(J$1,'20Trips'!$A$3:$I$22,8,FALSE))-(VLOOKUP($A63,'20Trips'!$A$3:$I$22,9,FALSE))+'20Trips'!$B$24,0)</f>
        <v>#REF!</v>
      </c>
      <c r="K63" t="e">
        <f>IF(AND(SUM(VLOOKUP($A63,'20Trips'!$A$3:$F$22,2,FALSE),VLOOKUP(K$1,'20Trips'!$A$3:$F$22,2,FALSE))&lt;'20Trips'!$AC$38,$A63&lt;&gt;K$1,#REF!=1),(VLOOKUP(K$1,'20Trips'!$A$3:$I$22,8,FALSE))-(VLOOKUP($A63,'20Trips'!$A$3:$I$22,9,FALSE))+'20Trips'!$B$24,0)</f>
        <v>#REF!</v>
      </c>
      <c r="L63" t="e">
        <f>IF(AND(SUM(VLOOKUP($A63,'20Trips'!$A$3:$F$22,2,FALSE),VLOOKUP(L$1,'20Trips'!$A$3:$F$22,2,FALSE))&lt;'20Trips'!$AC$38,$A63&lt;&gt;L$1,#REF!=1),(VLOOKUP(L$1,'20Trips'!$A$3:$I$22,8,FALSE))-(VLOOKUP($A63,'20Trips'!$A$3:$I$22,9,FALSE))+'20Trips'!$B$24,0)</f>
        <v>#REF!</v>
      </c>
      <c r="M63" t="e">
        <f>IF(AND(SUM(VLOOKUP($A63,'20Trips'!$A$3:$F$22,2,FALSE),VLOOKUP(M$1,'20Trips'!$A$3:$F$22,2,FALSE))&lt;'20Trips'!$AC$38,$A63&lt;&gt;M$1,#REF!=1),(VLOOKUP(M$1,'20Trips'!$A$3:$I$22,8,FALSE))-(VLOOKUP($A63,'20Trips'!$A$3:$I$22,9,FALSE))+'20Trips'!$B$24,0)</f>
        <v>#REF!</v>
      </c>
      <c r="N63" t="e">
        <f>IF(AND(SUM(VLOOKUP($A63,'20Trips'!$A$3:$F$22,2,FALSE),VLOOKUP(N$1,'20Trips'!$A$3:$F$22,2,FALSE))&lt;'20Trips'!$AC$38,$A63&lt;&gt;N$1,#REF!=1),(VLOOKUP(N$1,'20Trips'!$A$3:$I$22,8,FALSE))-(VLOOKUP($A63,'20Trips'!$A$3:$I$22,9,FALSE))+'20Trips'!$B$24,0)</f>
        <v>#REF!</v>
      </c>
      <c r="O63" t="e">
        <f>IF(AND(SUM(VLOOKUP($A63,'20Trips'!$A$3:$F$22,2,FALSE),VLOOKUP(O$1,'20Trips'!$A$3:$F$22,2,FALSE))&lt;'20Trips'!$AC$38,$A63&lt;&gt;O$1,#REF!=1),(VLOOKUP(O$1,'20Trips'!$A$3:$I$22,8,FALSE))-(VLOOKUP($A63,'20Trips'!$A$3:$I$22,9,FALSE))+'20Trips'!$B$24,0)</f>
        <v>#REF!</v>
      </c>
      <c r="P63" t="e">
        <f>IF(AND(SUM(VLOOKUP($A63,'20Trips'!$A$3:$F$22,2,FALSE),VLOOKUP(P$1,'20Trips'!$A$3:$F$22,2,FALSE))&lt;'20Trips'!$AC$38,$A63&lt;&gt;P$1,#REF!=1),(VLOOKUP(P$1,'20Trips'!$A$3:$I$22,8,FALSE))-(VLOOKUP($A63,'20Trips'!$A$3:$I$22,9,FALSE))+'20Trips'!$B$24,0)</f>
        <v>#REF!</v>
      </c>
      <c r="Q63" t="e">
        <f>IF(AND(SUM(VLOOKUP($A63,'20Trips'!$A$3:$F$22,2,FALSE),VLOOKUP(Q$1,'20Trips'!$A$3:$F$22,2,FALSE))&lt;'20Trips'!$AC$38,$A63&lt;&gt;Q$1,#REF!=1),(VLOOKUP(Q$1,'20Trips'!$A$3:$I$22,8,FALSE))-(VLOOKUP($A63,'20Trips'!$A$3:$I$22,9,FALSE))+'20Trips'!$B$24,0)</f>
        <v>#REF!</v>
      </c>
      <c r="R63" t="e">
        <f>IF(AND(SUM(VLOOKUP($A63,'20Trips'!$A$3:$F$22,2,FALSE),VLOOKUP(R$1,'20Trips'!$A$3:$F$22,2,FALSE))&lt;'20Trips'!$AC$38,$A63&lt;&gt;R$1,#REF!=1),(VLOOKUP(R$1,'20Trips'!$A$3:$I$22,8,FALSE))-(VLOOKUP($A63,'20Trips'!$A$3:$I$22,9,FALSE))+'20Trips'!$B$24,0)</f>
        <v>#REF!</v>
      </c>
      <c r="S63" t="e">
        <f>IF(AND(SUM(VLOOKUP($A63,'20Trips'!$A$3:$F$22,2,FALSE),VLOOKUP(S$1,'20Trips'!$A$3:$F$22,2,FALSE))&lt;'20Trips'!$AC$38,$A63&lt;&gt;S$1,#REF!=1),(VLOOKUP(S$1,'20Trips'!$A$3:$I$22,8,FALSE))-(VLOOKUP($A63,'20Trips'!$A$3:$I$22,9,FALSE))+'20Trips'!$B$24,0)</f>
        <v>#REF!</v>
      </c>
      <c r="T63" t="e">
        <f>IF(AND(SUM(VLOOKUP($A63,'20Trips'!$A$3:$F$22,2,FALSE),VLOOKUP(T$1,'20Trips'!$A$3:$F$22,2,FALSE))&lt;'20Trips'!$AC$38,$A63&lt;&gt;T$1,#REF!=1),(VLOOKUP(T$1,'20Trips'!$A$3:$I$22,8,FALSE))-(VLOOKUP($A63,'20Trips'!$A$3:$I$22,9,FALSE))+'20Trips'!$B$24,0)</f>
        <v>#REF!</v>
      </c>
      <c r="U63" t="e">
        <f>IF(AND(SUM(VLOOKUP($A63,'20Trips'!$A$3:$F$22,2,FALSE),VLOOKUP(U$1,'20Trips'!$A$3:$F$22,2,FALSE))&lt;'20Trips'!$AC$38,$A63&lt;&gt;U$1,#REF!=1),(VLOOKUP(U$1,'20Trips'!$A$3:$I$22,8,FALSE))-(VLOOKUP($A63,'20Trips'!$A$3:$I$22,9,FALSE))+'20Trips'!$B$24,0)</f>
        <v>#REF!</v>
      </c>
      <c r="V63" t="e">
        <f>IF(AND(SUM(VLOOKUP($A63,'20Trips'!$A$3:$F$22,2,FALSE),VLOOKUP(V$1,'20Trips'!$A$3:$F$22,2,FALSE))&lt;'20Trips'!$AC$38,$A63&lt;&gt;V$1,#REF!=1),(VLOOKUP(V$1,'20Trips'!$A$3:$I$22,8,FALSE))-(VLOOKUP($A63,'20Trips'!$A$3:$I$22,9,FALSE))+'20Trips'!$B$24,0)</f>
        <v>#REF!</v>
      </c>
    </row>
    <row r="64" spans="1:22" x14ac:dyDescent="0.25">
      <c r="A64" t="s">
        <v>38</v>
      </c>
      <c r="B64">
        <v>0</v>
      </c>
      <c r="C64" t="e">
        <f>IF(AND(SUM(VLOOKUP($A64,'20Trips'!$A$3:$F$22,2,FALSE),VLOOKUP(C$1,'20Trips'!$A$3:$F$22,2,FALSE))&lt;'20Trips'!$AC$38,$A64&lt;&gt;C$1,#REF!=1),(VLOOKUP(C$1,'20Trips'!$A$3:$I$22,8,FALSE))-(VLOOKUP($A64,'20Trips'!$A$3:$I$22,9,FALSE))+'20Trips'!$B$24,0)</f>
        <v>#REF!</v>
      </c>
      <c r="D64" t="e">
        <f>IF(AND(SUM(VLOOKUP($A64,'20Trips'!$A$3:$F$22,2,FALSE),VLOOKUP(D$1,'20Trips'!$A$3:$F$22,2,FALSE))&lt;'20Trips'!$AC$38,$A64&lt;&gt;D$1,#REF!=1),(VLOOKUP(D$1,'20Trips'!$A$3:$I$22,8,FALSE))-(VLOOKUP($A64,'20Trips'!$A$3:$I$22,9,FALSE))+'20Trips'!$B$24,0)</f>
        <v>#REF!</v>
      </c>
      <c r="E64" t="e">
        <f>IF(AND(SUM(VLOOKUP($A64,'20Trips'!$A$3:$F$22,2,FALSE),VLOOKUP(E$1,'20Trips'!$A$3:$F$22,2,FALSE))&lt;'20Trips'!$AC$38,$A64&lt;&gt;E$1,#REF!=1),(VLOOKUP(E$1,'20Trips'!$A$3:$I$22,8,FALSE))-(VLOOKUP($A64,'20Trips'!$A$3:$I$22,9,FALSE))+'20Trips'!$B$24,0)</f>
        <v>#REF!</v>
      </c>
      <c r="F64" t="e">
        <f>IF(AND(SUM(VLOOKUP($A64,'20Trips'!$A$3:$F$22,2,FALSE),VLOOKUP(F$1,'20Trips'!$A$3:$F$22,2,FALSE))&lt;'20Trips'!$AC$38,$A64&lt;&gt;F$1,#REF!=1),(VLOOKUP(F$1,'20Trips'!$A$3:$I$22,8,FALSE))-(VLOOKUP($A64,'20Trips'!$A$3:$I$22,9,FALSE))+'20Trips'!$B$24,0)</f>
        <v>#REF!</v>
      </c>
      <c r="G64" t="e">
        <f>IF(AND(SUM(VLOOKUP($A64,'20Trips'!$A$3:$F$22,2,FALSE),VLOOKUP(G$1,'20Trips'!$A$3:$F$22,2,FALSE))&lt;'20Trips'!$AC$38,$A64&lt;&gt;G$1,#REF!=1),(VLOOKUP(G$1,'20Trips'!$A$3:$I$22,8,FALSE))-(VLOOKUP($A64,'20Trips'!$A$3:$I$22,9,FALSE))+'20Trips'!$B$24,0)</f>
        <v>#REF!</v>
      </c>
      <c r="H64" t="e">
        <f>IF(AND(SUM(VLOOKUP($A64,'20Trips'!$A$3:$F$22,2,FALSE),VLOOKUP(H$1,'20Trips'!$A$3:$F$22,2,FALSE))&lt;'20Trips'!$AC$38,$A64&lt;&gt;H$1,#REF!=1),(VLOOKUP(H$1,'20Trips'!$A$3:$I$22,8,FALSE))-(VLOOKUP($A64,'20Trips'!$A$3:$I$22,9,FALSE))+'20Trips'!$B$24,0)</f>
        <v>#REF!</v>
      </c>
      <c r="I64" t="e">
        <f>IF(AND(SUM(VLOOKUP($A64,'20Trips'!$A$3:$F$22,2,FALSE),VLOOKUP(I$1,'20Trips'!$A$3:$F$22,2,FALSE))&lt;'20Trips'!$AC$38,$A64&lt;&gt;I$1,#REF!=1),(VLOOKUP(I$1,'20Trips'!$A$3:$I$22,8,FALSE))-(VLOOKUP($A64,'20Trips'!$A$3:$I$22,9,FALSE))+'20Trips'!$B$24,0)</f>
        <v>#REF!</v>
      </c>
      <c r="J64" t="e">
        <f>IF(AND(SUM(VLOOKUP($A64,'20Trips'!$A$3:$F$22,2,FALSE),VLOOKUP(J$1,'20Trips'!$A$3:$F$22,2,FALSE))&lt;'20Trips'!$AC$38,$A64&lt;&gt;J$1,#REF!=1),(VLOOKUP(J$1,'20Trips'!$A$3:$I$22,8,FALSE))-(VLOOKUP($A64,'20Trips'!$A$3:$I$22,9,FALSE))+'20Trips'!$B$24,0)</f>
        <v>#REF!</v>
      </c>
      <c r="K64" t="e">
        <f>IF(AND(SUM(VLOOKUP($A64,'20Trips'!$A$3:$F$22,2,FALSE),VLOOKUP(K$1,'20Trips'!$A$3:$F$22,2,FALSE))&lt;'20Trips'!$AC$38,$A64&lt;&gt;K$1,#REF!=1),(VLOOKUP(K$1,'20Trips'!$A$3:$I$22,8,FALSE))-(VLOOKUP($A64,'20Trips'!$A$3:$I$22,9,FALSE))+'20Trips'!$B$24,0)</f>
        <v>#REF!</v>
      </c>
      <c r="L64" t="e">
        <f>IF(AND(SUM(VLOOKUP($A64,'20Trips'!$A$3:$F$22,2,FALSE),VLOOKUP(L$1,'20Trips'!$A$3:$F$22,2,FALSE))&lt;'20Trips'!$AC$38,$A64&lt;&gt;L$1,#REF!=1),(VLOOKUP(L$1,'20Trips'!$A$3:$I$22,8,FALSE))-(VLOOKUP($A64,'20Trips'!$A$3:$I$22,9,FALSE))+'20Trips'!$B$24,0)</f>
        <v>#REF!</v>
      </c>
      <c r="M64" t="e">
        <f>IF(AND(SUM(VLOOKUP($A64,'20Trips'!$A$3:$F$22,2,FALSE),VLOOKUP(M$1,'20Trips'!$A$3:$F$22,2,FALSE))&lt;'20Trips'!$AC$38,$A64&lt;&gt;M$1,#REF!=1),(VLOOKUP(M$1,'20Trips'!$A$3:$I$22,8,FALSE))-(VLOOKUP($A64,'20Trips'!$A$3:$I$22,9,FALSE))+'20Trips'!$B$24,0)</f>
        <v>#REF!</v>
      </c>
      <c r="N64" t="e">
        <f>IF(AND(SUM(VLOOKUP($A64,'20Trips'!$A$3:$F$22,2,FALSE),VLOOKUP(N$1,'20Trips'!$A$3:$F$22,2,FALSE))&lt;'20Trips'!$AC$38,$A64&lt;&gt;N$1,#REF!=1),(VLOOKUP(N$1,'20Trips'!$A$3:$I$22,8,FALSE))-(VLOOKUP($A64,'20Trips'!$A$3:$I$22,9,FALSE))+'20Trips'!$B$24,0)</f>
        <v>#REF!</v>
      </c>
      <c r="O64" t="e">
        <f>IF(AND(SUM(VLOOKUP($A64,'20Trips'!$A$3:$F$22,2,FALSE),VLOOKUP(O$1,'20Trips'!$A$3:$F$22,2,FALSE))&lt;'20Trips'!$AC$38,$A64&lt;&gt;O$1,#REF!=1),(VLOOKUP(O$1,'20Trips'!$A$3:$I$22,8,FALSE))-(VLOOKUP($A64,'20Trips'!$A$3:$I$22,9,FALSE))+'20Trips'!$B$24,0)</f>
        <v>#REF!</v>
      </c>
      <c r="P64" t="e">
        <f>IF(AND(SUM(VLOOKUP($A64,'20Trips'!$A$3:$F$22,2,FALSE),VLOOKUP(P$1,'20Trips'!$A$3:$F$22,2,FALSE))&lt;'20Trips'!$AC$38,$A64&lt;&gt;P$1,#REF!=1),(VLOOKUP(P$1,'20Trips'!$A$3:$I$22,8,FALSE))-(VLOOKUP($A64,'20Trips'!$A$3:$I$22,9,FALSE))+'20Trips'!$B$24,0)</f>
        <v>#REF!</v>
      </c>
      <c r="Q64" t="e">
        <f>IF(AND(SUM(VLOOKUP($A64,'20Trips'!$A$3:$F$22,2,FALSE),VLOOKUP(Q$1,'20Trips'!$A$3:$F$22,2,FALSE))&lt;'20Trips'!$AC$38,$A64&lt;&gt;Q$1,#REF!=1),(VLOOKUP(Q$1,'20Trips'!$A$3:$I$22,8,FALSE))-(VLOOKUP($A64,'20Trips'!$A$3:$I$22,9,FALSE))+'20Trips'!$B$24,0)</f>
        <v>#REF!</v>
      </c>
      <c r="R64" t="e">
        <f>IF(AND(SUM(VLOOKUP($A64,'20Trips'!$A$3:$F$22,2,FALSE),VLOOKUP(R$1,'20Trips'!$A$3:$F$22,2,FALSE))&lt;'20Trips'!$AC$38,$A64&lt;&gt;R$1,#REF!=1),(VLOOKUP(R$1,'20Trips'!$A$3:$I$22,8,FALSE))-(VLOOKUP($A64,'20Trips'!$A$3:$I$22,9,FALSE))+'20Trips'!$B$24,0)</f>
        <v>#REF!</v>
      </c>
      <c r="S64" t="e">
        <f>IF(AND(SUM(VLOOKUP($A64,'20Trips'!$A$3:$F$22,2,FALSE),VLOOKUP(S$1,'20Trips'!$A$3:$F$22,2,FALSE))&lt;'20Trips'!$AC$38,$A64&lt;&gt;S$1,#REF!=1),(VLOOKUP(S$1,'20Trips'!$A$3:$I$22,8,FALSE))-(VLOOKUP($A64,'20Trips'!$A$3:$I$22,9,FALSE))+'20Trips'!$B$24,0)</f>
        <v>#REF!</v>
      </c>
      <c r="T64" t="e">
        <f>IF(AND(SUM(VLOOKUP($A64,'20Trips'!$A$3:$F$22,2,FALSE),VLOOKUP(T$1,'20Trips'!$A$3:$F$22,2,FALSE))&lt;'20Trips'!$AC$38,$A64&lt;&gt;T$1,#REF!=1),(VLOOKUP(T$1,'20Trips'!$A$3:$I$22,8,FALSE))-(VLOOKUP($A64,'20Trips'!$A$3:$I$22,9,FALSE))+'20Trips'!$B$24,0)</f>
        <v>#REF!</v>
      </c>
      <c r="U64" t="e">
        <f>IF(AND(SUM(VLOOKUP($A64,'20Trips'!$A$3:$F$22,2,FALSE),VLOOKUP(U$1,'20Trips'!$A$3:$F$22,2,FALSE))&lt;'20Trips'!$AC$38,$A64&lt;&gt;U$1,#REF!=1),(VLOOKUP(U$1,'20Trips'!$A$3:$I$22,8,FALSE))-(VLOOKUP($A64,'20Trips'!$A$3:$I$22,9,FALSE))+'20Trips'!$B$24,0)</f>
        <v>#REF!</v>
      </c>
      <c r="V64" t="e">
        <f>IF(AND(SUM(VLOOKUP($A64,'20Trips'!$A$3:$F$22,2,FALSE),VLOOKUP(V$1,'20Trips'!$A$3:$F$22,2,FALSE))&lt;'20Trips'!$AC$38,$A64&lt;&gt;V$1,#REF!=1),(VLOOKUP(V$1,'20Trips'!$A$3:$I$22,8,FALSE))-(VLOOKUP($A64,'20Trips'!$A$3:$I$22,9,FALSE))+'20Trips'!$B$24,0)</f>
        <v>#REF!</v>
      </c>
    </row>
    <row r="65" spans="1:22" x14ac:dyDescent="0.25">
      <c r="A65" t="s">
        <v>46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</v>
      </c>
      <c r="B66">
        <v>0</v>
      </c>
      <c r="C66" t="e">
        <f>IF(AND(SUM(VLOOKUP($A66,'20Trips'!$A$3:$F$22,2,FALSE),VLOOKUP(C$1,'20Trips'!$A$3:$F$22,2,FALSE))&lt;'20Trips'!$AC$38,$A66&lt;&gt;C$1,#REF!=1),(VLOOKUP(C$1,'20Trips'!$A$3:$I$22,8,FALSE))-(VLOOKUP($A66,'20Trips'!$A$3:$I$22,9,FALSE))+'20Trips'!$B$25,0)</f>
        <v>#REF!</v>
      </c>
      <c r="D66" t="e">
        <f>IF(AND(SUM(VLOOKUP($A66,'20Trips'!$A$3:$F$22,2,FALSE),VLOOKUP(D$1,'20Trips'!$A$3:$F$22,2,FALSE))&lt;'20Trips'!$AC$38,$A66&lt;&gt;D$1,#REF!=1),(VLOOKUP(D$1,'20Trips'!$A$3:$I$22,8,FALSE))-(VLOOKUP($A66,'20Trips'!$A$3:$I$22,9,FALSE))+'20Trips'!$B$25,0)</f>
        <v>#REF!</v>
      </c>
      <c r="E66" t="e">
        <f>IF(AND(SUM(VLOOKUP($A66,'20Trips'!$A$3:$F$22,2,FALSE),VLOOKUP(E$1,'20Trips'!$A$3:$F$22,2,FALSE))&lt;'20Trips'!$AC$38,$A66&lt;&gt;E$1,#REF!=1),(VLOOKUP(E$1,'20Trips'!$A$3:$I$22,8,FALSE))-(VLOOKUP($A66,'20Trips'!$A$3:$I$22,9,FALSE))+'20Trips'!$B$25,0)</f>
        <v>#REF!</v>
      </c>
      <c r="F66" t="e">
        <f>IF(AND(SUM(VLOOKUP($A66,'20Trips'!$A$3:$F$22,2,FALSE),VLOOKUP(F$1,'20Trips'!$A$3:$F$22,2,FALSE))&lt;'20Trips'!$AC$38,$A66&lt;&gt;F$1,#REF!=1),(VLOOKUP(F$1,'20Trips'!$A$3:$I$22,8,FALSE))-(VLOOKUP($A66,'20Trips'!$A$3:$I$22,9,FALSE))+'20Trips'!$B$25,0)</f>
        <v>#REF!</v>
      </c>
      <c r="G66" t="e">
        <f>IF(AND(SUM(VLOOKUP($A66,'20Trips'!$A$3:$F$22,2,FALSE),VLOOKUP(G$1,'20Trips'!$A$3:$F$22,2,FALSE))&lt;'20Trips'!$AC$38,$A66&lt;&gt;G$1,#REF!=1),(VLOOKUP(G$1,'20Trips'!$A$3:$I$22,8,FALSE))-(VLOOKUP($A66,'20Trips'!$A$3:$I$22,9,FALSE))+'20Trips'!$B$25,0)</f>
        <v>#REF!</v>
      </c>
      <c r="H66" t="e">
        <f>IF(AND(SUM(VLOOKUP($A66,'20Trips'!$A$3:$F$22,2,FALSE),VLOOKUP(H$1,'20Trips'!$A$3:$F$22,2,FALSE))&lt;'20Trips'!$AC$38,$A66&lt;&gt;H$1,#REF!=1),(VLOOKUP(H$1,'20Trips'!$A$3:$I$22,8,FALSE))-(VLOOKUP($A66,'20Trips'!$A$3:$I$22,9,FALSE))+'20Trips'!$B$25,0)</f>
        <v>#REF!</v>
      </c>
      <c r="I66" t="e">
        <f>IF(AND(SUM(VLOOKUP($A66,'20Trips'!$A$3:$F$22,2,FALSE),VLOOKUP(I$1,'20Trips'!$A$3:$F$22,2,FALSE))&lt;'20Trips'!$AC$38,$A66&lt;&gt;I$1,#REF!=1),(VLOOKUP(I$1,'20Trips'!$A$3:$I$22,8,FALSE))-(VLOOKUP($A66,'20Trips'!$A$3:$I$22,9,FALSE))+'20Trips'!$B$25,0)</f>
        <v>#REF!</v>
      </c>
      <c r="J66" t="e">
        <f>IF(AND(SUM(VLOOKUP($A66,'20Trips'!$A$3:$F$22,2,FALSE),VLOOKUP(J$1,'20Trips'!$A$3:$F$22,2,FALSE))&lt;'20Trips'!$AC$38,$A66&lt;&gt;J$1,#REF!=1),(VLOOKUP(J$1,'20Trips'!$A$3:$I$22,8,FALSE))-(VLOOKUP($A66,'20Trips'!$A$3:$I$22,9,FALSE))+'20Trips'!$B$25,0)</f>
        <v>#REF!</v>
      </c>
      <c r="K66" t="e">
        <f>IF(AND(SUM(VLOOKUP($A66,'20Trips'!$A$3:$F$22,2,FALSE),VLOOKUP(K$1,'20Trips'!$A$3:$F$22,2,FALSE))&lt;'20Trips'!$AC$38,$A66&lt;&gt;K$1,#REF!=1),(VLOOKUP(K$1,'20Trips'!$A$3:$I$22,8,FALSE))-(VLOOKUP($A66,'20Trips'!$A$3:$I$22,9,FALSE))+'20Trips'!$B$25,0)</f>
        <v>#REF!</v>
      </c>
      <c r="L66" t="e">
        <f>IF(AND(SUM(VLOOKUP($A66,'20Trips'!$A$3:$F$22,2,FALSE),VLOOKUP(L$1,'20Trips'!$A$3:$F$22,2,FALSE))&lt;'20Trips'!$AC$38,$A66&lt;&gt;L$1,#REF!=1),(VLOOKUP(L$1,'20Trips'!$A$3:$I$22,8,FALSE))-(VLOOKUP($A66,'20Trips'!$A$3:$I$22,9,FALSE))+'20Trips'!$B$25,0)</f>
        <v>#REF!</v>
      </c>
      <c r="M66" t="e">
        <f>IF(AND(SUM(VLOOKUP($A66,'20Trips'!$A$3:$F$22,2,FALSE),VLOOKUP(M$1,'20Trips'!$A$3:$F$22,2,FALSE))&lt;'20Trips'!$AC$38,$A66&lt;&gt;M$1,#REF!=1),(VLOOKUP(M$1,'20Trips'!$A$3:$I$22,8,FALSE))-(VLOOKUP($A66,'20Trips'!$A$3:$I$22,9,FALSE))+'20Trips'!$B$25,0)</f>
        <v>#REF!</v>
      </c>
      <c r="N66" t="e">
        <f>IF(AND(SUM(VLOOKUP($A66,'20Trips'!$A$3:$F$22,2,FALSE),VLOOKUP(N$1,'20Trips'!$A$3:$F$22,2,FALSE))&lt;'20Trips'!$AC$38,$A66&lt;&gt;N$1,#REF!=1),(VLOOKUP(N$1,'20Trips'!$A$3:$I$22,8,FALSE))-(VLOOKUP($A66,'20Trips'!$A$3:$I$22,9,FALSE))+'20Trips'!$B$25,0)</f>
        <v>#REF!</v>
      </c>
      <c r="O66" t="e">
        <f>IF(AND(SUM(VLOOKUP($A66,'20Trips'!$A$3:$F$22,2,FALSE),VLOOKUP(O$1,'20Trips'!$A$3:$F$22,2,FALSE))&lt;'20Trips'!$AC$38,$A66&lt;&gt;O$1,#REF!=1),(VLOOKUP(O$1,'20Trips'!$A$3:$I$22,8,FALSE))-(VLOOKUP($A66,'20Trips'!$A$3:$I$22,9,FALSE))+'20Trips'!$B$25,0)</f>
        <v>#REF!</v>
      </c>
      <c r="P66" t="e">
        <f>IF(AND(SUM(VLOOKUP($A66,'20Trips'!$A$3:$F$22,2,FALSE),VLOOKUP(P$1,'20Trips'!$A$3:$F$22,2,FALSE))&lt;'20Trips'!$AC$38,$A66&lt;&gt;P$1,#REF!=1),(VLOOKUP(P$1,'20Trips'!$A$3:$I$22,8,FALSE))-(VLOOKUP($A66,'20Trips'!$A$3:$I$22,9,FALSE))+'20Trips'!$B$25,0)</f>
        <v>#REF!</v>
      </c>
      <c r="Q66" t="e">
        <f>IF(AND(SUM(VLOOKUP($A66,'20Trips'!$A$3:$F$22,2,FALSE),VLOOKUP(Q$1,'20Trips'!$A$3:$F$22,2,FALSE))&lt;'20Trips'!$AC$38,$A66&lt;&gt;Q$1,#REF!=1),(VLOOKUP(Q$1,'20Trips'!$A$3:$I$22,8,FALSE))-(VLOOKUP($A66,'20Trips'!$A$3:$I$22,9,FALSE))+'20Trips'!$B$25,0)</f>
        <v>#REF!</v>
      </c>
      <c r="R66" t="e">
        <f>IF(AND(SUM(VLOOKUP($A66,'20Trips'!$A$3:$F$22,2,FALSE),VLOOKUP(R$1,'20Trips'!$A$3:$F$22,2,FALSE))&lt;'20Trips'!$AC$38,$A66&lt;&gt;R$1,#REF!=1),(VLOOKUP(R$1,'20Trips'!$A$3:$I$22,8,FALSE))-(VLOOKUP($A66,'20Trips'!$A$3:$I$22,9,FALSE))+'20Trips'!$B$25,0)</f>
        <v>#REF!</v>
      </c>
      <c r="S66" t="e">
        <f>IF(AND(SUM(VLOOKUP($A66,'20Trips'!$A$3:$F$22,2,FALSE),VLOOKUP(S$1,'20Trips'!$A$3:$F$22,2,FALSE))&lt;'20Trips'!$AC$38,$A66&lt;&gt;S$1,#REF!=1),(VLOOKUP(S$1,'20Trips'!$A$3:$I$22,8,FALSE))-(VLOOKUP($A66,'20Trips'!$A$3:$I$22,9,FALSE))+'20Trips'!$B$25,0)</f>
        <v>#REF!</v>
      </c>
      <c r="T66" t="e">
        <f>IF(AND(SUM(VLOOKUP($A66,'20Trips'!$A$3:$F$22,2,FALSE),VLOOKUP(T$1,'20Trips'!$A$3:$F$22,2,FALSE))&lt;'20Trips'!$AC$38,$A66&lt;&gt;T$1,#REF!=1),(VLOOKUP(T$1,'20Trips'!$A$3:$I$22,8,FALSE))-(VLOOKUP($A66,'20Trips'!$A$3:$I$22,9,FALSE))+'20Trips'!$B$25,0)</f>
        <v>#REF!</v>
      </c>
      <c r="U66" t="e">
        <f>IF(AND(SUM(VLOOKUP($A66,'20Trips'!$A$3:$F$22,2,FALSE),VLOOKUP(U$1,'20Trips'!$A$3:$F$22,2,FALSE))&lt;'20Trips'!$AC$38,$A66&lt;&gt;U$1,#REF!=1),(VLOOKUP(U$1,'20Trips'!$A$3:$I$22,8,FALSE))-(VLOOKUP($A66,'20Trips'!$A$3:$I$22,9,FALSE))+'20Trips'!$B$25,0)</f>
        <v>#REF!</v>
      </c>
      <c r="V66" t="e">
        <f>IF(AND(SUM(VLOOKUP($A66,'20Trips'!$A$3:$F$22,2,FALSE),VLOOKUP(V$1,'20Trips'!$A$3:$F$22,2,FALSE))&lt;'20Trips'!$AC$38,$A66&lt;&gt;V$1,#REF!=1),(VLOOKUP(V$1,'20Trips'!$A$3:$I$22,8,FALSE))-(VLOOKUP($A66,'20Trips'!$A$3:$I$22,9,FALSE))+'20Trips'!$B$25,0)</f>
        <v>#REF!</v>
      </c>
    </row>
    <row r="67" spans="1:22" x14ac:dyDescent="0.25">
      <c r="A67" t="s">
        <v>9</v>
      </c>
      <c r="B67">
        <v>0</v>
      </c>
      <c r="C67" t="e">
        <f>IF(AND(SUM(VLOOKUP($A67,'20Trips'!$A$3:$F$22,2,FALSE),VLOOKUP(C$1,'20Trips'!$A$3:$F$22,2,FALSE))&lt;'20Trips'!$AC$38,$A67&lt;&gt;C$1,#REF!=1),(VLOOKUP(C$1,'20Trips'!$A$3:$I$22,8,FALSE))-(VLOOKUP($A67,'20Trips'!$A$3:$I$22,9,FALSE))+'20Trips'!$B$25,0)</f>
        <v>#REF!</v>
      </c>
      <c r="D67" t="e">
        <f>IF(AND(SUM(VLOOKUP($A67,'20Trips'!$A$3:$F$22,2,FALSE),VLOOKUP(D$1,'20Trips'!$A$3:$F$22,2,FALSE))&lt;'20Trips'!$AC$38,$A67&lt;&gt;D$1,#REF!=1),(VLOOKUP(D$1,'20Trips'!$A$3:$I$22,8,FALSE))-(VLOOKUP($A67,'20Trips'!$A$3:$I$22,9,FALSE))+'20Trips'!$B$25,0)</f>
        <v>#REF!</v>
      </c>
      <c r="E67" t="e">
        <f>IF(AND(SUM(VLOOKUP($A67,'20Trips'!$A$3:$F$22,2,FALSE),VLOOKUP(E$1,'20Trips'!$A$3:$F$22,2,FALSE))&lt;'20Trips'!$AC$38,$A67&lt;&gt;E$1,#REF!=1),(VLOOKUP(E$1,'20Trips'!$A$3:$I$22,8,FALSE))-(VLOOKUP($A67,'20Trips'!$A$3:$I$22,9,FALSE))+'20Trips'!$B$25,0)</f>
        <v>#REF!</v>
      </c>
      <c r="F67" t="e">
        <f>IF(AND(SUM(VLOOKUP($A67,'20Trips'!$A$3:$F$22,2,FALSE),VLOOKUP(F$1,'20Trips'!$A$3:$F$22,2,FALSE))&lt;'20Trips'!$AC$38,$A67&lt;&gt;F$1,#REF!=1),(VLOOKUP(F$1,'20Trips'!$A$3:$I$22,8,FALSE))-(VLOOKUP($A67,'20Trips'!$A$3:$I$22,9,FALSE))+'20Trips'!$B$25,0)</f>
        <v>#REF!</v>
      </c>
      <c r="G67" t="e">
        <f>IF(AND(SUM(VLOOKUP($A67,'20Trips'!$A$3:$F$22,2,FALSE),VLOOKUP(G$1,'20Trips'!$A$3:$F$22,2,FALSE))&lt;'20Trips'!$AC$38,$A67&lt;&gt;G$1,#REF!=1),(VLOOKUP(G$1,'20Trips'!$A$3:$I$22,8,FALSE))-(VLOOKUP($A67,'20Trips'!$A$3:$I$22,9,FALSE))+'20Trips'!$B$25,0)</f>
        <v>#REF!</v>
      </c>
      <c r="H67" t="e">
        <f>IF(AND(SUM(VLOOKUP($A67,'20Trips'!$A$3:$F$22,2,FALSE),VLOOKUP(H$1,'20Trips'!$A$3:$F$22,2,FALSE))&lt;'20Trips'!$AC$38,$A67&lt;&gt;H$1,#REF!=1),(VLOOKUP(H$1,'20Trips'!$A$3:$I$22,8,FALSE))-(VLOOKUP($A67,'20Trips'!$A$3:$I$22,9,FALSE))+'20Trips'!$B$25,0)</f>
        <v>#REF!</v>
      </c>
      <c r="I67" t="e">
        <f>IF(AND(SUM(VLOOKUP($A67,'20Trips'!$A$3:$F$22,2,FALSE),VLOOKUP(I$1,'20Trips'!$A$3:$F$22,2,FALSE))&lt;'20Trips'!$AC$38,$A67&lt;&gt;I$1,#REF!=1),(VLOOKUP(I$1,'20Trips'!$A$3:$I$22,8,FALSE))-(VLOOKUP($A67,'20Trips'!$A$3:$I$22,9,FALSE))+'20Trips'!$B$25,0)</f>
        <v>#REF!</v>
      </c>
      <c r="J67" t="e">
        <f>IF(AND(SUM(VLOOKUP($A67,'20Trips'!$A$3:$F$22,2,FALSE),VLOOKUP(J$1,'20Trips'!$A$3:$F$22,2,FALSE))&lt;'20Trips'!$AC$38,$A67&lt;&gt;J$1,#REF!=1),(VLOOKUP(J$1,'20Trips'!$A$3:$I$22,8,FALSE))-(VLOOKUP($A67,'20Trips'!$A$3:$I$22,9,FALSE))+'20Trips'!$B$25,0)</f>
        <v>#REF!</v>
      </c>
      <c r="K67" t="e">
        <f>IF(AND(SUM(VLOOKUP($A67,'20Trips'!$A$3:$F$22,2,FALSE),VLOOKUP(K$1,'20Trips'!$A$3:$F$22,2,FALSE))&lt;'20Trips'!$AC$38,$A67&lt;&gt;K$1,#REF!=1),(VLOOKUP(K$1,'20Trips'!$A$3:$I$22,8,FALSE))-(VLOOKUP($A67,'20Trips'!$A$3:$I$22,9,FALSE))+'20Trips'!$B$25,0)</f>
        <v>#REF!</v>
      </c>
      <c r="L67" t="e">
        <f>IF(AND(SUM(VLOOKUP($A67,'20Trips'!$A$3:$F$22,2,FALSE),VLOOKUP(L$1,'20Trips'!$A$3:$F$22,2,FALSE))&lt;'20Trips'!$AC$38,$A67&lt;&gt;L$1,#REF!=1),(VLOOKUP(L$1,'20Trips'!$A$3:$I$22,8,FALSE))-(VLOOKUP($A67,'20Trips'!$A$3:$I$22,9,FALSE))+'20Trips'!$B$25,0)</f>
        <v>#REF!</v>
      </c>
      <c r="M67" t="e">
        <f>IF(AND(SUM(VLOOKUP($A67,'20Trips'!$A$3:$F$22,2,FALSE),VLOOKUP(M$1,'20Trips'!$A$3:$F$22,2,FALSE))&lt;'20Trips'!$AC$38,$A67&lt;&gt;M$1,#REF!=1),(VLOOKUP(M$1,'20Trips'!$A$3:$I$22,8,FALSE))-(VLOOKUP($A67,'20Trips'!$A$3:$I$22,9,FALSE))+'20Trips'!$B$25,0)</f>
        <v>#REF!</v>
      </c>
      <c r="N67" t="e">
        <f>IF(AND(SUM(VLOOKUP($A67,'20Trips'!$A$3:$F$22,2,FALSE),VLOOKUP(N$1,'20Trips'!$A$3:$F$22,2,FALSE))&lt;'20Trips'!$AC$38,$A67&lt;&gt;N$1,#REF!=1),(VLOOKUP(N$1,'20Trips'!$A$3:$I$22,8,FALSE))-(VLOOKUP($A67,'20Trips'!$A$3:$I$22,9,FALSE))+'20Trips'!$B$25,0)</f>
        <v>#REF!</v>
      </c>
      <c r="O67" t="e">
        <f>IF(AND(SUM(VLOOKUP($A67,'20Trips'!$A$3:$F$22,2,FALSE),VLOOKUP(O$1,'20Trips'!$A$3:$F$22,2,FALSE))&lt;'20Trips'!$AC$38,$A67&lt;&gt;O$1,#REF!=1),(VLOOKUP(O$1,'20Trips'!$A$3:$I$22,8,FALSE))-(VLOOKUP($A67,'20Trips'!$A$3:$I$22,9,FALSE))+'20Trips'!$B$25,0)</f>
        <v>#REF!</v>
      </c>
      <c r="P67" t="e">
        <f>IF(AND(SUM(VLOOKUP($A67,'20Trips'!$A$3:$F$22,2,FALSE),VLOOKUP(P$1,'20Trips'!$A$3:$F$22,2,FALSE))&lt;'20Trips'!$AC$38,$A67&lt;&gt;P$1,#REF!=1),(VLOOKUP(P$1,'20Trips'!$A$3:$I$22,8,FALSE))-(VLOOKUP($A67,'20Trips'!$A$3:$I$22,9,FALSE))+'20Trips'!$B$25,0)</f>
        <v>#REF!</v>
      </c>
      <c r="Q67" t="e">
        <f>IF(AND(SUM(VLOOKUP($A67,'20Trips'!$A$3:$F$22,2,FALSE),VLOOKUP(Q$1,'20Trips'!$A$3:$F$22,2,FALSE))&lt;'20Trips'!$AC$38,$A67&lt;&gt;Q$1,#REF!=1),(VLOOKUP(Q$1,'20Trips'!$A$3:$I$22,8,FALSE))-(VLOOKUP($A67,'20Trips'!$A$3:$I$22,9,FALSE))+'20Trips'!$B$25,0)</f>
        <v>#REF!</v>
      </c>
      <c r="R67" t="e">
        <f>IF(AND(SUM(VLOOKUP($A67,'20Trips'!$A$3:$F$22,2,FALSE),VLOOKUP(R$1,'20Trips'!$A$3:$F$22,2,FALSE))&lt;'20Trips'!$AC$38,$A67&lt;&gt;R$1,#REF!=1),(VLOOKUP(R$1,'20Trips'!$A$3:$I$22,8,FALSE))-(VLOOKUP($A67,'20Trips'!$A$3:$I$22,9,FALSE))+'20Trips'!$B$25,0)</f>
        <v>#REF!</v>
      </c>
      <c r="S67" t="e">
        <f>IF(AND(SUM(VLOOKUP($A67,'20Trips'!$A$3:$F$22,2,FALSE),VLOOKUP(S$1,'20Trips'!$A$3:$F$22,2,FALSE))&lt;'20Trips'!$AC$38,$A67&lt;&gt;S$1,#REF!=1),(VLOOKUP(S$1,'20Trips'!$A$3:$I$22,8,FALSE))-(VLOOKUP($A67,'20Trips'!$A$3:$I$22,9,FALSE))+'20Trips'!$B$25,0)</f>
        <v>#REF!</v>
      </c>
      <c r="T67" t="e">
        <f>IF(AND(SUM(VLOOKUP($A67,'20Trips'!$A$3:$F$22,2,FALSE),VLOOKUP(T$1,'20Trips'!$A$3:$F$22,2,FALSE))&lt;'20Trips'!$AC$38,$A67&lt;&gt;T$1,#REF!=1),(VLOOKUP(T$1,'20Trips'!$A$3:$I$22,8,FALSE))-(VLOOKUP($A67,'20Trips'!$A$3:$I$22,9,FALSE))+'20Trips'!$B$25,0)</f>
        <v>#REF!</v>
      </c>
      <c r="U67" t="e">
        <f>IF(AND(SUM(VLOOKUP($A67,'20Trips'!$A$3:$F$22,2,FALSE),VLOOKUP(U$1,'20Trips'!$A$3:$F$22,2,FALSE))&lt;'20Trips'!$AC$38,$A67&lt;&gt;U$1,#REF!=1),(VLOOKUP(U$1,'20Trips'!$A$3:$I$22,8,FALSE))-(VLOOKUP($A67,'20Trips'!$A$3:$I$22,9,FALSE))+'20Trips'!$B$25,0)</f>
        <v>#REF!</v>
      </c>
      <c r="V67" t="e">
        <f>IF(AND(SUM(VLOOKUP($A67,'20Trips'!$A$3:$F$22,2,FALSE),VLOOKUP(V$1,'20Trips'!$A$3:$F$22,2,FALSE))&lt;'20Trips'!$AC$38,$A67&lt;&gt;V$1,#REF!=1),(VLOOKUP(V$1,'20Trips'!$A$3:$I$22,8,FALSE))-(VLOOKUP($A67,'20Trips'!$A$3:$I$22,9,FALSE))+'20Trips'!$B$25,0)</f>
        <v>#REF!</v>
      </c>
    </row>
    <row r="68" spans="1:22" x14ac:dyDescent="0.25">
      <c r="A68" t="s">
        <v>10</v>
      </c>
      <c r="B68">
        <v>0</v>
      </c>
      <c r="C68" t="e">
        <f>IF(AND(SUM(VLOOKUP($A68,'20Trips'!$A$3:$F$22,2,FALSE),VLOOKUP(C$1,'20Trips'!$A$3:$F$22,2,FALSE))&lt;'20Trips'!$AC$38,$A68&lt;&gt;C$1,#REF!=1),(VLOOKUP(C$1,'20Trips'!$A$3:$I$22,8,FALSE))-(VLOOKUP($A68,'20Trips'!$A$3:$I$22,9,FALSE))+'20Trips'!$B$25,0)</f>
        <v>#REF!</v>
      </c>
      <c r="D68" t="e">
        <f>IF(AND(SUM(VLOOKUP($A68,'20Trips'!$A$3:$F$22,2,FALSE),VLOOKUP(D$1,'20Trips'!$A$3:$F$22,2,FALSE))&lt;'20Trips'!$AC$38,$A68&lt;&gt;D$1,#REF!=1),(VLOOKUP(D$1,'20Trips'!$A$3:$I$22,8,FALSE))-(VLOOKUP($A68,'20Trips'!$A$3:$I$22,9,FALSE))+'20Trips'!$B$25,0)</f>
        <v>#REF!</v>
      </c>
      <c r="E68" t="e">
        <f>IF(AND(SUM(VLOOKUP($A68,'20Trips'!$A$3:$F$22,2,FALSE),VLOOKUP(E$1,'20Trips'!$A$3:$F$22,2,FALSE))&lt;'20Trips'!$AC$38,$A68&lt;&gt;E$1,#REF!=1),(VLOOKUP(E$1,'20Trips'!$A$3:$I$22,8,FALSE))-(VLOOKUP($A68,'20Trips'!$A$3:$I$22,9,FALSE))+'20Trips'!$B$25,0)</f>
        <v>#REF!</v>
      </c>
      <c r="F68" t="e">
        <f>IF(AND(SUM(VLOOKUP($A68,'20Trips'!$A$3:$F$22,2,FALSE),VLOOKUP(F$1,'20Trips'!$A$3:$F$22,2,FALSE))&lt;'20Trips'!$AC$38,$A68&lt;&gt;F$1,#REF!=1),(VLOOKUP(F$1,'20Trips'!$A$3:$I$22,8,FALSE))-(VLOOKUP($A68,'20Trips'!$A$3:$I$22,9,FALSE))+'20Trips'!$B$25,0)</f>
        <v>#REF!</v>
      </c>
      <c r="G68" t="e">
        <f>IF(AND(SUM(VLOOKUP($A68,'20Trips'!$A$3:$F$22,2,FALSE),VLOOKUP(G$1,'20Trips'!$A$3:$F$22,2,FALSE))&lt;'20Trips'!$AC$38,$A68&lt;&gt;G$1,#REF!=1),(VLOOKUP(G$1,'20Trips'!$A$3:$I$22,8,FALSE))-(VLOOKUP($A68,'20Trips'!$A$3:$I$22,9,FALSE))+'20Trips'!$B$25,0)</f>
        <v>#REF!</v>
      </c>
      <c r="H68" t="e">
        <f>IF(AND(SUM(VLOOKUP($A68,'20Trips'!$A$3:$F$22,2,FALSE),VLOOKUP(H$1,'20Trips'!$A$3:$F$22,2,FALSE))&lt;'20Trips'!$AC$38,$A68&lt;&gt;H$1,#REF!=1),(VLOOKUP(H$1,'20Trips'!$A$3:$I$22,8,FALSE))-(VLOOKUP($A68,'20Trips'!$A$3:$I$22,9,FALSE))+'20Trips'!$B$25,0)</f>
        <v>#REF!</v>
      </c>
      <c r="I68" t="e">
        <f>IF(AND(SUM(VLOOKUP($A68,'20Trips'!$A$3:$F$22,2,FALSE),VLOOKUP(I$1,'20Trips'!$A$3:$F$22,2,FALSE))&lt;'20Trips'!$AC$38,$A68&lt;&gt;I$1,#REF!=1),(VLOOKUP(I$1,'20Trips'!$A$3:$I$22,8,FALSE))-(VLOOKUP($A68,'20Trips'!$A$3:$I$22,9,FALSE))+'20Trips'!$B$25,0)</f>
        <v>#REF!</v>
      </c>
      <c r="J68" t="e">
        <f>IF(AND(SUM(VLOOKUP($A68,'20Trips'!$A$3:$F$22,2,FALSE),VLOOKUP(J$1,'20Trips'!$A$3:$F$22,2,FALSE))&lt;'20Trips'!$AC$38,$A68&lt;&gt;J$1,#REF!=1),(VLOOKUP(J$1,'20Trips'!$A$3:$I$22,8,FALSE))-(VLOOKUP($A68,'20Trips'!$A$3:$I$22,9,FALSE))+'20Trips'!$B$25,0)</f>
        <v>#REF!</v>
      </c>
      <c r="K68" t="e">
        <f>IF(AND(SUM(VLOOKUP($A68,'20Trips'!$A$3:$F$22,2,FALSE),VLOOKUP(K$1,'20Trips'!$A$3:$F$22,2,FALSE))&lt;'20Trips'!$AC$38,$A68&lt;&gt;K$1,#REF!=1),(VLOOKUP(K$1,'20Trips'!$A$3:$I$22,8,FALSE))-(VLOOKUP($A68,'20Trips'!$A$3:$I$22,9,FALSE))+'20Trips'!$B$25,0)</f>
        <v>#REF!</v>
      </c>
      <c r="L68" t="e">
        <f>IF(AND(SUM(VLOOKUP($A68,'20Trips'!$A$3:$F$22,2,FALSE),VLOOKUP(L$1,'20Trips'!$A$3:$F$22,2,FALSE))&lt;'20Trips'!$AC$38,$A68&lt;&gt;L$1,#REF!=1),(VLOOKUP(L$1,'20Trips'!$A$3:$I$22,8,FALSE))-(VLOOKUP($A68,'20Trips'!$A$3:$I$22,9,FALSE))+'20Trips'!$B$25,0)</f>
        <v>#REF!</v>
      </c>
      <c r="M68" t="e">
        <f>IF(AND(SUM(VLOOKUP($A68,'20Trips'!$A$3:$F$22,2,FALSE),VLOOKUP(M$1,'20Trips'!$A$3:$F$22,2,FALSE))&lt;'20Trips'!$AC$38,$A68&lt;&gt;M$1,#REF!=1),(VLOOKUP(M$1,'20Trips'!$A$3:$I$22,8,FALSE))-(VLOOKUP($A68,'20Trips'!$A$3:$I$22,9,FALSE))+'20Trips'!$B$25,0)</f>
        <v>#REF!</v>
      </c>
      <c r="N68" t="e">
        <f>IF(AND(SUM(VLOOKUP($A68,'20Trips'!$A$3:$F$22,2,FALSE),VLOOKUP(N$1,'20Trips'!$A$3:$F$22,2,FALSE))&lt;'20Trips'!$AC$38,$A68&lt;&gt;N$1,#REF!=1),(VLOOKUP(N$1,'20Trips'!$A$3:$I$22,8,FALSE))-(VLOOKUP($A68,'20Trips'!$A$3:$I$22,9,FALSE))+'20Trips'!$B$25,0)</f>
        <v>#REF!</v>
      </c>
      <c r="O68" t="e">
        <f>IF(AND(SUM(VLOOKUP($A68,'20Trips'!$A$3:$F$22,2,FALSE),VLOOKUP(O$1,'20Trips'!$A$3:$F$22,2,FALSE))&lt;'20Trips'!$AC$38,$A68&lt;&gt;O$1,#REF!=1),(VLOOKUP(O$1,'20Trips'!$A$3:$I$22,8,FALSE))-(VLOOKUP($A68,'20Trips'!$A$3:$I$22,9,FALSE))+'20Trips'!$B$25,0)</f>
        <v>#REF!</v>
      </c>
      <c r="P68" t="e">
        <f>IF(AND(SUM(VLOOKUP($A68,'20Trips'!$A$3:$F$22,2,FALSE),VLOOKUP(P$1,'20Trips'!$A$3:$F$22,2,FALSE))&lt;'20Trips'!$AC$38,$A68&lt;&gt;P$1,#REF!=1),(VLOOKUP(P$1,'20Trips'!$A$3:$I$22,8,FALSE))-(VLOOKUP($A68,'20Trips'!$A$3:$I$22,9,FALSE))+'20Trips'!$B$25,0)</f>
        <v>#REF!</v>
      </c>
      <c r="Q68" t="e">
        <f>IF(AND(SUM(VLOOKUP($A68,'20Trips'!$A$3:$F$22,2,FALSE),VLOOKUP(Q$1,'20Trips'!$A$3:$F$22,2,FALSE))&lt;'20Trips'!$AC$38,$A68&lt;&gt;Q$1,#REF!=1),(VLOOKUP(Q$1,'20Trips'!$A$3:$I$22,8,FALSE))-(VLOOKUP($A68,'20Trips'!$A$3:$I$22,9,FALSE))+'20Trips'!$B$25,0)</f>
        <v>#REF!</v>
      </c>
      <c r="R68" t="e">
        <f>IF(AND(SUM(VLOOKUP($A68,'20Trips'!$A$3:$F$22,2,FALSE),VLOOKUP(R$1,'20Trips'!$A$3:$F$22,2,FALSE))&lt;'20Trips'!$AC$38,$A68&lt;&gt;R$1,#REF!=1),(VLOOKUP(R$1,'20Trips'!$A$3:$I$22,8,FALSE))-(VLOOKUP($A68,'20Trips'!$A$3:$I$22,9,FALSE))+'20Trips'!$B$25,0)</f>
        <v>#REF!</v>
      </c>
      <c r="S68" t="e">
        <f>IF(AND(SUM(VLOOKUP($A68,'20Trips'!$A$3:$F$22,2,FALSE),VLOOKUP(S$1,'20Trips'!$A$3:$F$22,2,FALSE))&lt;'20Trips'!$AC$38,$A68&lt;&gt;S$1,#REF!=1),(VLOOKUP(S$1,'20Trips'!$A$3:$I$22,8,FALSE))-(VLOOKUP($A68,'20Trips'!$A$3:$I$22,9,FALSE))+'20Trips'!$B$25,0)</f>
        <v>#REF!</v>
      </c>
      <c r="T68" t="e">
        <f>IF(AND(SUM(VLOOKUP($A68,'20Trips'!$A$3:$F$22,2,FALSE),VLOOKUP(T$1,'20Trips'!$A$3:$F$22,2,FALSE))&lt;'20Trips'!$AC$38,$A68&lt;&gt;T$1,#REF!=1),(VLOOKUP(T$1,'20Trips'!$A$3:$I$22,8,FALSE))-(VLOOKUP($A68,'20Trips'!$A$3:$I$22,9,FALSE))+'20Trips'!$B$25,0)</f>
        <v>#REF!</v>
      </c>
      <c r="U68" t="e">
        <f>IF(AND(SUM(VLOOKUP($A68,'20Trips'!$A$3:$F$22,2,FALSE),VLOOKUP(U$1,'20Trips'!$A$3:$F$22,2,FALSE))&lt;'20Trips'!$AC$38,$A68&lt;&gt;U$1,#REF!=1),(VLOOKUP(U$1,'20Trips'!$A$3:$I$22,8,FALSE))-(VLOOKUP($A68,'20Trips'!$A$3:$I$22,9,FALSE))+'20Trips'!$B$25,0)</f>
        <v>#REF!</v>
      </c>
      <c r="V68" t="e">
        <f>IF(AND(SUM(VLOOKUP($A68,'20Trips'!$A$3:$F$22,2,FALSE),VLOOKUP(V$1,'20Trips'!$A$3:$F$22,2,FALSE))&lt;'20Trips'!$AC$38,$A68&lt;&gt;V$1,#REF!=1),(VLOOKUP(V$1,'20Trips'!$A$3:$I$22,8,FALSE))-(VLOOKUP($A68,'20Trips'!$A$3:$I$22,9,FALSE))+'20Trips'!$B$25,0)</f>
        <v>#REF!</v>
      </c>
    </row>
    <row r="69" spans="1:22" x14ac:dyDescent="0.25">
      <c r="A69" t="s">
        <v>11</v>
      </c>
      <c r="B69">
        <v>0</v>
      </c>
      <c r="C69" t="e">
        <f>IF(AND(SUM(VLOOKUP($A69,'20Trips'!$A$3:$F$22,2,FALSE),VLOOKUP(C$1,'20Trips'!$A$3:$F$22,2,FALSE))&lt;'20Trips'!$AC$38,$A69&lt;&gt;C$1,#REF!=1),(VLOOKUP(C$1,'20Trips'!$A$3:$I$22,8,FALSE))-(VLOOKUP($A69,'20Trips'!$A$3:$I$22,9,FALSE))+'20Trips'!$B$25,0)</f>
        <v>#REF!</v>
      </c>
      <c r="D69" t="e">
        <f>IF(AND(SUM(VLOOKUP($A69,'20Trips'!$A$3:$F$22,2,FALSE),VLOOKUP(D$1,'20Trips'!$A$3:$F$22,2,FALSE))&lt;'20Trips'!$AC$38,$A69&lt;&gt;D$1,#REF!=1),(VLOOKUP(D$1,'20Trips'!$A$3:$I$22,8,FALSE))-(VLOOKUP($A69,'20Trips'!$A$3:$I$22,9,FALSE))+'20Trips'!$B$25,0)</f>
        <v>#REF!</v>
      </c>
      <c r="E69" t="e">
        <f>IF(AND(SUM(VLOOKUP($A69,'20Trips'!$A$3:$F$22,2,FALSE),VLOOKUP(E$1,'20Trips'!$A$3:$F$22,2,FALSE))&lt;'20Trips'!$AC$38,$A69&lt;&gt;E$1,#REF!=1),(VLOOKUP(E$1,'20Trips'!$A$3:$I$22,8,FALSE))-(VLOOKUP($A69,'20Trips'!$A$3:$I$22,9,FALSE))+'20Trips'!$B$25,0)</f>
        <v>#REF!</v>
      </c>
      <c r="F69" t="e">
        <f>IF(AND(SUM(VLOOKUP($A69,'20Trips'!$A$3:$F$22,2,FALSE),VLOOKUP(F$1,'20Trips'!$A$3:$F$22,2,FALSE))&lt;'20Trips'!$AC$38,$A69&lt;&gt;F$1,#REF!=1),(VLOOKUP(F$1,'20Trips'!$A$3:$I$22,8,FALSE))-(VLOOKUP($A69,'20Trips'!$A$3:$I$22,9,FALSE))+'20Trips'!$B$25,0)</f>
        <v>#REF!</v>
      </c>
      <c r="G69" t="e">
        <f>IF(AND(SUM(VLOOKUP($A69,'20Trips'!$A$3:$F$22,2,FALSE),VLOOKUP(G$1,'20Trips'!$A$3:$F$22,2,FALSE))&lt;'20Trips'!$AC$38,$A69&lt;&gt;G$1,#REF!=1),(VLOOKUP(G$1,'20Trips'!$A$3:$I$22,8,FALSE))-(VLOOKUP($A69,'20Trips'!$A$3:$I$22,9,FALSE))+'20Trips'!$B$25,0)</f>
        <v>#REF!</v>
      </c>
      <c r="H69" t="e">
        <f>IF(AND(SUM(VLOOKUP($A69,'20Trips'!$A$3:$F$22,2,FALSE),VLOOKUP(H$1,'20Trips'!$A$3:$F$22,2,FALSE))&lt;'20Trips'!$AC$38,$A69&lt;&gt;H$1,#REF!=1),(VLOOKUP(H$1,'20Trips'!$A$3:$I$22,8,FALSE))-(VLOOKUP($A69,'20Trips'!$A$3:$I$22,9,FALSE))+'20Trips'!$B$25,0)</f>
        <v>#REF!</v>
      </c>
      <c r="I69" t="e">
        <f>IF(AND(SUM(VLOOKUP($A69,'20Trips'!$A$3:$F$22,2,FALSE),VLOOKUP(I$1,'20Trips'!$A$3:$F$22,2,FALSE))&lt;'20Trips'!$AC$38,$A69&lt;&gt;I$1,#REF!=1),(VLOOKUP(I$1,'20Trips'!$A$3:$I$22,8,FALSE))-(VLOOKUP($A69,'20Trips'!$A$3:$I$22,9,FALSE))+'20Trips'!$B$25,0)</f>
        <v>#REF!</v>
      </c>
      <c r="J69" t="e">
        <f>IF(AND(SUM(VLOOKUP($A69,'20Trips'!$A$3:$F$22,2,FALSE),VLOOKUP(J$1,'20Trips'!$A$3:$F$22,2,FALSE))&lt;'20Trips'!$AC$38,$A69&lt;&gt;J$1,#REF!=1),(VLOOKUP(J$1,'20Trips'!$A$3:$I$22,8,FALSE))-(VLOOKUP($A69,'20Trips'!$A$3:$I$22,9,FALSE))+'20Trips'!$B$25,0)</f>
        <v>#REF!</v>
      </c>
      <c r="K69" t="e">
        <f>IF(AND(SUM(VLOOKUP($A69,'20Trips'!$A$3:$F$22,2,FALSE),VLOOKUP(K$1,'20Trips'!$A$3:$F$22,2,FALSE))&lt;'20Trips'!$AC$38,$A69&lt;&gt;K$1,#REF!=1),(VLOOKUP(K$1,'20Trips'!$A$3:$I$22,8,FALSE))-(VLOOKUP($A69,'20Trips'!$A$3:$I$22,9,FALSE))+'20Trips'!$B$25,0)</f>
        <v>#REF!</v>
      </c>
      <c r="L69" t="e">
        <f>IF(AND(SUM(VLOOKUP($A69,'20Trips'!$A$3:$F$22,2,FALSE),VLOOKUP(L$1,'20Trips'!$A$3:$F$22,2,FALSE))&lt;'20Trips'!$AC$38,$A69&lt;&gt;L$1,#REF!=1),(VLOOKUP(L$1,'20Trips'!$A$3:$I$22,8,FALSE))-(VLOOKUP($A69,'20Trips'!$A$3:$I$22,9,FALSE))+'20Trips'!$B$25,0)</f>
        <v>#REF!</v>
      </c>
      <c r="M69" t="e">
        <f>IF(AND(SUM(VLOOKUP($A69,'20Trips'!$A$3:$F$22,2,FALSE),VLOOKUP(M$1,'20Trips'!$A$3:$F$22,2,FALSE))&lt;'20Trips'!$AC$38,$A69&lt;&gt;M$1,#REF!=1),(VLOOKUP(M$1,'20Trips'!$A$3:$I$22,8,FALSE))-(VLOOKUP($A69,'20Trips'!$A$3:$I$22,9,FALSE))+'20Trips'!$B$25,0)</f>
        <v>#REF!</v>
      </c>
      <c r="N69" t="e">
        <f>IF(AND(SUM(VLOOKUP($A69,'20Trips'!$A$3:$F$22,2,FALSE),VLOOKUP(N$1,'20Trips'!$A$3:$F$22,2,FALSE))&lt;'20Trips'!$AC$38,$A69&lt;&gt;N$1,#REF!=1),(VLOOKUP(N$1,'20Trips'!$A$3:$I$22,8,FALSE))-(VLOOKUP($A69,'20Trips'!$A$3:$I$22,9,FALSE))+'20Trips'!$B$25,0)</f>
        <v>#REF!</v>
      </c>
      <c r="O69" t="e">
        <f>IF(AND(SUM(VLOOKUP($A69,'20Trips'!$A$3:$F$22,2,FALSE),VLOOKUP(O$1,'20Trips'!$A$3:$F$22,2,FALSE))&lt;'20Trips'!$AC$38,$A69&lt;&gt;O$1,#REF!=1),(VLOOKUP(O$1,'20Trips'!$A$3:$I$22,8,FALSE))-(VLOOKUP($A69,'20Trips'!$A$3:$I$22,9,FALSE))+'20Trips'!$B$25,0)</f>
        <v>#REF!</v>
      </c>
      <c r="P69" t="e">
        <f>IF(AND(SUM(VLOOKUP($A69,'20Trips'!$A$3:$F$22,2,FALSE),VLOOKUP(P$1,'20Trips'!$A$3:$F$22,2,FALSE))&lt;'20Trips'!$AC$38,$A69&lt;&gt;P$1,#REF!=1),(VLOOKUP(P$1,'20Trips'!$A$3:$I$22,8,FALSE))-(VLOOKUP($A69,'20Trips'!$A$3:$I$22,9,FALSE))+'20Trips'!$B$25,0)</f>
        <v>#REF!</v>
      </c>
      <c r="Q69" t="e">
        <f>IF(AND(SUM(VLOOKUP($A69,'20Trips'!$A$3:$F$22,2,FALSE),VLOOKUP(Q$1,'20Trips'!$A$3:$F$22,2,FALSE))&lt;'20Trips'!$AC$38,$A69&lt;&gt;Q$1,#REF!=1),(VLOOKUP(Q$1,'20Trips'!$A$3:$I$22,8,FALSE))-(VLOOKUP($A69,'20Trips'!$A$3:$I$22,9,FALSE))+'20Trips'!$B$25,0)</f>
        <v>#REF!</v>
      </c>
      <c r="R69" t="e">
        <f>IF(AND(SUM(VLOOKUP($A69,'20Trips'!$A$3:$F$22,2,FALSE),VLOOKUP(R$1,'20Trips'!$A$3:$F$22,2,FALSE))&lt;'20Trips'!$AC$38,$A69&lt;&gt;R$1,#REF!=1),(VLOOKUP(R$1,'20Trips'!$A$3:$I$22,8,FALSE))-(VLOOKUP($A69,'20Trips'!$A$3:$I$22,9,FALSE))+'20Trips'!$B$25,0)</f>
        <v>#REF!</v>
      </c>
      <c r="S69" t="e">
        <f>IF(AND(SUM(VLOOKUP($A69,'20Trips'!$A$3:$F$22,2,FALSE),VLOOKUP(S$1,'20Trips'!$A$3:$F$22,2,FALSE))&lt;'20Trips'!$AC$38,$A69&lt;&gt;S$1,#REF!=1),(VLOOKUP(S$1,'20Trips'!$A$3:$I$22,8,FALSE))-(VLOOKUP($A69,'20Trips'!$A$3:$I$22,9,FALSE))+'20Trips'!$B$25,0)</f>
        <v>#REF!</v>
      </c>
      <c r="T69" t="e">
        <f>IF(AND(SUM(VLOOKUP($A69,'20Trips'!$A$3:$F$22,2,FALSE),VLOOKUP(T$1,'20Trips'!$A$3:$F$22,2,FALSE))&lt;'20Trips'!$AC$38,$A69&lt;&gt;T$1,#REF!=1),(VLOOKUP(T$1,'20Trips'!$A$3:$I$22,8,FALSE))-(VLOOKUP($A69,'20Trips'!$A$3:$I$22,9,FALSE))+'20Trips'!$B$25,0)</f>
        <v>#REF!</v>
      </c>
      <c r="U69" t="e">
        <f>IF(AND(SUM(VLOOKUP($A69,'20Trips'!$A$3:$F$22,2,FALSE),VLOOKUP(U$1,'20Trips'!$A$3:$F$22,2,FALSE))&lt;'20Trips'!$AC$38,$A69&lt;&gt;U$1,#REF!=1),(VLOOKUP(U$1,'20Trips'!$A$3:$I$22,8,FALSE))-(VLOOKUP($A69,'20Trips'!$A$3:$I$22,9,FALSE))+'20Trips'!$B$25,0)</f>
        <v>#REF!</v>
      </c>
      <c r="V69" t="e">
        <f>IF(AND(SUM(VLOOKUP($A69,'20Trips'!$A$3:$F$22,2,FALSE),VLOOKUP(V$1,'20Trips'!$A$3:$F$22,2,FALSE))&lt;'20Trips'!$AC$38,$A69&lt;&gt;V$1,#REF!=1),(VLOOKUP(V$1,'20Trips'!$A$3:$I$22,8,FALSE))-(VLOOKUP($A69,'20Trips'!$A$3:$I$22,9,FALSE))+'20Trips'!$B$25,0)</f>
        <v>#REF!</v>
      </c>
    </row>
    <row r="70" spans="1:22" x14ac:dyDescent="0.25">
      <c r="A70" t="s">
        <v>12</v>
      </c>
      <c r="B70">
        <v>0</v>
      </c>
      <c r="C70" t="e">
        <f>IF(AND(SUM(VLOOKUP($A70,'20Trips'!$A$3:$F$22,2,FALSE),VLOOKUP(C$1,'20Trips'!$A$3:$F$22,2,FALSE))&lt;'20Trips'!$AC$38,$A70&lt;&gt;C$1,#REF!=1),(VLOOKUP(C$1,'20Trips'!$A$3:$I$22,8,FALSE))-(VLOOKUP($A70,'20Trips'!$A$3:$I$22,9,FALSE))+'20Trips'!$B$25,0)</f>
        <v>#REF!</v>
      </c>
      <c r="D70" t="e">
        <f>IF(AND(SUM(VLOOKUP($A70,'20Trips'!$A$3:$F$22,2,FALSE),VLOOKUP(D$1,'20Trips'!$A$3:$F$22,2,FALSE))&lt;'20Trips'!$AC$38,$A70&lt;&gt;D$1,#REF!=1),(VLOOKUP(D$1,'20Trips'!$A$3:$I$22,8,FALSE))-(VLOOKUP($A70,'20Trips'!$A$3:$I$22,9,FALSE))+'20Trips'!$B$25,0)</f>
        <v>#REF!</v>
      </c>
      <c r="E70" t="e">
        <f>IF(AND(SUM(VLOOKUP($A70,'20Trips'!$A$3:$F$22,2,FALSE),VLOOKUP(E$1,'20Trips'!$A$3:$F$22,2,FALSE))&lt;'20Trips'!$AC$38,$A70&lt;&gt;E$1,#REF!=1),(VLOOKUP(E$1,'20Trips'!$A$3:$I$22,8,FALSE))-(VLOOKUP($A70,'20Trips'!$A$3:$I$22,9,FALSE))+'20Trips'!$B$25,0)</f>
        <v>#REF!</v>
      </c>
      <c r="F70" t="e">
        <f>IF(AND(SUM(VLOOKUP($A70,'20Trips'!$A$3:$F$22,2,FALSE),VLOOKUP(F$1,'20Trips'!$A$3:$F$22,2,FALSE))&lt;'20Trips'!$AC$38,$A70&lt;&gt;F$1,#REF!=1),(VLOOKUP(F$1,'20Trips'!$A$3:$I$22,8,FALSE))-(VLOOKUP($A70,'20Trips'!$A$3:$I$22,9,FALSE))+'20Trips'!$B$25,0)</f>
        <v>#REF!</v>
      </c>
      <c r="G70" t="e">
        <f>IF(AND(SUM(VLOOKUP($A70,'20Trips'!$A$3:$F$22,2,FALSE),VLOOKUP(G$1,'20Trips'!$A$3:$F$22,2,FALSE))&lt;'20Trips'!$AC$38,$A70&lt;&gt;G$1,#REF!=1),(VLOOKUP(G$1,'20Trips'!$A$3:$I$22,8,FALSE))-(VLOOKUP($A70,'20Trips'!$A$3:$I$22,9,FALSE))+'20Trips'!$B$25,0)</f>
        <v>#REF!</v>
      </c>
      <c r="H70" t="e">
        <f>IF(AND(SUM(VLOOKUP($A70,'20Trips'!$A$3:$F$22,2,FALSE),VLOOKUP(H$1,'20Trips'!$A$3:$F$22,2,FALSE))&lt;'20Trips'!$AC$38,$A70&lt;&gt;H$1,#REF!=1),(VLOOKUP(H$1,'20Trips'!$A$3:$I$22,8,FALSE))-(VLOOKUP($A70,'20Trips'!$A$3:$I$22,9,FALSE))+'20Trips'!$B$25,0)</f>
        <v>#REF!</v>
      </c>
      <c r="I70" t="e">
        <f>IF(AND(SUM(VLOOKUP($A70,'20Trips'!$A$3:$F$22,2,FALSE),VLOOKUP(I$1,'20Trips'!$A$3:$F$22,2,FALSE))&lt;'20Trips'!$AC$38,$A70&lt;&gt;I$1,#REF!=1),(VLOOKUP(I$1,'20Trips'!$A$3:$I$22,8,FALSE))-(VLOOKUP($A70,'20Trips'!$A$3:$I$22,9,FALSE))+'20Trips'!$B$25,0)</f>
        <v>#REF!</v>
      </c>
      <c r="J70" t="e">
        <f>IF(AND(SUM(VLOOKUP($A70,'20Trips'!$A$3:$F$22,2,FALSE),VLOOKUP(J$1,'20Trips'!$A$3:$F$22,2,FALSE))&lt;'20Trips'!$AC$38,$A70&lt;&gt;J$1,#REF!=1),(VLOOKUP(J$1,'20Trips'!$A$3:$I$22,8,FALSE))-(VLOOKUP($A70,'20Trips'!$A$3:$I$22,9,FALSE))+'20Trips'!$B$25,0)</f>
        <v>#REF!</v>
      </c>
      <c r="K70" t="e">
        <f>IF(AND(SUM(VLOOKUP($A70,'20Trips'!$A$3:$F$22,2,FALSE),VLOOKUP(K$1,'20Trips'!$A$3:$F$22,2,FALSE))&lt;'20Trips'!$AC$38,$A70&lt;&gt;K$1,#REF!=1),(VLOOKUP(K$1,'20Trips'!$A$3:$I$22,8,FALSE))-(VLOOKUP($A70,'20Trips'!$A$3:$I$22,9,FALSE))+'20Trips'!$B$25,0)</f>
        <v>#REF!</v>
      </c>
      <c r="L70" t="e">
        <f>IF(AND(SUM(VLOOKUP($A70,'20Trips'!$A$3:$F$22,2,FALSE),VLOOKUP(L$1,'20Trips'!$A$3:$F$22,2,FALSE))&lt;'20Trips'!$AC$38,$A70&lt;&gt;L$1,#REF!=1),(VLOOKUP(L$1,'20Trips'!$A$3:$I$22,8,FALSE))-(VLOOKUP($A70,'20Trips'!$A$3:$I$22,9,FALSE))+'20Trips'!$B$25,0)</f>
        <v>#REF!</v>
      </c>
      <c r="M70" t="e">
        <f>IF(AND(SUM(VLOOKUP($A70,'20Trips'!$A$3:$F$22,2,FALSE),VLOOKUP(M$1,'20Trips'!$A$3:$F$22,2,FALSE))&lt;'20Trips'!$AC$38,$A70&lt;&gt;M$1,#REF!=1),(VLOOKUP(M$1,'20Trips'!$A$3:$I$22,8,FALSE))-(VLOOKUP($A70,'20Trips'!$A$3:$I$22,9,FALSE))+'20Trips'!$B$25,0)</f>
        <v>#REF!</v>
      </c>
      <c r="N70" t="e">
        <f>IF(AND(SUM(VLOOKUP($A70,'20Trips'!$A$3:$F$22,2,FALSE),VLOOKUP(N$1,'20Trips'!$A$3:$F$22,2,FALSE))&lt;'20Trips'!$AC$38,$A70&lt;&gt;N$1,#REF!=1),(VLOOKUP(N$1,'20Trips'!$A$3:$I$22,8,FALSE))-(VLOOKUP($A70,'20Trips'!$A$3:$I$22,9,FALSE))+'20Trips'!$B$25,0)</f>
        <v>#REF!</v>
      </c>
      <c r="O70" t="e">
        <f>IF(AND(SUM(VLOOKUP($A70,'20Trips'!$A$3:$F$22,2,FALSE),VLOOKUP(O$1,'20Trips'!$A$3:$F$22,2,FALSE))&lt;'20Trips'!$AC$38,$A70&lt;&gt;O$1,#REF!=1),(VLOOKUP(O$1,'20Trips'!$A$3:$I$22,8,FALSE))-(VLOOKUP($A70,'20Trips'!$A$3:$I$22,9,FALSE))+'20Trips'!$B$25,0)</f>
        <v>#REF!</v>
      </c>
      <c r="P70" t="e">
        <f>IF(AND(SUM(VLOOKUP($A70,'20Trips'!$A$3:$F$22,2,FALSE),VLOOKUP(P$1,'20Trips'!$A$3:$F$22,2,FALSE))&lt;'20Trips'!$AC$38,$A70&lt;&gt;P$1,#REF!=1),(VLOOKUP(P$1,'20Trips'!$A$3:$I$22,8,FALSE))-(VLOOKUP($A70,'20Trips'!$A$3:$I$22,9,FALSE))+'20Trips'!$B$25,0)</f>
        <v>#REF!</v>
      </c>
      <c r="Q70" t="e">
        <f>IF(AND(SUM(VLOOKUP($A70,'20Trips'!$A$3:$F$22,2,FALSE),VLOOKUP(Q$1,'20Trips'!$A$3:$F$22,2,FALSE))&lt;'20Trips'!$AC$38,$A70&lt;&gt;Q$1,#REF!=1),(VLOOKUP(Q$1,'20Trips'!$A$3:$I$22,8,FALSE))-(VLOOKUP($A70,'20Trips'!$A$3:$I$22,9,FALSE))+'20Trips'!$B$25,0)</f>
        <v>#REF!</v>
      </c>
      <c r="R70" t="e">
        <f>IF(AND(SUM(VLOOKUP($A70,'20Trips'!$A$3:$F$22,2,FALSE),VLOOKUP(R$1,'20Trips'!$A$3:$F$22,2,FALSE))&lt;'20Trips'!$AC$38,$A70&lt;&gt;R$1,#REF!=1),(VLOOKUP(R$1,'20Trips'!$A$3:$I$22,8,FALSE))-(VLOOKUP($A70,'20Trips'!$A$3:$I$22,9,FALSE))+'20Trips'!$B$25,0)</f>
        <v>#REF!</v>
      </c>
      <c r="S70" t="e">
        <f>IF(AND(SUM(VLOOKUP($A70,'20Trips'!$A$3:$F$22,2,FALSE),VLOOKUP(S$1,'20Trips'!$A$3:$F$22,2,FALSE))&lt;'20Trips'!$AC$38,$A70&lt;&gt;S$1,#REF!=1),(VLOOKUP(S$1,'20Trips'!$A$3:$I$22,8,FALSE))-(VLOOKUP($A70,'20Trips'!$A$3:$I$22,9,FALSE))+'20Trips'!$B$25,0)</f>
        <v>#REF!</v>
      </c>
      <c r="T70" t="e">
        <f>IF(AND(SUM(VLOOKUP($A70,'20Trips'!$A$3:$F$22,2,FALSE),VLOOKUP(T$1,'20Trips'!$A$3:$F$22,2,FALSE))&lt;'20Trips'!$AC$38,$A70&lt;&gt;T$1,#REF!=1),(VLOOKUP(T$1,'20Trips'!$A$3:$I$22,8,FALSE))-(VLOOKUP($A70,'20Trips'!$A$3:$I$22,9,FALSE))+'20Trips'!$B$25,0)</f>
        <v>#REF!</v>
      </c>
      <c r="U70" t="e">
        <f>IF(AND(SUM(VLOOKUP($A70,'20Trips'!$A$3:$F$22,2,FALSE),VLOOKUP(U$1,'20Trips'!$A$3:$F$22,2,FALSE))&lt;'20Trips'!$AC$38,$A70&lt;&gt;U$1,#REF!=1),(VLOOKUP(U$1,'20Trips'!$A$3:$I$22,8,FALSE))-(VLOOKUP($A70,'20Trips'!$A$3:$I$22,9,FALSE))+'20Trips'!$B$25,0)</f>
        <v>#REF!</v>
      </c>
      <c r="V70" t="e">
        <f>IF(AND(SUM(VLOOKUP($A70,'20Trips'!$A$3:$F$22,2,FALSE),VLOOKUP(V$1,'20Trips'!$A$3:$F$22,2,FALSE))&lt;'20Trips'!$AC$38,$A70&lt;&gt;V$1,#REF!=1),(VLOOKUP(V$1,'20Trips'!$A$3:$I$22,8,FALSE))-(VLOOKUP($A70,'20Trips'!$A$3:$I$22,9,FALSE))+'20Trips'!$B$25,0)</f>
        <v>#REF!</v>
      </c>
    </row>
    <row r="71" spans="1:22" x14ac:dyDescent="0.25">
      <c r="A71" t="s">
        <v>18</v>
      </c>
      <c r="B71">
        <v>0</v>
      </c>
      <c r="C71" t="e">
        <f>IF(AND(SUM(VLOOKUP($A71,'20Trips'!$A$3:$F$22,2,FALSE),VLOOKUP(C$1,'20Trips'!$A$3:$F$22,2,FALSE))&lt;'20Trips'!$AC$38,$A71&lt;&gt;C$1,#REF!=1),(VLOOKUP(C$1,'20Trips'!$A$3:$I$22,8,FALSE))-(VLOOKUP($A71,'20Trips'!$A$3:$I$22,9,FALSE))+'20Trips'!$B$25,0)</f>
        <v>#REF!</v>
      </c>
      <c r="D71" t="e">
        <f>IF(AND(SUM(VLOOKUP($A71,'20Trips'!$A$3:$F$22,2,FALSE),VLOOKUP(D$1,'20Trips'!$A$3:$F$22,2,FALSE))&lt;'20Trips'!$AC$38,$A71&lt;&gt;D$1,#REF!=1),(VLOOKUP(D$1,'20Trips'!$A$3:$I$22,8,FALSE))-(VLOOKUP($A71,'20Trips'!$A$3:$I$22,9,FALSE))+'20Trips'!$B$25,0)</f>
        <v>#REF!</v>
      </c>
      <c r="E71" t="e">
        <f>IF(AND(SUM(VLOOKUP($A71,'20Trips'!$A$3:$F$22,2,FALSE),VLOOKUP(E$1,'20Trips'!$A$3:$F$22,2,FALSE))&lt;'20Trips'!$AC$38,$A71&lt;&gt;E$1,#REF!=1),(VLOOKUP(E$1,'20Trips'!$A$3:$I$22,8,FALSE))-(VLOOKUP($A71,'20Trips'!$A$3:$I$22,9,FALSE))+'20Trips'!$B$25,0)</f>
        <v>#REF!</v>
      </c>
      <c r="F71" t="e">
        <f>IF(AND(SUM(VLOOKUP($A71,'20Trips'!$A$3:$F$22,2,FALSE),VLOOKUP(F$1,'20Trips'!$A$3:$F$22,2,FALSE))&lt;'20Trips'!$AC$38,$A71&lt;&gt;F$1,#REF!=1),(VLOOKUP(F$1,'20Trips'!$A$3:$I$22,8,FALSE))-(VLOOKUP($A71,'20Trips'!$A$3:$I$22,9,FALSE))+'20Trips'!$B$25,0)</f>
        <v>#REF!</v>
      </c>
      <c r="G71" t="e">
        <f>IF(AND(SUM(VLOOKUP($A71,'20Trips'!$A$3:$F$22,2,FALSE),VLOOKUP(G$1,'20Trips'!$A$3:$F$22,2,FALSE))&lt;'20Trips'!$AC$38,$A71&lt;&gt;G$1,#REF!=1),(VLOOKUP(G$1,'20Trips'!$A$3:$I$22,8,FALSE))-(VLOOKUP($A71,'20Trips'!$A$3:$I$22,9,FALSE))+'20Trips'!$B$25,0)</f>
        <v>#REF!</v>
      </c>
      <c r="H71" t="e">
        <f>IF(AND(SUM(VLOOKUP($A71,'20Trips'!$A$3:$F$22,2,FALSE),VLOOKUP(H$1,'20Trips'!$A$3:$F$22,2,FALSE))&lt;'20Trips'!$AC$38,$A71&lt;&gt;H$1,#REF!=1),(VLOOKUP(H$1,'20Trips'!$A$3:$I$22,8,FALSE))-(VLOOKUP($A71,'20Trips'!$A$3:$I$22,9,FALSE))+'20Trips'!$B$25,0)</f>
        <v>#REF!</v>
      </c>
      <c r="I71" t="e">
        <f>IF(AND(SUM(VLOOKUP($A71,'20Trips'!$A$3:$F$22,2,FALSE),VLOOKUP(I$1,'20Trips'!$A$3:$F$22,2,FALSE))&lt;'20Trips'!$AC$38,$A71&lt;&gt;I$1,#REF!=1),(VLOOKUP(I$1,'20Trips'!$A$3:$I$22,8,FALSE))-(VLOOKUP($A71,'20Trips'!$A$3:$I$22,9,FALSE))+'20Trips'!$B$25,0)</f>
        <v>#REF!</v>
      </c>
      <c r="J71" t="e">
        <f>IF(AND(SUM(VLOOKUP($A71,'20Trips'!$A$3:$F$22,2,FALSE),VLOOKUP(J$1,'20Trips'!$A$3:$F$22,2,FALSE))&lt;'20Trips'!$AC$38,$A71&lt;&gt;J$1,#REF!=1),(VLOOKUP(J$1,'20Trips'!$A$3:$I$22,8,FALSE))-(VLOOKUP($A71,'20Trips'!$A$3:$I$22,9,FALSE))+'20Trips'!$B$25,0)</f>
        <v>#REF!</v>
      </c>
      <c r="K71" t="e">
        <f>IF(AND(SUM(VLOOKUP($A71,'20Trips'!$A$3:$F$22,2,FALSE),VLOOKUP(K$1,'20Trips'!$A$3:$F$22,2,FALSE))&lt;'20Trips'!$AC$38,$A71&lt;&gt;K$1,#REF!=1),(VLOOKUP(K$1,'20Trips'!$A$3:$I$22,8,FALSE))-(VLOOKUP($A71,'20Trips'!$A$3:$I$22,9,FALSE))+'20Trips'!$B$25,0)</f>
        <v>#REF!</v>
      </c>
      <c r="L71" t="e">
        <f>IF(AND(SUM(VLOOKUP($A71,'20Trips'!$A$3:$F$22,2,FALSE),VLOOKUP(L$1,'20Trips'!$A$3:$F$22,2,FALSE))&lt;'20Trips'!$AC$38,$A71&lt;&gt;L$1,#REF!=1),(VLOOKUP(L$1,'20Trips'!$A$3:$I$22,8,FALSE))-(VLOOKUP($A71,'20Trips'!$A$3:$I$22,9,FALSE))+'20Trips'!$B$25,0)</f>
        <v>#REF!</v>
      </c>
      <c r="M71" t="e">
        <f>IF(AND(SUM(VLOOKUP($A71,'20Trips'!$A$3:$F$22,2,FALSE),VLOOKUP(M$1,'20Trips'!$A$3:$F$22,2,FALSE))&lt;'20Trips'!$AC$38,$A71&lt;&gt;M$1,#REF!=1),(VLOOKUP(M$1,'20Trips'!$A$3:$I$22,8,FALSE))-(VLOOKUP($A71,'20Trips'!$A$3:$I$22,9,FALSE))+'20Trips'!$B$25,0)</f>
        <v>#REF!</v>
      </c>
      <c r="N71" t="e">
        <f>IF(AND(SUM(VLOOKUP($A71,'20Trips'!$A$3:$F$22,2,FALSE),VLOOKUP(N$1,'20Trips'!$A$3:$F$22,2,FALSE))&lt;'20Trips'!$AC$38,$A71&lt;&gt;N$1,#REF!=1),(VLOOKUP(N$1,'20Trips'!$A$3:$I$22,8,FALSE))-(VLOOKUP($A71,'20Trips'!$A$3:$I$22,9,FALSE))+'20Trips'!$B$25,0)</f>
        <v>#REF!</v>
      </c>
      <c r="O71" t="e">
        <f>IF(AND(SUM(VLOOKUP($A71,'20Trips'!$A$3:$F$22,2,FALSE),VLOOKUP(O$1,'20Trips'!$A$3:$F$22,2,FALSE))&lt;'20Trips'!$AC$38,$A71&lt;&gt;O$1,#REF!=1),(VLOOKUP(O$1,'20Trips'!$A$3:$I$22,8,FALSE))-(VLOOKUP($A71,'20Trips'!$A$3:$I$22,9,FALSE))+'20Trips'!$B$25,0)</f>
        <v>#REF!</v>
      </c>
      <c r="P71" t="e">
        <f>IF(AND(SUM(VLOOKUP($A71,'20Trips'!$A$3:$F$22,2,FALSE),VLOOKUP(P$1,'20Trips'!$A$3:$F$22,2,FALSE))&lt;'20Trips'!$AC$38,$A71&lt;&gt;P$1,#REF!=1),(VLOOKUP(P$1,'20Trips'!$A$3:$I$22,8,FALSE))-(VLOOKUP($A71,'20Trips'!$A$3:$I$22,9,FALSE))+'20Trips'!$B$25,0)</f>
        <v>#REF!</v>
      </c>
      <c r="Q71" t="e">
        <f>IF(AND(SUM(VLOOKUP($A71,'20Trips'!$A$3:$F$22,2,FALSE),VLOOKUP(Q$1,'20Trips'!$A$3:$F$22,2,FALSE))&lt;'20Trips'!$AC$38,$A71&lt;&gt;Q$1,#REF!=1),(VLOOKUP(Q$1,'20Trips'!$A$3:$I$22,8,FALSE))-(VLOOKUP($A71,'20Trips'!$A$3:$I$22,9,FALSE))+'20Trips'!$B$25,0)</f>
        <v>#REF!</v>
      </c>
      <c r="R71" t="e">
        <f>IF(AND(SUM(VLOOKUP($A71,'20Trips'!$A$3:$F$22,2,FALSE),VLOOKUP(R$1,'20Trips'!$A$3:$F$22,2,FALSE))&lt;'20Trips'!$AC$38,$A71&lt;&gt;R$1,#REF!=1),(VLOOKUP(R$1,'20Trips'!$A$3:$I$22,8,FALSE))-(VLOOKUP($A71,'20Trips'!$A$3:$I$22,9,FALSE))+'20Trips'!$B$25,0)</f>
        <v>#REF!</v>
      </c>
      <c r="S71" t="e">
        <f>IF(AND(SUM(VLOOKUP($A71,'20Trips'!$A$3:$F$22,2,FALSE),VLOOKUP(S$1,'20Trips'!$A$3:$F$22,2,FALSE))&lt;'20Trips'!$AC$38,$A71&lt;&gt;S$1,#REF!=1),(VLOOKUP(S$1,'20Trips'!$A$3:$I$22,8,FALSE))-(VLOOKUP($A71,'20Trips'!$A$3:$I$22,9,FALSE))+'20Trips'!$B$25,0)</f>
        <v>#REF!</v>
      </c>
      <c r="T71" t="e">
        <f>IF(AND(SUM(VLOOKUP($A71,'20Trips'!$A$3:$F$22,2,FALSE),VLOOKUP(T$1,'20Trips'!$A$3:$F$22,2,FALSE))&lt;'20Trips'!$AC$38,$A71&lt;&gt;T$1,#REF!=1),(VLOOKUP(T$1,'20Trips'!$A$3:$I$22,8,FALSE))-(VLOOKUP($A71,'20Trips'!$A$3:$I$22,9,FALSE))+'20Trips'!$B$25,0)</f>
        <v>#REF!</v>
      </c>
      <c r="U71" t="e">
        <f>IF(AND(SUM(VLOOKUP($A71,'20Trips'!$A$3:$F$22,2,FALSE),VLOOKUP(U$1,'20Trips'!$A$3:$F$22,2,FALSE))&lt;'20Trips'!$AC$38,$A71&lt;&gt;U$1,#REF!=1),(VLOOKUP(U$1,'20Trips'!$A$3:$I$22,8,FALSE))-(VLOOKUP($A71,'20Trips'!$A$3:$I$22,9,FALSE))+'20Trips'!$B$25,0)</f>
        <v>#REF!</v>
      </c>
      <c r="V71" t="e">
        <f>IF(AND(SUM(VLOOKUP($A71,'20Trips'!$A$3:$F$22,2,FALSE),VLOOKUP(V$1,'20Trips'!$A$3:$F$22,2,FALSE))&lt;'20Trips'!$AC$38,$A71&lt;&gt;V$1,#REF!=1),(VLOOKUP(V$1,'20Trips'!$A$3:$I$22,8,FALSE))-(VLOOKUP($A71,'20Trips'!$A$3:$I$22,9,FALSE))+'20Trips'!$B$25,0)</f>
        <v>#REF!</v>
      </c>
    </row>
    <row r="72" spans="1:22" x14ac:dyDescent="0.25">
      <c r="A72" t="s">
        <v>20</v>
      </c>
      <c r="B72">
        <v>0</v>
      </c>
      <c r="C72" t="e">
        <f>IF(AND(SUM(VLOOKUP($A72,'20Trips'!$A$3:$F$22,2,FALSE),VLOOKUP(C$1,'20Trips'!$A$3:$F$22,2,FALSE))&lt;'20Trips'!$AC$38,$A72&lt;&gt;C$1,#REF!=1),(VLOOKUP(C$1,'20Trips'!$A$3:$I$22,8,FALSE))-(VLOOKUP($A72,'20Trips'!$A$3:$I$22,9,FALSE))+'20Trips'!$B$25,0)</f>
        <v>#REF!</v>
      </c>
      <c r="D72" t="e">
        <f>IF(AND(SUM(VLOOKUP($A72,'20Trips'!$A$3:$F$22,2,FALSE),VLOOKUP(D$1,'20Trips'!$A$3:$F$22,2,FALSE))&lt;'20Trips'!$AC$38,$A72&lt;&gt;D$1,#REF!=1),(VLOOKUP(D$1,'20Trips'!$A$3:$I$22,8,FALSE))-(VLOOKUP($A72,'20Trips'!$A$3:$I$22,9,FALSE))+'20Trips'!$B$25,0)</f>
        <v>#REF!</v>
      </c>
      <c r="E72" t="e">
        <f>IF(AND(SUM(VLOOKUP($A72,'20Trips'!$A$3:$F$22,2,FALSE),VLOOKUP(E$1,'20Trips'!$A$3:$F$22,2,FALSE))&lt;'20Trips'!$AC$38,$A72&lt;&gt;E$1,#REF!=1),(VLOOKUP(E$1,'20Trips'!$A$3:$I$22,8,FALSE))-(VLOOKUP($A72,'20Trips'!$A$3:$I$22,9,FALSE))+'20Trips'!$B$25,0)</f>
        <v>#REF!</v>
      </c>
      <c r="F72" t="e">
        <f>IF(AND(SUM(VLOOKUP($A72,'20Trips'!$A$3:$F$22,2,FALSE),VLOOKUP(F$1,'20Trips'!$A$3:$F$22,2,FALSE))&lt;'20Trips'!$AC$38,$A72&lt;&gt;F$1,#REF!=1),(VLOOKUP(F$1,'20Trips'!$A$3:$I$22,8,FALSE))-(VLOOKUP($A72,'20Trips'!$A$3:$I$22,9,FALSE))+'20Trips'!$B$25,0)</f>
        <v>#REF!</v>
      </c>
      <c r="G72" t="e">
        <f>IF(AND(SUM(VLOOKUP($A72,'20Trips'!$A$3:$F$22,2,FALSE),VLOOKUP(G$1,'20Trips'!$A$3:$F$22,2,FALSE))&lt;'20Trips'!$AC$38,$A72&lt;&gt;G$1,#REF!=1),(VLOOKUP(G$1,'20Trips'!$A$3:$I$22,8,FALSE))-(VLOOKUP($A72,'20Trips'!$A$3:$I$22,9,FALSE))+'20Trips'!$B$25,0)</f>
        <v>#REF!</v>
      </c>
      <c r="H72" t="e">
        <f>IF(AND(SUM(VLOOKUP($A72,'20Trips'!$A$3:$F$22,2,FALSE),VLOOKUP(H$1,'20Trips'!$A$3:$F$22,2,FALSE))&lt;'20Trips'!$AC$38,$A72&lt;&gt;H$1,#REF!=1),(VLOOKUP(H$1,'20Trips'!$A$3:$I$22,8,FALSE))-(VLOOKUP($A72,'20Trips'!$A$3:$I$22,9,FALSE))+'20Trips'!$B$25,0)</f>
        <v>#REF!</v>
      </c>
      <c r="I72" t="e">
        <f>IF(AND(SUM(VLOOKUP($A72,'20Trips'!$A$3:$F$22,2,FALSE),VLOOKUP(I$1,'20Trips'!$A$3:$F$22,2,FALSE))&lt;'20Trips'!$AC$38,$A72&lt;&gt;I$1,#REF!=1),(VLOOKUP(I$1,'20Trips'!$A$3:$I$22,8,FALSE))-(VLOOKUP($A72,'20Trips'!$A$3:$I$22,9,FALSE))+'20Trips'!$B$25,0)</f>
        <v>#REF!</v>
      </c>
      <c r="J72" t="e">
        <f>IF(AND(SUM(VLOOKUP($A72,'20Trips'!$A$3:$F$22,2,FALSE),VLOOKUP(J$1,'20Trips'!$A$3:$F$22,2,FALSE))&lt;'20Trips'!$AC$38,$A72&lt;&gt;J$1,#REF!=1),(VLOOKUP(J$1,'20Trips'!$A$3:$I$22,8,FALSE))-(VLOOKUP($A72,'20Trips'!$A$3:$I$22,9,FALSE))+'20Trips'!$B$25,0)</f>
        <v>#REF!</v>
      </c>
      <c r="K72" t="e">
        <f>IF(AND(SUM(VLOOKUP($A72,'20Trips'!$A$3:$F$22,2,FALSE),VLOOKUP(K$1,'20Trips'!$A$3:$F$22,2,FALSE))&lt;'20Trips'!$AC$38,$A72&lt;&gt;K$1,#REF!=1),(VLOOKUP(K$1,'20Trips'!$A$3:$I$22,8,FALSE))-(VLOOKUP($A72,'20Trips'!$A$3:$I$22,9,FALSE))+'20Trips'!$B$25,0)</f>
        <v>#REF!</v>
      </c>
      <c r="L72" t="e">
        <f>IF(AND(SUM(VLOOKUP($A72,'20Trips'!$A$3:$F$22,2,FALSE),VLOOKUP(L$1,'20Trips'!$A$3:$F$22,2,FALSE))&lt;'20Trips'!$AC$38,$A72&lt;&gt;L$1,#REF!=1),(VLOOKUP(L$1,'20Trips'!$A$3:$I$22,8,FALSE))-(VLOOKUP($A72,'20Trips'!$A$3:$I$22,9,FALSE))+'20Trips'!$B$25,0)</f>
        <v>#REF!</v>
      </c>
      <c r="M72" t="e">
        <f>IF(AND(SUM(VLOOKUP($A72,'20Trips'!$A$3:$F$22,2,FALSE),VLOOKUP(M$1,'20Trips'!$A$3:$F$22,2,FALSE))&lt;'20Trips'!$AC$38,$A72&lt;&gt;M$1,#REF!=1),(VLOOKUP(M$1,'20Trips'!$A$3:$I$22,8,FALSE))-(VLOOKUP($A72,'20Trips'!$A$3:$I$22,9,FALSE))+'20Trips'!$B$25,0)</f>
        <v>#REF!</v>
      </c>
      <c r="N72" t="e">
        <f>IF(AND(SUM(VLOOKUP($A72,'20Trips'!$A$3:$F$22,2,FALSE),VLOOKUP(N$1,'20Trips'!$A$3:$F$22,2,FALSE))&lt;'20Trips'!$AC$38,$A72&lt;&gt;N$1,#REF!=1),(VLOOKUP(N$1,'20Trips'!$A$3:$I$22,8,FALSE))-(VLOOKUP($A72,'20Trips'!$A$3:$I$22,9,FALSE))+'20Trips'!$B$25,0)</f>
        <v>#REF!</v>
      </c>
      <c r="O72" t="e">
        <f>IF(AND(SUM(VLOOKUP($A72,'20Trips'!$A$3:$F$22,2,FALSE),VLOOKUP(O$1,'20Trips'!$A$3:$F$22,2,FALSE))&lt;'20Trips'!$AC$38,$A72&lt;&gt;O$1,#REF!=1),(VLOOKUP(O$1,'20Trips'!$A$3:$I$22,8,FALSE))-(VLOOKUP($A72,'20Trips'!$A$3:$I$22,9,FALSE))+'20Trips'!$B$25,0)</f>
        <v>#REF!</v>
      </c>
      <c r="P72" t="e">
        <f>IF(AND(SUM(VLOOKUP($A72,'20Trips'!$A$3:$F$22,2,FALSE),VLOOKUP(P$1,'20Trips'!$A$3:$F$22,2,FALSE))&lt;'20Trips'!$AC$38,$A72&lt;&gt;P$1,#REF!=1),(VLOOKUP(P$1,'20Trips'!$A$3:$I$22,8,FALSE))-(VLOOKUP($A72,'20Trips'!$A$3:$I$22,9,FALSE))+'20Trips'!$B$25,0)</f>
        <v>#REF!</v>
      </c>
      <c r="Q72" t="e">
        <f>IF(AND(SUM(VLOOKUP($A72,'20Trips'!$A$3:$F$22,2,FALSE),VLOOKUP(Q$1,'20Trips'!$A$3:$F$22,2,FALSE))&lt;'20Trips'!$AC$38,$A72&lt;&gt;Q$1,#REF!=1),(VLOOKUP(Q$1,'20Trips'!$A$3:$I$22,8,FALSE))-(VLOOKUP($A72,'20Trips'!$A$3:$I$22,9,FALSE))+'20Trips'!$B$25,0)</f>
        <v>#REF!</v>
      </c>
      <c r="R72" t="e">
        <f>IF(AND(SUM(VLOOKUP($A72,'20Trips'!$A$3:$F$22,2,FALSE),VLOOKUP(R$1,'20Trips'!$A$3:$F$22,2,FALSE))&lt;'20Trips'!$AC$38,$A72&lt;&gt;R$1,#REF!=1),(VLOOKUP(R$1,'20Trips'!$A$3:$I$22,8,FALSE))-(VLOOKUP($A72,'20Trips'!$A$3:$I$22,9,FALSE))+'20Trips'!$B$25,0)</f>
        <v>#REF!</v>
      </c>
      <c r="S72" t="e">
        <f>IF(AND(SUM(VLOOKUP($A72,'20Trips'!$A$3:$F$22,2,FALSE),VLOOKUP(S$1,'20Trips'!$A$3:$F$22,2,FALSE))&lt;'20Trips'!$AC$38,$A72&lt;&gt;S$1,#REF!=1),(VLOOKUP(S$1,'20Trips'!$A$3:$I$22,8,FALSE))-(VLOOKUP($A72,'20Trips'!$A$3:$I$22,9,FALSE))+'20Trips'!$B$25,0)</f>
        <v>#REF!</v>
      </c>
      <c r="T72" t="e">
        <f>IF(AND(SUM(VLOOKUP($A72,'20Trips'!$A$3:$F$22,2,FALSE),VLOOKUP(T$1,'20Trips'!$A$3:$F$22,2,FALSE))&lt;'20Trips'!$AC$38,$A72&lt;&gt;T$1,#REF!=1),(VLOOKUP(T$1,'20Trips'!$A$3:$I$22,8,FALSE))-(VLOOKUP($A72,'20Trips'!$A$3:$I$22,9,FALSE))+'20Trips'!$B$25,0)</f>
        <v>#REF!</v>
      </c>
      <c r="U72" t="e">
        <f>IF(AND(SUM(VLOOKUP($A72,'20Trips'!$A$3:$F$22,2,FALSE),VLOOKUP(U$1,'20Trips'!$A$3:$F$22,2,FALSE))&lt;'20Trips'!$AC$38,$A72&lt;&gt;U$1,#REF!=1),(VLOOKUP(U$1,'20Trips'!$A$3:$I$22,8,FALSE))-(VLOOKUP($A72,'20Trips'!$A$3:$I$22,9,FALSE))+'20Trips'!$B$25,0)</f>
        <v>#REF!</v>
      </c>
      <c r="V72" t="e">
        <f>IF(AND(SUM(VLOOKUP($A72,'20Trips'!$A$3:$F$22,2,FALSE),VLOOKUP(V$1,'20Trips'!$A$3:$F$22,2,FALSE))&lt;'20Trips'!$AC$38,$A72&lt;&gt;V$1,#REF!=1),(VLOOKUP(V$1,'20Trips'!$A$3:$I$22,8,FALSE))-(VLOOKUP($A72,'20Trips'!$A$3:$I$22,9,FALSE))+'20Trips'!$B$25,0)</f>
        <v>#REF!</v>
      </c>
    </row>
    <row r="73" spans="1:22" x14ac:dyDescent="0.25">
      <c r="A73" t="s">
        <v>21</v>
      </c>
      <c r="B73">
        <v>0</v>
      </c>
      <c r="C73" t="e">
        <f>IF(AND(SUM(VLOOKUP($A73,'20Trips'!$A$3:$F$22,2,FALSE),VLOOKUP(C$1,'20Trips'!$A$3:$F$22,2,FALSE))&lt;'20Trips'!$AC$38,$A73&lt;&gt;C$1,#REF!=1),(VLOOKUP(C$1,'20Trips'!$A$3:$I$22,8,FALSE))-(VLOOKUP($A73,'20Trips'!$A$3:$I$22,9,FALSE))+'20Trips'!$B$25,0)</f>
        <v>#REF!</v>
      </c>
      <c r="D73" t="e">
        <f>IF(AND(SUM(VLOOKUP($A73,'20Trips'!$A$3:$F$22,2,FALSE),VLOOKUP(D$1,'20Trips'!$A$3:$F$22,2,FALSE))&lt;'20Trips'!$AC$38,$A73&lt;&gt;D$1,#REF!=1),(VLOOKUP(D$1,'20Trips'!$A$3:$I$22,8,FALSE))-(VLOOKUP($A73,'20Trips'!$A$3:$I$22,9,FALSE))+'20Trips'!$B$25,0)</f>
        <v>#REF!</v>
      </c>
      <c r="E73" t="e">
        <f>IF(AND(SUM(VLOOKUP($A73,'20Trips'!$A$3:$F$22,2,FALSE),VLOOKUP(E$1,'20Trips'!$A$3:$F$22,2,FALSE))&lt;'20Trips'!$AC$38,$A73&lt;&gt;E$1,#REF!=1),(VLOOKUP(E$1,'20Trips'!$A$3:$I$22,8,FALSE))-(VLOOKUP($A73,'20Trips'!$A$3:$I$22,9,FALSE))+'20Trips'!$B$25,0)</f>
        <v>#REF!</v>
      </c>
      <c r="F73" t="e">
        <f>IF(AND(SUM(VLOOKUP($A73,'20Trips'!$A$3:$F$22,2,FALSE),VLOOKUP(F$1,'20Trips'!$A$3:$F$22,2,FALSE))&lt;'20Trips'!$AC$38,$A73&lt;&gt;F$1,#REF!=1),(VLOOKUP(F$1,'20Trips'!$A$3:$I$22,8,FALSE))-(VLOOKUP($A73,'20Trips'!$A$3:$I$22,9,FALSE))+'20Trips'!$B$25,0)</f>
        <v>#REF!</v>
      </c>
      <c r="G73" t="e">
        <f>IF(AND(SUM(VLOOKUP($A73,'20Trips'!$A$3:$F$22,2,FALSE),VLOOKUP(G$1,'20Trips'!$A$3:$F$22,2,FALSE))&lt;'20Trips'!$AC$38,$A73&lt;&gt;G$1,#REF!=1),(VLOOKUP(G$1,'20Trips'!$A$3:$I$22,8,FALSE))-(VLOOKUP($A73,'20Trips'!$A$3:$I$22,9,FALSE))+'20Trips'!$B$25,0)</f>
        <v>#REF!</v>
      </c>
      <c r="H73" t="e">
        <f>IF(AND(SUM(VLOOKUP($A73,'20Trips'!$A$3:$F$22,2,FALSE),VLOOKUP(H$1,'20Trips'!$A$3:$F$22,2,FALSE))&lt;'20Trips'!$AC$38,$A73&lt;&gt;H$1,#REF!=1),(VLOOKUP(H$1,'20Trips'!$A$3:$I$22,8,FALSE))-(VLOOKUP($A73,'20Trips'!$A$3:$I$22,9,FALSE))+'20Trips'!$B$25,0)</f>
        <v>#REF!</v>
      </c>
      <c r="I73" t="e">
        <f>IF(AND(SUM(VLOOKUP($A73,'20Trips'!$A$3:$F$22,2,FALSE),VLOOKUP(I$1,'20Trips'!$A$3:$F$22,2,FALSE))&lt;'20Trips'!$AC$38,$A73&lt;&gt;I$1,#REF!=1),(VLOOKUP(I$1,'20Trips'!$A$3:$I$22,8,FALSE))-(VLOOKUP($A73,'20Trips'!$A$3:$I$22,9,FALSE))+'20Trips'!$B$25,0)</f>
        <v>#REF!</v>
      </c>
      <c r="J73" t="e">
        <f>IF(AND(SUM(VLOOKUP($A73,'20Trips'!$A$3:$F$22,2,FALSE),VLOOKUP(J$1,'20Trips'!$A$3:$F$22,2,FALSE))&lt;'20Trips'!$AC$38,$A73&lt;&gt;J$1,#REF!=1),(VLOOKUP(J$1,'20Trips'!$A$3:$I$22,8,FALSE))-(VLOOKUP($A73,'20Trips'!$A$3:$I$22,9,FALSE))+'20Trips'!$B$25,0)</f>
        <v>#REF!</v>
      </c>
      <c r="K73" t="e">
        <f>IF(AND(SUM(VLOOKUP($A73,'20Trips'!$A$3:$F$22,2,FALSE),VLOOKUP(K$1,'20Trips'!$A$3:$F$22,2,FALSE))&lt;'20Trips'!$AC$38,$A73&lt;&gt;K$1,#REF!=1),(VLOOKUP(K$1,'20Trips'!$A$3:$I$22,8,FALSE))-(VLOOKUP($A73,'20Trips'!$A$3:$I$22,9,FALSE))+'20Trips'!$B$25,0)</f>
        <v>#REF!</v>
      </c>
      <c r="L73" t="e">
        <f>IF(AND(SUM(VLOOKUP($A73,'20Trips'!$A$3:$F$22,2,FALSE),VLOOKUP(L$1,'20Trips'!$A$3:$F$22,2,FALSE))&lt;'20Trips'!$AC$38,$A73&lt;&gt;L$1,#REF!=1),(VLOOKUP(L$1,'20Trips'!$A$3:$I$22,8,FALSE))-(VLOOKUP($A73,'20Trips'!$A$3:$I$22,9,FALSE))+'20Trips'!$B$25,0)</f>
        <v>#REF!</v>
      </c>
      <c r="M73" t="e">
        <f>IF(AND(SUM(VLOOKUP($A73,'20Trips'!$A$3:$F$22,2,FALSE),VLOOKUP(M$1,'20Trips'!$A$3:$F$22,2,FALSE))&lt;'20Trips'!$AC$38,$A73&lt;&gt;M$1,#REF!=1),(VLOOKUP(M$1,'20Trips'!$A$3:$I$22,8,FALSE))-(VLOOKUP($A73,'20Trips'!$A$3:$I$22,9,FALSE))+'20Trips'!$B$25,0)</f>
        <v>#REF!</v>
      </c>
      <c r="N73" t="e">
        <f>IF(AND(SUM(VLOOKUP($A73,'20Trips'!$A$3:$F$22,2,FALSE),VLOOKUP(N$1,'20Trips'!$A$3:$F$22,2,FALSE))&lt;'20Trips'!$AC$38,$A73&lt;&gt;N$1,#REF!=1),(VLOOKUP(N$1,'20Trips'!$A$3:$I$22,8,FALSE))-(VLOOKUP($A73,'20Trips'!$A$3:$I$22,9,FALSE))+'20Trips'!$B$25,0)</f>
        <v>#REF!</v>
      </c>
      <c r="O73" t="e">
        <f>IF(AND(SUM(VLOOKUP($A73,'20Trips'!$A$3:$F$22,2,FALSE),VLOOKUP(O$1,'20Trips'!$A$3:$F$22,2,FALSE))&lt;'20Trips'!$AC$38,$A73&lt;&gt;O$1,#REF!=1),(VLOOKUP(O$1,'20Trips'!$A$3:$I$22,8,FALSE))-(VLOOKUP($A73,'20Trips'!$A$3:$I$22,9,FALSE))+'20Trips'!$B$25,0)</f>
        <v>#REF!</v>
      </c>
      <c r="P73" t="e">
        <f>IF(AND(SUM(VLOOKUP($A73,'20Trips'!$A$3:$F$22,2,FALSE),VLOOKUP(P$1,'20Trips'!$A$3:$F$22,2,FALSE))&lt;'20Trips'!$AC$38,$A73&lt;&gt;P$1,#REF!=1),(VLOOKUP(P$1,'20Trips'!$A$3:$I$22,8,FALSE))-(VLOOKUP($A73,'20Trips'!$A$3:$I$22,9,FALSE))+'20Trips'!$B$25,0)</f>
        <v>#REF!</v>
      </c>
      <c r="Q73" t="e">
        <f>IF(AND(SUM(VLOOKUP($A73,'20Trips'!$A$3:$F$22,2,FALSE),VLOOKUP(Q$1,'20Trips'!$A$3:$F$22,2,FALSE))&lt;'20Trips'!$AC$38,$A73&lt;&gt;Q$1,#REF!=1),(VLOOKUP(Q$1,'20Trips'!$A$3:$I$22,8,FALSE))-(VLOOKUP($A73,'20Trips'!$A$3:$I$22,9,FALSE))+'20Trips'!$B$25,0)</f>
        <v>#REF!</v>
      </c>
      <c r="R73" t="e">
        <f>IF(AND(SUM(VLOOKUP($A73,'20Trips'!$A$3:$F$22,2,FALSE),VLOOKUP(R$1,'20Trips'!$A$3:$F$22,2,FALSE))&lt;'20Trips'!$AC$38,$A73&lt;&gt;R$1,#REF!=1),(VLOOKUP(R$1,'20Trips'!$A$3:$I$22,8,FALSE))-(VLOOKUP($A73,'20Trips'!$A$3:$I$22,9,FALSE))+'20Trips'!$B$25,0)</f>
        <v>#REF!</v>
      </c>
      <c r="S73" t="e">
        <f>IF(AND(SUM(VLOOKUP($A73,'20Trips'!$A$3:$F$22,2,FALSE),VLOOKUP(S$1,'20Trips'!$A$3:$F$22,2,FALSE))&lt;'20Trips'!$AC$38,$A73&lt;&gt;S$1,#REF!=1),(VLOOKUP(S$1,'20Trips'!$A$3:$I$22,8,FALSE))-(VLOOKUP($A73,'20Trips'!$A$3:$I$22,9,FALSE))+'20Trips'!$B$25,0)</f>
        <v>#REF!</v>
      </c>
      <c r="T73" t="e">
        <f>IF(AND(SUM(VLOOKUP($A73,'20Trips'!$A$3:$F$22,2,FALSE),VLOOKUP(T$1,'20Trips'!$A$3:$F$22,2,FALSE))&lt;'20Trips'!$AC$38,$A73&lt;&gt;T$1,#REF!=1),(VLOOKUP(T$1,'20Trips'!$A$3:$I$22,8,FALSE))-(VLOOKUP($A73,'20Trips'!$A$3:$I$22,9,FALSE))+'20Trips'!$B$25,0)</f>
        <v>#REF!</v>
      </c>
      <c r="U73" t="e">
        <f>IF(AND(SUM(VLOOKUP($A73,'20Trips'!$A$3:$F$22,2,FALSE),VLOOKUP(U$1,'20Trips'!$A$3:$F$22,2,FALSE))&lt;'20Trips'!$AC$38,$A73&lt;&gt;U$1,#REF!=1),(VLOOKUP(U$1,'20Trips'!$A$3:$I$22,8,FALSE))-(VLOOKUP($A73,'20Trips'!$A$3:$I$22,9,FALSE))+'20Trips'!$B$25,0)</f>
        <v>#REF!</v>
      </c>
      <c r="V73" t="e">
        <f>IF(AND(SUM(VLOOKUP($A73,'20Trips'!$A$3:$F$22,2,FALSE),VLOOKUP(V$1,'20Trips'!$A$3:$F$22,2,FALSE))&lt;'20Trips'!$AC$38,$A73&lt;&gt;V$1,#REF!=1),(VLOOKUP(V$1,'20Trips'!$A$3:$I$22,8,FALSE))-(VLOOKUP($A73,'20Trips'!$A$3:$I$22,9,FALSE))+'20Trips'!$B$25,0)</f>
        <v>#REF!</v>
      </c>
    </row>
    <row r="74" spans="1:22" x14ac:dyDescent="0.25">
      <c r="A74" t="s">
        <v>22</v>
      </c>
      <c r="B74">
        <v>0</v>
      </c>
      <c r="C74" t="e">
        <f>IF(AND(SUM(VLOOKUP($A74,'20Trips'!$A$3:$F$22,2,FALSE),VLOOKUP(C$1,'20Trips'!$A$3:$F$22,2,FALSE))&lt;'20Trips'!$AC$38,$A74&lt;&gt;C$1,#REF!=1),(VLOOKUP(C$1,'20Trips'!$A$3:$I$22,8,FALSE))-(VLOOKUP($A74,'20Trips'!$A$3:$I$22,9,FALSE))+'20Trips'!$B$25,0)</f>
        <v>#REF!</v>
      </c>
      <c r="D74" t="e">
        <f>IF(AND(SUM(VLOOKUP($A74,'20Trips'!$A$3:$F$22,2,FALSE),VLOOKUP(D$1,'20Trips'!$A$3:$F$22,2,FALSE))&lt;'20Trips'!$AC$38,$A74&lt;&gt;D$1,#REF!=1),(VLOOKUP(D$1,'20Trips'!$A$3:$I$22,8,FALSE))-(VLOOKUP($A74,'20Trips'!$A$3:$I$22,9,FALSE))+'20Trips'!$B$25,0)</f>
        <v>#REF!</v>
      </c>
      <c r="E74" t="e">
        <f>IF(AND(SUM(VLOOKUP($A74,'20Trips'!$A$3:$F$22,2,FALSE),VLOOKUP(E$1,'20Trips'!$A$3:$F$22,2,FALSE))&lt;'20Trips'!$AC$38,$A74&lt;&gt;E$1,#REF!=1),(VLOOKUP(E$1,'20Trips'!$A$3:$I$22,8,FALSE))-(VLOOKUP($A74,'20Trips'!$A$3:$I$22,9,FALSE))+'20Trips'!$B$25,0)</f>
        <v>#REF!</v>
      </c>
      <c r="F74" t="e">
        <f>IF(AND(SUM(VLOOKUP($A74,'20Trips'!$A$3:$F$22,2,FALSE),VLOOKUP(F$1,'20Trips'!$A$3:$F$22,2,FALSE))&lt;'20Trips'!$AC$38,$A74&lt;&gt;F$1,#REF!=1),(VLOOKUP(F$1,'20Trips'!$A$3:$I$22,8,FALSE))-(VLOOKUP($A74,'20Trips'!$A$3:$I$22,9,FALSE))+'20Trips'!$B$25,0)</f>
        <v>#REF!</v>
      </c>
      <c r="G74" t="e">
        <f>IF(AND(SUM(VLOOKUP($A74,'20Trips'!$A$3:$F$22,2,FALSE),VLOOKUP(G$1,'20Trips'!$A$3:$F$22,2,FALSE))&lt;'20Trips'!$AC$38,$A74&lt;&gt;G$1,#REF!=1),(VLOOKUP(G$1,'20Trips'!$A$3:$I$22,8,FALSE))-(VLOOKUP($A74,'20Trips'!$A$3:$I$22,9,FALSE))+'20Trips'!$B$25,0)</f>
        <v>#REF!</v>
      </c>
      <c r="H74" t="e">
        <f>IF(AND(SUM(VLOOKUP($A74,'20Trips'!$A$3:$F$22,2,FALSE),VLOOKUP(H$1,'20Trips'!$A$3:$F$22,2,FALSE))&lt;'20Trips'!$AC$38,$A74&lt;&gt;H$1,#REF!=1),(VLOOKUP(H$1,'20Trips'!$A$3:$I$22,8,FALSE))-(VLOOKUP($A74,'20Trips'!$A$3:$I$22,9,FALSE))+'20Trips'!$B$25,0)</f>
        <v>#REF!</v>
      </c>
      <c r="I74" t="e">
        <f>IF(AND(SUM(VLOOKUP($A74,'20Trips'!$A$3:$F$22,2,FALSE),VLOOKUP(I$1,'20Trips'!$A$3:$F$22,2,FALSE))&lt;'20Trips'!$AC$38,$A74&lt;&gt;I$1,#REF!=1),(VLOOKUP(I$1,'20Trips'!$A$3:$I$22,8,FALSE))-(VLOOKUP($A74,'20Trips'!$A$3:$I$22,9,FALSE))+'20Trips'!$B$25,0)</f>
        <v>#REF!</v>
      </c>
      <c r="J74" t="e">
        <f>IF(AND(SUM(VLOOKUP($A74,'20Trips'!$A$3:$F$22,2,FALSE),VLOOKUP(J$1,'20Trips'!$A$3:$F$22,2,FALSE))&lt;'20Trips'!$AC$38,$A74&lt;&gt;J$1,#REF!=1),(VLOOKUP(J$1,'20Trips'!$A$3:$I$22,8,FALSE))-(VLOOKUP($A74,'20Trips'!$A$3:$I$22,9,FALSE))+'20Trips'!$B$25,0)</f>
        <v>#REF!</v>
      </c>
      <c r="K74" t="e">
        <f>IF(AND(SUM(VLOOKUP($A74,'20Trips'!$A$3:$F$22,2,FALSE),VLOOKUP(K$1,'20Trips'!$A$3:$F$22,2,FALSE))&lt;'20Trips'!$AC$38,$A74&lt;&gt;K$1,#REF!=1),(VLOOKUP(K$1,'20Trips'!$A$3:$I$22,8,FALSE))-(VLOOKUP($A74,'20Trips'!$A$3:$I$22,9,FALSE))+'20Trips'!$B$25,0)</f>
        <v>#REF!</v>
      </c>
      <c r="L74" t="e">
        <f>IF(AND(SUM(VLOOKUP($A74,'20Trips'!$A$3:$F$22,2,FALSE),VLOOKUP(L$1,'20Trips'!$A$3:$F$22,2,FALSE))&lt;'20Trips'!$AC$38,$A74&lt;&gt;L$1,#REF!=1),(VLOOKUP(L$1,'20Trips'!$A$3:$I$22,8,FALSE))-(VLOOKUP($A74,'20Trips'!$A$3:$I$22,9,FALSE))+'20Trips'!$B$25,0)</f>
        <v>#REF!</v>
      </c>
      <c r="M74" t="e">
        <f>IF(AND(SUM(VLOOKUP($A74,'20Trips'!$A$3:$F$22,2,FALSE),VLOOKUP(M$1,'20Trips'!$A$3:$F$22,2,FALSE))&lt;'20Trips'!$AC$38,$A74&lt;&gt;M$1,#REF!=1),(VLOOKUP(M$1,'20Trips'!$A$3:$I$22,8,FALSE))-(VLOOKUP($A74,'20Trips'!$A$3:$I$22,9,FALSE))+'20Trips'!$B$25,0)</f>
        <v>#REF!</v>
      </c>
      <c r="N74" t="e">
        <f>IF(AND(SUM(VLOOKUP($A74,'20Trips'!$A$3:$F$22,2,FALSE),VLOOKUP(N$1,'20Trips'!$A$3:$F$22,2,FALSE))&lt;'20Trips'!$AC$38,$A74&lt;&gt;N$1,#REF!=1),(VLOOKUP(N$1,'20Trips'!$A$3:$I$22,8,FALSE))-(VLOOKUP($A74,'20Trips'!$A$3:$I$22,9,FALSE))+'20Trips'!$B$25,0)</f>
        <v>#REF!</v>
      </c>
      <c r="O74" t="e">
        <f>IF(AND(SUM(VLOOKUP($A74,'20Trips'!$A$3:$F$22,2,FALSE),VLOOKUP(O$1,'20Trips'!$A$3:$F$22,2,FALSE))&lt;'20Trips'!$AC$38,$A74&lt;&gt;O$1,#REF!=1),(VLOOKUP(O$1,'20Trips'!$A$3:$I$22,8,FALSE))-(VLOOKUP($A74,'20Trips'!$A$3:$I$22,9,FALSE))+'20Trips'!$B$25,0)</f>
        <v>#REF!</v>
      </c>
      <c r="P74" t="e">
        <f>IF(AND(SUM(VLOOKUP($A74,'20Trips'!$A$3:$F$22,2,FALSE),VLOOKUP(P$1,'20Trips'!$A$3:$F$22,2,FALSE))&lt;'20Trips'!$AC$38,$A74&lt;&gt;P$1,#REF!=1),(VLOOKUP(P$1,'20Trips'!$A$3:$I$22,8,FALSE))-(VLOOKUP($A74,'20Trips'!$A$3:$I$22,9,FALSE))+'20Trips'!$B$25,0)</f>
        <v>#REF!</v>
      </c>
      <c r="Q74" t="e">
        <f>IF(AND(SUM(VLOOKUP($A74,'20Trips'!$A$3:$F$22,2,FALSE),VLOOKUP(Q$1,'20Trips'!$A$3:$F$22,2,FALSE))&lt;'20Trips'!$AC$38,$A74&lt;&gt;Q$1,#REF!=1),(VLOOKUP(Q$1,'20Trips'!$A$3:$I$22,8,FALSE))-(VLOOKUP($A74,'20Trips'!$A$3:$I$22,9,FALSE))+'20Trips'!$B$25,0)</f>
        <v>#REF!</v>
      </c>
      <c r="R74" t="e">
        <f>IF(AND(SUM(VLOOKUP($A74,'20Trips'!$A$3:$F$22,2,FALSE),VLOOKUP(R$1,'20Trips'!$A$3:$F$22,2,FALSE))&lt;'20Trips'!$AC$38,$A74&lt;&gt;R$1,#REF!=1),(VLOOKUP(R$1,'20Trips'!$A$3:$I$22,8,FALSE))-(VLOOKUP($A74,'20Trips'!$A$3:$I$22,9,FALSE))+'20Trips'!$B$25,0)</f>
        <v>#REF!</v>
      </c>
      <c r="S74" t="e">
        <f>IF(AND(SUM(VLOOKUP($A74,'20Trips'!$A$3:$F$22,2,FALSE),VLOOKUP(S$1,'20Trips'!$A$3:$F$22,2,FALSE))&lt;'20Trips'!$AC$38,$A74&lt;&gt;S$1,#REF!=1),(VLOOKUP(S$1,'20Trips'!$A$3:$I$22,8,FALSE))-(VLOOKUP($A74,'20Trips'!$A$3:$I$22,9,FALSE))+'20Trips'!$B$25,0)</f>
        <v>#REF!</v>
      </c>
      <c r="T74" t="e">
        <f>IF(AND(SUM(VLOOKUP($A74,'20Trips'!$A$3:$F$22,2,FALSE),VLOOKUP(T$1,'20Trips'!$A$3:$F$22,2,FALSE))&lt;'20Trips'!$AC$38,$A74&lt;&gt;T$1,#REF!=1),(VLOOKUP(T$1,'20Trips'!$A$3:$I$22,8,FALSE))-(VLOOKUP($A74,'20Trips'!$A$3:$I$22,9,FALSE))+'20Trips'!$B$25,0)</f>
        <v>#REF!</v>
      </c>
      <c r="U74" t="e">
        <f>IF(AND(SUM(VLOOKUP($A74,'20Trips'!$A$3:$F$22,2,FALSE),VLOOKUP(U$1,'20Trips'!$A$3:$F$22,2,FALSE))&lt;'20Trips'!$AC$38,$A74&lt;&gt;U$1,#REF!=1),(VLOOKUP(U$1,'20Trips'!$A$3:$I$22,8,FALSE))-(VLOOKUP($A74,'20Trips'!$A$3:$I$22,9,FALSE))+'20Trips'!$B$25,0)</f>
        <v>#REF!</v>
      </c>
      <c r="V74" t="e">
        <f>IF(AND(SUM(VLOOKUP($A74,'20Trips'!$A$3:$F$22,2,FALSE),VLOOKUP(V$1,'20Trips'!$A$3:$F$22,2,FALSE))&lt;'20Trips'!$AC$38,$A74&lt;&gt;V$1,#REF!=1),(VLOOKUP(V$1,'20Trips'!$A$3:$I$22,8,FALSE))-(VLOOKUP($A74,'20Trips'!$A$3:$I$22,9,FALSE))+'20Trips'!$B$25,0)</f>
        <v>#REF!</v>
      </c>
    </row>
    <row r="75" spans="1:22" x14ac:dyDescent="0.25">
      <c r="A75" t="s">
        <v>23</v>
      </c>
      <c r="B75">
        <v>0</v>
      </c>
      <c r="C75" t="e">
        <f>IF(AND(SUM(VLOOKUP($A75,'20Trips'!$A$3:$F$22,2,FALSE),VLOOKUP(C$1,'20Trips'!$A$3:$F$22,2,FALSE))&lt;'20Trips'!$AC$38,$A75&lt;&gt;C$1,#REF!=1),(VLOOKUP(C$1,'20Trips'!$A$3:$I$22,8,FALSE))-(VLOOKUP($A75,'20Trips'!$A$3:$I$22,9,FALSE))+'20Trips'!$B$25,0)</f>
        <v>#REF!</v>
      </c>
      <c r="D75" t="e">
        <f>IF(AND(SUM(VLOOKUP($A75,'20Trips'!$A$3:$F$22,2,FALSE),VLOOKUP(D$1,'20Trips'!$A$3:$F$22,2,FALSE))&lt;'20Trips'!$AC$38,$A75&lt;&gt;D$1,#REF!=1),(VLOOKUP(D$1,'20Trips'!$A$3:$I$22,8,FALSE))-(VLOOKUP($A75,'20Trips'!$A$3:$I$22,9,FALSE))+'20Trips'!$B$25,0)</f>
        <v>#REF!</v>
      </c>
      <c r="E75" t="e">
        <f>IF(AND(SUM(VLOOKUP($A75,'20Trips'!$A$3:$F$22,2,FALSE),VLOOKUP(E$1,'20Trips'!$A$3:$F$22,2,FALSE))&lt;'20Trips'!$AC$38,$A75&lt;&gt;E$1,#REF!=1),(VLOOKUP(E$1,'20Trips'!$A$3:$I$22,8,FALSE))-(VLOOKUP($A75,'20Trips'!$A$3:$I$22,9,FALSE))+'20Trips'!$B$25,0)</f>
        <v>#REF!</v>
      </c>
      <c r="F75" t="e">
        <f>IF(AND(SUM(VLOOKUP($A75,'20Trips'!$A$3:$F$22,2,FALSE),VLOOKUP(F$1,'20Trips'!$A$3:$F$22,2,FALSE))&lt;'20Trips'!$AC$38,$A75&lt;&gt;F$1,#REF!=1),(VLOOKUP(F$1,'20Trips'!$A$3:$I$22,8,FALSE))-(VLOOKUP($A75,'20Trips'!$A$3:$I$22,9,FALSE))+'20Trips'!$B$25,0)</f>
        <v>#REF!</v>
      </c>
      <c r="G75" t="e">
        <f>IF(AND(SUM(VLOOKUP($A75,'20Trips'!$A$3:$F$22,2,FALSE),VLOOKUP(G$1,'20Trips'!$A$3:$F$22,2,FALSE))&lt;'20Trips'!$AC$38,$A75&lt;&gt;G$1,#REF!=1),(VLOOKUP(G$1,'20Trips'!$A$3:$I$22,8,FALSE))-(VLOOKUP($A75,'20Trips'!$A$3:$I$22,9,FALSE))+'20Trips'!$B$25,0)</f>
        <v>#REF!</v>
      </c>
      <c r="H75" t="e">
        <f>IF(AND(SUM(VLOOKUP($A75,'20Trips'!$A$3:$F$22,2,FALSE),VLOOKUP(H$1,'20Trips'!$A$3:$F$22,2,FALSE))&lt;'20Trips'!$AC$38,$A75&lt;&gt;H$1,#REF!=1),(VLOOKUP(H$1,'20Trips'!$A$3:$I$22,8,FALSE))-(VLOOKUP($A75,'20Trips'!$A$3:$I$22,9,FALSE))+'20Trips'!$B$25,0)</f>
        <v>#REF!</v>
      </c>
      <c r="I75" t="e">
        <f>IF(AND(SUM(VLOOKUP($A75,'20Trips'!$A$3:$F$22,2,FALSE),VLOOKUP(I$1,'20Trips'!$A$3:$F$22,2,FALSE))&lt;'20Trips'!$AC$38,$A75&lt;&gt;I$1,#REF!=1),(VLOOKUP(I$1,'20Trips'!$A$3:$I$22,8,FALSE))-(VLOOKUP($A75,'20Trips'!$A$3:$I$22,9,FALSE))+'20Trips'!$B$25,0)</f>
        <v>#REF!</v>
      </c>
      <c r="J75" t="e">
        <f>IF(AND(SUM(VLOOKUP($A75,'20Trips'!$A$3:$F$22,2,FALSE),VLOOKUP(J$1,'20Trips'!$A$3:$F$22,2,FALSE))&lt;'20Trips'!$AC$38,$A75&lt;&gt;J$1,#REF!=1),(VLOOKUP(J$1,'20Trips'!$A$3:$I$22,8,FALSE))-(VLOOKUP($A75,'20Trips'!$A$3:$I$22,9,FALSE))+'20Trips'!$B$25,0)</f>
        <v>#REF!</v>
      </c>
      <c r="K75" t="e">
        <f>IF(AND(SUM(VLOOKUP($A75,'20Trips'!$A$3:$F$22,2,FALSE),VLOOKUP(K$1,'20Trips'!$A$3:$F$22,2,FALSE))&lt;'20Trips'!$AC$38,$A75&lt;&gt;K$1,#REF!=1),(VLOOKUP(K$1,'20Trips'!$A$3:$I$22,8,FALSE))-(VLOOKUP($A75,'20Trips'!$A$3:$I$22,9,FALSE))+'20Trips'!$B$25,0)</f>
        <v>#REF!</v>
      </c>
      <c r="L75" t="e">
        <f>IF(AND(SUM(VLOOKUP($A75,'20Trips'!$A$3:$F$22,2,FALSE),VLOOKUP(L$1,'20Trips'!$A$3:$F$22,2,FALSE))&lt;'20Trips'!$AC$38,$A75&lt;&gt;L$1,#REF!=1),(VLOOKUP(L$1,'20Trips'!$A$3:$I$22,8,FALSE))-(VLOOKUP($A75,'20Trips'!$A$3:$I$22,9,FALSE))+'20Trips'!$B$25,0)</f>
        <v>#REF!</v>
      </c>
      <c r="M75" t="e">
        <f>IF(AND(SUM(VLOOKUP($A75,'20Trips'!$A$3:$F$22,2,FALSE),VLOOKUP(M$1,'20Trips'!$A$3:$F$22,2,FALSE))&lt;'20Trips'!$AC$38,$A75&lt;&gt;M$1,#REF!=1),(VLOOKUP(M$1,'20Trips'!$A$3:$I$22,8,FALSE))-(VLOOKUP($A75,'20Trips'!$A$3:$I$22,9,FALSE))+'20Trips'!$B$25,0)</f>
        <v>#REF!</v>
      </c>
      <c r="N75" t="e">
        <f>IF(AND(SUM(VLOOKUP($A75,'20Trips'!$A$3:$F$22,2,FALSE),VLOOKUP(N$1,'20Trips'!$A$3:$F$22,2,FALSE))&lt;'20Trips'!$AC$38,$A75&lt;&gt;N$1,#REF!=1),(VLOOKUP(N$1,'20Trips'!$A$3:$I$22,8,FALSE))-(VLOOKUP($A75,'20Trips'!$A$3:$I$22,9,FALSE))+'20Trips'!$B$25,0)</f>
        <v>#REF!</v>
      </c>
      <c r="O75" t="e">
        <f>IF(AND(SUM(VLOOKUP($A75,'20Trips'!$A$3:$F$22,2,FALSE),VLOOKUP(O$1,'20Trips'!$A$3:$F$22,2,FALSE))&lt;'20Trips'!$AC$38,$A75&lt;&gt;O$1,#REF!=1),(VLOOKUP(O$1,'20Trips'!$A$3:$I$22,8,FALSE))-(VLOOKUP($A75,'20Trips'!$A$3:$I$22,9,FALSE))+'20Trips'!$B$25,0)</f>
        <v>#REF!</v>
      </c>
      <c r="P75" t="e">
        <f>IF(AND(SUM(VLOOKUP($A75,'20Trips'!$A$3:$F$22,2,FALSE),VLOOKUP(P$1,'20Trips'!$A$3:$F$22,2,FALSE))&lt;'20Trips'!$AC$38,$A75&lt;&gt;P$1,#REF!=1),(VLOOKUP(P$1,'20Trips'!$A$3:$I$22,8,FALSE))-(VLOOKUP($A75,'20Trips'!$A$3:$I$22,9,FALSE))+'20Trips'!$B$25,0)</f>
        <v>#REF!</v>
      </c>
      <c r="Q75" t="e">
        <f>IF(AND(SUM(VLOOKUP($A75,'20Trips'!$A$3:$F$22,2,FALSE),VLOOKUP(Q$1,'20Trips'!$A$3:$F$22,2,FALSE))&lt;'20Trips'!$AC$38,$A75&lt;&gt;Q$1,#REF!=1),(VLOOKUP(Q$1,'20Trips'!$A$3:$I$22,8,FALSE))-(VLOOKUP($A75,'20Trips'!$A$3:$I$22,9,FALSE))+'20Trips'!$B$25,0)</f>
        <v>#REF!</v>
      </c>
      <c r="R75" t="e">
        <f>IF(AND(SUM(VLOOKUP($A75,'20Trips'!$A$3:$F$22,2,FALSE),VLOOKUP(R$1,'20Trips'!$A$3:$F$22,2,FALSE))&lt;'20Trips'!$AC$38,$A75&lt;&gt;R$1,#REF!=1),(VLOOKUP(R$1,'20Trips'!$A$3:$I$22,8,FALSE))-(VLOOKUP($A75,'20Trips'!$A$3:$I$22,9,FALSE))+'20Trips'!$B$25,0)</f>
        <v>#REF!</v>
      </c>
      <c r="S75" t="e">
        <f>IF(AND(SUM(VLOOKUP($A75,'20Trips'!$A$3:$F$22,2,FALSE),VLOOKUP(S$1,'20Trips'!$A$3:$F$22,2,FALSE))&lt;'20Trips'!$AC$38,$A75&lt;&gt;S$1,#REF!=1),(VLOOKUP(S$1,'20Trips'!$A$3:$I$22,8,FALSE))-(VLOOKUP($A75,'20Trips'!$A$3:$I$22,9,FALSE))+'20Trips'!$B$25,0)</f>
        <v>#REF!</v>
      </c>
      <c r="T75" t="e">
        <f>IF(AND(SUM(VLOOKUP($A75,'20Trips'!$A$3:$F$22,2,FALSE),VLOOKUP(T$1,'20Trips'!$A$3:$F$22,2,FALSE))&lt;'20Trips'!$AC$38,$A75&lt;&gt;T$1,#REF!=1),(VLOOKUP(T$1,'20Trips'!$A$3:$I$22,8,FALSE))-(VLOOKUP($A75,'20Trips'!$A$3:$I$22,9,FALSE))+'20Trips'!$B$25,0)</f>
        <v>#REF!</v>
      </c>
      <c r="U75" t="e">
        <f>IF(AND(SUM(VLOOKUP($A75,'20Trips'!$A$3:$F$22,2,FALSE),VLOOKUP(U$1,'20Trips'!$A$3:$F$22,2,FALSE))&lt;'20Trips'!$AC$38,$A75&lt;&gt;U$1,#REF!=1),(VLOOKUP(U$1,'20Trips'!$A$3:$I$22,8,FALSE))-(VLOOKUP($A75,'20Trips'!$A$3:$I$22,9,FALSE))+'20Trips'!$B$25,0)</f>
        <v>#REF!</v>
      </c>
      <c r="V75" t="e">
        <f>IF(AND(SUM(VLOOKUP($A75,'20Trips'!$A$3:$F$22,2,FALSE),VLOOKUP(V$1,'20Trips'!$A$3:$F$22,2,FALSE))&lt;'20Trips'!$AC$38,$A75&lt;&gt;V$1,#REF!=1),(VLOOKUP(V$1,'20Trips'!$A$3:$I$22,8,FALSE))-(VLOOKUP($A75,'20Trips'!$A$3:$I$22,9,FALSE))+'20Trips'!$B$25,0)</f>
        <v>#REF!</v>
      </c>
    </row>
    <row r="76" spans="1:22" x14ac:dyDescent="0.25">
      <c r="A76" t="s">
        <v>26</v>
      </c>
      <c r="B76">
        <v>0</v>
      </c>
      <c r="C76" t="e">
        <f>IF(AND(SUM(VLOOKUP($A76,'20Trips'!$A$3:$F$22,2,FALSE),VLOOKUP(C$1,'20Trips'!$A$3:$F$22,2,FALSE))&lt;'20Trips'!$AC$38,$A76&lt;&gt;C$1,#REF!=1),(VLOOKUP(C$1,'20Trips'!$A$3:$I$22,8,FALSE))-(VLOOKUP($A76,'20Trips'!$A$3:$I$22,9,FALSE))+'20Trips'!$B$25,0)</f>
        <v>#REF!</v>
      </c>
      <c r="D76" t="e">
        <f>IF(AND(SUM(VLOOKUP($A76,'20Trips'!$A$3:$F$22,2,FALSE),VLOOKUP(D$1,'20Trips'!$A$3:$F$22,2,FALSE))&lt;'20Trips'!$AC$38,$A76&lt;&gt;D$1,#REF!=1),(VLOOKUP(D$1,'20Trips'!$A$3:$I$22,8,FALSE))-(VLOOKUP($A76,'20Trips'!$A$3:$I$22,9,FALSE))+'20Trips'!$B$25,0)</f>
        <v>#REF!</v>
      </c>
      <c r="E76" t="e">
        <f>IF(AND(SUM(VLOOKUP($A76,'20Trips'!$A$3:$F$22,2,FALSE),VLOOKUP(E$1,'20Trips'!$A$3:$F$22,2,FALSE))&lt;'20Trips'!$AC$38,$A76&lt;&gt;E$1,#REF!=1),(VLOOKUP(E$1,'20Trips'!$A$3:$I$22,8,FALSE))-(VLOOKUP($A76,'20Trips'!$A$3:$I$22,9,FALSE))+'20Trips'!$B$25,0)</f>
        <v>#REF!</v>
      </c>
      <c r="F76" t="e">
        <f>IF(AND(SUM(VLOOKUP($A76,'20Trips'!$A$3:$F$22,2,FALSE),VLOOKUP(F$1,'20Trips'!$A$3:$F$22,2,FALSE))&lt;'20Trips'!$AC$38,$A76&lt;&gt;F$1,#REF!=1),(VLOOKUP(F$1,'20Trips'!$A$3:$I$22,8,FALSE))-(VLOOKUP($A76,'20Trips'!$A$3:$I$22,9,FALSE))+'20Trips'!$B$25,0)</f>
        <v>#REF!</v>
      </c>
      <c r="G76" t="e">
        <f>IF(AND(SUM(VLOOKUP($A76,'20Trips'!$A$3:$F$22,2,FALSE),VLOOKUP(G$1,'20Trips'!$A$3:$F$22,2,FALSE))&lt;'20Trips'!$AC$38,$A76&lt;&gt;G$1,#REF!=1),(VLOOKUP(G$1,'20Trips'!$A$3:$I$22,8,FALSE))-(VLOOKUP($A76,'20Trips'!$A$3:$I$22,9,FALSE))+'20Trips'!$B$25,0)</f>
        <v>#REF!</v>
      </c>
      <c r="H76" t="e">
        <f>IF(AND(SUM(VLOOKUP($A76,'20Trips'!$A$3:$F$22,2,FALSE),VLOOKUP(H$1,'20Trips'!$A$3:$F$22,2,FALSE))&lt;'20Trips'!$AC$38,$A76&lt;&gt;H$1,#REF!=1),(VLOOKUP(H$1,'20Trips'!$A$3:$I$22,8,FALSE))-(VLOOKUP($A76,'20Trips'!$A$3:$I$22,9,FALSE))+'20Trips'!$B$25,0)</f>
        <v>#REF!</v>
      </c>
      <c r="I76" t="e">
        <f>IF(AND(SUM(VLOOKUP($A76,'20Trips'!$A$3:$F$22,2,FALSE),VLOOKUP(I$1,'20Trips'!$A$3:$F$22,2,FALSE))&lt;'20Trips'!$AC$38,$A76&lt;&gt;I$1,#REF!=1),(VLOOKUP(I$1,'20Trips'!$A$3:$I$22,8,FALSE))-(VLOOKUP($A76,'20Trips'!$A$3:$I$22,9,FALSE))+'20Trips'!$B$25,0)</f>
        <v>#REF!</v>
      </c>
      <c r="J76" t="e">
        <f>IF(AND(SUM(VLOOKUP($A76,'20Trips'!$A$3:$F$22,2,FALSE),VLOOKUP(J$1,'20Trips'!$A$3:$F$22,2,FALSE))&lt;'20Trips'!$AC$38,$A76&lt;&gt;J$1,#REF!=1),(VLOOKUP(J$1,'20Trips'!$A$3:$I$22,8,FALSE))-(VLOOKUP($A76,'20Trips'!$A$3:$I$22,9,FALSE))+'20Trips'!$B$25,0)</f>
        <v>#REF!</v>
      </c>
      <c r="K76" t="e">
        <f>IF(AND(SUM(VLOOKUP($A76,'20Trips'!$A$3:$F$22,2,FALSE),VLOOKUP(K$1,'20Trips'!$A$3:$F$22,2,FALSE))&lt;'20Trips'!$AC$38,$A76&lt;&gt;K$1,#REF!=1),(VLOOKUP(K$1,'20Trips'!$A$3:$I$22,8,FALSE))-(VLOOKUP($A76,'20Trips'!$A$3:$I$22,9,FALSE))+'20Trips'!$B$25,0)</f>
        <v>#REF!</v>
      </c>
      <c r="L76" t="e">
        <f>IF(AND(SUM(VLOOKUP($A76,'20Trips'!$A$3:$F$22,2,FALSE),VLOOKUP(L$1,'20Trips'!$A$3:$F$22,2,FALSE))&lt;'20Trips'!$AC$38,$A76&lt;&gt;L$1,#REF!=1),(VLOOKUP(L$1,'20Trips'!$A$3:$I$22,8,FALSE))-(VLOOKUP($A76,'20Trips'!$A$3:$I$22,9,FALSE))+'20Trips'!$B$25,0)</f>
        <v>#REF!</v>
      </c>
      <c r="M76" t="e">
        <f>IF(AND(SUM(VLOOKUP($A76,'20Trips'!$A$3:$F$22,2,FALSE),VLOOKUP(M$1,'20Trips'!$A$3:$F$22,2,FALSE))&lt;'20Trips'!$AC$38,$A76&lt;&gt;M$1,#REF!=1),(VLOOKUP(M$1,'20Trips'!$A$3:$I$22,8,FALSE))-(VLOOKUP($A76,'20Trips'!$A$3:$I$22,9,FALSE))+'20Trips'!$B$25,0)</f>
        <v>#REF!</v>
      </c>
      <c r="N76" t="e">
        <f>IF(AND(SUM(VLOOKUP($A76,'20Trips'!$A$3:$F$22,2,FALSE),VLOOKUP(N$1,'20Trips'!$A$3:$F$22,2,FALSE))&lt;'20Trips'!$AC$38,$A76&lt;&gt;N$1,#REF!=1),(VLOOKUP(N$1,'20Trips'!$A$3:$I$22,8,FALSE))-(VLOOKUP($A76,'20Trips'!$A$3:$I$22,9,FALSE))+'20Trips'!$B$25,0)</f>
        <v>#REF!</v>
      </c>
      <c r="O76" t="e">
        <f>IF(AND(SUM(VLOOKUP($A76,'20Trips'!$A$3:$F$22,2,FALSE),VLOOKUP(O$1,'20Trips'!$A$3:$F$22,2,FALSE))&lt;'20Trips'!$AC$38,$A76&lt;&gt;O$1,#REF!=1),(VLOOKUP(O$1,'20Trips'!$A$3:$I$22,8,FALSE))-(VLOOKUP($A76,'20Trips'!$A$3:$I$22,9,FALSE))+'20Trips'!$B$25,0)</f>
        <v>#REF!</v>
      </c>
      <c r="P76" t="e">
        <f>IF(AND(SUM(VLOOKUP($A76,'20Trips'!$A$3:$F$22,2,FALSE),VLOOKUP(P$1,'20Trips'!$A$3:$F$22,2,FALSE))&lt;'20Trips'!$AC$38,$A76&lt;&gt;P$1,#REF!=1),(VLOOKUP(P$1,'20Trips'!$A$3:$I$22,8,FALSE))-(VLOOKUP($A76,'20Trips'!$A$3:$I$22,9,FALSE))+'20Trips'!$B$25,0)</f>
        <v>#REF!</v>
      </c>
      <c r="Q76" t="e">
        <f>IF(AND(SUM(VLOOKUP($A76,'20Trips'!$A$3:$F$22,2,FALSE),VLOOKUP(Q$1,'20Trips'!$A$3:$F$22,2,FALSE))&lt;'20Trips'!$AC$38,$A76&lt;&gt;Q$1,#REF!=1),(VLOOKUP(Q$1,'20Trips'!$A$3:$I$22,8,FALSE))-(VLOOKUP($A76,'20Trips'!$A$3:$I$22,9,FALSE))+'20Trips'!$B$25,0)</f>
        <v>#REF!</v>
      </c>
      <c r="R76" t="e">
        <f>IF(AND(SUM(VLOOKUP($A76,'20Trips'!$A$3:$F$22,2,FALSE),VLOOKUP(R$1,'20Trips'!$A$3:$F$22,2,FALSE))&lt;'20Trips'!$AC$38,$A76&lt;&gt;R$1,#REF!=1),(VLOOKUP(R$1,'20Trips'!$A$3:$I$22,8,FALSE))-(VLOOKUP($A76,'20Trips'!$A$3:$I$22,9,FALSE))+'20Trips'!$B$25,0)</f>
        <v>#REF!</v>
      </c>
      <c r="S76" t="e">
        <f>IF(AND(SUM(VLOOKUP($A76,'20Trips'!$A$3:$F$22,2,FALSE),VLOOKUP(S$1,'20Trips'!$A$3:$F$22,2,FALSE))&lt;'20Trips'!$AC$38,$A76&lt;&gt;S$1,#REF!=1),(VLOOKUP(S$1,'20Trips'!$A$3:$I$22,8,FALSE))-(VLOOKUP($A76,'20Trips'!$A$3:$I$22,9,FALSE))+'20Trips'!$B$25,0)</f>
        <v>#REF!</v>
      </c>
      <c r="T76" t="e">
        <f>IF(AND(SUM(VLOOKUP($A76,'20Trips'!$A$3:$F$22,2,FALSE),VLOOKUP(T$1,'20Trips'!$A$3:$F$22,2,FALSE))&lt;'20Trips'!$AC$38,$A76&lt;&gt;T$1,#REF!=1),(VLOOKUP(T$1,'20Trips'!$A$3:$I$22,8,FALSE))-(VLOOKUP($A76,'20Trips'!$A$3:$I$22,9,FALSE))+'20Trips'!$B$25,0)</f>
        <v>#REF!</v>
      </c>
      <c r="U76" t="e">
        <f>IF(AND(SUM(VLOOKUP($A76,'20Trips'!$A$3:$F$22,2,FALSE),VLOOKUP(U$1,'20Trips'!$A$3:$F$22,2,FALSE))&lt;'20Trips'!$AC$38,$A76&lt;&gt;U$1,#REF!=1),(VLOOKUP(U$1,'20Trips'!$A$3:$I$22,8,FALSE))-(VLOOKUP($A76,'20Trips'!$A$3:$I$22,9,FALSE))+'20Trips'!$B$25,0)</f>
        <v>#REF!</v>
      </c>
      <c r="V76" t="e">
        <f>IF(AND(SUM(VLOOKUP($A76,'20Trips'!$A$3:$F$22,2,FALSE),VLOOKUP(V$1,'20Trips'!$A$3:$F$22,2,FALSE))&lt;'20Trips'!$AC$38,$A76&lt;&gt;V$1,#REF!=1),(VLOOKUP(V$1,'20Trips'!$A$3:$I$22,8,FALSE))-(VLOOKUP($A76,'20Trips'!$A$3:$I$22,9,FALSE))+'20Trips'!$B$25,0)</f>
        <v>#REF!</v>
      </c>
    </row>
    <row r="77" spans="1:22" x14ac:dyDescent="0.25">
      <c r="A77" t="s">
        <v>27</v>
      </c>
      <c r="B77">
        <v>0</v>
      </c>
      <c r="C77" t="e">
        <f>IF(AND(SUM(VLOOKUP($A77,'20Trips'!$A$3:$F$22,2,FALSE),VLOOKUP(C$1,'20Trips'!$A$3:$F$22,2,FALSE))&lt;'20Trips'!$AC$38,$A77&lt;&gt;C$1,#REF!=1),(VLOOKUP(C$1,'20Trips'!$A$3:$I$22,8,FALSE))-(VLOOKUP($A77,'20Trips'!$A$3:$I$22,9,FALSE))+'20Trips'!$B$25,0)</f>
        <v>#REF!</v>
      </c>
      <c r="D77" t="e">
        <f>IF(AND(SUM(VLOOKUP($A77,'20Trips'!$A$3:$F$22,2,FALSE),VLOOKUP(D$1,'20Trips'!$A$3:$F$22,2,FALSE))&lt;'20Trips'!$AC$38,$A77&lt;&gt;D$1,#REF!=1),(VLOOKUP(D$1,'20Trips'!$A$3:$I$22,8,FALSE))-(VLOOKUP($A77,'20Trips'!$A$3:$I$22,9,FALSE))+'20Trips'!$B$25,0)</f>
        <v>#REF!</v>
      </c>
      <c r="E77" t="e">
        <f>IF(AND(SUM(VLOOKUP($A77,'20Trips'!$A$3:$F$22,2,FALSE),VLOOKUP(E$1,'20Trips'!$A$3:$F$22,2,FALSE))&lt;'20Trips'!$AC$38,$A77&lt;&gt;E$1,#REF!=1),(VLOOKUP(E$1,'20Trips'!$A$3:$I$22,8,FALSE))-(VLOOKUP($A77,'20Trips'!$A$3:$I$22,9,FALSE))+'20Trips'!$B$25,0)</f>
        <v>#REF!</v>
      </c>
      <c r="F77" t="e">
        <f>IF(AND(SUM(VLOOKUP($A77,'20Trips'!$A$3:$F$22,2,FALSE),VLOOKUP(F$1,'20Trips'!$A$3:$F$22,2,FALSE))&lt;'20Trips'!$AC$38,$A77&lt;&gt;F$1,#REF!=1),(VLOOKUP(F$1,'20Trips'!$A$3:$I$22,8,FALSE))-(VLOOKUP($A77,'20Trips'!$A$3:$I$22,9,FALSE))+'20Trips'!$B$25,0)</f>
        <v>#REF!</v>
      </c>
      <c r="G77" t="e">
        <f>IF(AND(SUM(VLOOKUP($A77,'20Trips'!$A$3:$F$22,2,FALSE),VLOOKUP(G$1,'20Trips'!$A$3:$F$22,2,FALSE))&lt;'20Trips'!$AC$38,$A77&lt;&gt;G$1,#REF!=1),(VLOOKUP(G$1,'20Trips'!$A$3:$I$22,8,FALSE))-(VLOOKUP($A77,'20Trips'!$A$3:$I$22,9,FALSE))+'20Trips'!$B$25,0)</f>
        <v>#REF!</v>
      </c>
      <c r="H77" t="e">
        <f>IF(AND(SUM(VLOOKUP($A77,'20Trips'!$A$3:$F$22,2,FALSE),VLOOKUP(H$1,'20Trips'!$A$3:$F$22,2,FALSE))&lt;'20Trips'!$AC$38,$A77&lt;&gt;H$1,#REF!=1),(VLOOKUP(H$1,'20Trips'!$A$3:$I$22,8,FALSE))-(VLOOKUP($A77,'20Trips'!$A$3:$I$22,9,FALSE))+'20Trips'!$B$25,0)</f>
        <v>#REF!</v>
      </c>
      <c r="I77" t="e">
        <f>IF(AND(SUM(VLOOKUP($A77,'20Trips'!$A$3:$F$22,2,FALSE),VLOOKUP(I$1,'20Trips'!$A$3:$F$22,2,FALSE))&lt;'20Trips'!$AC$38,$A77&lt;&gt;I$1,#REF!=1),(VLOOKUP(I$1,'20Trips'!$A$3:$I$22,8,FALSE))-(VLOOKUP($A77,'20Trips'!$A$3:$I$22,9,FALSE))+'20Trips'!$B$25,0)</f>
        <v>#REF!</v>
      </c>
      <c r="J77" t="e">
        <f>IF(AND(SUM(VLOOKUP($A77,'20Trips'!$A$3:$F$22,2,FALSE),VLOOKUP(J$1,'20Trips'!$A$3:$F$22,2,FALSE))&lt;'20Trips'!$AC$38,$A77&lt;&gt;J$1,#REF!=1),(VLOOKUP(J$1,'20Trips'!$A$3:$I$22,8,FALSE))-(VLOOKUP($A77,'20Trips'!$A$3:$I$22,9,FALSE))+'20Trips'!$B$25,0)</f>
        <v>#REF!</v>
      </c>
      <c r="K77" t="e">
        <f>IF(AND(SUM(VLOOKUP($A77,'20Trips'!$A$3:$F$22,2,FALSE),VLOOKUP(K$1,'20Trips'!$A$3:$F$22,2,FALSE))&lt;'20Trips'!$AC$38,$A77&lt;&gt;K$1,#REF!=1),(VLOOKUP(K$1,'20Trips'!$A$3:$I$22,8,FALSE))-(VLOOKUP($A77,'20Trips'!$A$3:$I$22,9,FALSE))+'20Trips'!$B$25,0)</f>
        <v>#REF!</v>
      </c>
      <c r="L77" t="e">
        <f>IF(AND(SUM(VLOOKUP($A77,'20Trips'!$A$3:$F$22,2,FALSE),VLOOKUP(L$1,'20Trips'!$A$3:$F$22,2,FALSE))&lt;'20Trips'!$AC$38,$A77&lt;&gt;L$1,#REF!=1),(VLOOKUP(L$1,'20Trips'!$A$3:$I$22,8,FALSE))-(VLOOKUP($A77,'20Trips'!$A$3:$I$22,9,FALSE))+'20Trips'!$B$25,0)</f>
        <v>#REF!</v>
      </c>
      <c r="M77" t="e">
        <f>IF(AND(SUM(VLOOKUP($A77,'20Trips'!$A$3:$F$22,2,FALSE),VLOOKUP(M$1,'20Trips'!$A$3:$F$22,2,FALSE))&lt;'20Trips'!$AC$38,$A77&lt;&gt;M$1,#REF!=1),(VLOOKUP(M$1,'20Trips'!$A$3:$I$22,8,FALSE))-(VLOOKUP($A77,'20Trips'!$A$3:$I$22,9,FALSE))+'20Trips'!$B$25,0)</f>
        <v>#REF!</v>
      </c>
      <c r="N77" t="e">
        <f>IF(AND(SUM(VLOOKUP($A77,'20Trips'!$A$3:$F$22,2,FALSE),VLOOKUP(N$1,'20Trips'!$A$3:$F$22,2,FALSE))&lt;'20Trips'!$AC$38,$A77&lt;&gt;N$1,#REF!=1),(VLOOKUP(N$1,'20Trips'!$A$3:$I$22,8,FALSE))-(VLOOKUP($A77,'20Trips'!$A$3:$I$22,9,FALSE))+'20Trips'!$B$25,0)</f>
        <v>#REF!</v>
      </c>
      <c r="O77" t="e">
        <f>IF(AND(SUM(VLOOKUP($A77,'20Trips'!$A$3:$F$22,2,FALSE),VLOOKUP(O$1,'20Trips'!$A$3:$F$22,2,FALSE))&lt;'20Trips'!$AC$38,$A77&lt;&gt;O$1,#REF!=1),(VLOOKUP(O$1,'20Trips'!$A$3:$I$22,8,FALSE))-(VLOOKUP($A77,'20Trips'!$A$3:$I$22,9,FALSE))+'20Trips'!$B$25,0)</f>
        <v>#REF!</v>
      </c>
      <c r="P77" t="e">
        <f>IF(AND(SUM(VLOOKUP($A77,'20Trips'!$A$3:$F$22,2,FALSE),VLOOKUP(P$1,'20Trips'!$A$3:$F$22,2,FALSE))&lt;'20Trips'!$AC$38,$A77&lt;&gt;P$1,#REF!=1),(VLOOKUP(P$1,'20Trips'!$A$3:$I$22,8,FALSE))-(VLOOKUP($A77,'20Trips'!$A$3:$I$22,9,FALSE))+'20Trips'!$B$25,0)</f>
        <v>#REF!</v>
      </c>
      <c r="Q77" t="e">
        <f>IF(AND(SUM(VLOOKUP($A77,'20Trips'!$A$3:$F$22,2,FALSE),VLOOKUP(Q$1,'20Trips'!$A$3:$F$22,2,FALSE))&lt;'20Trips'!$AC$38,$A77&lt;&gt;Q$1,#REF!=1),(VLOOKUP(Q$1,'20Trips'!$A$3:$I$22,8,FALSE))-(VLOOKUP($A77,'20Trips'!$A$3:$I$22,9,FALSE))+'20Trips'!$B$25,0)</f>
        <v>#REF!</v>
      </c>
      <c r="R77" t="e">
        <f>IF(AND(SUM(VLOOKUP($A77,'20Trips'!$A$3:$F$22,2,FALSE),VLOOKUP(R$1,'20Trips'!$A$3:$F$22,2,FALSE))&lt;'20Trips'!$AC$38,$A77&lt;&gt;R$1,#REF!=1),(VLOOKUP(R$1,'20Trips'!$A$3:$I$22,8,FALSE))-(VLOOKUP($A77,'20Trips'!$A$3:$I$22,9,FALSE))+'20Trips'!$B$25,0)</f>
        <v>#REF!</v>
      </c>
      <c r="S77" t="e">
        <f>IF(AND(SUM(VLOOKUP($A77,'20Trips'!$A$3:$F$22,2,FALSE),VLOOKUP(S$1,'20Trips'!$A$3:$F$22,2,FALSE))&lt;'20Trips'!$AC$38,$A77&lt;&gt;S$1,#REF!=1),(VLOOKUP(S$1,'20Trips'!$A$3:$I$22,8,FALSE))-(VLOOKUP($A77,'20Trips'!$A$3:$I$22,9,FALSE))+'20Trips'!$B$25,0)</f>
        <v>#REF!</v>
      </c>
      <c r="T77" t="e">
        <f>IF(AND(SUM(VLOOKUP($A77,'20Trips'!$A$3:$F$22,2,FALSE),VLOOKUP(T$1,'20Trips'!$A$3:$F$22,2,FALSE))&lt;'20Trips'!$AC$38,$A77&lt;&gt;T$1,#REF!=1),(VLOOKUP(T$1,'20Trips'!$A$3:$I$22,8,FALSE))-(VLOOKUP($A77,'20Trips'!$A$3:$I$22,9,FALSE))+'20Trips'!$B$25,0)</f>
        <v>#REF!</v>
      </c>
      <c r="U77" t="e">
        <f>IF(AND(SUM(VLOOKUP($A77,'20Trips'!$A$3:$F$22,2,FALSE),VLOOKUP(U$1,'20Trips'!$A$3:$F$22,2,FALSE))&lt;'20Trips'!$AC$38,$A77&lt;&gt;U$1,#REF!=1),(VLOOKUP(U$1,'20Trips'!$A$3:$I$22,8,FALSE))-(VLOOKUP($A77,'20Trips'!$A$3:$I$22,9,FALSE))+'20Trips'!$B$25,0)</f>
        <v>#REF!</v>
      </c>
      <c r="V77" t="e">
        <f>IF(AND(SUM(VLOOKUP($A77,'20Trips'!$A$3:$F$22,2,FALSE),VLOOKUP(V$1,'20Trips'!$A$3:$F$22,2,FALSE))&lt;'20Trips'!$AC$38,$A77&lt;&gt;V$1,#REF!=1),(VLOOKUP(V$1,'20Trips'!$A$3:$I$22,8,FALSE))-(VLOOKUP($A77,'20Trips'!$A$3:$I$22,9,FALSE))+'20Trips'!$B$25,0)</f>
        <v>#REF!</v>
      </c>
    </row>
    <row r="78" spans="1:22" x14ac:dyDescent="0.25">
      <c r="A78" t="s">
        <v>28</v>
      </c>
      <c r="B78">
        <v>0</v>
      </c>
      <c r="C78" t="e">
        <f>IF(AND(SUM(VLOOKUP($A78,'20Trips'!$A$3:$F$22,2,FALSE),VLOOKUP(C$1,'20Trips'!$A$3:$F$22,2,FALSE))&lt;'20Trips'!$AC$38,$A78&lt;&gt;C$1,#REF!=1),(VLOOKUP(C$1,'20Trips'!$A$3:$I$22,8,FALSE))-(VLOOKUP($A78,'20Trips'!$A$3:$I$22,9,FALSE))+'20Trips'!$B$25,0)</f>
        <v>#REF!</v>
      </c>
      <c r="D78" t="e">
        <f>IF(AND(SUM(VLOOKUP($A78,'20Trips'!$A$3:$F$22,2,FALSE),VLOOKUP(D$1,'20Trips'!$A$3:$F$22,2,FALSE))&lt;'20Trips'!$AC$38,$A78&lt;&gt;D$1,#REF!=1),(VLOOKUP(D$1,'20Trips'!$A$3:$I$22,8,FALSE))-(VLOOKUP($A78,'20Trips'!$A$3:$I$22,9,FALSE))+'20Trips'!$B$25,0)</f>
        <v>#REF!</v>
      </c>
      <c r="E78" t="e">
        <f>IF(AND(SUM(VLOOKUP($A78,'20Trips'!$A$3:$F$22,2,FALSE),VLOOKUP(E$1,'20Trips'!$A$3:$F$22,2,FALSE))&lt;'20Trips'!$AC$38,$A78&lt;&gt;E$1,#REF!=1),(VLOOKUP(E$1,'20Trips'!$A$3:$I$22,8,FALSE))-(VLOOKUP($A78,'20Trips'!$A$3:$I$22,9,FALSE))+'20Trips'!$B$25,0)</f>
        <v>#REF!</v>
      </c>
      <c r="F78" t="e">
        <f>IF(AND(SUM(VLOOKUP($A78,'20Trips'!$A$3:$F$22,2,FALSE),VLOOKUP(F$1,'20Trips'!$A$3:$F$22,2,FALSE))&lt;'20Trips'!$AC$38,$A78&lt;&gt;F$1,#REF!=1),(VLOOKUP(F$1,'20Trips'!$A$3:$I$22,8,FALSE))-(VLOOKUP($A78,'20Trips'!$A$3:$I$22,9,FALSE))+'20Trips'!$B$25,0)</f>
        <v>#REF!</v>
      </c>
      <c r="G78" t="e">
        <f>IF(AND(SUM(VLOOKUP($A78,'20Trips'!$A$3:$F$22,2,FALSE),VLOOKUP(G$1,'20Trips'!$A$3:$F$22,2,FALSE))&lt;'20Trips'!$AC$38,$A78&lt;&gt;G$1,#REF!=1),(VLOOKUP(G$1,'20Trips'!$A$3:$I$22,8,FALSE))-(VLOOKUP($A78,'20Trips'!$A$3:$I$22,9,FALSE))+'20Trips'!$B$25,0)</f>
        <v>#REF!</v>
      </c>
      <c r="H78" t="e">
        <f>IF(AND(SUM(VLOOKUP($A78,'20Trips'!$A$3:$F$22,2,FALSE),VLOOKUP(H$1,'20Trips'!$A$3:$F$22,2,FALSE))&lt;'20Trips'!$AC$38,$A78&lt;&gt;H$1,#REF!=1),(VLOOKUP(H$1,'20Trips'!$A$3:$I$22,8,FALSE))-(VLOOKUP($A78,'20Trips'!$A$3:$I$22,9,FALSE))+'20Trips'!$B$25,0)</f>
        <v>#REF!</v>
      </c>
      <c r="I78" t="e">
        <f>IF(AND(SUM(VLOOKUP($A78,'20Trips'!$A$3:$F$22,2,FALSE),VLOOKUP(I$1,'20Trips'!$A$3:$F$22,2,FALSE))&lt;'20Trips'!$AC$38,$A78&lt;&gt;I$1,#REF!=1),(VLOOKUP(I$1,'20Trips'!$A$3:$I$22,8,FALSE))-(VLOOKUP($A78,'20Trips'!$A$3:$I$22,9,FALSE))+'20Trips'!$B$25,0)</f>
        <v>#REF!</v>
      </c>
      <c r="J78" t="e">
        <f>IF(AND(SUM(VLOOKUP($A78,'20Trips'!$A$3:$F$22,2,FALSE),VLOOKUP(J$1,'20Trips'!$A$3:$F$22,2,FALSE))&lt;'20Trips'!$AC$38,$A78&lt;&gt;J$1,#REF!=1),(VLOOKUP(J$1,'20Trips'!$A$3:$I$22,8,FALSE))-(VLOOKUP($A78,'20Trips'!$A$3:$I$22,9,FALSE))+'20Trips'!$B$25,0)</f>
        <v>#REF!</v>
      </c>
      <c r="K78" t="e">
        <f>IF(AND(SUM(VLOOKUP($A78,'20Trips'!$A$3:$F$22,2,FALSE),VLOOKUP(K$1,'20Trips'!$A$3:$F$22,2,FALSE))&lt;'20Trips'!$AC$38,$A78&lt;&gt;K$1,#REF!=1),(VLOOKUP(K$1,'20Trips'!$A$3:$I$22,8,FALSE))-(VLOOKUP($A78,'20Trips'!$A$3:$I$22,9,FALSE))+'20Trips'!$B$25,0)</f>
        <v>#REF!</v>
      </c>
      <c r="L78" t="e">
        <f>IF(AND(SUM(VLOOKUP($A78,'20Trips'!$A$3:$F$22,2,FALSE),VLOOKUP(L$1,'20Trips'!$A$3:$F$22,2,FALSE))&lt;'20Trips'!$AC$38,$A78&lt;&gt;L$1,#REF!=1),(VLOOKUP(L$1,'20Trips'!$A$3:$I$22,8,FALSE))-(VLOOKUP($A78,'20Trips'!$A$3:$I$22,9,FALSE))+'20Trips'!$B$25,0)</f>
        <v>#REF!</v>
      </c>
      <c r="M78" t="e">
        <f>IF(AND(SUM(VLOOKUP($A78,'20Trips'!$A$3:$F$22,2,FALSE),VLOOKUP(M$1,'20Trips'!$A$3:$F$22,2,FALSE))&lt;'20Trips'!$AC$38,$A78&lt;&gt;M$1,#REF!=1),(VLOOKUP(M$1,'20Trips'!$A$3:$I$22,8,FALSE))-(VLOOKUP($A78,'20Trips'!$A$3:$I$22,9,FALSE))+'20Trips'!$B$25,0)</f>
        <v>#REF!</v>
      </c>
      <c r="N78" t="e">
        <f>IF(AND(SUM(VLOOKUP($A78,'20Trips'!$A$3:$F$22,2,FALSE),VLOOKUP(N$1,'20Trips'!$A$3:$F$22,2,FALSE))&lt;'20Trips'!$AC$38,$A78&lt;&gt;N$1,#REF!=1),(VLOOKUP(N$1,'20Trips'!$A$3:$I$22,8,FALSE))-(VLOOKUP($A78,'20Trips'!$A$3:$I$22,9,FALSE))+'20Trips'!$B$25,0)</f>
        <v>#REF!</v>
      </c>
      <c r="O78" t="e">
        <f>IF(AND(SUM(VLOOKUP($A78,'20Trips'!$A$3:$F$22,2,FALSE),VLOOKUP(O$1,'20Trips'!$A$3:$F$22,2,FALSE))&lt;'20Trips'!$AC$38,$A78&lt;&gt;O$1,#REF!=1),(VLOOKUP(O$1,'20Trips'!$A$3:$I$22,8,FALSE))-(VLOOKUP($A78,'20Trips'!$A$3:$I$22,9,FALSE))+'20Trips'!$B$25,0)</f>
        <v>#REF!</v>
      </c>
      <c r="P78" t="e">
        <f>IF(AND(SUM(VLOOKUP($A78,'20Trips'!$A$3:$F$22,2,FALSE),VLOOKUP(P$1,'20Trips'!$A$3:$F$22,2,FALSE))&lt;'20Trips'!$AC$38,$A78&lt;&gt;P$1,#REF!=1),(VLOOKUP(P$1,'20Trips'!$A$3:$I$22,8,FALSE))-(VLOOKUP($A78,'20Trips'!$A$3:$I$22,9,FALSE))+'20Trips'!$B$25,0)</f>
        <v>#REF!</v>
      </c>
      <c r="Q78" t="e">
        <f>IF(AND(SUM(VLOOKUP($A78,'20Trips'!$A$3:$F$22,2,FALSE),VLOOKUP(Q$1,'20Trips'!$A$3:$F$22,2,FALSE))&lt;'20Trips'!$AC$38,$A78&lt;&gt;Q$1,#REF!=1),(VLOOKUP(Q$1,'20Trips'!$A$3:$I$22,8,FALSE))-(VLOOKUP($A78,'20Trips'!$A$3:$I$22,9,FALSE))+'20Trips'!$B$25,0)</f>
        <v>#REF!</v>
      </c>
      <c r="R78" t="e">
        <f>IF(AND(SUM(VLOOKUP($A78,'20Trips'!$A$3:$F$22,2,FALSE),VLOOKUP(R$1,'20Trips'!$A$3:$F$22,2,FALSE))&lt;'20Trips'!$AC$38,$A78&lt;&gt;R$1,#REF!=1),(VLOOKUP(R$1,'20Trips'!$A$3:$I$22,8,FALSE))-(VLOOKUP($A78,'20Trips'!$A$3:$I$22,9,FALSE))+'20Trips'!$B$25,0)</f>
        <v>#REF!</v>
      </c>
      <c r="S78" t="e">
        <f>IF(AND(SUM(VLOOKUP($A78,'20Trips'!$A$3:$F$22,2,FALSE),VLOOKUP(S$1,'20Trips'!$A$3:$F$22,2,FALSE))&lt;'20Trips'!$AC$38,$A78&lt;&gt;S$1,#REF!=1),(VLOOKUP(S$1,'20Trips'!$A$3:$I$22,8,FALSE))-(VLOOKUP($A78,'20Trips'!$A$3:$I$22,9,FALSE))+'20Trips'!$B$25,0)</f>
        <v>#REF!</v>
      </c>
      <c r="T78" t="e">
        <f>IF(AND(SUM(VLOOKUP($A78,'20Trips'!$A$3:$F$22,2,FALSE),VLOOKUP(T$1,'20Trips'!$A$3:$F$22,2,FALSE))&lt;'20Trips'!$AC$38,$A78&lt;&gt;T$1,#REF!=1),(VLOOKUP(T$1,'20Trips'!$A$3:$I$22,8,FALSE))-(VLOOKUP($A78,'20Trips'!$A$3:$I$22,9,FALSE))+'20Trips'!$B$25,0)</f>
        <v>#REF!</v>
      </c>
      <c r="U78" t="e">
        <f>IF(AND(SUM(VLOOKUP($A78,'20Trips'!$A$3:$F$22,2,FALSE),VLOOKUP(U$1,'20Trips'!$A$3:$F$22,2,FALSE))&lt;'20Trips'!$AC$38,$A78&lt;&gt;U$1,#REF!=1),(VLOOKUP(U$1,'20Trips'!$A$3:$I$22,8,FALSE))-(VLOOKUP($A78,'20Trips'!$A$3:$I$22,9,FALSE))+'20Trips'!$B$25,0)</f>
        <v>#REF!</v>
      </c>
      <c r="V78" t="e">
        <f>IF(AND(SUM(VLOOKUP($A78,'20Trips'!$A$3:$F$22,2,FALSE),VLOOKUP(V$1,'20Trips'!$A$3:$F$22,2,FALSE))&lt;'20Trips'!$AC$38,$A78&lt;&gt;V$1,#REF!=1),(VLOOKUP(V$1,'20Trips'!$A$3:$I$22,8,FALSE))-(VLOOKUP($A78,'20Trips'!$A$3:$I$22,9,FALSE))+'20Trips'!$B$25,0)</f>
        <v>#REF!</v>
      </c>
    </row>
    <row r="79" spans="1:22" x14ac:dyDescent="0.25">
      <c r="A79" t="s">
        <v>29</v>
      </c>
      <c r="B79">
        <v>0</v>
      </c>
      <c r="C79" t="e">
        <f>IF(AND(SUM(VLOOKUP($A79,'20Trips'!$A$3:$F$22,2,FALSE),VLOOKUP(C$1,'20Trips'!$A$3:$F$22,2,FALSE))&lt;'20Trips'!$AC$38,$A79&lt;&gt;C$1,#REF!=1),(VLOOKUP(C$1,'20Trips'!$A$3:$I$22,8,FALSE))-(VLOOKUP($A79,'20Trips'!$A$3:$I$22,9,FALSE))+'20Trips'!$B$25,0)</f>
        <v>#REF!</v>
      </c>
      <c r="D79" t="e">
        <f>IF(AND(SUM(VLOOKUP($A79,'20Trips'!$A$3:$F$22,2,FALSE),VLOOKUP(D$1,'20Trips'!$A$3:$F$22,2,FALSE))&lt;'20Trips'!$AC$38,$A79&lt;&gt;D$1,#REF!=1),(VLOOKUP(D$1,'20Trips'!$A$3:$I$22,8,FALSE))-(VLOOKUP($A79,'20Trips'!$A$3:$I$22,9,FALSE))+'20Trips'!$B$25,0)</f>
        <v>#REF!</v>
      </c>
      <c r="E79" t="e">
        <f>IF(AND(SUM(VLOOKUP($A79,'20Trips'!$A$3:$F$22,2,FALSE),VLOOKUP(E$1,'20Trips'!$A$3:$F$22,2,FALSE))&lt;'20Trips'!$AC$38,$A79&lt;&gt;E$1,#REF!=1),(VLOOKUP(E$1,'20Trips'!$A$3:$I$22,8,FALSE))-(VLOOKUP($A79,'20Trips'!$A$3:$I$22,9,FALSE))+'20Trips'!$B$25,0)</f>
        <v>#REF!</v>
      </c>
      <c r="F79" t="e">
        <f>IF(AND(SUM(VLOOKUP($A79,'20Trips'!$A$3:$F$22,2,FALSE),VLOOKUP(F$1,'20Trips'!$A$3:$F$22,2,FALSE))&lt;'20Trips'!$AC$38,$A79&lt;&gt;F$1,#REF!=1),(VLOOKUP(F$1,'20Trips'!$A$3:$I$22,8,FALSE))-(VLOOKUP($A79,'20Trips'!$A$3:$I$22,9,FALSE))+'20Trips'!$B$25,0)</f>
        <v>#REF!</v>
      </c>
      <c r="G79" t="e">
        <f>IF(AND(SUM(VLOOKUP($A79,'20Trips'!$A$3:$F$22,2,FALSE),VLOOKUP(G$1,'20Trips'!$A$3:$F$22,2,FALSE))&lt;'20Trips'!$AC$38,$A79&lt;&gt;G$1,#REF!=1),(VLOOKUP(G$1,'20Trips'!$A$3:$I$22,8,FALSE))-(VLOOKUP($A79,'20Trips'!$A$3:$I$22,9,FALSE))+'20Trips'!$B$25,0)</f>
        <v>#REF!</v>
      </c>
      <c r="H79" t="e">
        <f>IF(AND(SUM(VLOOKUP($A79,'20Trips'!$A$3:$F$22,2,FALSE),VLOOKUP(H$1,'20Trips'!$A$3:$F$22,2,FALSE))&lt;'20Trips'!$AC$38,$A79&lt;&gt;H$1,#REF!=1),(VLOOKUP(H$1,'20Trips'!$A$3:$I$22,8,FALSE))-(VLOOKUP($A79,'20Trips'!$A$3:$I$22,9,FALSE))+'20Trips'!$B$25,0)</f>
        <v>#REF!</v>
      </c>
      <c r="I79" t="e">
        <f>IF(AND(SUM(VLOOKUP($A79,'20Trips'!$A$3:$F$22,2,FALSE),VLOOKUP(I$1,'20Trips'!$A$3:$F$22,2,FALSE))&lt;'20Trips'!$AC$38,$A79&lt;&gt;I$1,#REF!=1),(VLOOKUP(I$1,'20Trips'!$A$3:$I$22,8,FALSE))-(VLOOKUP($A79,'20Trips'!$A$3:$I$22,9,FALSE))+'20Trips'!$B$25,0)</f>
        <v>#REF!</v>
      </c>
      <c r="J79" t="e">
        <f>IF(AND(SUM(VLOOKUP($A79,'20Trips'!$A$3:$F$22,2,FALSE),VLOOKUP(J$1,'20Trips'!$A$3:$F$22,2,FALSE))&lt;'20Trips'!$AC$38,$A79&lt;&gt;J$1,#REF!=1),(VLOOKUP(J$1,'20Trips'!$A$3:$I$22,8,FALSE))-(VLOOKUP($A79,'20Trips'!$A$3:$I$22,9,FALSE))+'20Trips'!$B$25,0)</f>
        <v>#REF!</v>
      </c>
      <c r="K79" t="e">
        <f>IF(AND(SUM(VLOOKUP($A79,'20Trips'!$A$3:$F$22,2,FALSE),VLOOKUP(K$1,'20Trips'!$A$3:$F$22,2,FALSE))&lt;'20Trips'!$AC$38,$A79&lt;&gt;K$1,#REF!=1),(VLOOKUP(K$1,'20Trips'!$A$3:$I$22,8,FALSE))-(VLOOKUP($A79,'20Trips'!$A$3:$I$22,9,FALSE))+'20Trips'!$B$25,0)</f>
        <v>#REF!</v>
      </c>
      <c r="L79" t="e">
        <f>IF(AND(SUM(VLOOKUP($A79,'20Trips'!$A$3:$F$22,2,FALSE),VLOOKUP(L$1,'20Trips'!$A$3:$F$22,2,FALSE))&lt;'20Trips'!$AC$38,$A79&lt;&gt;L$1,#REF!=1),(VLOOKUP(L$1,'20Trips'!$A$3:$I$22,8,FALSE))-(VLOOKUP($A79,'20Trips'!$A$3:$I$22,9,FALSE))+'20Trips'!$B$25,0)</f>
        <v>#REF!</v>
      </c>
      <c r="M79" t="e">
        <f>IF(AND(SUM(VLOOKUP($A79,'20Trips'!$A$3:$F$22,2,FALSE),VLOOKUP(M$1,'20Trips'!$A$3:$F$22,2,FALSE))&lt;'20Trips'!$AC$38,$A79&lt;&gt;M$1,#REF!=1),(VLOOKUP(M$1,'20Trips'!$A$3:$I$22,8,FALSE))-(VLOOKUP($A79,'20Trips'!$A$3:$I$22,9,FALSE))+'20Trips'!$B$25,0)</f>
        <v>#REF!</v>
      </c>
      <c r="N79" t="e">
        <f>IF(AND(SUM(VLOOKUP($A79,'20Trips'!$A$3:$F$22,2,FALSE),VLOOKUP(N$1,'20Trips'!$A$3:$F$22,2,FALSE))&lt;'20Trips'!$AC$38,$A79&lt;&gt;N$1,#REF!=1),(VLOOKUP(N$1,'20Trips'!$A$3:$I$22,8,FALSE))-(VLOOKUP($A79,'20Trips'!$A$3:$I$22,9,FALSE))+'20Trips'!$B$25,0)</f>
        <v>#REF!</v>
      </c>
      <c r="O79" t="e">
        <f>IF(AND(SUM(VLOOKUP($A79,'20Trips'!$A$3:$F$22,2,FALSE),VLOOKUP(O$1,'20Trips'!$A$3:$F$22,2,FALSE))&lt;'20Trips'!$AC$38,$A79&lt;&gt;O$1,#REF!=1),(VLOOKUP(O$1,'20Trips'!$A$3:$I$22,8,FALSE))-(VLOOKUP($A79,'20Trips'!$A$3:$I$22,9,FALSE))+'20Trips'!$B$25,0)</f>
        <v>#REF!</v>
      </c>
      <c r="P79" t="e">
        <f>IF(AND(SUM(VLOOKUP($A79,'20Trips'!$A$3:$F$22,2,FALSE),VLOOKUP(P$1,'20Trips'!$A$3:$F$22,2,FALSE))&lt;'20Trips'!$AC$38,$A79&lt;&gt;P$1,#REF!=1),(VLOOKUP(P$1,'20Trips'!$A$3:$I$22,8,FALSE))-(VLOOKUP($A79,'20Trips'!$A$3:$I$22,9,FALSE))+'20Trips'!$B$25,0)</f>
        <v>#REF!</v>
      </c>
      <c r="Q79" t="e">
        <f>IF(AND(SUM(VLOOKUP($A79,'20Trips'!$A$3:$F$22,2,FALSE),VLOOKUP(Q$1,'20Trips'!$A$3:$F$22,2,FALSE))&lt;'20Trips'!$AC$38,$A79&lt;&gt;Q$1,#REF!=1),(VLOOKUP(Q$1,'20Trips'!$A$3:$I$22,8,FALSE))-(VLOOKUP($A79,'20Trips'!$A$3:$I$22,9,FALSE))+'20Trips'!$B$25,0)</f>
        <v>#REF!</v>
      </c>
      <c r="R79" t="e">
        <f>IF(AND(SUM(VLOOKUP($A79,'20Trips'!$A$3:$F$22,2,FALSE),VLOOKUP(R$1,'20Trips'!$A$3:$F$22,2,FALSE))&lt;'20Trips'!$AC$38,$A79&lt;&gt;R$1,#REF!=1),(VLOOKUP(R$1,'20Trips'!$A$3:$I$22,8,FALSE))-(VLOOKUP($A79,'20Trips'!$A$3:$I$22,9,FALSE))+'20Trips'!$B$25,0)</f>
        <v>#REF!</v>
      </c>
      <c r="S79" t="e">
        <f>IF(AND(SUM(VLOOKUP($A79,'20Trips'!$A$3:$F$22,2,FALSE),VLOOKUP(S$1,'20Trips'!$A$3:$F$22,2,FALSE))&lt;'20Trips'!$AC$38,$A79&lt;&gt;S$1,#REF!=1),(VLOOKUP(S$1,'20Trips'!$A$3:$I$22,8,FALSE))-(VLOOKUP($A79,'20Trips'!$A$3:$I$22,9,FALSE))+'20Trips'!$B$25,0)</f>
        <v>#REF!</v>
      </c>
      <c r="T79" t="e">
        <f>IF(AND(SUM(VLOOKUP($A79,'20Trips'!$A$3:$F$22,2,FALSE),VLOOKUP(T$1,'20Trips'!$A$3:$F$22,2,FALSE))&lt;'20Trips'!$AC$38,$A79&lt;&gt;T$1,#REF!=1),(VLOOKUP(T$1,'20Trips'!$A$3:$I$22,8,FALSE))-(VLOOKUP($A79,'20Trips'!$A$3:$I$22,9,FALSE))+'20Trips'!$B$25,0)</f>
        <v>#REF!</v>
      </c>
      <c r="U79" t="e">
        <f>IF(AND(SUM(VLOOKUP($A79,'20Trips'!$A$3:$F$22,2,FALSE),VLOOKUP(U$1,'20Trips'!$A$3:$F$22,2,FALSE))&lt;'20Trips'!$AC$38,$A79&lt;&gt;U$1,#REF!=1),(VLOOKUP(U$1,'20Trips'!$A$3:$I$22,8,FALSE))-(VLOOKUP($A79,'20Trips'!$A$3:$I$22,9,FALSE))+'20Trips'!$B$25,0)</f>
        <v>#REF!</v>
      </c>
      <c r="V79" t="e">
        <f>IF(AND(SUM(VLOOKUP($A79,'20Trips'!$A$3:$F$22,2,FALSE),VLOOKUP(V$1,'20Trips'!$A$3:$F$22,2,FALSE))&lt;'20Trips'!$AC$38,$A79&lt;&gt;V$1,#REF!=1),(VLOOKUP(V$1,'20Trips'!$A$3:$I$22,8,FALSE))-(VLOOKUP($A79,'20Trips'!$A$3:$I$22,9,FALSE))+'20Trips'!$B$25,0)</f>
        <v>#REF!</v>
      </c>
    </row>
    <row r="80" spans="1:22" x14ac:dyDescent="0.25">
      <c r="A80" t="s">
        <v>30</v>
      </c>
      <c r="B80">
        <v>0</v>
      </c>
      <c r="C80" t="e">
        <f>IF(AND(SUM(VLOOKUP($A80,'20Trips'!$A$3:$F$22,2,FALSE),VLOOKUP(C$1,'20Trips'!$A$3:$F$22,2,FALSE))&lt;'20Trips'!$AC$38,$A80&lt;&gt;C$1,#REF!=1),(VLOOKUP(C$1,'20Trips'!$A$3:$I$22,8,FALSE))-(VLOOKUP($A80,'20Trips'!$A$3:$I$22,9,FALSE))+'20Trips'!$B$25,0)</f>
        <v>#REF!</v>
      </c>
      <c r="D80" t="e">
        <f>IF(AND(SUM(VLOOKUP($A80,'20Trips'!$A$3:$F$22,2,FALSE),VLOOKUP(D$1,'20Trips'!$A$3:$F$22,2,FALSE))&lt;'20Trips'!$AC$38,$A80&lt;&gt;D$1,#REF!=1),(VLOOKUP(D$1,'20Trips'!$A$3:$I$22,8,FALSE))-(VLOOKUP($A80,'20Trips'!$A$3:$I$22,9,FALSE))+'20Trips'!$B$25,0)</f>
        <v>#REF!</v>
      </c>
      <c r="E80" t="e">
        <f>IF(AND(SUM(VLOOKUP($A80,'20Trips'!$A$3:$F$22,2,FALSE),VLOOKUP(E$1,'20Trips'!$A$3:$F$22,2,FALSE))&lt;'20Trips'!$AC$38,$A80&lt;&gt;E$1,#REF!=1),(VLOOKUP(E$1,'20Trips'!$A$3:$I$22,8,FALSE))-(VLOOKUP($A80,'20Trips'!$A$3:$I$22,9,FALSE))+'20Trips'!$B$25,0)</f>
        <v>#REF!</v>
      </c>
      <c r="F80" t="e">
        <f>IF(AND(SUM(VLOOKUP($A80,'20Trips'!$A$3:$F$22,2,FALSE),VLOOKUP(F$1,'20Trips'!$A$3:$F$22,2,FALSE))&lt;'20Trips'!$AC$38,$A80&lt;&gt;F$1,#REF!=1),(VLOOKUP(F$1,'20Trips'!$A$3:$I$22,8,FALSE))-(VLOOKUP($A80,'20Trips'!$A$3:$I$22,9,FALSE))+'20Trips'!$B$25,0)</f>
        <v>#REF!</v>
      </c>
      <c r="G80" t="e">
        <f>IF(AND(SUM(VLOOKUP($A80,'20Trips'!$A$3:$F$22,2,FALSE),VLOOKUP(G$1,'20Trips'!$A$3:$F$22,2,FALSE))&lt;'20Trips'!$AC$38,$A80&lt;&gt;G$1,#REF!=1),(VLOOKUP(G$1,'20Trips'!$A$3:$I$22,8,FALSE))-(VLOOKUP($A80,'20Trips'!$A$3:$I$22,9,FALSE))+'20Trips'!$B$25,0)</f>
        <v>#REF!</v>
      </c>
      <c r="H80" t="e">
        <f>IF(AND(SUM(VLOOKUP($A80,'20Trips'!$A$3:$F$22,2,FALSE),VLOOKUP(H$1,'20Trips'!$A$3:$F$22,2,FALSE))&lt;'20Trips'!$AC$38,$A80&lt;&gt;H$1,#REF!=1),(VLOOKUP(H$1,'20Trips'!$A$3:$I$22,8,FALSE))-(VLOOKUP($A80,'20Trips'!$A$3:$I$22,9,FALSE))+'20Trips'!$B$25,0)</f>
        <v>#REF!</v>
      </c>
      <c r="I80" t="e">
        <f>IF(AND(SUM(VLOOKUP($A80,'20Trips'!$A$3:$F$22,2,FALSE),VLOOKUP(I$1,'20Trips'!$A$3:$F$22,2,FALSE))&lt;'20Trips'!$AC$38,$A80&lt;&gt;I$1,#REF!=1),(VLOOKUP(I$1,'20Trips'!$A$3:$I$22,8,FALSE))-(VLOOKUP($A80,'20Trips'!$A$3:$I$22,9,FALSE))+'20Trips'!$B$25,0)</f>
        <v>#REF!</v>
      </c>
      <c r="J80" t="e">
        <f>IF(AND(SUM(VLOOKUP($A80,'20Trips'!$A$3:$F$22,2,FALSE),VLOOKUP(J$1,'20Trips'!$A$3:$F$22,2,FALSE))&lt;'20Trips'!$AC$38,$A80&lt;&gt;J$1,#REF!=1),(VLOOKUP(J$1,'20Trips'!$A$3:$I$22,8,FALSE))-(VLOOKUP($A80,'20Trips'!$A$3:$I$22,9,FALSE))+'20Trips'!$B$25,0)</f>
        <v>#REF!</v>
      </c>
      <c r="K80" t="e">
        <f>IF(AND(SUM(VLOOKUP($A80,'20Trips'!$A$3:$F$22,2,FALSE),VLOOKUP(K$1,'20Trips'!$A$3:$F$22,2,FALSE))&lt;'20Trips'!$AC$38,$A80&lt;&gt;K$1,#REF!=1),(VLOOKUP(K$1,'20Trips'!$A$3:$I$22,8,FALSE))-(VLOOKUP($A80,'20Trips'!$A$3:$I$22,9,FALSE))+'20Trips'!$B$25,0)</f>
        <v>#REF!</v>
      </c>
      <c r="L80" t="e">
        <f>IF(AND(SUM(VLOOKUP($A80,'20Trips'!$A$3:$F$22,2,FALSE),VLOOKUP(L$1,'20Trips'!$A$3:$F$22,2,FALSE))&lt;'20Trips'!$AC$38,$A80&lt;&gt;L$1,#REF!=1),(VLOOKUP(L$1,'20Trips'!$A$3:$I$22,8,FALSE))-(VLOOKUP($A80,'20Trips'!$A$3:$I$22,9,FALSE))+'20Trips'!$B$25,0)</f>
        <v>#REF!</v>
      </c>
      <c r="M80" t="e">
        <f>IF(AND(SUM(VLOOKUP($A80,'20Trips'!$A$3:$F$22,2,FALSE),VLOOKUP(M$1,'20Trips'!$A$3:$F$22,2,FALSE))&lt;'20Trips'!$AC$38,$A80&lt;&gt;M$1,#REF!=1),(VLOOKUP(M$1,'20Trips'!$A$3:$I$22,8,FALSE))-(VLOOKUP($A80,'20Trips'!$A$3:$I$22,9,FALSE))+'20Trips'!$B$25,0)</f>
        <v>#REF!</v>
      </c>
      <c r="N80" t="e">
        <f>IF(AND(SUM(VLOOKUP($A80,'20Trips'!$A$3:$F$22,2,FALSE),VLOOKUP(N$1,'20Trips'!$A$3:$F$22,2,FALSE))&lt;'20Trips'!$AC$38,$A80&lt;&gt;N$1,#REF!=1),(VLOOKUP(N$1,'20Trips'!$A$3:$I$22,8,FALSE))-(VLOOKUP($A80,'20Trips'!$A$3:$I$22,9,FALSE))+'20Trips'!$B$25,0)</f>
        <v>#REF!</v>
      </c>
      <c r="O80" t="e">
        <f>IF(AND(SUM(VLOOKUP($A80,'20Trips'!$A$3:$F$22,2,FALSE),VLOOKUP(O$1,'20Trips'!$A$3:$F$22,2,FALSE))&lt;'20Trips'!$AC$38,$A80&lt;&gt;O$1,#REF!=1),(VLOOKUP(O$1,'20Trips'!$A$3:$I$22,8,FALSE))-(VLOOKUP($A80,'20Trips'!$A$3:$I$22,9,FALSE))+'20Trips'!$B$25,0)</f>
        <v>#REF!</v>
      </c>
      <c r="P80" t="e">
        <f>IF(AND(SUM(VLOOKUP($A80,'20Trips'!$A$3:$F$22,2,FALSE),VLOOKUP(P$1,'20Trips'!$A$3:$F$22,2,FALSE))&lt;'20Trips'!$AC$38,$A80&lt;&gt;P$1,#REF!=1),(VLOOKUP(P$1,'20Trips'!$A$3:$I$22,8,FALSE))-(VLOOKUP($A80,'20Trips'!$A$3:$I$22,9,FALSE))+'20Trips'!$B$25,0)</f>
        <v>#REF!</v>
      </c>
      <c r="Q80" t="e">
        <f>IF(AND(SUM(VLOOKUP($A80,'20Trips'!$A$3:$F$22,2,FALSE),VLOOKUP(Q$1,'20Trips'!$A$3:$F$22,2,FALSE))&lt;'20Trips'!$AC$38,$A80&lt;&gt;Q$1,#REF!=1),(VLOOKUP(Q$1,'20Trips'!$A$3:$I$22,8,FALSE))-(VLOOKUP($A80,'20Trips'!$A$3:$I$22,9,FALSE))+'20Trips'!$B$25,0)</f>
        <v>#REF!</v>
      </c>
      <c r="R80" t="e">
        <f>IF(AND(SUM(VLOOKUP($A80,'20Trips'!$A$3:$F$22,2,FALSE),VLOOKUP(R$1,'20Trips'!$A$3:$F$22,2,FALSE))&lt;'20Trips'!$AC$38,$A80&lt;&gt;R$1,#REF!=1),(VLOOKUP(R$1,'20Trips'!$A$3:$I$22,8,FALSE))-(VLOOKUP($A80,'20Trips'!$A$3:$I$22,9,FALSE))+'20Trips'!$B$25,0)</f>
        <v>#REF!</v>
      </c>
      <c r="S80" t="e">
        <f>IF(AND(SUM(VLOOKUP($A80,'20Trips'!$A$3:$F$22,2,FALSE),VLOOKUP(S$1,'20Trips'!$A$3:$F$22,2,FALSE))&lt;'20Trips'!$AC$38,$A80&lt;&gt;S$1,#REF!=1),(VLOOKUP(S$1,'20Trips'!$A$3:$I$22,8,FALSE))-(VLOOKUP($A80,'20Trips'!$A$3:$I$22,9,FALSE))+'20Trips'!$B$25,0)</f>
        <v>#REF!</v>
      </c>
      <c r="T80" t="e">
        <f>IF(AND(SUM(VLOOKUP($A80,'20Trips'!$A$3:$F$22,2,FALSE),VLOOKUP(T$1,'20Trips'!$A$3:$F$22,2,FALSE))&lt;'20Trips'!$AC$38,$A80&lt;&gt;T$1,#REF!=1),(VLOOKUP(T$1,'20Trips'!$A$3:$I$22,8,FALSE))-(VLOOKUP($A80,'20Trips'!$A$3:$I$22,9,FALSE))+'20Trips'!$B$25,0)</f>
        <v>#REF!</v>
      </c>
      <c r="U80" t="e">
        <f>IF(AND(SUM(VLOOKUP($A80,'20Trips'!$A$3:$F$22,2,FALSE),VLOOKUP(U$1,'20Trips'!$A$3:$F$22,2,FALSE))&lt;'20Trips'!$AC$38,$A80&lt;&gt;U$1,#REF!=1),(VLOOKUP(U$1,'20Trips'!$A$3:$I$22,8,FALSE))-(VLOOKUP($A80,'20Trips'!$A$3:$I$22,9,FALSE))+'20Trips'!$B$25,0)</f>
        <v>#REF!</v>
      </c>
      <c r="V80" t="e">
        <f>IF(AND(SUM(VLOOKUP($A80,'20Trips'!$A$3:$F$22,2,FALSE),VLOOKUP(V$1,'20Trips'!$A$3:$F$22,2,FALSE))&lt;'20Trips'!$AC$38,$A80&lt;&gt;V$1,#REF!=1),(VLOOKUP(V$1,'20Trips'!$A$3:$I$22,8,FALSE))-(VLOOKUP($A80,'20Trips'!$A$3:$I$22,9,FALSE))+'20Trips'!$B$25,0)</f>
        <v>#REF!</v>
      </c>
    </row>
    <row r="81" spans="1:22" x14ac:dyDescent="0.25">
      <c r="A81" t="s">
        <v>34</v>
      </c>
      <c r="B81">
        <v>0</v>
      </c>
      <c r="C81" t="e">
        <f>IF(AND(SUM(VLOOKUP($A81,'20Trips'!$A$3:$F$22,2,FALSE),VLOOKUP(C$1,'20Trips'!$A$3:$F$22,2,FALSE))&lt;'20Trips'!$AC$38,$A81&lt;&gt;C$1,#REF!=1),(VLOOKUP(C$1,'20Trips'!$A$3:$I$22,8,FALSE))-(VLOOKUP($A81,'20Trips'!$A$3:$I$22,9,FALSE))+'20Trips'!$B$25,0)</f>
        <v>#REF!</v>
      </c>
      <c r="D81" t="e">
        <f>IF(AND(SUM(VLOOKUP($A81,'20Trips'!$A$3:$F$22,2,FALSE),VLOOKUP(D$1,'20Trips'!$A$3:$F$22,2,FALSE))&lt;'20Trips'!$AC$38,$A81&lt;&gt;D$1,#REF!=1),(VLOOKUP(D$1,'20Trips'!$A$3:$I$22,8,FALSE))-(VLOOKUP($A81,'20Trips'!$A$3:$I$22,9,FALSE))+'20Trips'!$B$25,0)</f>
        <v>#REF!</v>
      </c>
      <c r="E81" t="e">
        <f>IF(AND(SUM(VLOOKUP($A81,'20Trips'!$A$3:$F$22,2,FALSE),VLOOKUP(E$1,'20Trips'!$A$3:$F$22,2,FALSE))&lt;'20Trips'!$AC$38,$A81&lt;&gt;E$1,#REF!=1),(VLOOKUP(E$1,'20Trips'!$A$3:$I$22,8,FALSE))-(VLOOKUP($A81,'20Trips'!$A$3:$I$22,9,FALSE))+'20Trips'!$B$25,0)</f>
        <v>#REF!</v>
      </c>
      <c r="F81" t="e">
        <f>IF(AND(SUM(VLOOKUP($A81,'20Trips'!$A$3:$F$22,2,FALSE),VLOOKUP(F$1,'20Trips'!$A$3:$F$22,2,FALSE))&lt;'20Trips'!$AC$38,$A81&lt;&gt;F$1,#REF!=1),(VLOOKUP(F$1,'20Trips'!$A$3:$I$22,8,FALSE))-(VLOOKUP($A81,'20Trips'!$A$3:$I$22,9,FALSE))+'20Trips'!$B$25,0)</f>
        <v>#REF!</v>
      </c>
      <c r="G81" t="e">
        <f>IF(AND(SUM(VLOOKUP($A81,'20Trips'!$A$3:$F$22,2,FALSE),VLOOKUP(G$1,'20Trips'!$A$3:$F$22,2,FALSE))&lt;'20Trips'!$AC$38,$A81&lt;&gt;G$1,#REF!=1),(VLOOKUP(G$1,'20Trips'!$A$3:$I$22,8,FALSE))-(VLOOKUP($A81,'20Trips'!$A$3:$I$22,9,FALSE))+'20Trips'!$B$25,0)</f>
        <v>#REF!</v>
      </c>
      <c r="H81" t="e">
        <f>IF(AND(SUM(VLOOKUP($A81,'20Trips'!$A$3:$F$22,2,FALSE),VLOOKUP(H$1,'20Trips'!$A$3:$F$22,2,FALSE))&lt;'20Trips'!$AC$38,$A81&lt;&gt;H$1,#REF!=1),(VLOOKUP(H$1,'20Trips'!$A$3:$I$22,8,FALSE))-(VLOOKUP($A81,'20Trips'!$A$3:$I$22,9,FALSE))+'20Trips'!$B$25,0)</f>
        <v>#REF!</v>
      </c>
      <c r="I81" t="e">
        <f>IF(AND(SUM(VLOOKUP($A81,'20Trips'!$A$3:$F$22,2,FALSE),VLOOKUP(I$1,'20Trips'!$A$3:$F$22,2,FALSE))&lt;'20Trips'!$AC$38,$A81&lt;&gt;I$1,#REF!=1),(VLOOKUP(I$1,'20Trips'!$A$3:$I$22,8,FALSE))-(VLOOKUP($A81,'20Trips'!$A$3:$I$22,9,FALSE))+'20Trips'!$B$25,0)</f>
        <v>#REF!</v>
      </c>
      <c r="J81" t="e">
        <f>IF(AND(SUM(VLOOKUP($A81,'20Trips'!$A$3:$F$22,2,FALSE),VLOOKUP(J$1,'20Trips'!$A$3:$F$22,2,FALSE))&lt;'20Trips'!$AC$38,$A81&lt;&gt;J$1,#REF!=1),(VLOOKUP(J$1,'20Trips'!$A$3:$I$22,8,FALSE))-(VLOOKUP($A81,'20Trips'!$A$3:$I$22,9,FALSE))+'20Trips'!$B$25,0)</f>
        <v>#REF!</v>
      </c>
      <c r="K81" t="e">
        <f>IF(AND(SUM(VLOOKUP($A81,'20Trips'!$A$3:$F$22,2,FALSE),VLOOKUP(K$1,'20Trips'!$A$3:$F$22,2,FALSE))&lt;'20Trips'!$AC$38,$A81&lt;&gt;K$1,#REF!=1),(VLOOKUP(K$1,'20Trips'!$A$3:$I$22,8,FALSE))-(VLOOKUP($A81,'20Trips'!$A$3:$I$22,9,FALSE))+'20Trips'!$B$25,0)</f>
        <v>#REF!</v>
      </c>
      <c r="L81" t="e">
        <f>IF(AND(SUM(VLOOKUP($A81,'20Trips'!$A$3:$F$22,2,FALSE),VLOOKUP(L$1,'20Trips'!$A$3:$F$22,2,FALSE))&lt;'20Trips'!$AC$38,$A81&lt;&gt;L$1,#REF!=1),(VLOOKUP(L$1,'20Trips'!$A$3:$I$22,8,FALSE))-(VLOOKUP($A81,'20Trips'!$A$3:$I$22,9,FALSE))+'20Trips'!$B$25,0)</f>
        <v>#REF!</v>
      </c>
      <c r="M81" t="e">
        <f>IF(AND(SUM(VLOOKUP($A81,'20Trips'!$A$3:$F$22,2,FALSE),VLOOKUP(M$1,'20Trips'!$A$3:$F$22,2,FALSE))&lt;'20Trips'!$AC$38,$A81&lt;&gt;M$1,#REF!=1),(VLOOKUP(M$1,'20Trips'!$A$3:$I$22,8,FALSE))-(VLOOKUP($A81,'20Trips'!$A$3:$I$22,9,FALSE))+'20Trips'!$B$25,0)</f>
        <v>#REF!</v>
      </c>
      <c r="N81" t="e">
        <f>IF(AND(SUM(VLOOKUP($A81,'20Trips'!$A$3:$F$22,2,FALSE),VLOOKUP(N$1,'20Trips'!$A$3:$F$22,2,FALSE))&lt;'20Trips'!$AC$38,$A81&lt;&gt;N$1,#REF!=1),(VLOOKUP(N$1,'20Trips'!$A$3:$I$22,8,FALSE))-(VLOOKUP($A81,'20Trips'!$A$3:$I$22,9,FALSE))+'20Trips'!$B$25,0)</f>
        <v>#REF!</v>
      </c>
      <c r="O81" t="e">
        <f>IF(AND(SUM(VLOOKUP($A81,'20Trips'!$A$3:$F$22,2,FALSE),VLOOKUP(O$1,'20Trips'!$A$3:$F$22,2,FALSE))&lt;'20Trips'!$AC$38,$A81&lt;&gt;O$1,#REF!=1),(VLOOKUP(O$1,'20Trips'!$A$3:$I$22,8,FALSE))-(VLOOKUP($A81,'20Trips'!$A$3:$I$22,9,FALSE))+'20Trips'!$B$25,0)</f>
        <v>#REF!</v>
      </c>
      <c r="P81" t="e">
        <f>IF(AND(SUM(VLOOKUP($A81,'20Trips'!$A$3:$F$22,2,FALSE),VLOOKUP(P$1,'20Trips'!$A$3:$F$22,2,FALSE))&lt;'20Trips'!$AC$38,$A81&lt;&gt;P$1,#REF!=1),(VLOOKUP(P$1,'20Trips'!$A$3:$I$22,8,FALSE))-(VLOOKUP($A81,'20Trips'!$A$3:$I$22,9,FALSE))+'20Trips'!$B$25,0)</f>
        <v>#REF!</v>
      </c>
      <c r="Q81" t="e">
        <f>IF(AND(SUM(VLOOKUP($A81,'20Trips'!$A$3:$F$22,2,FALSE),VLOOKUP(Q$1,'20Trips'!$A$3:$F$22,2,FALSE))&lt;'20Trips'!$AC$38,$A81&lt;&gt;Q$1,#REF!=1),(VLOOKUP(Q$1,'20Trips'!$A$3:$I$22,8,FALSE))-(VLOOKUP($A81,'20Trips'!$A$3:$I$22,9,FALSE))+'20Trips'!$B$25,0)</f>
        <v>#REF!</v>
      </c>
      <c r="R81" t="e">
        <f>IF(AND(SUM(VLOOKUP($A81,'20Trips'!$A$3:$F$22,2,FALSE),VLOOKUP(R$1,'20Trips'!$A$3:$F$22,2,FALSE))&lt;'20Trips'!$AC$38,$A81&lt;&gt;R$1,#REF!=1),(VLOOKUP(R$1,'20Trips'!$A$3:$I$22,8,FALSE))-(VLOOKUP($A81,'20Trips'!$A$3:$I$22,9,FALSE))+'20Trips'!$B$25,0)</f>
        <v>#REF!</v>
      </c>
      <c r="S81" t="e">
        <f>IF(AND(SUM(VLOOKUP($A81,'20Trips'!$A$3:$F$22,2,FALSE),VLOOKUP(S$1,'20Trips'!$A$3:$F$22,2,FALSE))&lt;'20Trips'!$AC$38,$A81&lt;&gt;S$1,#REF!=1),(VLOOKUP(S$1,'20Trips'!$A$3:$I$22,8,FALSE))-(VLOOKUP($A81,'20Trips'!$A$3:$I$22,9,FALSE))+'20Trips'!$B$25,0)</f>
        <v>#REF!</v>
      </c>
      <c r="T81" t="e">
        <f>IF(AND(SUM(VLOOKUP($A81,'20Trips'!$A$3:$F$22,2,FALSE),VLOOKUP(T$1,'20Trips'!$A$3:$F$22,2,FALSE))&lt;'20Trips'!$AC$38,$A81&lt;&gt;T$1,#REF!=1),(VLOOKUP(T$1,'20Trips'!$A$3:$I$22,8,FALSE))-(VLOOKUP($A81,'20Trips'!$A$3:$I$22,9,FALSE))+'20Trips'!$B$25,0)</f>
        <v>#REF!</v>
      </c>
      <c r="U81" t="e">
        <f>IF(AND(SUM(VLOOKUP($A81,'20Trips'!$A$3:$F$22,2,FALSE),VLOOKUP(U$1,'20Trips'!$A$3:$F$22,2,FALSE))&lt;'20Trips'!$AC$38,$A81&lt;&gt;U$1,#REF!=1),(VLOOKUP(U$1,'20Trips'!$A$3:$I$22,8,FALSE))-(VLOOKUP($A81,'20Trips'!$A$3:$I$22,9,FALSE))+'20Trips'!$B$25,0)</f>
        <v>#REF!</v>
      </c>
      <c r="V81" t="e">
        <f>IF(AND(SUM(VLOOKUP($A81,'20Trips'!$A$3:$F$22,2,FALSE),VLOOKUP(V$1,'20Trips'!$A$3:$F$22,2,FALSE))&lt;'20Trips'!$AC$38,$A81&lt;&gt;V$1,#REF!=1),(VLOOKUP(V$1,'20Trips'!$A$3:$I$22,8,FALSE))-(VLOOKUP($A81,'20Trips'!$A$3:$I$22,9,FALSE))+'20Trips'!$B$25,0)</f>
        <v>#REF!</v>
      </c>
    </row>
    <row r="82" spans="1:22" x14ac:dyDescent="0.25">
      <c r="A82" t="s">
        <v>35</v>
      </c>
      <c r="B82">
        <v>0</v>
      </c>
      <c r="C82" t="e">
        <f>IF(AND(SUM(VLOOKUP($A82,'20Trips'!$A$3:$F$22,2,FALSE),VLOOKUP(C$1,'20Trips'!$A$3:$F$22,2,FALSE))&lt;'20Trips'!$AC$38,$A82&lt;&gt;C$1,#REF!=1),(VLOOKUP(C$1,'20Trips'!$A$3:$I$22,8,FALSE))-(VLOOKUP($A82,'20Trips'!$A$3:$I$22,9,FALSE))+'20Trips'!$B$25,0)</f>
        <v>#REF!</v>
      </c>
      <c r="D82" t="e">
        <f>IF(AND(SUM(VLOOKUP($A82,'20Trips'!$A$3:$F$22,2,FALSE),VLOOKUP(D$1,'20Trips'!$A$3:$F$22,2,FALSE))&lt;'20Trips'!$AC$38,$A82&lt;&gt;D$1,#REF!=1),(VLOOKUP(D$1,'20Trips'!$A$3:$I$22,8,FALSE))-(VLOOKUP($A82,'20Trips'!$A$3:$I$22,9,FALSE))+'20Trips'!$B$25,0)</f>
        <v>#REF!</v>
      </c>
      <c r="E82" t="e">
        <f>IF(AND(SUM(VLOOKUP($A82,'20Trips'!$A$3:$F$22,2,FALSE),VLOOKUP(E$1,'20Trips'!$A$3:$F$22,2,FALSE))&lt;'20Trips'!$AC$38,$A82&lt;&gt;E$1,#REF!=1),(VLOOKUP(E$1,'20Trips'!$A$3:$I$22,8,FALSE))-(VLOOKUP($A82,'20Trips'!$A$3:$I$22,9,FALSE))+'20Trips'!$B$25,0)</f>
        <v>#REF!</v>
      </c>
      <c r="F82" t="e">
        <f>IF(AND(SUM(VLOOKUP($A82,'20Trips'!$A$3:$F$22,2,FALSE),VLOOKUP(F$1,'20Trips'!$A$3:$F$22,2,FALSE))&lt;'20Trips'!$AC$38,$A82&lt;&gt;F$1,#REF!=1),(VLOOKUP(F$1,'20Trips'!$A$3:$I$22,8,FALSE))-(VLOOKUP($A82,'20Trips'!$A$3:$I$22,9,FALSE))+'20Trips'!$B$25,0)</f>
        <v>#REF!</v>
      </c>
      <c r="G82" t="e">
        <f>IF(AND(SUM(VLOOKUP($A82,'20Trips'!$A$3:$F$22,2,FALSE),VLOOKUP(G$1,'20Trips'!$A$3:$F$22,2,FALSE))&lt;'20Trips'!$AC$38,$A82&lt;&gt;G$1,#REF!=1),(VLOOKUP(G$1,'20Trips'!$A$3:$I$22,8,FALSE))-(VLOOKUP($A82,'20Trips'!$A$3:$I$22,9,FALSE))+'20Trips'!$B$25,0)</f>
        <v>#REF!</v>
      </c>
      <c r="H82" t="e">
        <f>IF(AND(SUM(VLOOKUP($A82,'20Trips'!$A$3:$F$22,2,FALSE),VLOOKUP(H$1,'20Trips'!$A$3:$F$22,2,FALSE))&lt;'20Trips'!$AC$38,$A82&lt;&gt;H$1,#REF!=1),(VLOOKUP(H$1,'20Trips'!$A$3:$I$22,8,FALSE))-(VLOOKUP($A82,'20Trips'!$A$3:$I$22,9,FALSE))+'20Trips'!$B$25,0)</f>
        <v>#REF!</v>
      </c>
      <c r="I82" t="e">
        <f>IF(AND(SUM(VLOOKUP($A82,'20Trips'!$A$3:$F$22,2,FALSE),VLOOKUP(I$1,'20Trips'!$A$3:$F$22,2,FALSE))&lt;'20Trips'!$AC$38,$A82&lt;&gt;I$1,#REF!=1),(VLOOKUP(I$1,'20Trips'!$A$3:$I$22,8,FALSE))-(VLOOKUP($A82,'20Trips'!$A$3:$I$22,9,FALSE))+'20Trips'!$B$25,0)</f>
        <v>#REF!</v>
      </c>
      <c r="J82" t="e">
        <f>IF(AND(SUM(VLOOKUP($A82,'20Trips'!$A$3:$F$22,2,FALSE),VLOOKUP(J$1,'20Trips'!$A$3:$F$22,2,FALSE))&lt;'20Trips'!$AC$38,$A82&lt;&gt;J$1,#REF!=1),(VLOOKUP(J$1,'20Trips'!$A$3:$I$22,8,FALSE))-(VLOOKUP($A82,'20Trips'!$A$3:$I$22,9,FALSE))+'20Trips'!$B$25,0)</f>
        <v>#REF!</v>
      </c>
      <c r="K82" t="e">
        <f>IF(AND(SUM(VLOOKUP($A82,'20Trips'!$A$3:$F$22,2,FALSE),VLOOKUP(K$1,'20Trips'!$A$3:$F$22,2,FALSE))&lt;'20Trips'!$AC$38,$A82&lt;&gt;K$1,#REF!=1),(VLOOKUP(K$1,'20Trips'!$A$3:$I$22,8,FALSE))-(VLOOKUP($A82,'20Trips'!$A$3:$I$22,9,FALSE))+'20Trips'!$B$25,0)</f>
        <v>#REF!</v>
      </c>
      <c r="L82" t="e">
        <f>IF(AND(SUM(VLOOKUP($A82,'20Trips'!$A$3:$F$22,2,FALSE),VLOOKUP(L$1,'20Trips'!$A$3:$F$22,2,FALSE))&lt;'20Trips'!$AC$38,$A82&lt;&gt;L$1,#REF!=1),(VLOOKUP(L$1,'20Trips'!$A$3:$I$22,8,FALSE))-(VLOOKUP($A82,'20Trips'!$A$3:$I$22,9,FALSE))+'20Trips'!$B$25,0)</f>
        <v>#REF!</v>
      </c>
      <c r="M82" t="e">
        <f>IF(AND(SUM(VLOOKUP($A82,'20Trips'!$A$3:$F$22,2,FALSE),VLOOKUP(M$1,'20Trips'!$A$3:$F$22,2,FALSE))&lt;'20Trips'!$AC$38,$A82&lt;&gt;M$1,#REF!=1),(VLOOKUP(M$1,'20Trips'!$A$3:$I$22,8,FALSE))-(VLOOKUP($A82,'20Trips'!$A$3:$I$22,9,FALSE))+'20Trips'!$B$25,0)</f>
        <v>#REF!</v>
      </c>
      <c r="N82" t="e">
        <f>IF(AND(SUM(VLOOKUP($A82,'20Trips'!$A$3:$F$22,2,FALSE),VLOOKUP(N$1,'20Trips'!$A$3:$F$22,2,FALSE))&lt;'20Trips'!$AC$38,$A82&lt;&gt;N$1,#REF!=1),(VLOOKUP(N$1,'20Trips'!$A$3:$I$22,8,FALSE))-(VLOOKUP($A82,'20Trips'!$A$3:$I$22,9,FALSE))+'20Trips'!$B$25,0)</f>
        <v>#REF!</v>
      </c>
      <c r="O82" t="e">
        <f>IF(AND(SUM(VLOOKUP($A82,'20Trips'!$A$3:$F$22,2,FALSE),VLOOKUP(O$1,'20Trips'!$A$3:$F$22,2,FALSE))&lt;'20Trips'!$AC$38,$A82&lt;&gt;O$1,#REF!=1),(VLOOKUP(O$1,'20Trips'!$A$3:$I$22,8,FALSE))-(VLOOKUP($A82,'20Trips'!$A$3:$I$22,9,FALSE))+'20Trips'!$B$25,0)</f>
        <v>#REF!</v>
      </c>
      <c r="P82" t="e">
        <f>IF(AND(SUM(VLOOKUP($A82,'20Trips'!$A$3:$F$22,2,FALSE),VLOOKUP(P$1,'20Trips'!$A$3:$F$22,2,FALSE))&lt;'20Trips'!$AC$38,$A82&lt;&gt;P$1,#REF!=1),(VLOOKUP(P$1,'20Trips'!$A$3:$I$22,8,FALSE))-(VLOOKUP($A82,'20Trips'!$A$3:$I$22,9,FALSE))+'20Trips'!$B$25,0)</f>
        <v>#REF!</v>
      </c>
      <c r="Q82" t="e">
        <f>IF(AND(SUM(VLOOKUP($A82,'20Trips'!$A$3:$F$22,2,FALSE),VLOOKUP(Q$1,'20Trips'!$A$3:$F$22,2,FALSE))&lt;'20Trips'!$AC$38,$A82&lt;&gt;Q$1,#REF!=1),(VLOOKUP(Q$1,'20Trips'!$A$3:$I$22,8,FALSE))-(VLOOKUP($A82,'20Trips'!$A$3:$I$22,9,FALSE))+'20Trips'!$B$25,0)</f>
        <v>#REF!</v>
      </c>
      <c r="R82" t="e">
        <f>IF(AND(SUM(VLOOKUP($A82,'20Trips'!$A$3:$F$22,2,FALSE),VLOOKUP(R$1,'20Trips'!$A$3:$F$22,2,FALSE))&lt;'20Trips'!$AC$38,$A82&lt;&gt;R$1,#REF!=1),(VLOOKUP(R$1,'20Trips'!$A$3:$I$22,8,FALSE))-(VLOOKUP($A82,'20Trips'!$A$3:$I$22,9,FALSE))+'20Trips'!$B$25,0)</f>
        <v>#REF!</v>
      </c>
      <c r="S82" t="e">
        <f>IF(AND(SUM(VLOOKUP($A82,'20Trips'!$A$3:$F$22,2,FALSE),VLOOKUP(S$1,'20Trips'!$A$3:$F$22,2,FALSE))&lt;'20Trips'!$AC$38,$A82&lt;&gt;S$1,#REF!=1),(VLOOKUP(S$1,'20Trips'!$A$3:$I$22,8,FALSE))-(VLOOKUP($A82,'20Trips'!$A$3:$I$22,9,FALSE))+'20Trips'!$B$25,0)</f>
        <v>#REF!</v>
      </c>
      <c r="T82" t="e">
        <f>IF(AND(SUM(VLOOKUP($A82,'20Trips'!$A$3:$F$22,2,FALSE),VLOOKUP(T$1,'20Trips'!$A$3:$F$22,2,FALSE))&lt;'20Trips'!$AC$38,$A82&lt;&gt;T$1,#REF!=1),(VLOOKUP(T$1,'20Trips'!$A$3:$I$22,8,FALSE))-(VLOOKUP($A82,'20Trips'!$A$3:$I$22,9,FALSE))+'20Trips'!$B$25,0)</f>
        <v>#REF!</v>
      </c>
      <c r="U82" t="e">
        <f>IF(AND(SUM(VLOOKUP($A82,'20Trips'!$A$3:$F$22,2,FALSE),VLOOKUP(U$1,'20Trips'!$A$3:$F$22,2,FALSE))&lt;'20Trips'!$AC$38,$A82&lt;&gt;U$1,#REF!=1),(VLOOKUP(U$1,'20Trips'!$A$3:$I$22,8,FALSE))-(VLOOKUP($A82,'20Trips'!$A$3:$I$22,9,FALSE))+'20Trips'!$B$25,0)</f>
        <v>#REF!</v>
      </c>
      <c r="V82" t="e">
        <f>IF(AND(SUM(VLOOKUP($A82,'20Trips'!$A$3:$F$22,2,FALSE),VLOOKUP(V$1,'20Trips'!$A$3:$F$22,2,FALSE))&lt;'20Trips'!$AC$38,$A82&lt;&gt;V$1,#REF!=1),(VLOOKUP(V$1,'20Trips'!$A$3:$I$22,8,FALSE))-(VLOOKUP($A82,'20Trips'!$A$3:$I$22,9,FALSE))+'20Trips'!$B$25,0)</f>
        <v>#REF!</v>
      </c>
    </row>
    <row r="83" spans="1:22" x14ac:dyDescent="0.25">
      <c r="A83" t="s">
        <v>36</v>
      </c>
      <c r="B83">
        <v>0</v>
      </c>
      <c r="C83" t="e">
        <f>IF(AND(SUM(VLOOKUP($A83,'20Trips'!$A$3:$F$22,2,FALSE),VLOOKUP(C$1,'20Trips'!$A$3:$F$22,2,FALSE))&lt;'20Trips'!$AC$38,$A83&lt;&gt;C$1,#REF!=1),(VLOOKUP(C$1,'20Trips'!$A$3:$I$22,8,FALSE))-(VLOOKUP($A83,'20Trips'!$A$3:$I$22,9,FALSE))+'20Trips'!$B$25,0)</f>
        <v>#REF!</v>
      </c>
      <c r="D83" t="e">
        <f>IF(AND(SUM(VLOOKUP($A83,'20Trips'!$A$3:$F$22,2,FALSE),VLOOKUP(D$1,'20Trips'!$A$3:$F$22,2,FALSE))&lt;'20Trips'!$AC$38,$A83&lt;&gt;D$1,#REF!=1),(VLOOKUP(D$1,'20Trips'!$A$3:$I$22,8,FALSE))-(VLOOKUP($A83,'20Trips'!$A$3:$I$22,9,FALSE))+'20Trips'!$B$25,0)</f>
        <v>#REF!</v>
      </c>
      <c r="E83" t="e">
        <f>IF(AND(SUM(VLOOKUP($A83,'20Trips'!$A$3:$F$22,2,FALSE),VLOOKUP(E$1,'20Trips'!$A$3:$F$22,2,FALSE))&lt;'20Trips'!$AC$38,$A83&lt;&gt;E$1,#REF!=1),(VLOOKUP(E$1,'20Trips'!$A$3:$I$22,8,FALSE))-(VLOOKUP($A83,'20Trips'!$A$3:$I$22,9,FALSE))+'20Trips'!$B$25,0)</f>
        <v>#REF!</v>
      </c>
      <c r="F83" t="e">
        <f>IF(AND(SUM(VLOOKUP($A83,'20Trips'!$A$3:$F$22,2,FALSE),VLOOKUP(F$1,'20Trips'!$A$3:$F$22,2,FALSE))&lt;'20Trips'!$AC$38,$A83&lt;&gt;F$1,#REF!=1),(VLOOKUP(F$1,'20Trips'!$A$3:$I$22,8,FALSE))-(VLOOKUP($A83,'20Trips'!$A$3:$I$22,9,FALSE))+'20Trips'!$B$25,0)</f>
        <v>#REF!</v>
      </c>
      <c r="G83" t="e">
        <f>IF(AND(SUM(VLOOKUP($A83,'20Trips'!$A$3:$F$22,2,FALSE),VLOOKUP(G$1,'20Trips'!$A$3:$F$22,2,FALSE))&lt;'20Trips'!$AC$38,$A83&lt;&gt;G$1,#REF!=1),(VLOOKUP(G$1,'20Trips'!$A$3:$I$22,8,FALSE))-(VLOOKUP($A83,'20Trips'!$A$3:$I$22,9,FALSE))+'20Trips'!$B$25,0)</f>
        <v>#REF!</v>
      </c>
      <c r="H83" t="e">
        <f>IF(AND(SUM(VLOOKUP($A83,'20Trips'!$A$3:$F$22,2,FALSE),VLOOKUP(H$1,'20Trips'!$A$3:$F$22,2,FALSE))&lt;'20Trips'!$AC$38,$A83&lt;&gt;H$1,#REF!=1),(VLOOKUP(H$1,'20Trips'!$A$3:$I$22,8,FALSE))-(VLOOKUP($A83,'20Trips'!$A$3:$I$22,9,FALSE))+'20Trips'!$B$25,0)</f>
        <v>#REF!</v>
      </c>
      <c r="I83" t="e">
        <f>IF(AND(SUM(VLOOKUP($A83,'20Trips'!$A$3:$F$22,2,FALSE),VLOOKUP(I$1,'20Trips'!$A$3:$F$22,2,FALSE))&lt;'20Trips'!$AC$38,$A83&lt;&gt;I$1,#REF!=1),(VLOOKUP(I$1,'20Trips'!$A$3:$I$22,8,FALSE))-(VLOOKUP($A83,'20Trips'!$A$3:$I$22,9,FALSE))+'20Trips'!$B$25,0)</f>
        <v>#REF!</v>
      </c>
      <c r="J83" t="e">
        <f>IF(AND(SUM(VLOOKUP($A83,'20Trips'!$A$3:$F$22,2,FALSE),VLOOKUP(J$1,'20Trips'!$A$3:$F$22,2,FALSE))&lt;'20Trips'!$AC$38,$A83&lt;&gt;J$1,#REF!=1),(VLOOKUP(J$1,'20Trips'!$A$3:$I$22,8,FALSE))-(VLOOKUP($A83,'20Trips'!$A$3:$I$22,9,FALSE))+'20Trips'!$B$25,0)</f>
        <v>#REF!</v>
      </c>
      <c r="K83" t="e">
        <f>IF(AND(SUM(VLOOKUP($A83,'20Trips'!$A$3:$F$22,2,FALSE),VLOOKUP(K$1,'20Trips'!$A$3:$F$22,2,FALSE))&lt;'20Trips'!$AC$38,$A83&lt;&gt;K$1,#REF!=1),(VLOOKUP(K$1,'20Trips'!$A$3:$I$22,8,FALSE))-(VLOOKUP($A83,'20Trips'!$A$3:$I$22,9,FALSE))+'20Trips'!$B$25,0)</f>
        <v>#REF!</v>
      </c>
      <c r="L83" t="e">
        <f>IF(AND(SUM(VLOOKUP($A83,'20Trips'!$A$3:$F$22,2,FALSE),VLOOKUP(L$1,'20Trips'!$A$3:$F$22,2,FALSE))&lt;'20Trips'!$AC$38,$A83&lt;&gt;L$1,#REF!=1),(VLOOKUP(L$1,'20Trips'!$A$3:$I$22,8,FALSE))-(VLOOKUP($A83,'20Trips'!$A$3:$I$22,9,FALSE))+'20Trips'!$B$25,0)</f>
        <v>#REF!</v>
      </c>
      <c r="M83" t="e">
        <f>IF(AND(SUM(VLOOKUP($A83,'20Trips'!$A$3:$F$22,2,FALSE),VLOOKUP(M$1,'20Trips'!$A$3:$F$22,2,FALSE))&lt;'20Trips'!$AC$38,$A83&lt;&gt;M$1,#REF!=1),(VLOOKUP(M$1,'20Trips'!$A$3:$I$22,8,FALSE))-(VLOOKUP($A83,'20Trips'!$A$3:$I$22,9,FALSE))+'20Trips'!$B$25,0)</f>
        <v>#REF!</v>
      </c>
      <c r="N83" t="e">
        <f>IF(AND(SUM(VLOOKUP($A83,'20Trips'!$A$3:$F$22,2,FALSE),VLOOKUP(N$1,'20Trips'!$A$3:$F$22,2,FALSE))&lt;'20Trips'!$AC$38,$A83&lt;&gt;N$1,#REF!=1),(VLOOKUP(N$1,'20Trips'!$A$3:$I$22,8,FALSE))-(VLOOKUP($A83,'20Trips'!$A$3:$I$22,9,FALSE))+'20Trips'!$B$25,0)</f>
        <v>#REF!</v>
      </c>
      <c r="O83" t="e">
        <f>IF(AND(SUM(VLOOKUP($A83,'20Trips'!$A$3:$F$22,2,FALSE),VLOOKUP(O$1,'20Trips'!$A$3:$F$22,2,FALSE))&lt;'20Trips'!$AC$38,$A83&lt;&gt;O$1,#REF!=1),(VLOOKUP(O$1,'20Trips'!$A$3:$I$22,8,FALSE))-(VLOOKUP($A83,'20Trips'!$A$3:$I$22,9,FALSE))+'20Trips'!$B$25,0)</f>
        <v>#REF!</v>
      </c>
      <c r="P83" t="e">
        <f>IF(AND(SUM(VLOOKUP($A83,'20Trips'!$A$3:$F$22,2,FALSE),VLOOKUP(P$1,'20Trips'!$A$3:$F$22,2,FALSE))&lt;'20Trips'!$AC$38,$A83&lt;&gt;P$1,#REF!=1),(VLOOKUP(P$1,'20Trips'!$A$3:$I$22,8,FALSE))-(VLOOKUP($A83,'20Trips'!$A$3:$I$22,9,FALSE))+'20Trips'!$B$25,0)</f>
        <v>#REF!</v>
      </c>
      <c r="Q83" t="e">
        <f>IF(AND(SUM(VLOOKUP($A83,'20Trips'!$A$3:$F$22,2,FALSE),VLOOKUP(Q$1,'20Trips'!$A$3:$F$22,2,FALSE))&lt;'20Trips'!$AC$38,$A83&lt;&gt;Q$1,#REF!=1),(VLOOKUP(Q$1,'20Trips'!$A$3:$I$22,8,FALSE))-(VLOOKUP($A83,'20Trips'!$A$3:$I$22,9,FALSE))+'20Trips'!$B$25,0)</f>
        <v>#REF!</v>
      </c>
      <c r="R83" t="e">
        <f>IF(AND(SUM(VLOOKUP($A83,'20Trips'!$A$3:$F$22,2,FALSE),VLOOKUP(R$1,'20Trips'!$A$3:$F$22,2,FALSE))&lt;'20Trips'!$AC$38,$A83&lt;&gt;R$1,#REF!=1),(VLOOKUP(R$1,'20Trips'!$A$3:$I$22,8,FALSE))-(VLOOKUP($A83,'20Trips'!$A$3:$I$22,9,FALSE))+'20Trips'!$B$25,0)</f>
        <v>#REF!</v>
      </c>
      <c r="S83" t="e">
        <f>IF(AND(SUM(VLOOKUP($A83,'20Trips'!$A$3:$F$22,2,FALSE),VLOOKUP(S$1,'20Trips'!$A$3:$F$22,2,FALSE))&lt;'20Trips'!$AC$38,$A83&lt;&gt;S$1,#REF!=1),(VLOOKUP(S$1,'20Trips'!$A$3:$I$22,8,FALSE))-(VLOOKUP($A83,'20Trips'!$A$3:$I$22,9,FALSE))+'20Trips'!$B$25,0)</f>
        <v>#REF!</v>
      </c>
      <c r="T83" t="e">
        <f>IF(AND(SUM(VLOOKUP($A83,'20Trips'!$A$3:$F$22,2,FALSE),VLOOKUP(T$1,'20Trips'!$A$3:$F$22,2,FALSE))&lt;'20Trips'!$AC$38,$A83&lt;&gt;T$1,#REF!=1),(VLOOKUP(T$1,'20Trips'!$A$3:$I$22,8,FALSE))-(VLOOKUP($A83,'20Trips'!$A$3:$I$22,9,FALSE))+'20Trips'!$B$25,0)</f>
        <v>#REF!</v>
      </c>
      <c r="U83" t="e">
        <f>IF(AND(SUM(VLOOKUP($A83,'20Trips'!$A$3:$F$22,2,FALSE),VLOOKUP(U$1,'20Trips'!$A$3:$F$22,2,FALSE))&lt;'20Trips'!$AC$38,$A83&lt;&gt;U$1,#REF!=1),(VLOOKUP(U$1,'20Trips'!$A$3:$I$22,8,FALSE))-(VLOOKUP($A83,'20Trips'!$A$3:$I$22,9,FALSE))+'20Trips'!$B$25,0)</f>
        <v>#REF!</v>
      </c>
      <c r="V83" t="e">
        <f>IF(AND(SUM(VLOOKUP($A83,'20Trips'!$A$3:$F$22,2,FALSE),VLOOKUP(V$1,'20Trips'!$A$3:$F$22,2,FALSE))&lt;'20Trips'!$AC$38,$A83&lt;&gt;V$1,#REF!=1),(VLOOKUP(V$1,'20Trips'!$A$3:$I$22,8,FALSE))-(VLOOKUP($A83,'20Trips'!$A$3:$I$22,9,FALSE))+'20Trips'!$B$25,0)</f>
        <v>#REF!</v>
      </c>
    </row>
    <row r="84" spans="1:22" x14ac:dyDescent="0.25">
      <c r="A84" t="s">
        <v>37</v>
      </c>
      <c r="B84">
        <v>0</v>
      </c>
      <c r="C84" t="e">
        <f>IF(AND(SUM(VLOOKUP($A84,'20Trips'!$A$3:$F$22,2,FALSE),VLOOKUP(C$1,'20Trips'!$A$3:$F$22,2,FALSE))&lt;'20Trips'!$AC$38,$A84&lt;&gt;C$1,#REF!=1),(VLOOKUP(C$1,'20Trips'!$A$3:$I$22,8,FALSE))-(VLOOKUP($A84,'20Trips'!$A$3:$I$22,9,FALSE))+'20Trips'!$B$25,0)</f>
        <v>#REF!</v>
      </c>
      <c r="D84" t="e">
        <f>IF(AND(SUM(VLOOKUP($A84,'20Trips'!$A$3:$F$22,2,FALSE),VLOOKUP(D$1,'20Trips'!$A$3:$F$22,2,FALSE))&lt;'20Trips'!$AC$38,$A84&lt;&gt;D$1,#REF!=1),(VLOOKUP(D$1,'20Trips'!$A$3:$I$22,8,FALSE))-(VLOOKUP($A84,'20Trips'!$A$3:$I$22,9,FALSE))+'20Trips'!$B$25,0)</f>
        <v>#REF!</v>
      </c>
      <c r="E84" t="e">
        <f>IF(AND(SUM(VLOOKUP($A84,'20Trips'!$A$3:$F$22,2,FALSE),VLOOKUP(E$1,'20Trips'!$A$3:$F$22,2,FALSE))&lt;'20Trips'!$AC$38,$A84&lt;&gt;E$1,#REF!=1),(VLOOKUP(E$1,'20Trips'!$A$3:$I$22,8,FALSE))-(VLOOKUP($A84,'20Trips'!$A$3:$I$22,9,FALSE))+'20Trips'!$B$25,0)</f>
        <v>#REF!</v>
      </c>
      <c r="F84" t="e">
        <f>IF(AND(SUM(VLOOKUP($A84,'20Trips'!$A$3:$F$22,2,FALSE),VLOOKUP(F$1,'20Trips'!$A$3:$F$22,2,FALSE))&lt;'20Trips'!$AC$38,$A84&lt;&gt;F$1,#REF!=1),(VLOOKUP(F$1,'20Trips'!$A$3:$I$22,8,FALSE))-(VLOOKUP($A84,'20Trips'!$A$3:$I$22,9,FALSE))+'20Trips'!$B$25,0)</f>
        <v>#REF!</v>
      </c>
      <c r="G84" t="e">
        <f>IF(AND(SUM(VLOOKUP($A84,'20Trips'!$A$3:$F$22,2,FALSE),VLOOKUP(G$1,'20Trips'!$A$3:$F$22,2,FALSE))&lt;'20Trips'!$AC$38,$A84&lt;&gt;G$1,#REF!=1),(VLOOKUP(G$1,'20Trips'!$A$3:$I$22,8,FALSE))-(VLOOKUP($A84,'20Trips'!$A$3:$I$22,9,FALSE))+'20Trips'!$B$25,0)</f>
        <v>#REF!</v>
      </c>
      <c r="H84" t="e">
        <f>IF(AND(SUM(VLOOKUP($A84,'20Trips'!$A$3:$F$22,2,FALSE),VLOOKUP(H$1,'20Trips'!$A$3:$F$22,2,FALSE))&lt;'20Trips'!$AC$38,$A84&lt;&gt;H$1,#REF!=1),(VLOOKUP(H$1,'20Trips'!$A$3:$I$22,8,FALSE))-(VLOOKUP($A84,'20Trips'!$A$3:$I$22,9,FALSE))+'20Trips'!$B$25,0)</f>
        <v>#REF!</v>
      </c>
      <c r="I84" t="e">
        <f>IF(AND(SUM(VLOOKUP($A84,'20Trips'!$A$3:$F$22,2,FALSE),VLOOKUP(I$1,'20Trips'!$A$3:$F$22,2,FALSE))&lt;'20Trips'!$AC$38,$A84&lt;&gt;I$1,#REF!=1),(VLOOKUP(I$1,'20Trips'!$A$3:$I$22,8,FALSE))-(VLOOKUP($A84,'20Trips'!$A$3:$I$22,9,FALSE))+'20Trips'!$B$25,0)</f>
        <v>#REF!</v>
      </c>
      <c r="J84" t="e">
        <f>IF(AND(SUM(VLOOKUP($A84,'20Trips'!$A$3:$F$22,2,FALSE),VLOOKUP(J$1,'20Trips'!$A$3:$F$22,2,FALSE))&lt;'20Trips'!$AC$38,$A84&lt;&gt;J$1,#REF!=1),(VLOOKUP(J$1,'20Trips'!$A$3:$I$22,8,FALSE))-(VLOOKUP($A84,'20Trips'!$A$3:$I$22,9,FALSE))+'20Trips'!$B$25,0)</f>
        <v>#REF!</v>
      </c>
      <c r="K84" t="e">
        <f>IF(AND(SUM(VLOOKUP($A84,'20Trips'!$A$3:$F$22,2,FALSE),VLOOKUP(K$1,'20Trips'!$A$3:$F$22,2,FALSE))&lt;'20Trips'!$AC$38,$A84&lt;&gt;K$1,#REF!=1),(VLOOKUP(K$1,'20Trips'!$A$3:$I$22,8,FALSE))-(VLOOKUP($A84,'20Trips'!$A$3:$I$22,9,FALSE))+'20Trips'!$B$25,0)</f>
        <v>#REF!</v>
      </c>
      <c r="L84" t="e">
        <f>IF(AND(SUM(VLOOKUP($A84,'20Trips'!$A$3:$F$22,2,FALSE),VLOOKUP(L$1,'20Trips'!$A$3:$F$22,2,FALSE))&lt;'20Trips'!$AC$38,$A84&lt;&gt;L$1,#REF!=1),(VLOOKUP(L$1,'20Trips'!$A$3:$I$22,8,FALSE))-(VLOOKUP($A84,'20Trips'!$A$3:$I$22,9,FALSE))+'20Trips'!$B$25,0)</f>
        <v>#REF!</v>
      </c>
      <c r="M84" t="e">
        <f>IF(AND(SUM(VLOOKUP($A84,'20Trips'!$A$3:$F$22,2,FALSE),VLOOKUP(M$1,'20Trips'!$A$3:$F$22,2,FALSE))&lt;'20Trips'!$AC$38,$A84&lt;&gt;M$1,#REF!=1),(VLOOKUP(M$1,'20Trips'!$A$3:$I$22,8,FALSE))-(VLOOKUP($A84,'20Trips'!$A$3:$I$22,9,FALSE))+'20Trips'!$B$25,0)</f>
        <v>#REF!</v>
      </c>
      <c r="N84" t="e">
        <f>IF(AND(SUM(VLOOKUP($A84,'20Trips'!$A$3:$F$22,2,FALSE),VLOOKUP(N$1,'20Trips'!$A$3:$F$22,2,FALSE))&lt;'20Trips'!$AC$38,$A84&lt;&gt;N$1,#REF!=1),(VLOOKUP(N$1,'20Trips'!$A$3:$I$22,8,FALSE))-(VLOOKUP($A84,'20Trips'!$A$3:$I$22,9,FALSE))+'20Trips'!$B$25,0)</f>
        <v>#REF!</v>
      </c>
      <c r="O84" t="e">
        <f>IF(AND(SUM(VLOOKUP($A84,'20Trips'!$A$3:$F$22,2,FALSE),VLOOKUP(O$1,'20Trips'!$A$3:$F$22,2,FALSE))&lt;'20Trips'!$AC$38,$A84&lt;&gt;O$1,#REF!=1),(VLOOKUP(O$1,'20Trips'!$A$3:$I$22,8,FALSE))-(VLOOKUP($A84,'20Trips'!$A$3:$I$22,9,FALSE))+'20Trips'!$B$25,0)</f>
        <v>#REF!</v>
      </c>
      <c r="P84" t="e">
        <f>IF(AND(SUM(VLOOKUP($A84,'20Trips'!$A$3:$F$22,2,FALSE),VLOOKUP(P$1,'20Trips'!$A$3:$F$22,2,FALSE))&lt;'20Trips'!$AC$38,$A84&lt;&gt;P$1,#REF!=1),(VLOOKUP(P$1,'20Trips'!$A$3:$I$22,8,FALSE))-(VLOOKUP($A84,'20Trips'!$A$3:$I$22,9,FALSE))+'20Trips'!$B$25,0)</f>
        <v>#REF!</v>
      </c>
      <c r="Q84" t="e">
        <f>IF(AND(SUM(VLOOKUP($A84,'20Trips'!$A$3:$F$22,2,FALSE),VLOOKUP(Q$1,'20Trips'!$A$3:$F$22,2,FALSE))&lt;'20Trips'!$AC$38,$A84&lt;&gt;Q$1,#REF!=1),(VLOOKUP(Q$1,'20Trips'!$A$3:$I$22,8,FALSE))-(VLOOKUP($A84,'20Trips'!$A$3:$I$22,9,FALSE))+'20Trips'!$B$25,0)</f>
        <v>#REF!</v>
      </c>
      <c r="R84" t="e">
        <f>IF(AND(SUM(VLOOKUP($A84,'20Trips'!$A$3:$F$22,2,FALSE),VLOOKUP(R$1,'20Trips'!$A$3:$F$22,2,FALSE))&lt;'20Trips'!$AC$38,$A84&lt;&gt;R$1,#REF!=1),(VLOOKUP(R$1,'20Trips'!$A$3:$I$22,8,FALSE))-(VLOOKUP($A84,'20Trips'!$A$3:$I$22,9,FALSE))+'20Trips'!$B$25,0)</f>
        <v>#REF!</v>
      </c>
      <c r="S84" t="e">
        <f>IF(AND(SUM(VLOOKUP($A84,'20Trips'!$A$3:$F$22,2,FALSE),VLOOKUP(S$1,'20Trips'!$A$3:$F$22,2,FALSE))&lt;'20Trips'!$AC$38,$A84&lt;&gt;S$1,#REF!=1),(VLOOKUP(S$1,'20Trips'!$A$3:$I$22,8,FALSE))-(VLOOKUP($A84,'20Trips'!$A$3:$I$22,9,FALSE))+'20Trips'!$B$25,0)</f>
        <v>#REF!</v>
      </c>
      <c r="T84" t="e">
        <f>IF(AND(SUM(VLOOKUP($A84,'20Trips'!$A$3:$F$22,2,FALSE),VLOOKUP(T$1,'20Trips'!$A$3:$F$22,2,FALSE))&lt;'20Trips'!$AC$38,$A84&lt;&gt;T$1,#REF!=1),(VLOOKUP(T$1,'20Trips'!$A$3:$I$22,8,FALSE))-(VLOOKUP($A84,'20Trips'!$A$3:$I$22,9,FALSE))+'20Trips'!$B$25,0)</f>
        <v>#REF!</v>
      </c>
      <c r="U84" t="e">
        <f>IF(AND(SUM(VLOOKUP($A84,'20Trips'!$A$3:$F$22,2,FALSE),VLOOKUP(U$1,'20Trips'!$A$3:$F$22,2,FALSE))&lt;'20Trips'!$AC$38,$A84&lt;&gt;U$1,#REF!=1),(VLOOKUP(U$1,'20Trips'!$A$3:$I$22,8,FALSE))-(VLOOKUP($A84,'20Trips'!$A$3:$I$22,9,FALSE))+'20Trips'!$B$25,0)</f>
        <v>#REF!</v>
      </c>
      <c r="V84" t="e">
        <f>IF(AND(SUM(VLOOKUP($A84,'20Trips'!$A$3:$F$22,2,FALSE),VLOOKUP(V$1,'20Trips'!$A$3:$F$22,2,FALSE))&lt;'20Trips'!$AC$38,$A84&lt;&gt;V$1,#REF!=1),(VLOOKUP(V$1,'20Trips'!$A$3:$I$22,8,FALSE))-(VLOOKUP($A84,'20Trips'!$A$3:$I$22,9,FALSE))+'20Trips'!$B$25,0)</f>
        <v>#REF!</v>
      </c>
    </row>
    <row r="85" spans="1:22" x14ac:dyDescent="0.25">
      <c r="A85" t="s">
        <v>38</v>
      </c>
      <c r="B85">
        <v>0</v>
      </c>
      <c r="C85" t="e">
        <f>IF(AND(SUM(VLOOKUP($A85,'20Trips'!$A$3:$F$22,2,FALSE),VLOOKUP(C$1,'20Trips'!$A$3:$F$22,2,FALSE))&lt;'20Trips'!$AC$38,$A85&lt;&gt;C$1,#REF!=1),(VLOOKUP(C$1,'20Trips'!$A$3:$I$22,8,FALSE))-(VLOOKUP($A85,'20Trips'!$A$3:$I$22,9,FALSE))+'20Trips'!$B$25,0)</f>
        <v>#REF!</v>
      </c>
      <c r="D85" t="e">
        <f>IF(AND(SUM(VLOOKUP($A85,'20Trips'!$A$3:$F$22,2,FALSE),VLOOKUP(D$1,'20Trips'!$A$3:$F$22,2,FALSE))&lt;'20Trips'!$AC$38,$A85&lt;&gt;D$1,#REF!=1),(VLOOKUP(D$1,'20Trips'!$A$3:$I$22,8,FALSE))-(VLOOKUP($A85,'20Trips'!$A$3:$I$22,9,FALSE))+'20Trips'!$B$25,0)</f>
        <v>#REF!</v>
      </c>
      <c r="E85" t="e">
        <f>IF(AND(SUM(VLOOKUP($A85,'20Trips'!$A$3:$F$22,2,FALSE),VLOOKUP(E$1,'20Trips'!$A$3:$F$22,2,FALSE))&lt;'20Trips'!$AC$38,$A85&lt;&gt;E$1,#REF!=1),(VLOOKUP(E$1,'20Trips'!$A$3:$I$22,8,FALSE))-(VLOOKUP($A85,'20Trips'!$A$3:$I$22,9,FALSE))+'20Trips'!$B$25,0)</f>
        <v>#REF!</v>
      </c>
      <c r="F85" t="e">
        <f>IF(AND(SUM(VLOOKUP($A85,'20Trips'!$A$3:$F$22,2,FALSE),VLOOKUP(F$1,'20Trips'!$A$3:$F$22,2,FALSE))&lt;'20Trips'!$AC$38,$A85&lt;&gt;F$1,#REF!=1),(VLOOKUP(F$1,'20Trips'!$A$3:$I$22,8,FALSE))-(VLOOKUP($A85,'20Trips'!$A$3:$I$22,9,FALSE))+'20Trips'!$B$25,0)</f>
        <v>#REF!</v>
      </c>
      <c r="G85" t="e">
        <f>IF(AND(SUM(VLOOKUP($A85,'20Trips'!$A$3:$F$22,2,FALSE),VLOOKUP(G$1,'20Trips'!$A$3:$F$22,2,FALSE))&lt;'20Trips'!$AC$38,$A85&lt;&gt;G$1,#REF!=1),(VLOOKUP(G$1,'20Trips'!$A$3:$I$22,8,FALSE))-(VLOOKUP($A85,'20Trips'!$A$3:$I$22,9,FALSE))+'20Trips'!$B$25,0)</f>
        <v>#REF!</v>
      </c>
      <c r="H85" t="e">
        <f>IF(AND(SUM(VLOOKUP($A85,'20Trips'!$A$3:$F$22,2,FALSE),VLOOKUP(H$1,'20Trips'!$A$3:$F$22,2,FALSE))&lt;'20Trips'!$AC$38,$A85&lt;&gt;H$1,#REF!=1),(VLOOKUP(H$1,'20Trips'!$A$3:$I$22,8,FALSE))-(VLOOKUP($A85,'20Trips'!$A$3:$I$22,9,FALSE))+'20Trips'!$B$25,0)</f>
        <v>#REF!</v>
      </c>
      <c r="I85" t="e">
        <f>IF(AND(SUM(VLOOKUP($A85,'20Trips'!$A$3:$F$22,2,FALSE),VLOOKUP(I$1,'20Trips'!$A$3:$F$22,2,FALSE))&lt;'20Trips'!$AC$38,$A85&lt;&gt;I$1,#REF!=1),(VLOOKUP(I$1,'20Trips'!$A$3:$I$22,8,FALSE))-(VLOOKUP($A85,'20Trips'!$A$3:$I$22,9,FALSE))+'20Trips'!$B$25,0)</f>
        <v>#REF!</v>
      </c>
      <c r="J85" t="e">
        <f>IF(AND(SUM(VLOOKUP($A85,'20Trips'!$A$3:$F$22,2,FALSE),VLOOKUP(J$1,'20Trips'!$A$3:$F$22,2,FALSE))&lt;'20Trips'!$AC$38,$A85&lt;&gt;J$1,#REF!=1),(VLOOKUP(J$1,'20Trips'!$A$3:$I$22,8,FALSE))-(VLOOKUP($A85,'20Trips'!$A$3:$I$22,9,FALSE))+'20Trips'!$B$25,0)</f>
        <v>#REF!</v>
      </c>
      <c r="K85" t="e">
        <f>IF(AND(SUM(VLOOKUP($A85,'20Trips'!$A$3:$F$22,2,FALSE),VLOOKUP(K$1,'20Trips'!$A$3:$F$22,2,FALSE))&lt;'20Trips'!$AC$38,$A85&lt;&gt;K$1,#REF!=1),(VLOOKUP(K$1,'20Trips'!$A$3:$I$22,8,FALSE))-(VLOOKUP($A85,'20Trips'!$A$3:$I$22,9,FALSE))+'20Trips'!$B$25,0)</f>
        <v>#REF!</v>
      </c>
      <c r="L85" t="e">
        <f>IF(AND(SUM(VLOOKUP($A85,'20Trips'!$A$3:$F$22,2,FALSE),VLOOKUP(L$1,'20Trips'!$A$3:$F$22,2,FALSE))&lt;'20Trips'!$AC$38,$A85&lt;&gt;L$1,#REF!=1),(VLOOKUP(L$1,'20Trips'!$A$3:$I$22,8,FALSE))-(VLOOKUP($A85,'20Trips'!$A$3:$I$22,9,FALSE))+'20Trips'!$B$25,0)</f>
        <v>#REF!</v>
      </c>
      <c r="M85" t="e">
        <f>IF(AND(SUM(VLOOKUP($A85,'20Trips'!$A$3:$F$22,2,FALSE),VLOOKUP(M$1,'20Trips'!$A$3:$F$22,2,FALSE))&lt;'20Trips'!$AC$38,$A85&lt;&gt;M$1,#REF!=1),(VLOOKUP(M$1,'20Trips'!$A$3:$I$22,8,FALSE))-(VLOOKUP($A85,'20Trips'!$A$3:$I$22,9,FALSE))+'20Trips'!$B$25,0)</f>
        <v>#REF!</v>
      </c>
      <c r="N85" t="e">
        <f>IF(AND(SUM(VLOOKUP($A85,'20Trips'!$A$3:$F$22,2,FALSE),VLOOKUP(N$1,'20Trips'!$A$3:$F$22,2,FALSE))&lt;'20Trips'!$AC$38,$A85&lt;&gt;N$1,#REF!=1),(VLOOKUP(N$1,'20Trips'!$A$3:$I$22,8,FALSE))-(VLOOKUP($A85,'20Trips'!$A$3:$I$22,9,FALSE))+'20Trips'!$B$25,0)</f>
        <v>#REF!</v>
      </c>
      <c r="O85" t="e">
        <f>IF(AND(SUM(VLOOKUP($A85,'20Trips'!$A$3:$F$22,2,FALSE),VLOOKUP(O$1,'20Trips'!$A$3:$F$22,2,FALSE))&lt;'20Trips'!$AC$38,$A85&lt;&gt;O$1,#REF!=1),(VLOOKUP(O$1,'20Trips'!$A$3:$I$22,8,FALSE))-(VLOOKUP($A85,'20Trips'!$A$3:$I$22,9,FALSE))+'20Trips'!$B$25,0)</f>
        <v>#REF!</v>
      </c>
      <c r="P85" t="e">
        <f>IF(AND(SUM(VLOOKUP($A85,'20Trips'!$A$3:$F$22,2,FALSE),VLOOKUP(P$1,'20Trips'!$A$3:$F$22,2,FALSE))&lt;'20Trips'!$AC$38,$A85&lt;&gt;P$1,#REF!=1),(VLOOKUP(P$1,'20Trips'!$A$3:$I$22,8,FALSE))-(VLOOKUP($A85,'20Trips'!$A$3:$I$22,9,FALSE))+'20Trips'!$B$25,0)</f>
        <v>#REF!</v>
      </c>
      <c r="Q85" t="e">
        <f>IF(AND(SUM(VLOOKUP($A85,'20Trips'!$A$3:$F$22,2,FALSE),VLOOKUP(Q$1,'20Trips'!$A$3:$F$22,2,FALSE))&lt;'20Trips'!$AC$38,$A85&lt;&gt;Q$1,#REF!=1),(VLOOKUP(Q$1,'20Trips'!$A$3:$I$22,8,FALSE))-(VLOOKUP($A85,'20Trips'!$A$3:$I$22,9,FALSE))+'20Trips'!$B$25,0)</f>
        <v>#REF!</v>
      </c>
      <c r="R85" t="e">
        <f>IF(AND(SUM(VLOOKUP($A85,'20Trips'!$A$3:$F$22,2,FALSE),VLOOKUP(R$1,'20Trips'!$A$3:$F$22,2,FALSE))&lt;'20Trips'!$AC$38,$A85&lt;&gt;R$1,#REF!=1),(VLOOKUP(R$1,'20Trips'!$A$3:$I$22,8,FALSE))-(VLOOKUP($A85,'20Trips'!$A$3:$I$22,9,FALSE))+'20Trips'!$B$25,0)</f>
        <v>#REF!</v>
      </c>
      <c r="S85" t="e">
        <f>IF(AND(SUM(VLOOKUP($A85,'20Trips'!$A$3:$F$22,2,FALSE),VLOOKUP(S$1,'20Trips'!$A$3:$F$22,2,FALSE))&lt;'20Trips'!$AC$38,$A85&lt;&gt;S$1,#REF!=1),(VLOOKUP(S$1,'20Trips'!$A$3:$I$22,8,FALSE))-(VLOOKUP($A85,'20Trips'!$A$3:$I$22,9,FALSE))+'20Trips'!$B$25,0)</f>
        <v>#REF!</v>
      </c>
      <c r="T85" t="e">
        <f>IF(AND(SUM(VLOOKUP($A85,'20Trips'!$A$3:$F$22,2,FALSE),VLOOKUP(T$1,'20Trips'!$A$3:$F$22,2,FALSE))&lt;'20Trips'!$AC$38,$A85&lt;&gt;T$1,#REF!=1),(VLOOKUP(T$1,'20Trips'!$A$3:$I$22,8,FALSE))-(VLOOKUP($A85,'20Trips'!$A$3:$I$22,9,FALSE))+'20Trips'!$B$25,0)</f>
        <v>#REF!</v>
      </c>
      <c r="U85" t="e">
        <f>IF(AND(SUM(VLOOKUP($A85,'20Trips'!$A$3:$F$22,2,FALSE),VLOOKUP(U$1,'20Trips'!$A$3:$F$22,2,FALSE))&lt;'20Trips'!$AC$38,$A85&lt;&gt;U$1,#REF!=1),(VLOOKUP(U$1,'20Trips'!$A$3:$I$22,8,FALSE))-(VLOOKUP($A85,'20Trips'!$A$3:$I$22,9,FALSE))+'20Trips'!$B$25,0)</f>
        <v>#REF!</v>
      </c>
      <c r="V85" t="e">
        <f>IF(AND(SUM(VLOOKUP($A85,'20Trips'!$A$3:$F$22,2,FALSE),VLOOKUP(V$1,'20Trips'!$A$3:$F$22,2,FALSE))&lt;'20Trips'!$AC$38,$A85&lt;&gt;V$1,#REF!=1),(VLOOKUP(V$1,'20Trips'!$A$3:$I$22,8,FALSE))-(VLOOKUP($A85,'20Trips'!$A$3:$I$22,9,FALSE))+'20Trips'!$B$25,0)</f>
        <v>#REF!</v>
      </c>
    </row>
    <row r="93" spans="1:22" x14ac:dyDescent="0.25">
      <c r="E93" s="16" t="s">
        <v>59</v>
      </c>
    </row>
    <row r="94" spans="1:22" x14ac:dyDescent="0.25">
      <c r="E94" s="16">
        <f>SUM(VLOOKUP($A3,'20Trips'!$A$3:$F$22,2,FALSE),VLOOKUP(D$1,'20Trips'!$A$3:$F$22,2,FALSE))</f>
        <v>270</v>
      </c>
    </row>
    <row r="95" spans="1:22" x14ac:dyDescent="0.25">
      <c r="E95" s="16">
        <f>'20Trips'!$AC$38</f>
        <v>350</v>
      </c>
    </row>
    <row r="96" spans="1:22" x14ac:dyDescent="0.25">
      <c r="E96" s="16" t="b">
        <f>$A3&lt;&gt;D$1</f>
        <v>1</v>
      </c>
    </row>
    <row r="97" spans="5:5" x14ac:dyDescent="0.25">
      <c r="E97" s="16" t="b">
        <f>feasible_mat!D3=1</f>
        <v>1</v>
      </c>
    </row>
    <row r="98" spans="5:5" x14ac:dyDescent="0.25">
      <c r="E98" s="16">
        <f>VLOOKUP(D$1,'20Trips'!$A$3:$I$22,8,FALSE)-(VLOOKUP($A3,'20Trips'!$A$3:$I$22,9,FALSE))</f>
        <v>45</v>
      </c>
    </row>
    <row r="99" spans="5:5" x14ac:dyDescent="0.25">
      <c r="E99" s="16">
        <f>VLOOKUP(D$1,'20Trips'!$A$3:$I$22,8,FALSE)</f>
        <v>740</v>
      </c>
    </row>
    <row r="100" spans="5:5" x14ac:dyDescent="0.25">
      <c r="E100" s="16">
        <f>(VLOOKUP($A3,'20Trips'!$A$3:$I$22,9,FALSE))</f>
        <v>695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C526-A995-4092-B570-3484EC3FC906}">
  <dimension ref="A1:AH156"/>
  <sheetViews>
    <sheetView topLeftCell="A76" workbookViewId="0">
      <pane xSplit="1" topLeftCell="B1" activePane="topRight" state="frozen"/>
      <selection activeCell="Q35" sqref="Q35"/>
      <selection pane="topRight" activeCell="Q35" sqref="Q35"/>
    </sheetView>
  </sheetViews>
  <sheetFormatPr defaultRowHeight="15" x14ac:dyDescent="0.25"/>
  <sheetData>
    <row r="1" spans="1:34" x14ac:dyDescent="0.25">
      <c r="A1" t="s">
        <v>54</v>
      </c>
      <c r="C1" t="s">
        <v>46</v>
      </c>
      <c r="D1" t="s">
        <v>6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18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</row>
    <row r="2" spans="1:34" x14ac:dyDescent="0.25">
      <c r="A2" t="s">
        <v>48</v>
      </c>
      <c r="B2" t="s">
        <v>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s="3"/>
    </row>
    <row r="3" spans="1:34" x14ac:dyDescent="0.25">
      <c r="A3" t="s">
        <v>48</v>
      </c>
      <c r="B3" t="s">
        <v>6</v>
      </c>
      <c r="C3">
        <v>0</v>
      </c>
      <c r="D3" s="2">
        <f>IF(AND(VLOOKUP(D$1,'20Trips'!$A$3:$F$22,5,FALSE) - VLOOKUP($B3,'20Trips'!$A$3:$G$22,6,FALSE) &gt;= ('20Trips'!$B$23+VLOOKUP(VLOOKUP($B3,'20Trips'!$A$2:$I$22,4,FALSE),'20Trips'!$AB$32:$AH$36,3,FALSE))/1440),1,0)</f>
        <v>0</v>
      </c>
      <c r="E3" s="2">
        <f>IF(AND(VLOOKUP(E$1,'20Trips'!$A$3:$F$22,5,FALSE) - VLOOKUP($B3,'20Trips'!$A$3:$G$22,6,FALSE) &gt;= ('20Trips'!$B$23+VLOOKUP(VLOOKUP($B3,'20Trips'!$A$2:$I$22,4,FALSE),'20Trips'!$AB$32:$AH$36,3,FALSE))/1440),1,0)</f>
        <v>0</v>
      </c>
      <c r="F3" s="2">
        <f>IF(AND(VLOOKUP(F$1,'20Trips'!$A$3:$F$22,5,FALSE) - VLOOKUP($B3,'20Trips'!$A$3:$G$22,6,FALSE) &gt;= ('20Trips'!$B$23+VLOOKUP(VLOOKUP($B3,'20Trips'!$A$2:$I$22,4,FALSE),'20Trips'!$AB$32:$AH$36,3,FALSE))/1440),1,0)</f>
        <v>1</v>
      </c>
      <c r="G3" s="2">
        <f>IF(AND(VLOOKUP(G$1,'20Trips'!$A$3:$F$22,5,FALSE) - VLOOKUP($B3,'20Trips'!$A$3:$G$22,6,FALSE) &gt;= ('20Trips'!$B$23+VLOOKUP(VLOOKUP($B3,'20Trips'!$A$2:$I$22,4,FALSE),'20Trips'!$AB$32:$AH$36,3,FALSE))/1440),1,0)</f>
        <v>1</v>
      </c>
      <c r="H3" s="2">
        <f>IF(AND(VLOOKUP(H$1,'20Trips'!$A$3:$F$22,5,FALSE) - VLOOKUP($B3,'20Trips'!$A$3:$G$22,6,FALSE) &gt;= ('20Trips'!$B$23+VLOOKUP(VLOOKUP($B3,'20Trips'!$A$2:$I$22,4,FALSE),'20Trips'!$AB$32:$AH$36,3,FALSE))/1440),1,0)</f>
        <v>1</v>
      </c>
      <c r="I3" s="2" t="e">
        <f>IF(AND(VLOOKUP(I$1,'20Trips'!$A$3:$F$22,5,FALSE) - VLOOKUP($B3,'20Trips'!$A$3:$G$22,6,FALSE) &gt;= ('20Trips'!$B$23+VLOOKUP(VLOOKUP($B3,'20Trips'!$A$2:$I$22,4,FALSE),'20Trips'!$AB$32:$AH$36,3,FALSE))/1440),1,0)</f>
        <v>#N/A</v>
      </c>
      <c r="J3" s="2" t="e">
        <f>IF(AND(VLOOKUP(J$1,'20Trips'!$A$3:$F$22,5,FALSE) - VLOOKUP($B3,'20Trips'!$A$3:$G$22,6,FALSE) &gt;= ('20Trips'!$B$23+VLOOKUP(VLOOKUP($B3,'20Trips'!$A$2:$I$22,4,FALSE),'20Trips'!$AB$32:$AH$36,3,FALSE))/1440),1,0)</f>
        <v>#N/A</v>
      </c>
      <c r="K3" s="2" t="e">
        <f>IF(AND(VLOOKUP(K$1,'20Trips'!$A$3:$F$22,5,FALSE) - VLOOKUP($B3,'20Trips'!$A$3:$G$22,6,FALSE) &gt;= ('20Trips'!$B$23+VLOOKUP(VLOOKUP($B3,'20Trips'!$A$2:$I$22,4,FALSE),'20Trips'!$AB$32:$AH$36,3,FALSE))/1440),1,0)</f>
        <v>#N/A</v>
      </c>
      <c r="L3" s="2">
        <f>IF(AND(VLOOKUP(L$1,'20Trips'!$A$3:$F$22,5,FALSE) - VLOOKUP($B3,'20Trips'!$A$3:$G$22,6,FALSE) &gt;= ('20Trips'!$B$23+VLOOKUP(VLOOKUP($B3,'20Trips'!$A$2:$I$22,4,FALSE),'20Trips'!$AB$32:$AH$36,3,FALSE))/1440),1,0)</f>
        <v>0</v>
      </c>
      <c r="M3" s="2">
        <f>IF(AND(VLOOKUP(M$1,'20Trips'!$A$3:$F$22,5,FALSE) - VLOOKUP($B3,'20Trips'!$A$3:$G$22,6,FALSE) &gt;= ('20Trips'!$B$23+VLOOKUP(VLOOKUP($B3,'20Trips'!$A$2:$I$22,4,FALSE),'20Trips'!$AB$32:$AH$36,3,FALSE))/1440),1,0)</f>
        <v>0</v>
      </c>
      <c r="N3" s="2">
        <f>IF(AND(VLOOKUP(N$1,'20Trips'!$A$3:$F$22,5,FALSE) - VLOOKUP($B3,'20Trips'!$A$3:$G$22,6,FALSE) &gt;= ('20Trips'!$B$23+VLOOKUP(VLOOKUP($B3,'20Trips'!$A$2:$I$22,4,FALSE),'20Trips'!$AB$32:$AH$36,3,FALSE))/1440),1,0)</f>
        <v>1</v>
      </c>
      <c r="O3" s="2">
        <f>IF(AND(VLOOKUP(O$1,'20Trips'!$A$3:$F$22,5,FALSE) - VLOOKUP($B3,'20Trips'!$A$3:$G$22,6,FALSE) &gt;= ('20Trips'!$B$23+VLOOKUP(VLOOKUP($B3,'20Trips'!$A$2:$I$22,4,FALSE),'20Trips'!$AB$32:$AH$36,3,FALSE))/1440),1,0)</f>
        <v>1</v>
      </c>
      <c r="P3" s="2">
        <f>IF(AND(VLOOKUP(P$1,'20Trips'!$A$3:$F$22,5,FALSE) - VLOOKUP($B3,'20Trips'!$A$3:$G$22,6,FALSE) &gt;= ('20Trips'!$B$23+VLOOKUP(VLOOKUP($B3,'20Trips'!$A$2:$I$22,4,FALSE),'20Trips'!$AB$32:$AH$36,3,FALSE))/1440),1,0)</f>
        <v>1</v>
      </c>
      <c r="Q3" s="2" t="e">
        <f>IF(AND(VLOOKUP(Q$1,'20Trips'!$A$3:$F$22,5,FALSE) - VLOOKUP($B3,'20Trips'!$A$3:$G$22,6,FALSE) &gt;= ('20Trips'!$B$23+VLOOKUP(VLOOKUP($B3,'20Trips'!$A$2:$I$22,4,FALSE),'20Trips'!$AB$32:$AH$36,3,FALSE))/1440),1,0)</f>
        <v>#N/A</v>
      </c>
      <c r="R3" s="2">
        <f>IF(AND(VLOOKUP(R$1,'20Trips'!$A$3:$F$22,5,FALSE) - VLOOKUP($B3,'20Trips'!$A$3:$G$22,6,FALSE) &gt;= ('20Trips'!$B$23+VLOOKUP(VLOOKUP($B3,'20Trips'!$A$2:$I$22,4,FALSE),'20Trips'!$AB$32:$AH$36,3,FALSE))/1440),1,0)</f>
        <v>0</v>
      </c>
      <c r="S3" s="2">
        <f>IF(AND(VLOOKUP(S$1,'20Trips'!$A$3:$F$22,5,FALSE) - VLOOKUP($B3,'20Trips'!$A$3:$G$22,6,FALSE) &gt;= ('20Trips'!$B$23+VLOOKUP(VLOOKUP($B3,'20Trips'!$A$2:$I$22,4,FALSE),'20Trips'!$AB$32:$AH$36,3,FALSE))/1440),1,0)</f>
        <v>0</v>
      </c>
      <c r="T3" s="2">
        <f>IF(AND(VLOOKUP(T$1,'20Trips'!$A$3:$F$22,5,FALSE) - VLOOKUP($B3,'20Trips'!$A$3:$G$22,6,FALSE) &gt;= ('20Trips'!$B$23+VLOOKUP(VLOOKUP($B3,'20Trips'!$A$2:$I$22,4,FALSE),'20Trips'!$AB$32:$AH$36,3,FALSE))/1440),1,0)</f>
        <v>0</v>
      </c>
      <c r="U3" s="2">
        <f>IF(AND(VLOOKUP(U$1,'20Trips'!$A$3:$F$22,5,FALSE) - VLOOKUP($B3,'20Trips'!$A$3:$G$22,6,FALSE) &gt;= ('20Trips'!$B$23+VLOOKUP(VLOOKUP($B3,'20Trips'!$A$2:$I$22,4,FALSE),'20Trips'!$AB$32:$AH$36,3,FALSE))/1440),1,0)</f>
        <v>1</v>
      </c>
      <c r="V3" s="2">
        <f>IF(AND(VLOOKUP(V$1,'20Trips'!$A$3:$F$22,5,FALSE) - VLOOKUP($B3,'20Trips'!$A$3:$G$22,6,FALSE) &gt;= ('20Trips'!$B$23+VLOOKUP(VLOOKUP($B3,'20Trips'!$A$2:$I$22,4,FALSE),'20Trips'!$AB$32:$AH$36,3,FALSE))/1440),1,0)</f>
        <v>1</v>
      </c>
      <c r="W3" s="2" t="e">
        <f>IF(AND(VLOOKUP(W$1,'20Trips'!$A$3:$F$22,5,FALSE) - VLOOKUP($B3,'20Trips'!$A$3:$G$22,6,FALSE) &gt;= ('20Trips'!$B$23+VLOOKUP(VLOOKUP($B3,'20Trips'!$A$2:$I$22,4,FALSE),'20Trips'!$AB$32:$AH$36,3,FALSE))/1440),1,0)</f>
        <v>#N/A</v>
      </c>
      <c r="X3" s="2" t="e">
        <f>IF(AND(VLOOKUP(X$1,'20Trips'!$A$3:$F$22,5,FALSE) - VLOOKUP($B3,'20Trips'!$A$3:$G$22,6,FALSE) &gt;= ('20Trips'!$B$23+VLOOKUP(VLOOKUP($B3,'20Trips'!$A$2:$I$22,4,FALSE),'20Trips'!$AB$32:$AH$36,3,FALSE))/1440),1,0)</f>
        <v>#N/A</v>
      </c>
      <c r="Y3" s="2" t="e">
        <f>IF(AND(VLOOKUP(Y$1,'20Trips'!$A$3:$F$22,5,FALSE) - VLOOKUP($B3,'20Trips'!$A$3:$G$22,6,FALSE) &gt;= ('20Trips'!$B$23+VLOOKUP(VLOOKUP($B3,'20Trips'!$A$2:$I$22,4,FALSE),'20Trips'!$AB$32:$AH$36,3,FALSE))/1440),1,0)</f>
        <v>#N/A</v>
      </c>
      <c r="Z3" s="2">
        <f>IF(AND(VLOOKUP(Z$1,'20Trips'!$A$3:$F$22,5,FALSE) - VLOOKUP($B3,'20Trips'!$A$3:$G$22,6,FALSE) &gt;= ('20Trips'!$B$23+VLOOKUP(VLOOKUP($B3,'20Trips'!$A$2:$I$22,4,FALSE),'20Trips'!$AB$32:$AH$36,3,FALSE))/1440),1,0)</f>
        <v>0</v>
      </c>
      <c r="AA3" s="2">
        <f>IF(AND(VLOOKUP(AA$1,'20Trips'!$A$3:$F$22,5,FALSE) - VLOOKUP($B3,'20Trips'!$A$3:$G$22,6,FALSE) &gt;= ('20Trips'!$B$23+VLOOKUP(VLOOKUP($B3,'20Trips'!$A$2:$I$22,4,FALSE),'20Trips'!$AB$32:$AH$36,3,FALSE))/1440),1,0)</f>
        <v>0</v>
      </c>
      <c r="AB3" s="2">
        <f>IF(AND(VLOOKUP(AB$1,'20Trips'!$A$3:$F$22,5,FALSE) - VLOOKUP($B3,'20Trips'!$A$3:$G$22,6,FALSE) &gt;= ('20Trips'!$B$23+VLOOKUP(VLOOKUP($B3,'20Trips'!$A$2:$I$22,4,FALSE),'20Trips'!$AB$32:$AH$36,3,FALSE))/1440),1,0)</f>
        <v>1</v>
      </c>
      <c r="AC3" s="2">
        <f>IF(AND(VLOOKUP(AC$1,'20Trips'!$A$3:$F$22,5,FALSE) - VLOOKUP($B3,'20Trips'!$A$3:$G$22,6,FALSE) &gt;= ('20Trips'!$B$23+VLOOKUP(VLOOKUP($B3,'20Trips'!$A$2:$I$22,4,FALSE),'20Trips'!$AB$32:$AH$36,3,FALSE))/1440),1,0)</f>
        <v>1</v>
      </c>
      <c r="AD3" s="2">
        <f>IF(AND(VLOOKUP(AD$1,'20Trips'!$A$3:$F$22,5,FALSE) - VLOOKUP($B3,'20Trips'!$A$3:$G$22,6,FALSE) &gt;= ('20Trips'!$B$23+VLOOKUP(VLOOKUP($B3,'20Trips'!$A$2:$I$22,4,FALSE),'20Trips'!$AB$32:$AH$36,3,FALSE))/1440),1,0)</f>
        <v>1</v>
      </c>
      <c r="AE3" s="2" t="e">
        <f>IF(AND(VLOOKUP(AE$1,'20Trips'!$A$3:$F$22,5,FALSE) - VLOOKUP($B3,'20Trips'!$A$3:$G$22,6,FALSE) &gt;= ('20Trips'!$B$23+VLOOKUP(VLOOKUP($B3,'20Trips'!$A$2:$I$22,4,FALSE),'20Trips'!$AB$32:$AH$36,3,FALSE))/1440),1,0)</f>
        <v>#N/A</v>
      </c>
      <c r="AF3" s="2" t="e">
        <f>IF(AND(VLOOKUP(AF$1,'20Trips'!$A$3:$F$22,5,FALSE) - VLOOKUP($B3,'20Trips'!$A$3:$G$22,6,FALSE) &gt;= ('20Trips'!$B$23+VLOOKUP(VLOOKUP($B3,'20Trips'!$A$2:$I$22,4,FALSE),'20Trips'!$AB$32:$AH$36,3,FALSE))/1440),1,0)</f>
        <v>#N/A</v>
      </c>
      <c r="AG3" s="2" t="e">
        <f>IF(AND(VLOOKUP(AG$1,'20Trips'!$A$3:$F$22,5,FALSE) - VLOOKUP($B3,'20Trips'!$A$3:$G$22,6,FALSE) &gt;= ('20Trips'!$B$23+VLOOKUP(VLOOKUP($B3,'20Trips'!$A$2:$I$22,4,FALSE),'20Trips'!$AB$32:$AH$36,3,FALSE))/1440),1,0)</f>
        <v>#N/A</v>
      </c>
    </row>
    <row r="4" spans="1:34" x14ac:dyDescent="0.25">
      <c r="A4" t="s">
        <v>48</v>
      </c>
      <c r="B4" t="s">
        <v>9</v>
      </c>
      <c r="C4">
        <v>0</v>
      </c>
      <c r="D4" s="2">
        <f>IF(AND(VLOOKUP(D$1,'20Trips'!$A$3:$F$22,5,FALSE) - VLOOKUP($B4,'20Trips'!$A$3:$G$22,6,FALSE) &gt;= ('20Trips'!$B$23+VLOOKUP(VLOOKUP($B4,'20Trips'!$A$2:$I$22,4,FALSE),'20Trips'!$AB$32:$AH$36,3,FALSE))/1440),1,0)</f>
        <v>0</v>
      </c>
      <c r="E4" s="2">
        <f>IF(AND(VLOOKUP(E$1,'20Trips'!$A$3:$F$22,5,FALSE) - VLOOKUP($B4,'20Trips'!$A$3:$G$22,6,FALSE) &gt;= ('20Trips'!$B$23+VLOOKUP(VLOOKUP($B4,'20Trips'!$A$2:$I$22,4,FALSE),'20Trips'!$AB$32:$AH$36,3,FALSE))/1440),1,0)</f>
        <v>0</v>
      </c>
      <c r="F4" s="2">
        <f>IF(AND(VLOOKUP(F$1,'20Trips'!$A$3:$F$22,5,FALSE) - VLOOKUP($B4,'20Trips'!$A$3:$G$22,6,FALSE) &gt;= ('20Trips'!$B$23+VLOOKUP(VLOOKUP($B4,'20Trips'!$A$2:$I$22,4,FALSE),'20Trips'!$AB$32:$AH$36,3,FALSE))/1440),1,0)</f>
        <v>0</v>
      </c>
      <c r="G4" s="2">
        <f>IF(AND(VLOOKUP(G$1,'20Trips'!$A$3:$F$22,5,FALSE) - VLOOKUP($B4,'20Trips'!$A$3:$G$22,6,FALSE) &gt;= ('20Trips'!$B$23+VLOOKUP(VLOOKUP($B4,'20Trips'!$A$2:$I$22,4,FALSE),'20Trips'!$AB$32:$AH$36,3,FALSE))/1440),1,0)</f>
        <v>0</v>
      </c>
      <c r="H4" s="2">
        <f>IF(AND(VLOOKUP(H$1,'20Trips'!$A$3:$F$22,5,FALSE) - VLOOKUP($B4,'20Trips'!$A$3:$G$22,6,FALSE) &gt;= ('20Trips'!$B$23+VLOOKUP(VLOOKUP($B4,'20Trips'!$A$2:$I$22,4,FALSE),'20Trips'!$AB$32:$AH$36,3,FALSE))/1440),1,0)</f>
        <v>1</v>
      </c>
      <c r="I4" s="2" t="e">
        <f>IF(AND(VLOOKUP(I$1,'20Trips'!$A$3:$F$22,5,FALSE) - VLOOKUP($B4,'20Trips'!$A$3:$G$22,6,FALSE) &gt;= ('20Trips'!$B$23+VLOOKUP(VLOOKUP($B4,'20Trips'!$A$2:$I$22,4,FALSE),'20Trips'!$AB$32:$AH$36,3,FALSE))/1440),1,0)</f>
        <v>#N/A</v>
      </c>
      <c r="J4" s="2" t="e">
        <f>IF(AND(VLOOKUP(J$1,'20Trips'!$A$3:$F$22,5,FALSE) - VLOOKUP($B4,'20Trips'!$A$3:$G$22,6,FALSE) &gt;= ('20Trips'!$B$23+VLOOKUP(VLOOKUP($B4,'20Trips'!$A$2:$I$22,4,FALSE),'20Trips'!$AB$32:$AH$36,3,FALSE))/1440),1,0)</f>
        <v>#N/A</v>
      </c>
      <c r="K4" s="2" t="e">
        <f>IF(AND(VLOOKUP(K$1,'20Trips'!$A$3:$F$22,5,FALSE) - VLOOKUP($B4,'20Trips'!$A$3:$G$22,6,FALSE) &gt;= ('20Trips'!$B$23+VLOOKUP(VLOOKUP($B4,'20Trips'!$A$2:$I$22,4,FALSE),'20Trips'!$AB$32:$AH$36,3,FALSE))/1440),1,0)</f>
        <v>#N/A</v>
      </c>
      <c r="L4" s="2">
        <f>IF(AND(VLOOKUP(L$1,'20Trips'!$A$3:$F$22,5,FALSE) - VLOOKUP($B4,'20Trips'!$A$3:$G$22,6,FALSE) &gt;= ('20Trips'!$B$23+VLOOKUP(VLOOKUP($B4,'20Trips'!$A$2:$I$22,4,FALSE),'20Trips'!$AB$32:$AH$36,3,FALSE))/1440),1,0)</f>
        <v>0</v>
      </c>
      <c r="M4" s="2">
        <f>IF(AND(VLOOKUP(M$1,'20Trips'!$A$3:$F$22,5,FALSE) - VLOOKUP($B4,'20Trips'!$A$3:$G$22,6,FALSE) &gt;= ('20Trips'!$B$23+VLOOKUP(VLOOKUP($B4,'20Trips'!$A$2:$I$22,4,FALSE),'20Trips'!$AB$32:$AH$36,3,FALSE))/1440),1,0)</f>
        <v>0</v>
      </c>
      <c r="N4" s="2">
        <f>IF(AND(VLOOKUP(N$1,'20Trips'!$A$3:$F$22,5,FALSE) - VLOOKUP($B4,'20Trips'!$A$3:$G$22,6,FALSE) &gt;= ('20Trips'!$B$23+VLOOKUP(VLOOKUP($B4,'20Trips'!$A$2:$I$22,4,FALSE),'20Trips'!$AB$32:$AH$36,3,FALSE))/1440),1,0)</f>
        <v>0</v>
      </c>
      <c r="O4" s="2">
        <f>IF(AND(VLOOKUP(O$1,'20Trips'!$A$3:$F$22,5,FALSE) - VLOOKUP($B4,'20Trips'!$A$3:$G$22,6,FALSE) &gt;= ('20Trips'!$B$23+VLOOKUP(VLOOKUP($B4,'20Trips'!$A$2:$I$22,4,FALSE),'20Trips'!$AB$32:$AH$36,3,FALSE))/1440),1,0)</f>
        <v>1</v>
      </c>
      <c r="P4" s="2">
        <f>IF(AND(VLOOKUP(P$1,'20Trips'!$A$3:$F$22,5,FALSE) - VLOOKUP($B4,'20Trips'!$A$3:$G$22,6,FALSE) &gt;= ('20Trips'!$B$23+VLOOKUP(VLOOKUP($B4,'20Trips'!$A$2:$I$22,4,FALSE),'20Trips'!$AB$32:$AH$36,3,FALSE))/1440),1,0)</f>
        <v>1</v>
      </c>
      <c r="Q4" s="2" t="e">
        <f>IF(AND(VLOOKUP(Q$1,'20Trips'!$A$3:$F$22,5,FALSE) - VLOOKUP($B4,'20Trips'!$A$3:$G$22,6,FALSE) &gt;= ('20Trips'!$B$23+VLOOKUP(VLOOKUP($B4,'20Trips'!$A$2:$I$22,4,FALSE),'20Trips'!$AB$32:$AH$36,3,FALSE))/1440),1,0)</f>
        <v>#N/A</v>
      </c>
      <c r="R4" s="2">
        <f>IF(AND(VLOOKUP(R$1,'20Trips'!$A$3:$F$22,5,FALSE) - VLOOKUP($B4,'20Trips'!$A$3:$G$22,6,FALSE) &gt;= ('20Trips'!$B$23+VLOOKUP(VLOOKUP($B4,'20Trips'!$A$2:$I$22,4,FALSE),'20Trips'!$AB$32:$AH$36,3,FALSE))/1440),1,0)</f>
        <v>0</v>
      </c>
      <c r="S4" s="2">
        <f>IF(AND(VLOOKUP(S$1,'20Trips'!$A$3:$F$22,5,FALSE) - VLOOKUP($B4,'20Trips'!$A$3:$G$22,6,FALSE) &gt;= ('20Trips'!$B$23+VLOOKUP(VLOOKUP($B4,'20Trips'!$A$2:$I$22,4,FALSE),'20Trips'!$AB$32:$AH$36,3,FALSE))/1440),1,0)</f>
        <v>0</v>
      </c>
      <c r="T4" s="2">
        <f>IF(AND(VLOOKUP(T$1,'20Trips'!$A$3:$F$22,5,FALSE) - VLOOKUP($B4,'20Trips'!$A$3:$G$22,6,FALSE) &gt;= ('20Trips'!$B$23+VLOOKUP(VLOOKUP($B4,'20Trips'!$A$2:$I$22,4,FALSE),'20Trips'!$AB$32:$AH$36,3,FALSE))/1440),1,0)</f>
        <v>0</v>
      </c>
      <c r="U4" s="2">
        <f>IF(AND(VLOOKUP(U$1,'20Trips'!$A$3:$F$22,5,FALSE) - VLOOKUP($B4,'20Trips'!$A$3:$G$22,6,FALSE) &gt;= ('20Trips'!$B$23+VLOOKUP(VLOOKUP($B4,'20Trips'!$A$2:$I$22,4,FALSE),'20Trips'!$AB$32:$AH$36,3,FALSE))/1440),1,0)</f>
        <v>0</v>
      </c>
      <c r="V4" s="2">
        <f>IF(AND(VLOOKUP(V$1,'20Trips'!$A$3:$F$22,5,FALSE) - VLOOKUP($B4,'20Trips'!$A$3:$G$22,6,FALSE) &gt;= ('20Trips'!$B$23+VLOOKUP(VLOOKUP($B4,'20Trips'!$A$2:$I$22,4,FALSE),'20Trips'!$AB$32:$AH$36,3,FALSE))/1440),1,0)</f>
        <v>0</v>
      </c>
      <c r="W4" s="2" t="e">
        <f>IF(AND(VLOOKUP(W$1,'20Trips'!$A$3:$F$22,5,FALSE) - VLOOKUP($B4,'20Trips'!$A$3:$G$22,6,FALSE) &gt;= ('20Trips'!$B$23+VLOOKUP(VLOOKUP($B4,'20Trips'!$A$2:$I$22,4,FALSE),'20Trips'!$AB$32:$AH$36,3,FALSE))/1440),1,0)</f>
        <v>#N/A</v>
      </c>
      <c r="X4" s="2" t="e">
        <f>IF(AND(VLOOKUP(X$1,'20Trips'!$A$3:$F$22,5,FALSE) - VLOOKUP($B4,'20Trips'!$A$3:$G$22,6,FALSE) &gt;= ('20Trips'!$B$23+VLOOKUP(VLOOKUP($B4,'20Trips'!$A$2:$I$22,4,FALSE),'20Trips'!$AB$32:$AH$36,3,FALSE))/1440),1,0)</f>
        <v>#N/A</v>
      </c>
      <c r="Y4" s="2" t="e">
        <f>IF(AND(VLOOKUP(Y$1,'20Trips'!$A$3:$F$22,5,FALSE) - VLOOKUP($B4,'20Trips'!$A$3:$G$22,6,FALSE) &gt;= ('20Trips'!$B$23+VLOOKUP(VLOOKUP($B4,'20Trips'!$A$2:$I$22,4,FALSE),'20Trips'!$AB$32:$AH$36,3,FALSE))/1440),1,0)</f>
        <v>#N/A</v>
      </c>
      <c r="Z4" s="2">
        <f>IF(AND(VLOOKUP(Z$1,'20Trips'!$A$3:$F$22,5,FALSE) - VLOOKUP($B4,'20Trips'!$A$3:$G$22,6,FALSE) &gt;= ('20Trips'!$B$23+VLOOKUP(VLOOKUP($B4,'20Trips'!$A$2:$I$22,4,FALSE),'20Trips'!$AB$32:$AH$36,3,FALSE))/1440),1,0)</f>
        <v>0</v>
      </c>
      <c r="AA4" s="2">
        <f>IF(AND(VLOOKUP(AA$1,'20Trips'!$A$3:$F$22,5,FALSE) - VLOOKUP($B4,'20Trips'!$A$3:$G$22,6,FALSE) &gt;= ('20Trips'!$B$23+VLOOKUP(VLOOKUP($B4,'20Trips'!$A$2:$I$22,4,FALSE),'20Trips'!$AB$32:$AH$36,3,FALSE))/1440),1,0)</f>
        <v>0</v>
      </c>
      <c r="AB4" s="2">
        <f>IF(AND(VLOOKUP(AB$1,'20Trips'!$A$3:$F$22,5,FALSE) - VLOOKUP($B4,'20Trips'!$A$3:$G$22,6,FALSE) &gt;= ('20Trips'!$B$23+VLOOKUP(VLOOKUP($B4,'20Trips'!$A$2:$I$22,4,FALSE),'20Trips'!$AB$32:$AH$36,3,FALSE))/1440),1,0)</f>
        <v>0</v>
      </c>
      <c r="AC4" s="2">
        <f>IF(AND(VLOOKUP(AC$1,'20Trips'!$A$3:$F$22,5,FALSE) - VLOOKUP($B4,'20Trips'!$A$3:$G$22,6,FALSE) &gt;= ('20Trips'!$B$23+VLOOKUP(VLOOKUP($B4,'20Trips'!$A$2:$I$22,4,FALSE),'20Trips'!$AB$32:$AH$36,3,FALSE))/1440),1,0)</f>
        <v>0</v>
      </c>
      <c r="AD4" s="2">
        <f>IF(AND(VLOOKUP(AD$1,'20Trips'!$A$3:$F$22,5,FALSE) - VLOOKUP($B4,'20Trips'!$A$3:$G$22,6,FALSE) &gt;= ('20Trips'!$B$23+VLOOKUP(VLOOKUP($B4,'20Trips'!$A$2:$I$22,4,FALSE),'20Trips'!$AB$32:$AH$36,3,FALSE))/1440),1,0)</f>
        <v>1</v>
      </c>
      <c r="AE4" s="2" t="e">
        <f>IF(AND(VLOOKUP(AE$1,'20Trips'!$A$3:$F$22,5,FALSE) - VLOOKUP($B4,'20Trips'!$A$3:$G$22,6,FALSE) &gt;= ('20Trips'!$B$23+VLOOKUP(VLOOKUP($B4,'20Trips'!$A$2:$I$22,4,FALSE),'20Trips'!$AB$32:$AH$36,3,FALSE))/1440),1,0)</f>
        <v>#N/A</v>
      </c>
      <c r="AF4" s="2" t="e">
        <f>IF(AND(VLOOKUP(AF$1,'20Trips'!$A$3:$F$22,5,FALSE) - VLOOKUP($B4,'20Trips'!$A$3:$G$22,6,FALSE) &gt;= ('20Trips'!$B$23+VLOOKUP(VLOOKUP($B4,'20Trips'!$A$2:$I$22,4,FALSE),'20Trips'!$AB$32:$AH$36,3,FALSE))/1440),1,0)</f>
        <v>#N/A</v>
      </c>
      <c r="AG4" s="2" t="e">
        <f>IF(AND(VLOOKUP(AG$1,'20Trips'!$A$3:$F$22,5,FALSE) - VLOOKUP($B4,'20Trips'!$A$3:$G$22,6,FALSE) &gt;= ('20Trips'!$B$23+VLOOKUP(VLOOKUP($B4,'20Trips'!$A$2:$I$22,4,FALSE),'20Trips'!$AB$32:$AH$36,3,FALSE))/1440),1,0)</f>
        <v>#N/A</v>
      </c>
    </row>
    <row r="5" spans="1:34" x14ac:dyDescent="0.25">
      <c r="A5" t="s">
        <v>48</v>
      </c>
      <c r="B5" t="s">
        <v>10</v>
      </c>
      <c r="C5">
        <v>0</v>
      </c>
      <c r="D5" s="2">
        <f>IF(AND(VLOOKUP(D$1,'20Trips'!$A$3:$F$22,5,FALSE) - VLOOKUP($B5,'20Trips'!$A$3:$G$22,6,FALSE) &gt;= ('20Trips'!$B$23+VLOOKUP(VLOOKUP($B5,'20Trips'!$A$2:$I$22,4,FALSE),'20Trips'!$AB$32:$AH$36,3,FALSE))/1440),1,0)</f>
        <v>0</v>
      </c>
      <c r="E5" s="2">
        <f>IF(AND(VLOOKUP(E$1,'20Trips'!$A$3:$F$22,5,FALSE) - VLOOKUP($B5,'20Trips'!$A$3:$G$22,6,FALSE) &gt;= ('20Trips'!$B$23+VLOOKUP(VLOOKUP($B5,'20Trips'!$A$2:$I$22,4,FALSE),'20Trips'!$AB$32:$AH$36,3,FALSE))/1440),1,0)</f>
        <v>0</v>
      </c>
      <c r="F5" s="2">
        <f>IF(AND(VLOOKUP(F$1,'20Trips'!$A$3:$F$22,5,FALSE) - VLOOKUP($B5,'20Trips'!$A$3:$G$22,6,FALSE) &gt;= ('20Trips'!$B$23+VLOOKUP(VLOOKUP($B5,'20Trips'!$A$2:$I$22,4,FALSE),'20Trips'!$AB$32:$AH$36,3,FALSE))/1440),1,0)</f>
        <v>0</v>
      </c>
      <c r="G5" s="2">
        <f>IF(AND(VLOOKUP(G$1,'20Trips'!$A$3:$F$22,5,FALSE) - VLOOKUP($B5,'20Trips'!$A$3:$G$22,6,FALSE) &gt;= ('20Trips'!$B$23+VLOOKUP(VLOOKUP($B5,'20Trips'!$A$2:$I$22,4,FALSE),'20Trips'!$AB$32:$AH$36,3,FALSE))/1440),1,0)</f>
        <v>0</v>
      </c>
      <c r="H5" s="2">
        <f>IF(AND(VLOOKUP(H$1,'20Trips'!$A$3:$F$22,5,FALSE) - VLOOKUP($B5,'20Trips'!$A$3:$G$22,6,FALSE) &gt;= ('20Trips'!$B$23+VLOOKUP(VLOOKUP($B5,'20Trips'!$A$2:$I$22,4,FALSE),'20Trips'!$AB$32:$AH$36,3,FALSE))/1440),1,0)</f>
        <v>0</v>
      </c>
      <c r="I5" s="2" t="e">
        <f>IF(AND(VLOOKUP(I$1,'20Trips'!$A$3:$F$22,5,FALSE) - VLOOKUP($B5,'20Trips'!$A$3:$G$22,6,FALSE) &gt;= ('20Trips'!$B$23+VLOOKUP(VLOOKUP($B5,'20Trips'!$A$2:$I$22,4,FALSE),'20Trips'!$AB$32:$AH$36,3,FALSE))/1440),1,0)</f>
        <v>#N/A</v>
      </c>
      <c r="J5" s="2" t="e">
        <f>IF(AND(VLOOKUP(J$1,'20Trips'!$A$3:$F$22,5,FALSE) - VLOOKUP($B5,'20Trips'!$A$3:$G$22,6,FALSE) &gt;= ('20Trips'!$B$23+VLOOKUP(VLOOKUP($B5,'20Trips'!$A$2:$I$22,4,FALSE),'20Trips'!$AB$32:$AH$36,3,FALSE))/1440),1,0)</f>
        <v>#N/A</v>
      </c>
      <c r="K5" s="2" t="e">
        <f>IF(AND(VLOOKUP(K$1,'20Trips'!$A$3:$F$22,5,FALSE) - VLOOKUP($B5,'20Trips'!$A$3:$G$22,6,FALSE) &gt;= ('20Trips'!$B$23+VLOOKUP(VLOOKUP($B5,'20Trips'!$A$2:$I$22,4,FALSE),'20Trips'!$AB$32:$AH$36,3,FALSE))/1440),1,0)</f>
        <v>#N/A</v>
      </c>
      <c r="L5" s="2">
        <f>IF(AND(VLOOKUP(L$1,'20Trips'!$A$3:$F$22,5,FALSE) - VLOOKUP($B5,'20Trips'!$A$3:$G$22,6,FALSE) &gt;= ('20Trips'!$B$23+VLOOKUP(VLOOKUP($B5,'20Trips'!$A$2:$I$22,4,FALSE),'20Trips'!$AB$32:$AH$36,3,FALSE))/1440),1,0)</f>
        <v>0</v>
      </c>
      <c r="M5" s="2">
        <f>IF(AND(VLOOKUP(M$1,'20Trips'!$A$3:$F$22,5,FALSE) - VLOOKUP($B5,'20Trips'!$A$3:$G$22,6,FALSE) &gt;= ('20Trips'!$B$23+VLOOKUP(VLOOKUP($B5,'20Trips'!$A$2:$I$22,4,FALSE),'20Trips'!$AB$32:$AH$36,3,FALSE))/1440),1,0)</f>
        <v>0</v>
      </c>
      <c r="N5" s="2">
        <f>IF(AND(VLOOKUP(N$1,'20Trips'!$A$3:$F$22,5,FALSE) - VLOOKUP($B5,'20Trips'!$A$3:$G$22,6,FALSE) &gt;= ('20Trips'!$B$23+VLOOKUP(VLOOKUP($B5,'20Trips'!$A$2:$I$22,4,FALSE),'20Trips'!$AB$32:$AH$36,3,FALSE))/1440),1,0)</f>
        <v>0</v>
      </c>
      <c r="O5" s="2">
        <f>IF(AND(VLOOKUP(O$1,'20Trips'!$A$3:$F$22,5,FALSE) - VLOOKUP($B5,'20Trips'!$A$3:$G$22,6,FALSE) &gt;= ('20Trips'!$B$23+VLOOKUP(VLOOKUP($B5,'20Trips'!$A$2:$I$22,4,FALSE),'20Trips'!$AB$32:$AH$36,3,FALSE))/1440),1,0)</f>
        <v>1</v>
      </c>
      <c r="P5" s="2">
        <f>IF(AND(VLOOKUP(P$1,'20Trips'!$A$3:$F$22,5,FALSE) - VLOOKUP($B5,'20Trips'!$A$3:$G$22,6,FALSE) &gt;= ('20Trips'!$B$23+VLOOKUP(VLOOKUP($B5,'20Trips'!$A$2:$I$22,4,FALSE),'20Trips'!$AB$32:$AH$36,3,FALSE))/1440),1,0)</f>
        <v>1</v>
      </c>
      <c r="Q5" s="2" t="e">
        <f>IF(AND(VLOOKUP(Q$1,'20Trips'!$A$3:$F$22,5,FALSE) - VLOOKUP($B5,'20Trips'!$A$3:$G$22,6,FALSE) &gt;= ('20Trips'!$B$23+VLOOKUP(VLOOKUP($B5,'20Trips'!$A$2:$I$22,4,FALSE),'20Trips'!$AB$32:$AH$36,3,FALSE))/1440),1,0)</f>
        <v>#N/A</v>
      </c>
      <c r="R5" s="2">
        <f>IF(AND(VLOOKUP(R$1,'20Trips'!$A$3:$F$22,5,FALSE) - VLOOKUP($B5,'20Trips'!$A$3:$G$22,6,FALSE) &gt;= ('20Trips'!$B$23+VLOOKUP(VLOOKUP($B5,'20Trips'!$A$2:$I$22,4,FALSE),'20Trips'!$AB$32:$AH$36,3,FALSE))/1440),1,0)</f>
        <v>0</v>
      </c>
      <c r="S5" s="2">
        <f>IF(AND(VLOOKUP(S$1,'20Trips'!$A$3:$F$22,5,FALSE) - VLOOKUP($B5,'20Trips'!$A$3:$G$22,6,FALSE) &gt;= ('20Trips'!$B$23+VLOOKUP(VLOOKUP($B5,'20Trips'!$A$2:$I$22,4,FALSE),'20Trips'!$AB$32:$AH$36,3,FALSE))/1440),1,0)</f>
        <v>0</v>
      </c>
      <c r="T5" s="2">
        <f>IF(AND(VLOOKUP(T$1,'20Trips'!$A$3:$F$22,5,FALSE) - VLOOKUP($B5,'20Trips'!$A$3:$G$22,6,FALSE) &gt;= ('20Trips'!$B$23+VLOOKUP(VLOOKUP($B5,'20Trips'!$A$2:$I$22,4,FALSE),'20Trips'!$AB$32:$AH$36,3,FALSE))/1440),1,0)</f>
        <v>0</v>
      </c>
      <c r="U5" s="2">
        <f>IF(AND(VLOOKUP(U$1,'20Trips'!$A$3:$F$22,5,FALSE) - VLOOKUP($B5,'20Trips'!$A$3:$G$22,6,FALSE) &gt;= ('20Trips'!$B$23+VLOOKUP(VLOOKUP($B5,'20Trips'!$A$2:$I$22,4,FALSE),'20Trips'!$AB$32:$AH$36,3,FALSE))/1440),1,0)</f>
        <v>0</v>
      </c>
      <c r="V5" s="2">
        <f>IF(AND(VLOOKUP(V$1,'20Trips'!$A$3:$F$22,5,FALSE) - VLOOKUP($B5,'20Trips'!$A$3:$G$22,6,FALSE) &gt;= ('20Trips'!$B$23+VLOOKUP(VLOOKUP($B5,'20Trips'!$A$2:$I$22,4,FALSE),'20Trips'!$AB$32:$AH$36,3,FALSE))/1440),1,0)</f>
        <v>0</v>
      </c>
      <c r="W5" s="2" t="e">
        <f>IF(AND(VLOOKUP(W$1,'20Trips'!$A$3:$F$22,5,FALSE) - VLOOKUP($B5,'20Trips'!$A$3:$G$22,6,FALSE) &gt;= ('20Trips'!$B$23+VLOOKUP(VLOOKUP($B5,'20Trips'!$A$2:$I$22,4,FALSE),'20Trips'!$AB$32:$AH$36,3,FALSE))/1440),1,0)</f>
        <v>#N/A</v>
      </c>
      <c r="X5" s="2" t="e">
        <f>IF(AND(VLOOKUP(X$1,'20Trips'!$A$3:$F$22,5,FALSE) - VLOOKUP($B5,'20Trips'!$A$3:$G$22,6,FALSE) &gt;= ('20Trips'!$B$23+VLOOKUP(VLOOKUP($B5,'20Trips'!$A$2:$I$22,4,FALSE),'20Trips'!$AB$32:$AH$36,3,FALSE))/1440),1,0)</f>
        <v>#N/A</v>
      </c>
      <c r="Y5" s="2" t="e">
        <f>IF(AND(VLOOKUP(Y$1,'20Trips'!$A$3:$F$22,5,FALSE) - VLOOKUP($B5,'20Trips'!$A$3:$G$22,6,FALSE) &gt;= ('20Trips'!$B$23+VLOOKUP(VLOOKUP($B5,'20Trips'!$A$2:$I$22,4,FALSE),'20Trips'!$AB$32:$AH$36,3,FALSE))/1440),1,0)</f>
        <v>#N/A</v>
      </c>
      <c r="Z5" s="2">
        <f>IF(AND(VLOOKUP(Z$1,'20Trips'!$A$3:$F$22,5,FALSE) - VLOOKUP($B5,'20Trips'!$A$3:$G$22,6,FALSE) &gt;= ('20Trips'!$B$23+VLOOKUP(VLOOKUP($B5,'20Trips'!$A$2:$I$22,4,FALSE),'20Trips'!$AB$32:$AH$36,3,FALSE))/1440),1,0)</f>
        <v>0</v>
      </c>
      <c r="AA5" s="2">
        <f>IF(AND(VLOOKUP(AA$1,'20Trips'!$A$3:$F$22,5,FALSE) - VLOOKUP($B5,'20Trips'!$A$3:$G$22,6,FALSE) &gt;= ('20Trips'!$B$23+VLOOKUP(VLOOKUP($B5,'20Trips'!$A$2:$I$22,4,FALSE),'20Trips'!$AB$32:$AH$36,3,FALSE))/1440),1,0)</f>
        <v>0</v>
      </c>
      <c r="AB5" s="2">
        <f>IF(AND(VLOOKUP(AB$1,'20Trips'!$A$3:$F$22,5,FALSE) - VLOOKUP($B5,'20Trips'!$A$3:$G$22,6,FALSE) &gt;= ('20Trips'!$B$23+VLOOKUP(VLOOKUP($B5,'20Trips'!$A$2:$I$22,4,FALSE),'20Trips'!$AB$32:$AH$36,3,FALSE))/1440),1,0)</f>
        <v>0</v>
      </c>
      <c r="AC5" s="2">
        <f>IF(AND(VLOOKUP(AC$1,'20Trips'!$A$3:$F$22,5,FALSE) - VLOOKUP($B5,'20Trips'!$A$3:$G$22,6,FALSE) &gt;= ('20Trips'!$B$23+VLOOKUP(VLOOKUP($B5,'20Trips'!$A$2:$I$22,4,FALSE),'20Trips'!$AB$32:$AH$36,3,FALSE))/1440),1,0)</f>
        <v>0</v>
      </c>
      <c r="AD5" s="2">
        <f>IF(AND(VLOOKUP(AD$1,'20Trips'!$A$3:$F$22,5,FALSE) - VLOOKUP($B5,'20Trips'!$A$3:$G$22,6,FALSE) &gt;= ('20Trips'!$B$23+VLOOKUP(VLOOKUP($B5,'20Trips'!$A$2:$I$22,4,FALSE),'20Trips'!$AB$32:$AH$36,3,FALSE))/1440),1,0)</f>
        <v>0</v>
      </c>
      <c r="AE5" s="2" t="e">
        <f>IF(AND(VLOOKUP(AE$1,'20Trips'!$A$3:$F$22,5,FALSE) - VLOOKUP($B5,'20Trips'!$A$3:$G$22,6,FALSE) &gt;= ('20Trips'!$B$23+VLOOKUP(VLOOKUP($B5,'20Trips'!$A$2:$I$22,4,FALSE),'20Trips'!$AB$32:$AH$36,3,FALSE))/1440),1,0)</f>
        <v>#N/A</v>
      </c>
      <c r="AF5" s="2" t="e">
        <f>IF(AND(VLOOKUP(AF$1,'20Trips'!$A$3:$F$22,5,FALSE) - VLOOKUP($B5,'20Trips'!$A$3:$G$22,6,FALSE) &gt;= ('20Trips'!$B$23+VLOOKUP(VLOOKUP($B5,'20Trips'!$A$2:$I$22,4,FALSE),'20Trips'!$AB$32:$AH$36,3,FALSE))/1440),1,0)</f>
        <v>#N/A</v>
      </c>
      <c r="AG5" s="2" t="e">
        <f>IF(AND(VLOOKUP(AG$1,'20Trips'!$A$3:$F$22,5,FALSE) - VLOOKUP($B5,'20Trips'!$A$3:$G$22,6,FALSE) &gt;= ('20Trips'!$B$23+VLOOKUP(VLOOKUP($B5,'20Trips'!$A$2:$I$22,4,FALSE),'20Trips'!$AB$32:$AH$36,3,FALSE))/1440),1,0)</f>
        <v>#N/A</v>
      </c>
    </row>
    <row r="6" spans="1:34" x14ac:dyDescent="0.25">
      <c r="A6" t="s">
        <v>48</v>
      </c>
      <c r="B6" t="s">
        <v>11</v>
      </c>
      <c r="C6">
        <v>0</v>
      </c>
      <c r="D6" s="2">
        <f>IF(AND(VLOOKUP(D$1,'20Trips'!$A$3:$F$22,5,FALSE) - VLOOKUP($B6,'20Trips'!$A$3:$G$22,6,FALSE) &gt;= ('20Trips'!$B$23+VLOOKUP(VLOOKUP($B6,'20Trips'!$A$2:$I$22,4,FALSE),'20Trips'!$AB$32:$AH$36,3,FALSE))/1440),1,0)</f>
        <v>0</v>
      </c>
      <c r="E6" s="2">
        <f>IF(AND(VLOOKUP(E$1,'20Trips'!$A$3:$F$22,5,FALSE) - VLOOKUP($B6,'20Trips'!$A$3:$G$22,6,FALSE) &gt;= ('20Trips'!$B$23+VLOOKUP(VLOOKUP($B6,'20Trips'!$A$2:$I$22,4,FALSE),'20Trips'!$AB$32:$AH$36,3,FALSE))/1440),1,0)</f>
        <v>0</v>
      </c>
      <c r="F6" s="2">
        <f>IF(AND(VLOOKUP(F$1,'20Trips'!$A$3:$F$22,5,FALSE) - VLOOKUP($B6,'20Trips'!$A$3:$G$22,6,FALSE) &gt;= ('20Trips'!$B$23+VLOOKUP(VLOOKUP($B6,'20Trips'!$A$2:$I$22,4,FALSE),'20Trips'!$AB$32:$AH$36,3,FALSE))/1440),1,0)</f>
        <v>0</v>
      </c>
      <c r="G6" s="2">
        <f>IF(AND(VLOOKUP(G$1,'20Trips'!$A$3:$F$22,5,FALSE) - VLOOKUP($B6,'20Trips'!$A$3:$G$22,6,FALSE) &gt;= ('20Trips'!$B$23+VLOOKUP(VLOOKUP($B6,'20Trips'!$A$2:$I$22,4,FALSE),'20Trips'!$AB$32:$AH$36,3,FALSE))/1440),1,0)</f>
        <v>0</v>
      </c>
      <c r="H6" s="2">
        <f>IF(AND(VLOOKUP(H$1,'20Trips'!$A$3:$F$22,5,FALSE) - VLOOKUP($B6,'20Trips'!$A$3:$G$22,6,FALSE) &gt;= ('20Trips'!$B$23+VLOOKUP(VLOOKUP($B6,'20Trips'!$A$2:$I$22,4,FALSE),'20Trips'!$AB$32:$AH$36,3,FALSE))/1440),1,0)</f>
        <v>0</v>
      </c>
      <c r="I6" s="2" t="e">
        <f>IF(AND(VLOOKUP(I$1,'20Trips'!$A$3:$F$22,5,FALSE) - VLOOKUP($B6,'20Trips'!$A$3:$G$22,6,FALSE) &gt;= ('20Trips'!$B$23+VLOOKUP(VLOOKUP($B6,'20Trips'!$A$2:$I$22,4,FALSE),'20Trips'!$AB$32:$AH$36,3,FALSE))/1440),1,0)</f>
        <v>#N/A</v>
      </c>
      <c r="J6" s="2" t="e">
        <f>IF(AND(VLOOKUP(J$1,'20Trips'!$A$3:$F$22,5,FALSE) - VLOOKUP($B6,'20Trips'!$A$3:$G$22,6,FALSE) &gt;= ('20Trips'!$B$23+VLOOKUP(VLOOKUP($B6,'20Trips'!$A$2:$I$22,4,FALSE),'20Trips'!$AB$32:$AH$36,3,FALSE))/1440),1,0)</f>
        <v>#N/A</v>
      </c>
      <c r="K6" s="2" t="e">
        <f>IF(AND(VLOOKUP(K$1,'20Trips'!$A$3:$F$22,5,FALSE) - VLOOKUP($B6,'20Trips'!$A$3:$G$22,6,FALSE) &gt;= ('20Trips'!$B$23+VLOOKUP(VLOOKUP($B6,'20Trips'!$A$2:$I$22,4,FALSE),'20Trips'!$AB$32:$AH$36,3,FALSE))/1440),1,0)</f>
        <v>#N/A</v>
      </c>
      <c r="L6" s="2">
        <f>IF(AND(VLOOKUP(L$1,'20Trips'!$A$3:$F$22,5,FALSE) - VLOOKUP($B6,'20Trips'!$A$3:$G$22,6,FALSE) &gt;= ('20Trips'!$B$23+VLOOKUP(VLOOKUP($B6,'20Trips'!$A$2:$I$22,4,FALSE),'20Trips'!$AB$32:$AH$36,3,FALSE))/1440),1,0)</f>
        <v>0</v>
      </c>
      <c r="M6" s="2">
        <f>IF(AND(VLOOKUP(M$1,'20Trips'!$A$3:$F$22,5,FALSE) - VLOOKUP($B6,'20Trips'!$A$3:$G$22,6,FALSE) &gt;= ('20Trips'!$B$23+VLOOKUP(VLOOKUP($B6,'20Trips'!$A$2:$I$22,4,FALSE),'20Trips'!$AB$32:$AH$36,3,FALSE))/1440),1,0)</f>
        <v>0</v>
      </c>
      <c r="N6" s="2">
        <f>IF(AND(VLOOKUP(N$1,'20Trips'!$A$3:$F$22,5,FALSE) - VLOOKUP($B6,'20Trips'!$A$3:$G$22,6,FALSE) &gt;= ('20Trips'!$B$23+VLOOKUP(VLOOKUP($B6,'20Trips'!$A$2:$I$22,4,FALSE),'20Trips'!$AB$32:$AH$36,3,FALSE))/1440),1,0)</f>
        <v>0</v>
      </c>
      <c r="O6" s="2">
        <f>IF(AND(VLOOKUP(O$1,'20Trips'!$A$3:$F$22,5,FALSE) - VLOOKUP($B6,'20Trips'!$A$3:$G$22,6,FALSE) &gt;= ('20Trips'!$B$23+VLOOKUP(VLOOKUP($B6,'20Trips'!$A$2:$I$22,4,FALSE),'20Trips'!$AB$32:$AH$36,3,FALSE))/1440),1,0)</f>
        <v>1</v>
      </c>
      <c r="P6" s="2">
        <f>IF(AND(VLOOKUP(P$1,'20Trips'!$A$3:$F$22,5,FALSE) - VLOOKUP($B6,'20Trips'!$A$3:$G$22,6,FALSE) &gt;= ('20Trips'!$B$23+VLOOKUP(VLOOKUP($B6,'20Trips'!$A$2:$I$22,4,FALSE),'20Trips'!$AB$32:$AH$36,3,FALSE))/1440),1,0)</f>
        <v>1</v>
      </c>
      <c r="Q6" s="2" t="e">
        <f>IF(AND(VLOOKUP(Q$1,'20Trips'!$A$3:$F$22,5,FALSE) - VLOOKUP($B6,'20Trips'!$A$3:$G$22,6,FALSE) &gt;= ('20Trips'!$B$23+VLOOKUP(VLOOKUP($B6,'20Trips'!$A$2:$I$22,4,FALSE),'20Trips'!$AB$32:$AH$36,3,FALSE))/1440),1,0)</f>
        <v>#N/A</v>
      </c>
      <c r="R6" s="2">
        <f>IF(AND(VLOOKUP(R$1,'20Trips'!$A$3:$F$22,5,FALSE) - VLOOKUP($B6,'20Trips'!$A$3:$G$22,6,FALSE) &gt;= ('20Trips'!$B$23+VLOOKUP(VLOOKUP($B6,'20Trips'!$A$2:$I$22,4,FALSE),'20Trips'!$AB$32:$AH$36,3,FALSE))/1440),1,0)</f>
        <v>0</v>
      </c>
      <c r="S6" s="2">
        <f>IF(AND(VLOOKUP(S$1,'20Trips'!$A$3:$F$22,5,FALSE) - VLOOKUP($B6,'20Trips'!$A$3:$G$22,6,FALSE) &gt;= ('20Trips'!$B$23+VLOOKUP(VLOOKUP($B6,'20Trips'!$A$2:$I$22,4,FALSE),'20Trips'!$AB$32:$AH$36,3,FALSE))/1440),1,0)</f>
        <v>0</v>
      </c>
      <c r="T6" s="2">
        <f>IF(AND(VLOOKUP(T$1,'20Trips'!$A$3:$F$22,5,FALSE) - VLOOKUP($B6,'20Trips'!$A$3:$G$22,6,FALSE) &gt;= ('20Trips'!$B$23+VLOOKUP(VLOOKUP($B6,'20Trips'!$A$2:$I$22,4,FALSE),'20Trips'!$AB$32:$AH$36,3,FALSE))/1440),1,0)</f>
        <v>0</v>
      </c>
      <c r="U6" s="2">
        <f>IF(AND(VLOOKUP(U$1,'20Trips'!$A$3:$F$22,5,FALSE) - VLOOKUP($B6,'20Trips'!$A$3:$G$22,6,FALSE) &gt;= ('20Trips'!$B$23+VLOOKUP(VLOOKUP($B6,'20Trips'!$A$2:$I$22,4,FALSE),'20Trips'!$AB$32:$AH$36,3,FALSE))/1440),1,0)</f>
        <v>0</v>
      </c>
      <c r="V6" s="2">
        <f>IF(AND(VLOOKUP(V$1,'20Trips'!$A$3:$F$22,5,FALSE) - VLOOKUP($B6,'20Trips'!$A$3:$G$22,6,FALSE) &gt;= ('20Trips'!$B$23+VLOOKUP(VLOOKUP($B6,'20Trips'!$A$2:$I$22,4,FALSE),'20Trips'!$AB$32:$AH$36,3,FALSE))/1440),1,0)</f>
        <v>0</v>
      </c>
      <c r="W6" s="2" t="e">
        <f>IF(AND(VLOOKUP(W$1,'20Trips'!$A$3:$F$22,5,FALSE) - VLOOKUP($B6,'20Trips'!$A$3:$G$22,6,FALSE) &gt;= ('20Trips'!$B$23+VLOOKUP(VLOOKUP($B6,'20Trips'!$A$2:$I$22,4,FALSE),'20Trips'!$AB$32:$AH$36,3,FALSE))/1440),1,0)</f>
        <v>#N/A</v>
      </c>
      <c r="X6" s="2" t="e">
        <f>IF(AND(VLOOKUP(X$1,'20Trips'!$A$3:$F$22,5,FALSE) - VLOOKUP($B6,'20Trips'!$A$3:$G$22,6,FALSE) &gt;= ('20Trips'!$B$23+VLOOKUP(VLOOKUP($B6,'20Trips'!$A$2:$I$22,4,FALSE),'20Trips'!$AB$32:$AH$36,3,FALSE))/1440),1,0)</f>
        <v>#N/A</v>
      </c>
      <c r="Y6" s="2" t="e">
        <f>IF(AND(VLOOKUP(Y$1,'20Trips'!$A$3:$F$22,5,FALSE) - VLOOKUP($B6,'20Trips'!$A$3:$G$22,6,FALSE) &gt;= ('20Trips'!$B$23+VLOOKUP(VLOOKUP($B6,'20Trips'!$A$2:$I$22,4,FALSE),'20Trips'!$AB$32:$AH$36,3,FALSE))/1440),1,0)</f>
        <v>#N/A</v>
      </c>
      <c r="Z6" s="2">
        <f>IF(AND(VLOOKUP(Z$1,'20Trips'!$A$3:$F$22,5,FALSE) - VLOOKUP($B6,'20Trips'!$A$3:$G$22,6,FALSE) &gt;= ('20Trips'!$B$23+VLOOKUP(VLOOKUP($B6,'20Trips'!$A$2:$I$22,4,FALSE),'20Trips'!$AB$32:$AH$36,3,FALSE))/1440),1,0)</f>
        <v>0</v>
      </c>
      <c r="AA6" s="2">
        <f>IF(AND(VLOOKUP(AA$1,'20Trips'!$A$3:$F$22,5,FALSE) - VLOOKUP($B6,'20Trips'!$A$3:$G$22,6,FALSE) &gt;= ('20Trips'!$B$23+VLOOKUP(VLOOKUP($B6,'20Trips'!$A$2:$I$22,4,FALSE),'20Trips'!$AB$32:$AH$36,3,FALSE))/1440),1,0)</f>
        <v>0</v>
      </c>
      <c r="AB6" s="2">
        <f>IF(AND(VLOOKUP(AB$1,'20Trips'!$A$3:$F$22,5,FALSE) - VLOOKUP($B6,'20Trips'!$A$3:$G$22,6,FALSE) &gt;= ('20Trips'!$B$23+VLOOKUP(VLOOKUP($B6,'20Trips'!$A$2:$I$22,4,FALSE),'20Trips'!$AB$32:$AH$36,3,FALSE))/1440),1,0)</f>
        <v>0</v>
      </c>
      <c r="AC6" s="2">
        <f>IF(AND(VLOOKUP(AC$1,'20Trips'!$A$3:$F$22,5,FALSE) - VLOOKUP($B6,'20Trips'!$A$3:$G$22,6,FALSE) &gt;= ('20Trips'!$B$23+VLOOKUP(VLOOKUP($B6,'20Trips'!$A$2:$I$22,4,FALSE),'20Trips'!$AB$32:$AH$36,3,FALSE))/1440),1,0)</f>
        <v>0</v>
      </c>
      <c r="AD6" s="2">
        <f>IF(AND(VLOOKUP(AD$1,'20Trips'!$A$3:$F$22,5,FALSE) - VLOOKUP($B6,'20Trips'!$A$3:$G$22,6,FALSE) &gt;= ('20Trips'!$B$23+VLOOKUP(VLOOKUP($B6,'20Trips'!$A$2:$I$22,4,FALSE),'20Trips'!$AB$32:$AH$36,3,FALSE))/1440),1,0)</f>
        <v>0</v>
      </c>
      <c r="AE6" s="2" t="e">
        <f>IF(AND(VLOOKUP(AE$1,'20Trips'!$A$3:$F$22,5,FALSE) - VLOOKUP($B6,'20Trips'!$A$3:$G$22,6,FALSE) &gt;= ('20Trips'!$B$23+VLOOKUP(VLOOKUP($B6,'20Trips'!$A$2:$I$22,4,FALSE),'20Trips'!$AB$32:$AH$36,3,FALSE))/1440),1,0)</f>
        <v>#N/A</v>
      </c>
      <c r="AF6" s="2" t="e">
        <f>IF(AND(VLOOKUP(AF$1,'20Trips'!$A$3:$F$22,5,FALSE) - VLOOKUP($B6,'20Trips'!$A$3:$G$22,6,FALSE) &gt;= ('20Trips'!$B$23+VLOOKUP(VLOOKUP($B6,'20Trips'!$A$2:$I$22,4,FALSE),'20Trips'!$AB$32:$AH$36,3,FALSE))/1440),1,0)</f>
        <v>#N/A</v>
      </c>
      <c r="AG6" s="2" t="e">
        <f>IF(AND(VLOOKUP(AG$1,'20Trips'!$A$3:$F$22,5,FALSE) - VLOOKUP($B6,'20Trips'!$A$3:$G$22,6,FALSE) &gt;= ('20Trips'!$B$23+VLOOKUP(VLOOKUP($B6,'20Trips'!$A$2:$I$22,4,FALSE),'20Trips'!$AB$32:$AH$36,3,FALSE))/1440),1,0)</f>
        <v>#N/A</v>
      </c>
    </row>
    <row r="7" spans="1:34" x14ac:dyDescent="0.25">
      <c r="A7" t="s">
        <v>48</v>
      </c>
      <c r="B7" t="s">
        <v>12</v>
      </c>
      <c r="C7">
        <v>0</v>
      </c>
      <c r="D7" s="2">
        <f>IF(AND(VLOOKUP(D$1,'20Trips'!$A$3:$F$22,5,FALSE) - VLOOKUP($B7,'20Trips'!$A$3:$G$22,6,FALSE) &gt;= ('20Trips'!$B$23+VLOOKUP(VLOOKUP($B7,'20Trips'!$A$2:$I$22,4,FALSE),'20Trips'!$AB$32:$AH$36,3,FALSE))/1440),1,0)</f>
        <v>0</v>
      </c>
      <c r="E7" s="2">
        <f>IF(AND(VLOOKUP(E$1,'20Trips'!$A$3:$F$22,5,FALSE) - VLOOKUP($B7,'20Trips'!$A$3:$G$22,6,FALSE) &gt;= ('20Trips'!$B$23+VLOOKUP(VLOOKUP($B7,'20Trips'!$A$2:$I$22,4,FALSE),'20Trips'!$AB$32:$AH$36,3,FALSE))/1440),1,0)</f>
        <v>0</v>
      </c>
      <c r="F7" s="2">
        <f>IF(AND(VLOOKUP(F$1,'20Trips'!$A$3:$F$22,5,FALSE) - VLOOKUP($B7,'20Trips'!$A$3:$G$22,6,FALSE) &gt;= ('20Trips'!$B$23+VLOOKUP(VLOOKUP($B7,'20Trips'!$A$2:$I$22,4,FALSE),'20Trips'!$AB$32:$AH$36,3,FALSE))/1440),1,0)</f>
        <v>0</v>
      </c>
      <c r="G7" s="2">
        <f>IF(AND(VLOOKUP(G$1,'20Trips'!$A$3:$F$22,5,FALSE) - VLOOKUP($B7,'20Trips'!$A$3:$G$22,6,FALSE) &gt;= ('20Trips'!$B$23+VLOOKUP(VLOOKUP($B7,'20Trips'!$A$2:$I$22,4,FALSE),'20Trips'!$AB$32:$AH$36,3,FALSE))/1440),1,0)</f>
        <v>0</v>
      </c>
      <c r="H7" s="2">
        <f>IF(AND(VLOOKUP(H$1,'20Trips'!$A$3:$F$22,5,FALSE) - VLOOKUP($B7,'20Trips'!$A$3:$G$22,6,FALSE) &gt;= ('20Trips'!$B$23+VLOOKUP(VLOOKUP($B7,'20Trips'!$A$2:$I$22,4,FALSE),'20Trips'!$AB$32:$AH$36,3,FALSE))/1440),1,0)</f>
        <v>0</v>
      </c>
      <c r="I7" s="2" t="e">
        <f>IF(AND(VLOOKUP(I$1,'20Trips'!$A$3:$F$22,5,FALSE) - VLOOKUP($B7,'20Trips'!$A$3:$G$22,6,FALSE) &gt;= ('20Trips'!$B$23+VLOOKUP(VLOOKUP($B7,'20Trips'!$A$2:$I$22,4,FALSE),'20Trips'!$AB$32:$AH$36,3,FALSE))/1440),1,0)</f>
        <v>#N/A</v>
      </c>
      <c r="J7" s="2" t="e">
        <f>IF(AND(VLOOKUP(J$1,'20Trips'!$A$3:$F$22,5,FALSE) - VLOOKUP($B7,'20Trips'!$A$3:$G$22,6,FALSE) &gt;= ('20Trips'!$B$23+VLOOKUP(VLOOKUP($B7,'20Trips'!$A$2:$I$22,4,FALSE),'20Trips'!$AB$32:$AH$36,3,FALSE))/1440),1,0)</f>
        <v>#N/A</v>
      </c>
      <c r="K7" s="2" t="e">
        <f>IF(AND(VLOOKUP(K$1,'20Trips'!$A$3:$F$22,5,FALSE) - VLOOKUP($B7,'20Trips'!$A$3:$G$22,6,FALSE) &gt;= ('20Trips'!$B$23+VLOOKUP(VLOOKUP($B7,'20Trips'!$A$2:$I$22,4,FALSE),'20Trips'!$AB$32:$AH$36,3,FALSE))/1440),1,0)</f>
        <v>#N/A</v>
      </c>
      <c r="L7" s="2">
        <f>IF(AND(VLOOKUP(L$1,'20Trips'!$A$3:$F$22,5,FALSE) - VLOOKUP($B7,'20Trips'!$A$3:$G$22,6,FALSE) &gt;= ('20Trips'!$B$23+VLOOKUP(VLOOKUP($B7,'20Trips'!$A$2:$I$22,4,FALSE),'20Trips'!$AB$32:$AH$36,3,FALSE))/1440),1,0)</f>
        <v>0</v>
      </c>
      <c r="M7" s="2">
        <f>IF(AND(VLOOKUP(M$1,'20Trips'!$A$3:$F$22,5,FALSE) - VLOOKUP($B7,'20Trips'!$A$3:$G$22,6,FALSE) &gt;= ('20Trips'!$B$23+VLOOKUP(VLOOKUP($B7,'20Trips'!$A$2:$I$22,4,FALSE),'20Trips'!$AB$32:$AH$36,3,FALSE))/1440),1,0)</f>
        <v>0</v>
      </c>
      <c r="N7" s="2">
        <f>IF(AND(VLOOKUP(N$1,'20Trips'!$A$3:$F$22,5,FALSE) - VLOOKUP($B7,'20Trips'!$A$3:$G$22,6,FALSE) &gt;= ('20Trips'!$B$23+VLOOKUP(VLOOKUP($B7,'20Trips'!$A$2:$I$22,4,FALSE),'20Trips'!$AB$32:$AH$36,3,FALSE))/1440),1,0)</f>
        <v>0</v>
      </c>
      <c r="O7" s="2">
        <f>IF(AND(VLOOKUP(O$1,'20Trips'!$A$3:$F$22,5,FALSE) - VLOOKUP($B7,'20Trips'!$A$3:$G$22,6,FALSE) &gt;= ('20Trips'!$B$23+VLOOKUP(VLOOKUP($B7,'20Trips'!$A$2:$I$22,4,FALSE),'20Trips'!$AB$32:$AH$36,3,FALSE))/1440),1,0)</f>
        <v>0</v>
      </c>
      <c r="P7" s="2">
        <f>IF(AND(VLOOKUP(P$1,'20Trips'!$A$3:$F$22,5,FALSE) - VLOOKUP($B7,'20Trips'!$A$3:$G$22,6,FALSE) &gt;= ('20Trips'!$B$23+VLOOKUP(VLOOKUP($B7,'20Trips'!$A$2:$I$22,4,FALSE),'20Trips'!$AB$32:$AH$36,3,FALSE))/1440),1,0)</f>
        <v>1</v>
      </c>
      <c r="Q7" s="2" t="e">
        <f>IF(AND(VLOOKUP(Q$1,'20Trips'!$A$3:$F$22,5,FALSE) - VLOOKUP($B7,'20Trips'!$A$3:$G$22,6,FALSE) &gt;= ('20Trips'!$B$23+VLOOKUP(VLOOKUP($B7,'20Trips'!$A$2:$I$22,4,FALSE),'20Trips'!$AB$32:$AH$36,3,FALSE))/1440),1,0)</f>
        <v>#N/A</v>
      </c>
      <c r="R7" s="2">
        <f>IF(AND(VLOOKUP(R$1,'20Trips'!$A$3:$F$22,5,FALSE) - VLOOKUP($B7,'20Trips'!$A$3:$G$22,6,FALSE) &gt;= ('20Trips'!$B$23+VLOOKUP(VLOOKUP($B7,'20Trips'!$A$2:$I$22,4,FALSE),'20Trips'!$AB$32:$AH$36,3,FALSE))/1440),1,0)</f>
        <v>0</v>
      </c>
      <c r="S7" s="2">
        <f>IF(AND(VLOOKUP(S$1,'20Trips'!$A$3:$F$22,5,FALSE) - VLOOKUP($B7,'20Trips'!$A$3:$G$22,6,FALSE) &gt;= ('20Trips'!$B$23+VLOOKUP(VLOOKUP($B7,'20Trips'!$A$2:$I$22,4,FALSE),'20Trips'!$AB$32:$AH$36,3,FALSE))/1440),1,0)</f>
        <v>0</v>
      </c>
      <c r="T7" s="2">
        <f>IF(AND(VLOOKUP(T$1,'20Trips'!$A$3:$F$22,5,FALSE) - VLOOKUP($B7,'20Trips'!$A$3:$G$22,6,FALSE) &gt;= ('20Trips'!$B$23+VLOOKUP(VLOOKUP($B7,'20Trips'!$A$2:$I$22,4,FALSE),'20Trips'!$AB$32:$AH$36,3,FALSE))/1440),1,0)</f>
        <v>0</v>
      </c>
      <c r="U7" s="2">
        <f>IF(AND(VLOOKUP(U$1,'20Trips'!$A$3:$F$22,5,FALSE) - VLOOKUP($B7,'20Trips'!$A$3:$G$22,6,FALSE) &gt;= ('20Trips'!$B$23+VLOOKUP(VLOOKUP($B7,'20Trips'!$A$2:$I$22,4,FALSE),'20Trips'!$AB$32:$AH$36,3,FALSE))/1440),1,0)</f>
        <v>0</v>
      </c>
      <c r="V7" s="2">
        <f>IF(AND(VLOOKUP(V$1,'20Trips'!$A$3:$F$22,5,FALSE) - VLOOKUP($B7,'20Trips'!$A$3:$G$22,6,FALSE) &gt;= ('20Trips'!$B$23+VLOOKUP(VLOOKUP($B7,'20Trips'!$A$2:$I$22,4,FALSE),'20Trips'!$AB$32:$AH$36,3,FALSE))/1440),1,0)</f>
        <v>0</v>
      </c>
      <c r="W7" s="2" t="e">
        <f>IF(AND(VLOOKUP(W$1,'20Trips'!$A$3:$F$22,5,FALSE) - VLOOKUP($B7,'20Trips'!$A$3:$G$22,6,FALSE) &gt;= ('20Trips'!$B$23+VLOOKUP(VLOOKUP($B7,'20Trips'!$A$2:$I$22,4,FALSE),'20Trips'!$AB$32:$AH$36,3,FALSE))/1440),1,0)</f>
        <v>#N/A</v>
      </c>
      <c r="X7" s="2" t="e">
        <f>IF(AND(VLOOKUP(X$1,'20Trips'!$A$3:$F$22,5,FALSE) - VLOOKUP($B7,'20Trips'!$A$3:$G$22,6,FALSE) &gt;= ('20Trips'!$B$23+VLOOKUP(VLOOKUP($B7,'20Trips'!$A$2:$I$22,4,FALSE),'20Trips'!$AB$32:$AH$36,3,FALSE))/1440),1,0)</f>
        <v>#N/A</v>
      </c>
      <c r="Y7" s="2" t="e">
        <f>IF(AND(VLOOKUP(Y$1,'20Trips'!$A$3:$F$22,5,FALSE) - VLOOKUP($B7,'20Trips'!$A$3:$G$22,6,FALSE) &gt;= ('20Trips'!$B$23+VLOOKUP(VLOOKUP($B7,'20Trips'!$A$2:$I$22,4,FALSE),'20Trips'!$AB$32:$AH$36,3,FALSE))/1440),1,0)</f>
        <v>#N/A</v>
      </c>
      <c r="Z7" s="2">
        <f>IF(AND(VLOOKUP(Z$1,'20Trips'!$A$3:$F$22,5,FALSE) - VLOOKUP($B7,'20Trips'!$A$3:$G$22,6,FALSE) &gt;= ('20Trips'!$B$23+VLOOKUP(VLOOKUP($B7,'20Trips'!$A$2:$I$22,4,FALSE),'20Trips'!$AB$32:$AH$36,3,FALSE))/1440),1,0)</f>
        <v>0</v>
      </c>
      <c r="AA7" s="2">
        <f>IF(AND(VLOOKUP(AA$1,'20Trips'!$A$3:$F$22,5,FALSE) - VLOOKUP($B7,'20Trips'!$A$3:$G$22,6,FALSE) &gt;= ('20Trips'!$B$23+VLOOKUP(VLOOKUP($B7,'20Trips'!$A$2:$I$22,4,FALSE),'20Trips'!$AB$32:$AH$36,3,FALSE))/1440),1,0)</f>
        <v>0</v>
      </c>
      <c r="AB7" s="2">
        <f>IF(AND(VLOOKUP(AB$1,'20Trips'!$A$3:$F$22,5,FALSE) - VLOOKUP($B7,'20Trips'!$A$3:$G$22,6,FALSE) &gt;= ('20Trips'!$B$23+VLOOKUP(VLOOKUP($B7,'20Trips'!$A$2:$I$22,4,FALSE),'20Trips'!$AB$32:$AH$36,3,FALSE))/1440),1,0)</f>
        <v>0</v>
      </c>
      <c r="AC7" s="2">
        <f>IF(AND(VLOOKUP(AC$1,'20Trips'!$A$3:$F$22,5,FALSE) - VLOOKUP($B7,'20Trips'!$A$3:$G$22,6,FALSE) &gt;= ('20Trips'!$B$23+VLOOKUP(VLOOKUP($B7,'20Trips'!$A$2:$I$22,4,FALSE),'20Trips'!$AB$32:$AH$36,3,FALSE))/1440),1,0)</f>
        <v>0</v>
      </c>
      <c r="AD7" s="2">
        <f>IF(AND(VLOOKUP(AD$1,'20Trips'!$A$3:$F$22,5,FALSE) - VLOOKUP($B7,'20Trips'!$A$3:$G$22,6,FALSE) &gt;= ('20Trips'!$B$23+VLOOKUP(VLOOKUP($B7,'20Trips'!$A$2:$I$22,4,FALSE),'20Trips'!$AB$32:$AH$36,3,FALSE))/1440),1,0)</f>
        <v>0</v>
      </c>
      <c r="AE7" s="2" t="e">
        <f>IF(AND(VLOOKUP(AE$1,'20Trips'!$A$3:$F$22,5,FALSE) - VLOOKUP($B7,'20Trips'!$A$3:$G$22,6,FALSE) &gt;= ('20Trips'!$B$23+VLOOKUP(VLOOKUP($B7,'20Trips'!$A$2:$I$22,4,FALSE),'20Trips'!$AB$32:$AH$36,3,FALSE))/1440),1,0)</f>
        <v>#N/A</v>
      </c>
      <c r="AF7" s="2" t="e">
        <f>IF(AND(VLOOKUP(AF$1,'20Trips'!$A$3:$F$22,5,FALSE) - VLOOKUP($B7,'20Trips'!$A$3:$G$22,6,FALSE) &gt;= ('20Trips'!$B$23+VLOOKUP(VLOOKUP($B7,'20Trips'!$A$2:$I$22,4,FALSE),'20Trips'!$AB$32:$AH$36,3,FALSE))/1440),1,0)</f>
        <v>#N/A</v>
      </c>
      <c r="AG7" s="2" t="e">
        <f>IF(AND(VLOOKUP(AG$1,'20Trips'!$A$3:$F$22,5,FALSE) - VLOOKUP($B7,'20Trips'!$A$3:$G$22,6,FALSE) &gt;= ('20Trips'!$B$23+VLOOKUP(VLOOKUP($B7,'20Trips'!$A$2:$I$22,4,FALSE),'20Trips'!$AB$32:$AH$36,3,FALSE))/1440),1,0)</f>
        <v>#N/A</v>
      </c>
    </row>
    <row r="8" spans="1:34" x14ac:dyDescent="0.25">
      <c r="A8" t="s">
        <v>48</v>
      </c>
      <c r="B8" t="s">
        <v>13</v>
      </c>
      <c r="C8">
        <v>0</v>
      </c>
      <c r="D8" s="2" t="e">
        <f>IF(AND(VLOOKUP(D$1,'20Trips'!$A$3:$F$22,5,FALSE) - VLOOKUP($B8,'20Trips'!$A$3:$G$22,6,FALSE) &gt;= ('20Trips'!$B$23+VLOOKUP(VLOOKUP($B8,'20Trips'!$A$2:$I$22,4,FALSE),'20Trips'!$AB$32:$AH$36,3,FALSE))/1440),1,0)</f>
        <v>#N/A</v>
      </c>
      <c r="E8" s="2" t="e">
        <f>IF(AND(VLOOKUP(E$1,'20Trips'!$A$3:$F$22,5,FALSE) - VLOOKUP($B8,'20Trips'!$A$3:$G$22,6,FALSE) &gt;= ('20Trips'!$B$23+VLOOKUP(VLOOKUP($B8,'20Trips'!$A$2:$I$22,4,FALSE),'20Trips'!$AB$32:$AH$36,3,FALSE))/1440),1,0)</f>
        <v>#N/A</v>
      </c>
      <c r="F8" s="2" t="e">
        <f>IF(AND(VLOOKUP(F$1,'20Trips'!$A$3:$F$22,5,FALSE) - VLOOKUP($B8,'20Trips'!$A$3:$G$22,6,FALSE) &gt;= ('20Trips'!$B$23+VLOOKUP(VLOOKUP($B8,'20Trips'!$A$2:$I$22,4,FALSE),'20Trips'!$AB$32:$AH$36,3,FALSE))/1440),1,0)</f>
        <v>#N/A</v>
      </c>
      <c r="G8" s="2" t="e">
        <f>IF(AND(VLOOKUP(G$1,'20Trips'!$A$3:$F$22,5,FALSE) - VLOOKUP($B8,'20Trips'!$A$3:$G$22,6,FALSE) &gt;= ('20Trips'!$B$23+VLOOKUP(VLOOKUP($B8,'20Trips'!$A$2:$I$22,4,FALSE),'20Trips'!$AB$32:$AH$36,3,FALSE))/1440),1,0)</f>
        <v>#N/A</v>
      </c>
      <c r="H8" s="2" t="e">
        <f>IF(AND(VLOOKUP(H$1,'20Trips'!$A$3:$F$22,5,FALSE) - VLOOKUP($B8,'20Trips'!$A$3:$G$22,6,FALSE) &gt;= ('20Trips'!$B$23+VLOOKUP(VLOOKUP($B8,'20Trips'!$A$2:$I$22,4,FALSE),'20Trips'!$AB$32:$AH$36,3,FALSE))/1440),1,0)</f>
        <v>#N/A</v>
      </c>
      <c r="I8" s="2" t="e">
        <f>IF(AND(VLOOKUP(I$1,'20Trips'!$A$3:$F$22,5,FALSE) - VLOOKUP($B8,'20Trips'!$A$3:$G$22,6,FALSE) &gt;= ('20Trips'!$B$23+VLOOKUP(VLOOKUP($B8,'20Trips'!$A$2:$I$22,4,FALSE),'20Trips'!$AB$32:$AH$36,3,FALSE))/1440),1,0)</f>
        <v>#N/A</v>
      </c>
      <c r="J8" s="2" t="e">
        <f>IF(AND(VLOOKUP(J$1,'20Trips'!$A$3:$F$22,5,FALSE) - VLOOKUP($B8,'20Trips'!$A$3:$G$22,6,FALSE) &gt;= ('20Trips'!$B$23+VLOOKUP(VLOOKUP($B8,'20Trips'!$A$2:$I$22,4,FALSE),'20Trips'!$AB$32:$AH$36,3,FALSE))/1440),1,0)</f>
        <v>#N/A</v>
      </c>
      <c r="K8" s="2" t="e">
        <f>IF(AND(VLOOKUP(K$1,'20Trips'!$A$3:$F$22,5,FALSE) - VLOOKUP($B8,'20Trips'!$A$3:$G$22,6,FALSE) &gt;= ('20Trips'!$B$23+VLOOKUP(VLOOKUP($B8,'20Trips'!$A$2:$I$22,4,FALSE),'20Trips'!$AB$32:$AH$36,3,FALSE))/1440),1,0)</f>
        <v>#N/A</v>
      </c>
      <c r="L8" s="2" t="e">
        <f>IF(AND(VLOOKUP(L$1,'20Trips'!$A$3:$F$22,5,FALSE) - VLOOKUP($B8,'20Trips'!$A$3:$G$22,6,FALSE) &gt;= ('20Trips'!$B$23+VLOOKUP(VLOOKUP($B8,'20Trips'!$A$2:$I$22,4,FALSE),'20Trips'!$AB$32:$AH$36,3,FALSE))/1440),1,0)</f>
        <v>#N/A</v>
      </c>
      <c r="M8" s="2" t="e">
        <f>IF(AND(VLOOKUP(M$1,'20Trips'!$A$3:$F$22,5,FALSE) - VLOOKUP($B8,'20Trips'!$A$3:$G$22,6,FALSE) &gt;= ('20Trips'!$B$23+VLOOKUP(VLOOKUP($B8,'20Trips'!$A$2:$I$22,4,FALSE),'20Trips'!$AB$32:$AH$36,3,FALSE))/1440),1,0)</f>
        <v>#N/A</v>
      </c>
      <c r="N8" s="2" t="e">
        <f>IF(AND(VLOOKUP(N$1,'20Trips'!$A$3:$F$22,5,FALSE) - VLOOKUP($B8,'20Trips'!$A$3:$G$22,6,FALSE) &gt;= ('20Trips'!$B$23+VLOOKUP(VLOOKUP($B8,'20Trips'!$A$2:$I$22,4,FALSE),'20Trips'!$AB$32:$AH$36,3,FALSE))/1440),1,0)</f>
        <v>#N/A</v>
      </c>
      <c r="O8" s="2" t="e">
        <f>IF(AND(VLOOKUP(O$1,'20Trips'!$A$3:$F$22,5,FALSE) - VLOOKUP($B8,'20Trips'!$A$3:$G$22,6,FALSE) &gt;= ('20Trips'!$B$23+VLOOKUP(VLOOKUP($B8,'20Trips'!$A$2:$I$22,4,FALSE),'20Trips'!$AB$32:$AH$36,3,FALSE))/1440),1,0)</f>
        <v>#N/A</v>
      </c>
      <c r="P8" s="2" t="e">
        <f>IF(AND(VLOOKUP(P$1,'20Trips'!$A$3:$F$22,5,FALSE) - VLOOKUP($B8,'20Trips'!$A$3:$G$22,6,FALSE) &gt;= ('20Trips'!$B$23+VLOOKUP(VLOOKUP($B8,'20Trips'!$A$2:$I$22,4,FALSE),'20Trips'!$AB$32:$AH$36,3,FALSE))/1440),1,0)</f>
        <v>#N/A</v>
      </c>
      <c r="Q8" s="2" t="e">
        <f>IF(AND(VLOOKUP(Q$1,'20Trips'!$A$3:$F$22,5,FALSE) - VLOOKUP($B8,'20Trips'!$A$3:$G$22,6,FALSE) &gt;= ('20Trips'!$B$23+VLOOKUP(VLOOKUP($B8,'20Trips'!$A$2:$I$22,4,FALSE),'20Trips'!$AB$32:$AH$36,3,FALSE))/1440),1,0)</f>
        <v>#N/A</v>
      </c>
      <c r="R8" s="2" t="e">
        <f>IF(AND(VLOOKUP(R$1,'20Trips'!$A$3:$F$22,5,FALSE) - VLOOKUP($B8,'20Trips'!$A$3:$G$22,6,FALSE) &gt;= ('20Trips'!$B$23+VLOOKUP(VLOOKUP($B8,'20Trips'!$A$2:$I$22,4,FALSE),'20Trips'!$AB$32:$AH$36,3,FALSE))/1440),1,0)</f>
        <v>#N/A</v>
      </c>
      <c r="S8" s="2" t="e">
        <f>IF(AND(VLOOKUP(S$1,'20Trips'!$A$3:$F$22,5,FALSE) - VLOOKUP($B8,'20Trips'!$A$3:$G$22,6,FALSE) &gt;= ('20Trips'!$B$23+VLOOKUP(VLOOKUP($B8,'20Trips'!$A$2:$I$22,4,FALSE),'20Trips'!$AB$32:$AH$36,3,FALSE))/1440),1,0)</f>
        <v>#N/A</v>
      </c>
      <c r="T8" s="2" t="e">
        <f>IF(AND(VLOOKUP(T$1,'20Trips'!$A$3:$F$22,5,FALSE) - VLOOKUP($B8,'20Trips'!$A$3:$G$22,6,FALSE) &gt;= ('20Trips'!$B$23+VLOOKUP(VLOOKUP($B8,'20Trips'!$A$2:$I$22,4,FALSE),'20Trips'!$AB$32:$AH$36,3,FALSE))/1440),1,0)</f>
        <v>#N/A</v>
      </c>
      <c r="U8" s="2" t="e">
        <f>IF(AND(VLOOKUP(U$1,'20Trips'!$A$3:$F$22,5,FALSE) - VLOOKUP($B8,'20Trips'!$A$3:$G$22,6,FALSE) &gt;= ('20Trips'!$B$23+VLOOKUP(VLOOKUP($B8,'20Trips'!$A$2:$I$22,4,FALSE),'20Trips'!$AB$32:$AH$36,3,FALSE))/1440),1,0)</f>
        <v>#N/A</v>
      </c>
      <c r="V8" s="2" t="e">
        <f>IF(AND(VLOOKUP(V$1,'20Trips'!$A$3:$F$22,5,FALSE) - VLOOKUP($B8,'20Trips'!$A$3:$G$22,6,FALSE) &gt;= ('20Trips'!$B$23+VLOOKUP(VLOOKUP($B8,'20Trips'!$A$2:$I$22,4,FALSE),'20Trips'!$AB$32:$AH$36,3,FALSE))/1440),1,0)</f>
        <v>#N/A</v>
      </c>
      <c r="W8" s="2" t="e">
        <f>IF(AND(VLOOKUP(W$1,'20Trips'!$A$3:$F$22,5,FALSE) - VLOOKUP($B8,'20Trips'!$A$3:$G$22,6,FALSE) &gt;= ('20Trips'!$B$23+VLOOKUP(VLOOKUP($B8,'20Trips'!$A$2:$I$22,4,FALSE),'20Trips'!$AB$32:$AH$36,3,FALSE))/1440),1,0)</f>
        <v>#N/A</v>
      </c>
      <c r="X8" s="2" t="e">
        <f>IF(AND(VLOOKUP(X$1,'20Trips'!$A$3:$F$22,5,FALSE) - VLOOKUP($B8,'20Trips'!$A$3:$G$22,6,FALSE) &gt;= ('20Trips'!$B$23+VLOOKUP(VLOOKUP($B8,'20Trips'!$A$2:$I$22,4,FALSE),'20Trips'!$AB$32:$AH$36,3,FALSE))/1440),1,0)</f>
        <v>#N/A</v>
      </c>
      <c r="Y8" s="2" t="e">
        <f>IF(AND(VLOOKUP(Y$1,'20Trips'!$A$3:$F$22,5,FALSE) - VLOOKUP($B8,'20Trips'!$A$3:$G$22,6,FALSE) &gt;= ('20Trips'!$B$23+VLOOKUP(VLOOKUP($B8,'20Trips'!$A$2:$I$22,4,FALSE),'20Trips'!$AB$32:$AH$36,3,FALSE))/1440),1,0)</f>
        <v>#N/A</v>
      </c>
      <c r="Z8" s="2" t="e">
        <f>IF(AND(VLOOKUP(Z$1,'20Trips'!$A$3:$F$22,5,FALSE) - VLOOKUP($B8,'20Trips'!$A$3:$G$22,6,FALSE) &gt;= ('20Trips'!$B$23+VLOOKUP(VLOOKUP($B8,'20Trips'!$A$2:$I$22,4,FALSE),'20Trips'!$AB$32:$AH$36,3,FALSE))/1440),1,0)</f>
        <v>#N/A</v>
      </c>
      <c r="AA8" s="2" t="e">
        <f>IF(AND(VLOOKUP(AA$1,'20Trips'!$A$3:$F$22,5,FALSE) - VLOOKUP($B8,'20Trips'!$A$3:$G$22,6,FALSE) &gt;= ('20Trips'!$B$23+VLOOKUP(VLOOKUP($B8,'20Trips'!$A$2:$I$22,4,FALSE),'20Trips'!$AB$32:$AH$36,3,FALSE))/1440),1,0)</f>
        <v>#N/A</v>
      </c>
      <c r="AB8" s="2" t="e">
        <f>IF(AND(VLOOKUP(AB$1,'20Trips'!$A$3:$F$22,5,FALSE) - VLOOKUP($B8,'20Trips'!$A$3:$G$22,6,FALSE) &gt;= ('20Trips'!$B$23+VLOOKUP(VLOOKUP($B8,'20Trips'!$A$2:$I$22,4,FALSE),'20Trips'!$AB$32:$AH$36,3,FALSE))/1440),1,0)</f>
        <v>#N/A</v>
      </c>
      <c r="AC8" s="2" t="e">
        <f>IF(AND(VLOOKUP(AC$1,'20Trips'!$A$3:$F$22,5,FALSE) - VLOOKUP($B8,'20Trips'!$A$3:$G$22,6,FALSE) &gt;= ('20Trips'!$B$23+VLOOKUP(VLOOKUP($B8,'20Trips'!$A$2:$I$22,4,FALSE),'20Trips'!$AB$32:$AH$36,3,FALSE))/1440),1,0)</f>
        <v>#N/A</v>
      </c>
      <c r="AD8" s="2" t="e">
        <f>IF(AND(VLOOKUP(AD$1,'20Trips'!$A$3:$F$22,5,FALSE) - VLOOKUP($B8,'20Trips'!$A$3:$G$22,6,FALSE) &gt;= ('20Trips'!$B$23+VLOOKUP(VLOOKUP($B8,'20Trips'!$A$2:$I$22,4,FALSE),'20Trips'!$AB$32:$AH$36,3,FALSE))/1440),1,0)</f>
        <v>#N/A</v>
      </c>
      <c r="AE8" s="2" t="e">
        <f>IF(AND(VLOOKUP(AE$1,'20Trips'!$A$3:$F$22,5,FALSE) - VLOOKUP($B8,'20Trips'!$A$3:$G$22,6,FALSE) &gt;= ('20Trips'!$B$23+VLOOKUP(VLOOKUP($B8,'20Trips'!$A$2:$I$22,4,FALSE),'20Trips'!$AB$32:$AH$36,3,FALSE))/1440),1,0)</f>
        <v>#N/A</v>
      </c>
      <c r="AF8" s="2" t="e">
        <f>IF(AND(VLOOKUP(AF$1,'20Trips'!$A$3:$F$22,5,FALSE) - VLOOKUP($B8,'20Trips'!$A$3:$G$22,6,FALSE) &gt;= ('20Trips'!$B$23+VLOOKUP(VLOOKUP($B8,'20Trips'!$A$2:$I$22,4,FALSE),'20Trips'!$AB$32:$AH$36,3,FALSE))/1440),1,0)</f>
        <v>#N/A</v>
      </c>
      <c r="AG8" s="2" t="e">
        <f>IF(AND(VLOOKUP(AG$1,'20Trips'!$A$3:$F$22,5,FALSE) - VLOOKUP($B8,'20Trips'!$A$3:$G$22,6,FALSE) &gt;= ('20Trips'!$B$23+VLOOKUP(VLOOKUP($B8,'20Trips'!$A$2:$I$22,4,FALSE),'20Trips'!$AB$32:$AH$36,3,FALSE))/1440),1,0)</f>
        <v>#N/A</v>
      </c>
    </row>
    <row r="9" spans="1:34" x14ac:dyDescent="0.25">
      <c r="A9" t="s">
        <v>48</v>
      </c>
      <c r="B9" t="s">
        <v>14</v>
      </c>
      <c r="C9">
        <v>0</v>
      </c>
      <c r="D9" s="2" t="e">
        <f>IF(AND(VLOOKUP(D$1,'20Trips'!$A$3:$F$22,5,FALSE) - VLOOKUP($B9,'20Trips'!$A$3:$G$22,6,FALSE) &gt;= ('20Trips'!$B$23+VLOOKUP(VLOOKUP($B9,'20Trips'!$A$2:$I$22,4,FALSE),'20Trips'!$AB$32:$AH$36,3,FALSE))/1440),1,0)</f>
        <v>#N/A</v>
      </c>
      <c r="E9" s="2" t="e">
        <f>IF(AND(VLOOKUP(E$1,'20Trips'!$A$3:$F$22,5,FALSE) - VLOOKUP($B9,'20Trips'!$A$3:$G$22,6,FALSE) &gt;= ('20Trips'!$B$23+VLOOKUP(VLOOKUP($B9,'20Trips'!$A$2:$I$22,4,FALSE),'20Trips'!$AB$32:$AH$36,3,FALSE))/1440),1,0)</f>
        <v>#N/A</v>
      </c>
      <c r="F9" s="2" t="e">
        <f>IF(AND(VLOOKUP(F$1,'20Trips'!$A$3:$F$22,5,FALSE) - VLOOKUP($B9,'20Trips'!$A$3:$G$22,6,FALSE) &gt;= ('20Trips'!$B$23+VLOOKUP(VLOOKUP($B9,'20Trips'!$A$2:$I$22,4,FALSE),'20Trips'!$AB$32:$AH$36,3,FALSE))/1440),1,0)</f>
        <v>#N/A</v>
      </c>
      <c r="G9" s="2" t="e">
        <f>IF(AND(VLOOKUP(G$1,'20Trips'!$A$3:$F$22,5,FALSE) - VLOOKUP($B9,'20Trips'!$A$3:$G$22,6,FALSE) &gt;= ('20Trips'!$B$23+VLOOKUP(VLOOKUP($B9,'20Trips'!$A$2:$I$22,4,FALSE),'20Trips'!$AB$32:$AH$36,3,FALSE))/1440),1,0)</f>
        <v>#N/A</v>
      </c>
      <c r="H9" s="2" t="e">
        <f>IF(AND(VLOOKUP(H$1,'20Trips'!$A$3:$F$22,5,FALSE) - VLOOKUP($B9,'20Trips'!$A$3:$G$22,6,FALSE) &gt;= ('20Trips'!$B$23+VLOOKUP(VLOOKUP($B9,'20Trips'!$A$2:$I$22,4,FALSE),'20Trips'!$AB$32:$AH$36,3,FALSE))/1440),1,0)</f>
        <v>#N/A</v>
      </c>
      <c r="I9" s="2" t="e">
        <f>IF(AND(VLOOKUP(I$1,'20Trips'!$A$3:$F$22,5,FALSE) - VLOOKUP($B9,'20Trips'!$A$3:$G$22,6,FALSE) &gt;= ('20Trips'!$B$23+VLOOKUP(VLOOKUP($B9,'20Trips'!$A$2:$I$22,4,FALSE),'20Trips'!$AB$32:$AH$36,3,FALSE))/1440),1,0)</f>
        <v>#N/A</v>
      </c>
      <c r="J9" s="2" t="e">
        <f>IF(AND(VLOOKUP(J$1,'20Trips'!$A$3:$F$22,5,FALSE) - VLOOKUP($B9,'20Trips'!$A$3:$G$22,6,FALSE) &gt;= ('20Trips'!$B$23+VLOOKUP(VLOOKUP($B9,'20Trips'!$A$2:$I$22,4,FALSE),'20Trips'!$AB$32:$AH$36,3,FALSE))/1440),1,0)</f>
        <v>#N/A</v>
      </c>
      <c r="K9" s="2" t="e">
        <f>IF(AND(VLOOKUP(K$1,'20Trips'!$A$3:$F$22,5,FALSE) - VLOOKUP($B9,'20Trips'!$A$3:$G$22,6,FALSE) &gt;= ('20Trips'!$B$23+VLOOKUP(VLOOKUP($B9,'20Trips'!$A$2:$I$22,4,FALSE),'20Trips'!$AB$32:$AH$36,3,FALSE))/1440),1,0)</f>
        <v>#N/A</v>
      </c>
      <c r="L9" s="2" t="e">
        <f>IF(AND(VLOOKUP(L$1,'20Trips'!$A$3:$F$22,5,FALSE) - VLOOKUP($B9,'20Trips'!$A$3:$G$22,6,FALSE) &gt;= ('20Trips'!$B$23+VLOOKUP(VLOOKUP($B9,'20Trips'!$A$2:$I$22,4,FALSE),'20Trips'!$AB$32:$AH$36,3,FALSE))/1440),1,0)</f>
        <v>#N/A</v>
      </c>
      <c r="M9" s="2" t="e">
        <f>IF(AND(VLOOKUP(M$1,'20Trips'!$A$3:$F$22,5,FALSE) - VLOOKUP($B9,'20Trips'!$A$3:$G$22,6,FALSE) &gt;= ('20Trips'!$B$23+VLOOKUP(VLOOKUP($B9,'20Trips'!$A$2:$I$22,4,FALSE),'20Trips'!$AB$32:$AH$36,3,FALSE))/1440),1,0)</f>
        <v>#N/A</v>
      </c>
      <c r="N9" s="2" t="e">
        <f>IF(AND(VLOOKUP(N$1,'20Trips'!$A$3:$F$22,5,FALSE) - VLOOKUP($B9,'20Trips'!$A$3:$G$22,6,FALSE) &gt;= ('20Trips'!$B$23+VLOOKUP(VLOOKUP($B9,'20Trips'!$A$2:$I$22,4,FALSE),'20Trips'!$AB$32:$AH$36,3,FALSE))/1440),1,0)</f>
        <v>#N/A</v>
      </c>
      <c r="O9" s="2" t="e">
        <f>IF(AND(VLOOKUP(O$1,'20Trips'!$A$3:$F$22,5,FALSE) - VLOOKUP($B9,'20Trips'!$A$3:$G$22,6,FALSE) &gt;= ('20Trips'!$B$23+VLOOKUP(VLOOKUP($B9,'20Trips'!$A$2:$I$22,4,FALSE),'20Trips'!$AB$32:$AH$36,3,FALSE))/1440),1,0)</f>
        <v>#N/A</v>
      </c>
      <c r="P9" s="2" t="e">
        <f>IF(AND(VLOOKUP(P$1,'20Trips'!$A$3:$F$22,5,FALSE) - VLOOKUP($B9,'20Trips'!$A$3:$G$22,6,FALSE) &gt;= ('20Trips'!$B$23+VLOOKUP(VLOOKUP($B9,'20Trips'!$A$2:$I$22,4,FALSE),'20Trips'!$AB$32:$AH$36,3,FALSE))/1440),1,0)</f>
        <v>#N/A</v>
      </c>
      <c r="Q9" s="2" t="e">
        <f>IF(AND(VLOOKUP(Q$1,'20Trips'!$A$3:$F$22,5,FALSE) - VLOOKUP($B9,'20Trips'!$A$3:$G$22,6,FALSE) &gt;= ('20Trips'!$B$23+VLOOKUP(VLOOKUP($B9,'20Trips'!$A$2:$I$22,4,FALSE),'20Trips'!$AB$32:$AH$36,3,FALSE))/1440),1,0)</f>
        <v>#N/A</v>
      </c>
      <c r="R9" s="2" t="e">
        <f>IF(AND(VLOOKUP(R$1,'20Trips'!$A$3:$F$22,5,FALSE) - VLOOKUP($B9,'20Trips'!$A$3:$G$22,6,FALSE) &gt;= ('20Trips'!$B$23+VLOOKUP(VLOOKUP($B9,'20Trips'!$A$2:$I$22,4,FALSE),'20Trips'!$AB$32:$AH$36,3,FALSE))/1440),1,0)</f>
        <v>#N/A</v>
      </c>
      <c r="S9" s="2" t="e">
        <f>IF(AND(VLOOKUP(S$1,'20Trips'!$A$3:$F$22,5,FALSE) - VLOOKUP($B9,'20Trips'!$A$3:$G$22,6,FALSE) &gt;= ('20Trips'!$B$23+VLOOKUP(VLOOKUP($B9,'20Trips'!$A$2:$I$22,4,FALSE),'20Trips'!$AB$32:$AH$36,3,FALSE))/1440),1,0)</f>
        <v>#N/A</v>
      </c>
      <c r="T9" s="2" t="e">
        <f>IF(AND(VLOOKUP(T$1,'20Trips'!$A$3:$F$22,5,FALSE) - VLOOKUP($B9,'20Trips'!$A$3:$G$22,6,FALSE) &gt;= ('20Trips'!$B$23+VLOOKUP(VLOOKUP($B9,'20Trips'!$A$2:$I$22,4,FALSE),'20Trips'!$AB$32:$AH$36,3,FALSE))/1440),1,0)</f>
        <v>#N/A</v>
      </c>
      <c r="U9" s="2" t="e">
        <f>IF(AND(VLOOKUP(U$1,'20Trips'!$A$3:$F$22,5,FALSE) - VLOOKUP($B9,'20Trips'!$A$3:$G$22,6,FALSE) &gt;= ('20Trips'!$B$23+VLOOKUP(VLOOKUP($B9,'20Trips'!$A$2:$I$22,4,FALSE),'20Trips'!$AB$32:$AH$36,3,FALSE))/1440),1,0)</f>
        <v>#N/A</v>
      </c>
      <c r="V9" s="2" t="e">
        <f>IF(AND(VLOOKUP(V$1,'20Trips'!$A$3:$F$22,5,FALSE) - VLOOKUP($B9,'20Trips'!$A$3:$G$22,6,FALSE) &gt;= ('20Trips'!$B$23+VLOOKUP(VLOOKUP($B9,'20Trips'!$A$2:$I$22,4,FALSE),'20Trips'!$AB$32:$AH$36,3,FALSE))/1440),1,0)</f>
        <v>#N/A</v>
      </c>
      <c r="W9" s="2" t="e">
        <f>IF(AND(VLOOKUP(W$1,'20Trips'!$A$3:$F$22,5,FALSE) - VLOOKUP($B9,'20Trips'!$A$3:$G$22,6,FALSE) &gt;= ('20Trips'!$B$23+VLOOKUP(VLOOKUP($B9,'20Trips'!$A$2:$I$22,4,FALSE),'20Trips'!$AB$32:$AH$36,3,FALSE))/1440),1,0)</f>
        <v>#N/A</v>
      </c>
      <c r="X9" s="2" t="e">
        <f>IF(AND(VLOOKUP(X$1,'20Trips'!$A$3:$F$22,5,FALSE) - VLOOKUP($B9,'20Trips'!$A$3:$G$22,6,FALSE) &gt;= ('20Trips'!$B$23+VLOOKUP(VLOOKUP($B9,'20Trips'!$A$2:$I$22,4,FALSE),'20Trips'!$AB$32:$AH$36,3,FALSE))/1440),1,0)</f>
        <v>#N/A</v>
      </c>
      <c r="Y9" s="2" t="e">
        <f>IF(AND(VLOOKUP(Y$1,'20Trips'!$A$3:$F$22,5,FALSE) - VLOOKUP($B9,'20Trips'!$A$3:$G$22,6,FALSE) &gt;= ('20Trips'!$B$23+VLOOKUP(VLOOKUP($B9,'20Trips'!$A$2:$I$22,4,FALSE),'20Trips'!$AB$32:$AH$36,3,FALSE))/1440),1,0)</f>
        <v>#N/A</v>
      </c>
      <c r="Z9" s="2" t="e">
        <f>IF(AND(VLOOKUP(Z$1,'20Trips'!$A$3:$F$22,5,FALSE) - VLOOKUP($B9,'20Trips'!$A$3:$G$22,6,FALSE) &gt;= ('20Trips'!$B$23+VLOOKUP(VLOOKUP($B9,'20Trips'!$A$2:$I$22,4,FALSE),'20Trips'!$AB$32:$AH$36,3,FALSE))/1440),1,0)</f>
        <v>#N/A</v>
      </c>
      <c r="AA9" s="2" t="e">
        <f>IF(AND(VLOOKUP(AA$1,'20Trips'!$A$3:$F$22,5,FALSE) - VLOOKUP($B9,'20Trips'!$A$3:$G$22,6,FALSE) &gt;= ('20Trips'!$B$23+VLOOKUP(VLOOKUP($B9,'20Trips'!$A$2:$I$22,4,FALSE),'20Trips'!$AB$32:$AH$36,3,FALSE))/1440),1,0)</f>
        <v>#N/A</v>
      </c>
      <c r="AB9" s="2" t="e">
        <f>IF(AND(VLOOKUP(AB$1,'20Trips'!$A$3:$F$22,5,FALSE) - VLOOKUP($B9,'20Trips'!$A$3:$G$22,6,FALSE) &gt;= ('20Trips'!$B$23+VLOOKUP(VLOOKUP($B9,'20Trips'!$A$2:$I$22,4,FALSE),'20Trips'!$AB$32:$AH$36,3,FALSE))/1440),1,0)</f>
        <v>#N/A</v>
      </c>
      <c r="AC9" s="2" t="e">
        <f>IF(AND(VLOOKUP(AC$1,'20Trips'!$A$3:$F$22,5,FALSE) - VLOOKUP($B9,'20Trips'!$A$3:$G$22,6,FALSE) &gt;= ('20Trips'!$B$23+VLOOKUP(VLOOKUP($B9,'20Trips'!$A$2:$I$22,4,FALSE),'20Trips'!$AB$32:$AH$36,3,FALSE))/1440),1,0)</f>
        <v>#N/A</v>
      </c>
      <c r="AD9" s="2" t="e">
        <f>IF(AND(VLOOKUP(AD$1,'20Trips'!$A$3:$F$22,5,FALSE) - VLOOKUP($B9,'20Trips'!$A$3:$G$22,6,FALSE) &gt;= ('20Trips'!$B$23+VLOOKUP(VLOOKUP($B9,'20Trips'!$A$2:$I$22,4,FALSE),'20Trips'!$AB$32:$AH$36,3,FALSE))/1440),1,0)</f>
        <v>#N/A</v>
      </c>
      <c r="AE9" s="2" t="e">
        <f>IF(AND(VLOOKUP(AE$1,'20Trips'!$A$3:$F$22,5,FALSE) - VLOOKUP($B9,'20Trips'!$A$3:$G$22,6,FALSE) &gt;= ('20Trips'!$B$23+VLOOKUP(VLOOKUP($B9,'20Trips'!$A$2:$I$22,4,FALSE),'20Trips'!$AB$32:$AH$36,3,FALSE))/1440),1,0)</f>
        <v>#N/A</v>
      </c>
      <c r="AF9" s="2" t="e">
        <f>IF(AND(VLOOKUP(AF$1,'20Trips'!$A$3:$F$22,5,FALSE) - VLOOKUP($B9,'20Trips'!$A$3:$G$22,6,FALSE) &gt;= ('20Trips'!$B$23+VLOOKUP(VLOOKUP($B9,'20Trips'!$A$2:$I$22,4,FALSE),'20Trips'!$AB$32:$AH$36,3,FALSE))/1440),1,0)</f>
        <v>#N/A</v>
      </c>
      <c r="AG9" s="2" t="e">
        <f>IF(AND(VLOOKUP(AG$1,'20Trips'!$A$3:$F$22,5,FALSE) - VLOOKUP($B9,'20Trips'!$A$3:$G$22,6,FALSE) &gt;= ('20Trips'!$B$23+VLOOKUP(VLOOKUP($B9,'20Trips'!$A$2:$I$22,4,FALSE),'20Trips'!$AB$32:$AH$36,3,FALSE))/1440),1,0)</f>
        <v>#N/A</v>
      </c>
    </row>
    <row r="10" spans="1:34" x14ac:dyDescent="0.25">
      <c r="A10" t="s">
        <v>48</v>
      </c>
      <c r="B10" t="s">
        <v>15</v>
      </c>
      <c r="C10">
        <v>0</v>
      </c>
      <c r="D10" s="2" t="e">
        <f>IF(AND(VLOOKUP(D$1,'20Trips'!$A$3:$F$22,5,FALSE) - VLOOKUP($B10,'20Trips'!$A$3:$G$22,6,FALSE) &gt;= ('20Trips'!$B$23+VLOOKUP(VLOOKUP($B10,'20Trips'!$A$2:$I$22,4,FALSE),'20Trips'!$AB$32:$AH$36,3,FALSE))/1440),1,0)</f>
        <v>#N/A</v>
      </c>
      <c r="E10" s="2" t="e">
        <f>IF(AND(VLOOKUP(E$1,'20Trips'!$A$3:$F$22,5,FALSE) - VLOOKUP($B10,'20Trips'!$A$3:$G$22,6,FALSE) &gt;= ('20Trips'!$B$23+VLOOKUP(VLOOKUP($B10,'20Trips'!$A$2:$I$22,4,FALSE),'20Trips'!$AB$32:$AH$36,3,FALSE))/1440),1,0)</f>
        <v>#N/A</v>
      </c>
      <c r="F10" s="2" t="e">
        <f>IF(AND(VLOOKUP(F$1,'20Trips'!$A$3:$F$22,5,FALSE) - VLOOKUP($B10,'20Trips'!$A$3:$G$22,6,FALSE) &gt;= ('20Trips'!$B$23+VLOOKUP(VLOOKUP($B10,'20Trips'!$A$2:$I$22,4,FALSE),'20Trips'!$AB$32:$AH$36,3,FALSE))/1440),1,0)</f>
        <v>#N/A</v>
      </c>
      <c r="G10" s="2" t="e">
        <f>IF(AND(VLOOKUP(G$1,'20Trips'!$A$3:$F$22,5,FALSE) - VLOOKUP($B10,'20Trips'!$A$3:$G$22,6,FALSE) &gt;= ('20Trips'!$B$23+VLOOKUP(VLOOKUP($B10,'20Trips'!$A$2:$I$22,4,FALSE),'20Trips'!$AB$32:$AH$36,3,FALSE))/1440),1,0)</f>
        <v>#N/A</v>
      </c>
      <c r="H10" s="2" t="e">
        <f>IF(AND(VLOOKUP(H$1,'20Trips'!$A$3:$F$22,5,FALSE) - VLOOKUP($B10,'20Trips'!$A$3:$G$22,6,FALSE) &gt;= ('20Trips'!$B$23+VLOOKUP(VLOOKUP($B10,'20Trips'!$A$2:$I$22,4,FALSE),'20Trips'!$AB$32:$AH$36,3,FALSE))/1440),1,0)</f>
        <v>#N/A</v>
      </c>
      <c r="I10" s="2" t="e">
        <f>IF(AND(VLOOKUP(I$1,'20Trips'!$A$3:$F$22,5,FALSE) - VLOOKUP($B10,'20Trips'!$A$3:$G$22,6,FALSE) &gt;= ('20Trips'!$B$23+VLOOKUP(VLOOKUP($B10,'20Trips'!$A$2:$I$22,4,FALSE),'20Trips'!$AB$32:$AH$36,3,FALSE))/1440),1,0)</f>
        <v>#N/A</v>
      </c>
      <c r="J10" s="2" t="e">
        <f>IF(AND(VLOOKUP(J$1,'20Trips'!$A$3:$F$22,5,FALSE) - VLOOKUP($B10,'20Trips'!$A$3:$G$22,6,FALSE) &gt;= ('20Trips'!$B$23+VLOOKUP(VLOOKUP($B10,'20Trips'!$A$2:$I$22,4,FALSE),'20Trips'!$AB$32:$AH$36,3,FALSE))/1440),1,0)</f>
        <v>#N/A</v>
      </c>
      <c r="K10" s="2" t="e">
        <f>IF(AND(VLOOKUP(K$1,'20Trips'!$A$3:$F$22,5,FALSE) - VLOOKUP($B10,'20Trips'!$A$3:$G$22,6,FALSE) &gt;= ('20Trips'!$B$23+VLOOKUP(VLOOKUP($B10,'20Trips'!$A$2:$I$22,4,FALSE),'20Trips'!$AB$32:$AH$36,3,FALSE))/1440),1,0)</f>
        <v>#N/A</v>
      </c>
      <c r="L10" s="2" t="e">
        <f>IF(AND(VLOOKUP(L$1,'20Trips'!$A$3:$F$22,5,FALSE) - VLOOKUP($B10,'20Trips'!$A$3:$G$22,6,FALSE) &gt;= ('20Trips'!$B$23+VLOOKUP(VLOOKUP($B10,'20Trips'!$A$2:$I$22,4,FALSE),'20Trips'!$AB$32:$AH$36,3,FALSE))/1440),1,0)</f>
        <v>#N/A</v>
      </c>
      <c r="M10" s="2" t="e">
        <f>IF(AND(VLOOKUP(M$1,'20Trips'!$A$3:$F$22,5,FALSE) - VLOOKUP($B10,'20Trips'!$A$3:$G$22,6,FALSE) &gt;= ('20Trips'!$B$23+VLOOKUP(VLOOKUP($B10,'20Trips'!$A$2:$I$22,4,FALSE),'20Trips'!$AB$32:$AH$36,3,FALSE))/1440),1,0)</f>
        <v>#N/A</v>
      </c>
      <c r="N10" s="2" t="e">
        <f>IF(AND(VLOOKUP(N$1,'20Trips'!$A$3:$F$22,5,FALSE) - VLOOKUP($B10,'20Trips'!$A$3:$G$22,6,FALSE) &gt;= ('20Trips'!$B$23+VLOOKUP(VLOOKUP($B10,'20Trips'!$A$2:$I$22,4,FALSE),'20Trips'!$AB$32:$AH$36,3,FALSE))/1440),1,0)</f>
        <v>#N/A</v>
      </c>
      <c r="O10" s="2" t="e">
        <f>IF(AND(VLOOKUP(O$1,'20Trips'!$A$3:$F$22,5,FALSE) - VLOOKUP($B10,'20Trips'!$A$3:$G$22,6,FALSE) &gt;= ('20Trips'!$B$23+VLOOKUP(VLOOKUP($B10,'20Trips'!$A$2:$I$22,4,FALSE),'20Trips'!$AB$32:$AH$36,3,FALSE))/1440),1,0)</f>
        <v>#N/A</v>
      </c>
      <c r="P10" s="2" t="e">
        <f>IF(AND(VLOOKUP(P$1,'20Trips'!$A$3:$F$22,5,FALSE) - VLOOKUP($B10,'20Trips'!$A$3:$G$22,6,FALSE) &gt;= ('20Trips'!$B$23+VLOOKUP(VLOOKUP($B10,'20Trips'!$A$2:$I$22,4,FALSE),'20Trips'!$AB$32:$AH$36,3,FALSE))/1440),1,0)</f>
        <v>#N/A</v>
      </c>
      <c r="Q10" s="2" t="e">
        <f>IF(AND(VLOOKUP(Q$1,'20Trips'!$A$3:$F$22,5,FALSE) - VLOOKUP($B10,'20Trips'!$A$3:$G$22,6,FALSE) &gt;= ('20Trips'!$B$23+VLOOKUP(VLOOKUP($B10,'20Trips'!$A$2:$I$22,4,FALSE),'20Trips'!$AB$32:$AH$36,3,FALSE))/1440),1,0)</f>
        <v>#N/A</v>
      </c>
      <c r="R10" s="2" t="e">
        <f>IF(AND(VLOOKUP(R$1,'20Trips'!$A$3:$F$22,5,FALSE) - VLOOKUP($B10,'20Trips'!$A$3:$G$22,6,FALSE) &gt;= ('20Trips'!$B$23+VLOOKUP(VLOOKUP($B10,'20Trips'!$A$2:$I$22,4,FALSE),'20Trips'!$AB$32:$AH$36,3,FALSE))/1440),1,0)</f>
        <v>#N/A</v>
      </c>
      <c r="S10" s="2" t="e">
        <f>IF(AND(VLOOKUP(S$1,'20Trips'!$A$3:$F$22,5,FALSE) - VLOOKUP($B10,'20Trips'!$A$3:$G$22,6,FALSE) &gt;= ('20Trips'!$B$23+VLOOKUP(VLOOKUP($B10,'20Trips'!$A$2:$I$22,4,FALSE),'20Trips'!$AB$32:$AH$36,3,FALSE))/1440),1,0)</f>
        <v>#N/A</v>
      </c>
      <c r="T10" s="2" t="e">
        <f>IF(AND(VLOOKUP(T$1,'20Trips'!$A$3:$F$22,5,FALSE) - VLOOKUP($B10,'20Trips'!$A$3:$G$22,6,FALSE) &gt;= ('20Trips'!$B$23+VLOOKUP(VLOOKUP($B10,'20Trips'!$A$2:$I$22,4,FALSE),'20Trips'!$AB$32:$AH$36,3,FALSE))/1440),1,0)</f>
        <v>#N/A</v>
      </c>
      <c r="U10" s="2" t="e">
        <f>IF(AND(VLOOKUP(U$1,'20Trips'!$A$3:$F$22,5,FALSE) - VLOOKUP($B10,'20Trips'!$A$3:$G$22,6,FALSE) &gt;= ('20Trips'!$B$23+VLOOKUP(VLOOKUP($B10,'20Trips'!$A$2:$I$22,4,FALSE),'20Trips'!$AB$32:$AH$36,3,FALSE))/1440),1,0)</f>
        <v>#N/A</v>
      </c>
      <c r="V10" s="2" t="e">
        <f>IF(AND(VLOOKUP(V$1,'20Trips'!$A$3:$F$22,5,FALSE) - VLOOKUP($B10,'20Trips'!$A$3:$G$22,6,FALSE) &gt;= ('20Trips'!$B$23+VLOOKUP(VLOOKUP($B10,'20Trips'!$A$2:$I$22,4,FALSE),'20Trips'!$AB$32:$AH$36,3,FALSE))/1440),1,0)</f>
        <v>#N/A</v>
      </c>
      <c r="W10" s="2" t="e">
        <f>IF(AND(VLOOKUP(W$1,'20Trips'!$A$3:$F$22,5,FALSE) - VLOOKUP($B10,'20Trips'!$A$3:$G$22,6,FALSE) &gt;= ('20Trips'!$B$23+VLOOKUP(VLOOKUP($B10,'20Trips'!$A$2:$I$22,4,FALSE),'20Trips'!$AB$32:$AH$36,3,FALSE))/1440),1,0)</f>
        <v>#N/A</v>
      </c>
      <c r="X10" s="2" t="e">
        <f>IF(AND(VLOOKUP(X$1,'20Trips'!$A$3:$F$22,5,FALSE) - VLOOKUP($B10,'20Trips'!$A$3:$G$22,6,FALSE) &gt;= ('20Trips'!$B$23+VLOOKUP(VLOOKUP($B10,'20Trips'!$A$2:$I$22,4,FALSE),'20Trips'!$AB$32:$AH$36,3,FALSE))/1440),1,0)</f>
        <v>#N/A</v>
      </c>
      <c r="Y10" s="2" t="e">
        <f>IF(AND(VLOOKUP(Y$1,'20Trips'!$A$3:$F$22,5,FALSE) - VLOOKUP($B10,'20Trips'!$A$3:$G$22,6,FALSE) &gt;= ('20Trips'!$B$23+VLOOKUP(VLOOKUP($B10,'20Trips'!$A$2:$I$22,4,FALSE),'20Trips'!$AB$32:$AH$36,3,FALSE))/1440),1,0)</f>
        <v>#N/A</v>
      </c>
      <c r="Z10" s="2" t="e">
        <f>IF(AND(VLOOKUP(Z$1,'20Trips'!$A$3:$F$22,5,FALSE) - VLOOKUP($B10,'20Trips'!$A$3:$G$22,6,FALSE) &gt;= ('20Trips'!$B$23+VLOOKUP(VLOOKUP($B10,'20Trips'!$A$2:$I$22,4,FALSE),'20Trips'!$AB$32:$AH$36,3,FALSE))/1440),1,0)</f>
        <v>#N/A</v>
      </c>
      <c r="AA10" s="2" t="e">
        <f>IF(AND(VLOOKUP(AA$1,'20Trips'!$A$3:$F$22,5,FALSE) - VLOOKUP($B10,'20Trips'!$A$3:$G$22,6,FALSE) &gt;= ('20Trips'!$B$23+VLOOKUP(VLOOKUP($B10,'20Trips'!$A$2:$I$22,4,FALSE),'20Trips'!$AB$32:$AH$36,3,FALSE))/1440),1,0)</f>
        <v>#N/A</v>
      </c>
      <c r="AB10" s="2" t="e">
        <f>IF(AND(VLOOKUP(AB$1,'20Trips'!$A$3:$F$22,5,FALSE) - VLOOKUP($B10,'20Trips'!$A$3:$G$22,6,FALSE) &gt;= ('20Trips'!$B$23+VLOOKUP(VLOOKUP($B10,'20Trips'!$A$2:$I$22,4,FALSE),'20Trips'!$AB$32:$AH$36,3,FALSE))/1440),1,0)</f>
        <v>#N/A</v>
      </c>
      <c r="AC10" s="2" t="e">
        <f>IF(AND(VLOOKUP(AC$1,'20Trips'!$A$3:$F$22,5,FALSE) - VLOOKUP($B10,'20Trips'!$A$3:$G$22,6,FALSE) &gt;= ('20Trips'!$B$23+VLOOKUP(VLOOKUP($B10,'20Trips'!$A$2:$I$22,4,FALSE),'20Trips'!$AB$32:$AH$36,3,FALSE))/1440),1,0)</f>
        <v>#N/A</v>
      </c>
      <c r="AD10" s="2" t="e">
        <f>IF(AND(VLOOKUP(AD$1,'20Trips'!$A$3:$F$22,5,FALSE) - VLOOKUP($B10,'20Trips'!$A$3:$G$22,6,FALSE) &gt;= ('20Trips'!$B$23+VLOOKUP(VLOOKUP($B10,'20Trips'!$A$2:$I$22,4,FALSE),'20Trips'!$AB$32:$AH$36,3,FALSE))/1440),1,0)</f>
        <v>#N/A</v>
      </c>
      <c r="AE10" s="2" t="e">
        <f>IF(AND(VLOOKUP(AE$1,'20Trips'!$A$3:$F$22,5,FALSE) - VLOOKUP($B10,'20Trips'!$A$3:$G$22,6,FALSE) &gt;= ('20Trips'!$B$23+VLOOKUP(VLOOKUP($B10,'20Trips'!$A$2:$I$22,4,FALSE),'20Trips'!$AB$32:$AH$36,3,FALSE))/1440),1,0)</f>
        <v>#N/A</v>
      </c>
      <c r="AF10" s="2" t="e">
        <f>IF(AND(VLOOKUP(AF$1,'20Trips'!$A$3:$F$22,5,FALSE) - VLOOKUP($B10,'20Trips'!$A$3:$G$22,6,FALSE) &gt;= ('20Trips'!$B$23+VLOOKUP(VLOOKUP($B10,'20Trips'!$A$2:$I$22,4,FALSE),'20Trips'!$AB$32:$AH$36,3,FALSE))/1440),1,0)</f>
        <v>#N/A</v>
      </c>
      <c r="AG10" s="2" t="e">
        <f>IF(AND(VLOOKUP(AG$1,'20Trips'!$A$3:$F$22,5,FALSE) - VLOOKUP($B10,'20Trips'!$A$3:$G$22,6,FALSE) &gt;= ('20Trips'!$B$23+VLOOKUP(VLOOKUP($B10,'20Trips'!$A$2:$I$22,4,FALSE),'20Trips'!$AB$32:$AH$36,3,FALSE))/1440),1,0)</f>
        <v>#N/A</v>
      </c>
    </row>
    <row r="11" spans="1:34" x14ac:dyDescent="0.25">
      <c r="A11" t="s">
        <v>48</v>
      </c>
      <c r="B11" t="s">
        <v>18</v>
      </c>
      <c r="C11">
        <v>0</v>
      </c>
      <c r="D11" s="2">
        <f>IF(AND(VLOOKUP(D$1,'20Trips'!$A$3:$F$22,5,FALSE) - VLOOKUP($B11,'20Trips'!$A$3:$G$22,6,FALSE) &gt;= ('20Trips'!$B$23+VLOOKUP(VLOOKUP($B11,'20Trips'!$A$2:$I$22,4,FALSE),'20Trips'!$AB$32:$AH$36,3,FALSE))/1440),1,0)</f>
        <v>0</v>
      </c>
      <c r="E11" s="2">
        <f>IF(AND(VLOOKUP(E$1,'20Trips'!$A$3:$F$22,5,FALSE) - VLOOKUP($B11,'20Trips'!$A$3:$G$22,6,FALSE) &gt;= ('20Trips'!$B$23+VLOOKUP(VLOOKUP($B11,'20Trips'!$A$2:$I$22,4,FALSE),'20Trips'!$AB$32:$AH$36,3,FALSE))/1440),1,0)</f>
        <v>0</v>
      </c>
      <c r="F11" s="2">
        <f>IF(AND(VLOOKUP(F$1,'20Trips'!$A$3:$F$22,5,FALSE) - VLOOKUP($B11,'20Trips'!$A$3:$G$22,6,FALSE) &gt;= ('20Trips'!$B$23+VLOOKUP(VLOOKUP($B11,'20Trips'!$A$2:$I$22,4,FALSE),'20Trips'!$AB$32:$AH$36,3,FALSE))/1440),1,0)</f>
        <v>1</v>
      </c>
      <c r="G11" s="2">
        <f>IF(AND(VLOOKUP(G$1,'20Trips'!$A$3:$F$22,5,FALSE) - VLOOKUP($B11,'20Trips'!$A$3:$G$22,6,FALSE) &gt;= ('20Trips'!$B$23+VLOOKUP(VLOOKUP($B11,'20Trips'!$A$2:$I$22,4,FALSE),'20Trips'!$AB$32:$AH$36,3,FALSE))/1440),1,0)</f>
        <v>1</v>
      </c>
      <c r="H11" s="2">
        <f>IF(AND(VLOOKUP(H$1,'20Trips'!$A$3:$F$22,5,FALSE) - VLOOKUP($B11,'20Trips'!$A$3:$G$22,6,FALSE) &gt;= ('20Trips'!$B$23+VLOOKUP(VLOOKUP($B11,'20Trips'!$A$2:$I$22,4,FALSE),'20Trips'!$AB$32:$AH$36,3,FALSE))/1440),1,0)</f>
        <v>1</v>
      </c>
      <c r="I11" s="2" t="e">
        <f>IF(AND(VLOOKUP(I$1,'20Trips'!$A$3:$F$22,5,FALSE) - VLOOKUP($B11,'20Trips'!$A$3:$G$22,6,FALSE) &gt;= ('20Trips'!$B$23+VLOOKUP(VLOOKUP($B11,'20Trips'!$A$2:$I$22,4,FALSE),'20Trips'!$AB$32:$AH$36,3,FALSE))/1440),1,0)</f>
        <v>#N/A</v>
      </c>
      <c r="J11" s="2" t="e">
        <f>IF(AND(VLOOKUP(J$1,'20Trips'!$A$3:$F$22,5,FALSE) - VLOOKUP($B11,'20Trips'!$A$3:$G$22,6,FALSE) &gt;= ('20Trips'!$B$23+VLOOKUP(VLOOKUP($B11,'20Trips'!$A$2:$I$22,4,FALSE),'20Trips'!$AB$32:$AH$36,3,FALSE))/1440),1,0)</f>
        <v>#N/A</v>
      </c>
      <c r="K11" s="2" t="e">
        <f>IF(AND(VLOOKUP(K$1,'20Trips'!$A$3:$F$22,5,FALSE) - VLOOKUP($B11,'20Trips'!$A$3:$G$22,6,FALSE) &gt;= ('20Trips'!$B$23+VLOOKUP(VLOOKUP($B11,'20Trips'!$A$2:$I$22,4,FALSE),'20Trips'!$AB$32:$AH$36,3,FALSE))/1440),1,0)</f>
        <v>#N/A</v>
      </c>
      <c r="L11" s="2">
        <f>IF(AND(VLOOKUP(L$1,'20Trips'!$A$3:$F$22,5,FALSE) - VLOOKUP($B11,'20Trips'!$A$3:$G$22,6,FALSE) &gt;= ('20Trips'!$B$23+VLOOKUP(VLOOKUP($B11,'20Trips'!$A$2:$I$22,4,FALSE),'20Trips'!$AB$32:$AH$36,3,FALSE))/1440),1,0)</f>
        <v>0</v>
      </c>
      <c r="M11" s="2">
        <f>IF(AND(VLOOKUP(M$1,'20Trips'!$A$3:$F$22,5,FALSE) - VLOOKUP($B11,'20Trips'!$A$3:$G$22,6,FALSE) &gt;= ('20Trips'!$B$23+VLOOKUP(VLOOKUP($B11,'20Trips'!$A$2:$I$22,4,FALSE),'20Trips'!$AB$32:$AH$36,3,FALSE))/1440),1,0)</f>
        <v>0</v>
      </c>
      <c r="N11" s="2">
        <f>IF(AND(VLOOKUP(N$1,'20Trips'!$A$3:$F$22,5,FALSE) - VLOOKUP($B11,'20Trips'!$A$3:$G$22,6,FALSE) &gt;= ('20Trips'!$B$23+VLOOKUP(VLOOKUP($B11,'20Trips'!$A$2:$I$22,4,FALSE),'20Trips'!$AB$32:$AH$36,3,FALSE))/1440),1,0)</f>
        <v>1</v>
      </c>
      <c r="O11" s="2">
        <f>IF(AND(VLOOKUP(O$1,'20Trips'!$A$3:$F$22,5,FALSE) - VLOOKUP($B11,'20Trips'!$A$3:$G$22,6,FALSE) &gt;= ('20Trips'!$B$23+VLOOKUP(VLOOKUP($B11,'20Trips'!$A$2:$I$22,4,FALSE),'20Trips'!$AB$32:$AH$36,3,FALSE))/1440),1,0)</f>
        <v>1</v>
      </c>
      <c r="P11" s="2">
        <f>IF(AND(VLOOKUP(P$1,'20Trips'!$A$3:$F$22,5,FALSE) - VLOOKUP($B11,'20Trips'!$A$3:$G$22,6,FALSE) &gt;= ('20Trips'!$B$23+VLOOKUP(VLOOKUP($B11,'20Trips'!$A$2:$I$22,4,FALSE),'20Trips'!$AB$32:$AH$36,3,FALSE))/1440),1,0)</f>
        <v>1</v>
      </c>
      <c r="Q11" s="2" t="e">
        <f>IF(AND(VLOOKUP(Q$1,'20Trips'!$A$3:$F$22,5,FALSE) - VLOOKUP($B11,'20Trips'!$A$3:$G$22,6,FALSE) &gt;= ('20Trips'!$B$23+VLOOKUP(VLOOKUP($B11,'20Trips'!$A$2:$I$22,4,FALSE),'20Trips'!$AB$32:$AH$36,3,FALSE))/1440),1,0)</f>
        <v>#N/A</v>
      </c>
      <c r="R11" s="2">
        <f>IF(AND(VLOOKUP(R$1,'20Trips'!$A$3:$F$22,5,FALSE) - VLOOKUP($B11,'20Trips'!$A$3:$G$22,6,FALSE) &gt;= ('20Trips'!$B$23+VLOOKUP(VLOOKUP($B11,'20Trips'!$A$2:$I$22,4,FALSE),'20Trips'!$AB$32:$AH$36,3,FALSE))/1440),1,0)</f>
        <v>0</v>
      </c>
      <c r="S11" s="2">
        <f>IF(AND(VLOOKUP(S$1,'20Trips'!$A$3:$F$22,5,FALSE) - VLOOKUP($B11,'20Trips'!$A$3:$G$22,6,FALSE) &gt;= ('20Trips'!$B$23+VLOOKUP(VLOOKUP($B11,'20Trips'!$A$2:$I$22,4,FALSE),'20Trips'!$AB$32:$AH$36,3,FALSE))/1440),1,0)</f>
        <v>0</v>
      </c>
      <c r="T11" s="2">
        <f>IF(AND(VLOOKUP(T$1,'20Trips'!$A$3:$F$22,5,FALSE) - VLOOKUP($B11,'20Trips'!$A$3:$G$22,6,FALSE) &gt;= ('20Trips'!$B$23+VLOOKUP(VLOOKUP($B11,'20Trips'!$A$2:$I$22,4,FALSE),'20Trips'!$AB$32:$AH$36,3,FALSE))/1440),1,0)</f>
        <v>0</v>
      </c>
      <c r="U11" s="2">
        <f>IF(AND(VLOOKUP(U$1,'20Trips'!$A$3:$F$22,5,FALSE) - VLOOKUP($B11,'20Trips'!$A$3:$G$22,6,FALSE) &gt;= ('20Trips'!$B$23+VLOOKUP(VLOOKUP($B11,'20Trips'!$A$2:$I$22,4,FALSE),'20Trips'!$AB$32:$AH$36,3,FALSE))/1440),1,0)</f>
        <v>1</v>
      </c>
      <c r="V11" s="2">
        <f>IF(AND(VLOOKUP(V$1,'20Trips'!$A$3:$F$22,5,FALSE) - VLOOKUP($B11,'20Trips'!$A$3:$G$22,6,FALSE) &gt;= ('20Trips'!$B$23+VLOOKUP(VLOOKUP($B11,'20Trips'!$A$2:$I$22,4,FALSE),'20Trips'!$AB$32:$AH$36,3,FALSE))/1440),1,0)</f>
        <v>1</v>
      </c>
      <c r="W11" s="2" t="e">
        <f>IF(AND(VLOOKUP(W$1,'20Trips'!$A$3:$F$22,5,FALSE) - VLOOKUP($B11,'20Trips'!$A$3:$G$22,6,FALSE) &gt;= ('20Trips'!$B$23+VLOOKUP(VLOOKUP($B11,'20Trips'!$A$2:$I$22,4,FALSE),'20Trips'!$AB$32:$AH$36,3,FALSE))/1440),1,0)</f>
        <v>#N/A</v>
      </c>
      <c r="X11" s="2" t="e">
        <f>IF(AND(VLOOKUP(X$1,'20Trips'!$A$3:$F$22,5,FALSE) - VLOOKUP($B11,'20Trips'!$A$3:$G$22,6,FALSE) &gt;= ('20Trips'!$B$23+VLOOKUP(VLOOKUP($B11,'20Trips'!$A$2:$I$22,4,FALSE),'20Trips'!$AB$32:$AH$36,3,FALSE))/1440),1,0)</f>
        <v>#N/A</v>
      </c>
      <c r="Y11" s="2" t="e">
        <f>IF(AND(VLOOKUP(Y$1,'20Trips'!$A$3:$F$22,5,FALSE) - VLOOKUP($B11,'20Trips'!$A$3:$G$22,6,FALSE) &gt;= ('20Trips'!$B$23+VLOOKUP(VLOOKUP($B11,'20Trips'!$A$2:$I$22,4,FALSE),'20Trips'!$AB$32:$AH$36,3,FALSE))/1440),1,0)</f>
        <v>#N/A</v>
      </c>
      <c r="Z11" s="2">
        <f>IF(AND(VLOOKUP(Z$1,'20Trips'!$A$3:$F$22,5,FALSE) - VLOOKUP($B11,'20Trips'!$A$3:$G$22,6,FALSE) &gt;= ('20Trips'!$B$23+VLOOKUP(VLOOKUP($B11,'20Trips'!$A$2:$I$22,4,FALSE),'20Trips'!$AB$32:$AH$36,3,FALSE))/1440),1,0)</f>
        <v>0</v>
      </c>
      <c r="AA11" s="2">
        <f>IF(AND(VLOOKUP(AA$1,'20Trips'!$A$3:$F$22,5,FALSE) - VLOOKUP($B11,'20Trips'!$A$3:$G$22,6,FALSE) &gt;= ('20Trips'!$B$23+VLOOKUP(VLOOKUP($B11,'20Trips'!$A$2:$I$22,4,FALSE),'20Trips'!$AB$32:$AH$36,3,FALSE))/1440),1,0)</f>
        <v>0</v>
      </c>
      <c r="AB11" s="2">
        <f>IF(AND(VLOOKUP(AB$1,'20Trips'!$A$3:$F$22,5,FALSE) - VLOOKUP($B11,'20Trips'!$A$3:$G$22,6,FALSE) &gt;= ('20Trips'!$B$23+VLOOKUP(VLOOKUP($B11,'20Trips'!$A$2:$I$22,4,FALSE),'20Trips'!$AB$32:$AH$36,3,FALSE))/1440),1,0)</f>
        <v>1</v>
      </c>
      <c r="AC11" s="2">
        <f>IF(AND(VLOOKUP(AC$1,'20Trips'!$A$3:$F$22,5,FALSE) - VLOOKUP($B11,'20Trips'!$A$3:$G$22,6,FALSE) &gt;= ('20Trips'!$B$23+VLOOKUP(VLOOKUP($B11,'20Trips'!$A$2:$I$22,4,FALSE),'20Trips'!$AB$32:$AH$36,3,FALSE))/1440),1,0)</f>
        <v>1</v>
      </c>
      <c r="AD11" s="2">
        <f>IF(AND(VLOOKUP(AD$1,'20Trips'!$A$3:$F$22,5,FALSE) - VLOOKUP($B11,'20Trips'!$A$3:$G$22,6,FALSE) &gt;= ('20Trips'!$B$23+VLOOKUP(VLOOKUP($B11,'20Trips'!$A$2:$I$22,4,FALSE),'20Trips'!$AB$32:$AH$36,3,FALSE))/1440),1,0)</f>
        <v>1</v>
      </c>
      <c r="AE11" s="2" t="e">
        <f>IF(AND(VLOOKUP(AE$1,'20Trips'!$A$3:$F$22,5,FALSE) - VLOOKUP($B11,'20Trips'!$A$3:$G$22,6,FALSE) &gt;= ('20Trips'!$B$23+VLOOKUP(VLOOKUP($B11,'20Trips'!$A$2:$I$22,4,FALSE),'20Trips'!$AB$32:$AH$36,3,FALSE))/1440),1,0)</f>
        <v>#N/A</v>
      </c>
      <c r="AF11" s="2" t="e">
        <f>IF(AND(VLOOKUP(AF$1,'20Trips'!$A$3:$F$22,5,FALSE) - VLOOKUP($B11,'20Trips'!$A$3:$G$22,6,FALSE) &gt;= ('20Trips'!$B$23+VLOOKUP(VLOOKUP($B11,'20Trips'!$A$2:$I$22,4,FALSE),'20Trips'!$AB$32:$AH$36,3,FALSE))/1440),1,0)</f>
        <v>#N/A</v>
      </c>
      <c r="AG11" s="2" t="e">
        <f>IF(AND(VLOOKUP(AG$1,'20Trips'!$A$3:$F$22,5,FALSE) - VLOOKUP($B11,'20Trips'!$A$3:$G$22,6,FALSE) &gt;= ('20Trips'!$B$23+VLOOKUP(VLOOKUP($B11,'20Trips'!$A$2:$I$22,4,FALSE),'20Trips'!$AB$32:$AH$36,3,FALSE))/1440),1,0)</f>
        <v>#N/A</v>
      </c>
    </row>
    <row r="12" spans="1:34" x14ac:dyDescent="0.25">
      <c r="A12" t="s">
        <v>48</v>
      </c>
      <c r="B12" t="s">
        <v>20</v>
      </c>
      <c r="C12">
        <v>0</v>
      </c>
      <c r="D12" s="2">
        <f>IF(AND(VLOOKUP(D$1,'20Trips'!$A$3:$F$22,5,FALSE) - VLOOKUP($B12,'20Trips'!$A$3:$G$22,6,FALSE) &gt;= ('20Trips'!$B$23+VLOOKUP(VLOOKUP($B12,'20Trips'!$A$2:$I$22,4,FALSE),'20Trips'!$AB$32:$AH$36,3,FALSE))/1440),1,0)</f>
        <v>0</v>
      </c>
      <c r="E12" s="2">
        <f>IF(AND(VLOOKUP(E$1,'20Trips'!$A$3:$F$22,5,FALSE) - VLOOKUP($B12,'20Trips'!$A$3:$G$22,6,FALSE) &gt;= ('20Trips'!$B$23+VLOOKUP(VLOOKUP($B12,'20Trips'!$A$2:$I$22,4,FALSE),'20Trips'!$AB$32:$AH$36,3,FALSE))/1440),1,0)</f>
        <v>0</v>
      </c>
      <c r="F12" s="2">
        <f>IF(AND(VLOOKUP(F$1,'20Trips'!$A$3:$F$22,5,FALSE) - VLOOKUP($B12,'20Trips'!$A$3:$G$22,6,FALSE) &gt;= ('20Trips'!$B$23+VLOOKUP(VLOOKUP($B12,'20Trips'!$A$2:$I$22,4,FALSE),'20Trips'!$AB$32:$AH$36,3,FALSE))/1440),1,0)</f>
        <v>0</v>
      </c>
      <c r="G12" s="2">
        <f>IF(AND(VLOOKUP(G$1,'20Trips'!$A$3:$F$22,5,FALSE) - VLOOKUP($B12,'20Trips'!$A$3:$G$22,6,FALSE) &gt;= ('20Trips'!$B$23+VLOOKUP(VLOOKUP($B12,'20Trips'!$A$2:$I$22,4,FALSE),'20Trips'!$AB$32:$AH$36,3,FALSE))/1440),1,0)</f>
        <v>1</v>
      </c>
      <c r="H12" s="2">
        <f>IF(AND(VLOOKUP(H$1,'20Trips'!$A$3:$F$22,5,FALSE) - VLOOKUP($B12,'20Trips'!$A$3:$G$22,6,FALSE) &gt;= ('20Trips'!$B$23+VLOOKUP(VLOOKUP($B12,'20Trips'!$A$2:$I$22,4,FALSE),'20Trips'!$AB$32:$AH$36,3,FALSE))/1440),1,0)</f>
        <v>1</v>
      </c>
      <c r="I12" s="2" t="e">
        <f>IF(AND(VLOOKUP(I$1,'20Trips'!$A$3:$F$22,5,FALSE) - VLOOKUP($B12,'20Trips'!$A$3:$G$22,6,FALSE) &gt;= ('20Trips'!$B$23+VLOOKUP(VLOOKUP($B12,'20Trips'!$A$2:$I$22,4,FALSE),'20Trips'!$AB$32:$AH$36,3,FALSE))/1440),1,0)</f>
        <v>#N/A</v>
      </c>
      <c r="J12" s="2" t="e">
        <f>IF(AND(VLOOKUP(J$1,'20Trips'!$A$3:$F$22,5,FALSE) - VLOOKUP($B12,'20Trips'!$A$3:$G$22,6,FALSE) &gt;= ('20Trips'!$B$23+VLOOKUP(VLOOKUP($B12,'20Trips'!$A$2:$I$22,4,FALSE),'20Trips'!$AB$32:$AH$36,3,FALSE))/1440),1,0)</f>
        <v>#N/A</v>
      </c>
      <c r="K12" s="2" t="e">
        <f>IF(AND(VLOOKUP(K$1,'20Trips'!$A$3:$F$22,5,FALSE) - VLOOKUP($B12,'20Trips'!$A$3:$G$22,6,FALSE) &gt;= ('20Trips'!$B$23+VLOOKUP(VLOOKUP($B12,'20Trips'!$A$2:$I$22,4,FALSE),'20Trips'!$AB$32:$AH$36,3,FALSE))/1440),1,0)</f>
        <v>#N/A</v>
      </c>
      <c r="L12" s="2">
        <f>IF(AND(VLOOKUP(L$1,'20Trips'!$A$3:$F$22,5,FALSE) - VLOOKUP($B12,'20Trips'!$A$3:$G$22,6,FALSE) &gt;= ('20Trips'!$B$23+VLOOKUP(VLOOKUP($B12,'20Trips'!$A$2:$I$22,4,FALSE),'20Trips'!$AB$32:$AH$36,3,FALSE))/1440),1,0)</f>
        <v>0</v>
      </c>
      <c r="M12" s="2">
        <f>IF(AND(VLOOKUP(M$1,'20Trips'!$A$3:$F$22,5,FALSE) - VLOOKUP($B12,'20Trips'!$A$3:$G$22,6,FALSE) &gt;= ('20Trips'!$B$23+VLOOKUP(VLOOKUP($B12,'20Trips'!$A$2:$I$22,4,FALSE),'20Trips'!$AB$32:$AH$36,3,FALSE))/1440),1,0)</f>
        <v>0</v>
      </c>
      <c r="N12" s="2">
        <f>IF(AND(VLOOKUP(N$1,'20Trips'!$A$3:$F$22,5,FALSE) - VLOOKUP($B12,'20Trips'!$A$3:$G$22,6,FALSE) &gt;= ('20Trips'!$B$23+VLOOKUP(VLOOKUP($B12,'20Trips'!$A$2:$I$22,4,FALSE),'20Trips'!$AB$32:$AH$36,3,FALSE))/1440),1,0)</f>
        <v>0</v>
      </c>
      <c r="O12" s="2">
        <f>IF(AND(VLOOKUP(O$1,'20Trips'!$A$3:$F$22,5,FALSE) - VLOOKUP($B12,'20Trips'!$A$3:$G$22,6,FALSE) &gt;= ('20Trips'!$B$23+VLOOKUP(VLOOKUP($B12,'20Trips'!$A$2:$I$22,4,FALSE),'20Trips'!$AB$32:$AH$36,3,FALSE))/1440),1,0)</f>
        <v>1</v>
      </c>
      <c r="P12" s="2">
        <f>IF(AND(VLOOKUP(P$1,'20Trips'!$A$3:$F$22,5,FALSE) - VLOOKUP($B12,'20Trips'!$A$3:$G$22,6,FALSE) &gt;= ('20Trips'!$B$23+VLOOKUP(VLOOKUP($B12,'20Trips'!$A$2:$I$22,4,FALSE),'20Trips'!$AB$32:$AH$36,3,FALSE))/1440),1,0)</f>
        <v>1</v>
      </c>
      <c r="Q12" s="2" t="e">
        <f>IF(AND(VLOOKUP(Q$1,'20Trips'!$A$3:$F$22,5,FALSE) - VLOOKUP($B12,'20Trips'!$A$3:$G$22,6,FALSE) &gt;= ('20Trips'!$B$23+VLOOKUP(VLOOKUP($B12,'20Trips'!$A$2:$I$22,4,FALSE),'20Trips'!$AB$32:$AH$36,3,FALSE))/1440),1,0)</f>
        <v>#N/A</v>
      </c>
      <c r="R12" s="2">
        <f>IF(AND(VLOOKUP(R$1,'20Trips'!$A$3:$F$22,5,FALSE) - VLOOKUP($B12,'20Trips'!$A$3:$G$22,6,FALSE) &gt;= ('20Trips'!$B$23+VLOOKUP(VLOOKUP($B12,'20Trips'!$A$2:$I$22,4,FALSE),'20Trips'!$AB$32:$AH$36,3,FALSE))/1440),1,0)</f>
        <v>0</v>
      </c>
      <c r="S12" s="2">
        <f>IF(AND(VLOOKUP(S$1,'20Trips'!$A$3:$F$22,5,FALSE) - VLOOKUP($B12,'20Trips'!$A$3:$G$22,6,FALSE) &gt;= ('20Trips'!$B$23+VLOOKUP(VLOOKUP($B12,'20Trips'!$A$2:$I$22,4,FALSE),'20Trips'!$AB$32:$AH$36,3,FALSE))/1440),1,0)</f>
        <v>0</v>
      </c>
      <c r="T12" s="2">
        <f>IF(AND(VLOOKUP(T$1,'20Trips'!$A$3:$F$22,5,FALSE) - VLOOKUP($B12,'20Trips'!$A$3:$G$22,6,FALSE) &gt;= ('20Trips'!$B$23+VLOOKUP(VLOOKUP($B12,'20Trips'!$A$2:$I$22,4,FALSE),'20Trips'!$AB$32:$AH$36,3,FALSE))/1440),1,0)</f>
        <v>0</v>
      </c>
      <c r="U12" s="2">
        <f>IF(AND(VLOOKUP(U$1,'20Trips'!$A$3:$F$22,5,FALSE) - VLOOKUP($B12,'20Trips'!$A$3:$G$22,6,FALSE) &gt;= ('20Trips'!$B$23+VLOOKUP(VLOOKUP($B12,'20Trips'!$A$2:$I$22,4,FALSE),'20Trips'!$AB$32:$AH$36,3,FALSE))/1440),1,0)</f>
        <v>0</v>
      </c>
      <c r="V12" s="2">
        <f>IF(AND(VLOOKUP(V$1,'20Trips'!$A$3:$F$22,5,FALSE) - VLOOKUP($B12,'20Trips'!$A$3:$G$22,6,FALSE) &gt;= ('20Trips'!$B$23+VLOOKUP(VLOOKUP($B12,'20Trips'!$A$2:$I$22,4,FALSE),'20Trips'!$AB$32:$AH$36,3,FALSE))/1440),1,0)</f>
        <v>1</v>
      </c>
      <c r="W12" s="2" t="e">
        <f>IF(AND(VLOOKUP(W$1,'20Trips'!$A$3:$F$22,5,FALSE) - VLOOKUP($B12,'20Trips'!$A$3:$G$22,6,FALSE) &gt;= ('20Trips'!$B$23+VLOOKUP(VLOOKUP($B12,'20Trips'!$A$2:$I$22,4,FALSE),'20Trips'!$AB$32:$AH$36,3,FALSE))/1440),1,0)</f>
        <v>#N/A</v>
      </c>
      <c r="X12" s="2" t="e">
        <f>IF(AND(VLOOKUP(X$1,'20Trips'!$A$3:$F$22,5,FALSE) - VLOOKUP($B12,'20Trips'!$A$3:$G$22,6,FALSE) &gt;= ('20Trips'!$B$23+VLOOKUP(VLOOKUP($B12,'20Trips'!$A$2:$I$22,4,FALSE),'20Trips'!$AB$32:$AH$36,3,FALSE))/1440),1,0)</f>
        <v>#N/A</v>
      </c>
      <c r="Y12" s="2" t="e">
        <f>IF(AND(VLOOKUP(Y$1,'20Trips'!$A$3:$F$22,5,FALSE) - VLOOKUP($B12,'20Trips'!$A$3:$G$22,6,FALSE) &gt;= ('20Trips'!$B$23+VLOOKUP(VLOOKUP($B12,'20Trips'!$A$2:$I$22,4,FALSE),'20Trips'!$AB$32:$AH$36,3,FALSE))/1440),1,0)</f>
        <v>#N/A</v>
      </c>
      <c r="Z12" s="2">
        <f>IF(AND(VLOOKUP(Z$1,'20Trips'!$A$3:$F$22,5,FALSE) - VLOOKUP($B12,'20Trips'!$A$3:$G$22,6,FALSE) &gt;= ('20Trips'!$B$23+VLOOKUP(VLOOKUP($B12,'20Trips'!$A$2:$I$22,4,FALSE),'20Trips'!$AB$32:$AH$36,3,FALSE))/1440),1,0)</f>
        <v>0</v>
      </c>
      <c r="AA12" s="2">
        <f>IF(AND(VLOOKUP(AA$1,'20Trips'!$A$3:$F$22,5,FALSE) - VLOOKUP($B12,'20Trips'!$A$3:$G$22,6,FALSE) &gt;= ('20Trips'!$B$23+VLOOKUP(VLOOKUP($B12,'20Trips'!$A$2:$I$22,4,FALSE),'20Trips'!$AB$32:$AH$36,3,FALSE))/1440),1,0)</f>
        <v>0</v>
      </c>
      <c r="AB12" s="2">
        <f>IF(AND(VLOOKUP(AB$1,'20Trips'!$A$3:$F$22,5,FALSE) - VLOOKUP($B12,'20Trips'!$A$3:$G$22,6,FALSE) &gt;= ('20Trips'!$B$23+VLOOKUP(VLOOKUP($B12,'20Trips'!$A$2:$I$22,4,FALSE),'20Trips'!$AB$32:$AH$36,3,FALSE))/1440),1,0)</f>
        <v>0</v>
      </c>
      <c r="AC12" s="2">
        <f>IF(AND(VLOOKUP(AC$1,'20Trips'!$A$3:$F$22,5,FALSE) - VLOOKUP($B12,'20Trips'!$A$3:$G$22,6,FALSE) &gt;= ('20Trips'!$B$23+VLOOKUP(VLOOKUP($B12,'20Trips'!$A$2:$I$22,4,FALSE),'20Trips'!$AB$32:$AH$36,3,FALSE))/1440),1,0)</f>
        <v>1</v>
      </c>
      <c r="AD12" s="2">
        <f>IF(AND(VLOOKUP(AD$1,'20Trips'!$A$3:$F$22,5,FALSE) - VLOOKUP($B12,'20Trips'!$A$3:$G$22,6,FALSE) &gt;= ('20Trips'!$B$23+VLOOKUP(VLOOKUP($B12,'20Trips'!$A$2:$I$22,4,FALSE),'20Trips'!$AB$32:$AH$36,3,FALSE))/1440),1,0)</f>
        <v>1</v>
      </c>
      <c r="AE12" s="2" t="e">
        <f>IF(AND(VLOOKUP(AE$1,'20Trips'!$A$3:$F$22,5,FALSE) - VLOOKUP($B12,'20Trips'!$A$3:$G$22,6,FALSE) &gt;= ('20Trips'!$B$23+VLOOKUP(VLOOKUP($B12,'20Trips'!$A$2:$I$22,4,FALSE),'20Trips'!$AB$32:$AH$36,3,FALSE))/1440),1,0)</f>
        <v>#N/A</v>
      </c>
      <c r="AF12" s="2" t="e">
        <f>IF(AND(VLOOKUP(AF$1,'20Trips'!$A$3:$F$22,5,FALSE) - VLOOKUP($B12,'20Trips'!$A$3:$G$22,6,FALSE) &gt;= ('20Trips'!$B$23+VLOOKUP(VLOOKUP($B12,'20Trips'!$A$2:$I$22,4,FALSE),'20Trips'!$AB$32:$AH$36,3,FALSE))/1440),1,0)</f>
        <v>#N/A</v>
      </c>
      <c r="AG12" s="2" t="e">
        <f>IF(AND(VLOOKUP(AG$1,'20Trips'!$A$3:$F$22,5,FALSE) - VLOOKUP($B12,'20Trips'!$A$3:$G$22,6,FALSE) &gt;= ('20Trips'!$B$23+VLOOKUP(VLOOKUP($B12,'20Trips'!$A$2:$I$22,4,FALSE),'20Trips'!$AB$32:$AH$36,3,FALSE))/1440),1,0)</f>
        <v>#N/A</v>
      </c>
    </row>
    <row r="13" spans="1:34" x14ac:dyDescent="0.25">
      <c r="A13" t="s">
        <v>48</v>
      </c>
      <c r="B13" t="s">
        <v>21</v>
      </c>
      <c r="C13">
        <v>0</v>
      </c>
      <c r="D13" s="2">
        <f>IF(AND(VLOOKUP(D$1,'20Trips'!$A$3:$F$22,5,FALSE) - VLOOKUP($B13,'20Trips'!$A$3:$G$22,6,FALSE) &gt;= ('20Trips'!$B$23+VLOOKUP(VLOOKUP($B13,'20Trips'!$A$2:$I$22,4,FALSE),'20Trips'!$AB$32:$AH$36,3,FALSE))/1440),1,0)</f>
        <v>0</v>
      </c>
      <c r="E13" s="2">
        <f>IF(AND(VLOOKUP(E$1,'20Trips'!$A$3:$F$22,5,FALSE) - VLOOKUP($B13,'20Trips'!$A$3:$G$22,6,FALSE) &gt;= ('20Trips'!$B$23+VLOOKUP(VLOOKUP($B13,'20Trips'!$A$2:$I$22,4,FALSE),'20Trips'!$AB$32:$AH$36,3,FALSE))/1440),1,0)</f>
        <v>0</v>
      </c>
      <c r="F13" s="2">
        <f>IF(AND(VLOOKUP(F$1,'20Trips'!$A$3:$F$22,5,FALSE) - VLOOKUP($B13,'20Trips'!$A$3:$G$22,6,FALSE) &gt;= ('20Trips'!$B$23+VLOOKUP(VLOOKUP($B13,'20Trips'!$A$2:$I$22,4,FALSE),'20Trips'!$AB$32:$AH$36,3,FALSE))/1440),1,0)</f>
        <v>0</v>
      </c>
      <c r="G13" s="2">
        <f>IF(AND(VLOOKUP(G$1,'20Trips'!$A$3:$F$22,5,FALSE) - VLOOKUP($B13,'20Trips'!$A$3:$G$22,6,FALSE) &gt;= ('20Trips'!$B$23+VLOOKUP(VLOOKUP($B13,'20Trips'!$A$2:$I$22,4,FALSE),'20Trips'!$AB$32:$AH$36,3,FALSE))/1440),1,0)</f>
        <v>0</v>
      </c>
      <c r="H13" s="2">
        <f>IF(AND(VLOOKUP(H$1,'20Trips'!$A$3:$F$22,5,FALSE) - VLOOKUP($B13,'20Trips'!$A$3:$G$22,6,FALSE) &gt;= ('20Trips'!$B$23+VLOOKUP(VLOOKUP($B13,'20Trips'!$A$2:$I$22,4,FALSE),'20Trips'!$AB$32:$AH$36,3,FALSE))/1440),1,0)</f>
        <v>0</v>
      </c>
      <c r="I13" s="2" t="e">
        <f>IF(AND(VLOOKUP(I$1,'20Trips'!$A$3:$F$22,5,FALSE) - VLOOKUP($B13,'20Trips'!$A$3:$G$22,6,FALSE) &gt;= ('20Trips'!$B$23+VLOOKUP(VLOOKUP($B13,'20Trips'!$A$2:$I$22,4,FALSE),'20Trips'!$AB$32:$AH$36,3,FALSE))/1440),1,0)</f>
        <v>#N/A</v>
      </c>
      <c r="J13" s="2" t="e">
        <f>IF(AND(VLOOKUP(J$1,'20Trips'!$A$3:$F$22,5,FALSE) - VLOOKUP($B13,'20Trips'!$A$3:$G$22,6,FALSE) &gt;= ('20Trips'!$B$23+VLOOKUP(VLOOKUP($B13,'20Trips'!$A$2:$I$22,4,FALSE),'20Trips'!$AB$32:$AH$36,3,FALSE))/1440),1,0)</f>
        <v>#N/A</v>
      </c>
      <c r="K13" s="2" t="e">
        <f>IF(AND(VLOOKUP(K$1,'20Trips'!$A$3:$F$22,5,FALSE) - VLOOKUP($B13,'20Trips'!$A$3:$G$22,6,FALSE) &gt;= ('20Trips'!$B$23+VLOOKUP(VLOOKUP($B13,'20Trips'!$A$2:$I$22,4,FALSE),'20Trips'!$AB$32:$AH$36,3,FALSE))/1440),1,0)</f>
        <v>#N/A</v>
      </c>
      <c r="L13" s="2">
        <f>IF(AND(VLOOKUP(L$1,'20Trips'!$A$3:$F$22,5,FALSE) - VLOOKUP($B13,'20Trips'!$A$3:$G$22,6,FALSE) &gt;= ('20Trips'!$B$23+VLOOKUP(VLOOKUP($B13,'20Trips'!$A$2:$I$22,4,FALSE),'20Trips'!$AB$32:$AH$36,3,FALSE))/1440),1,0)</f>
        <v>0</v>
      </c>
      <c r="M13" s="2">
        <f>IF(AND(VLOOKUP(M$1,'20Trips'!$A$3:$F$22,5,FALSE) - VLOOKUP($B13,'20Trips'!$A$3:$G$22,6,FALSE) &gt;= ('20Trips'!$B$23+VLOOKUP(VLOOKUP($B13,'20Trips'!$A$2:$I$22,4,FALSE),'20Trips'!$AB$32:$AH$36,3,FALSE))/1440),1,0)</f>
        <v>0</v>
      </c>
      <c r="N13" s="2">
        <f>IF(AND(VLOOKUP(N$1,'20Trips'!$A$3:$F$22,5,FALSE) - VLOOKUP($B13,'20Trips'!$A$3:$G$22,6,FALSE) &gt;= ('20Trips'!$B$23+VLOOKUP(VLOOKUP($B13,'20Trips'!$A$2:$I$22,4,FALSE),'20Trips'!$AB$32:$AH$36,3,FALSE))/1440),1,0)</f>
        <v>0</v>
      </c>
      <c r="O13" s="2">
        <f>IF(AND(VLOOKUP(O$1,'20Trips'!$A$3:$F$22,5,FALSE) - VLOOKUP($B13,'20Trips'!$A$3:$G$22,6,FALSE) &gt;= ('20Trips'!$B$23+VLOOKUP(VLOOKUP($B13,'20Trips'!$A$2:$I$22,4,FALSE),'20Trips'!$AB$32:$AH$36,3,FALSE))/1440),1,0)</f>
        <v>1</v>
      </c>
      <c r="P13" s="2">
        <f>IF(AND(VLOOKUP(P$1,'20Trips'!$A$3:$F$22,5,FALSE) - VLOOKUP($B13,'20Trips'!$A$3:$G$22,6,FALSE) &gt;= ('20Trips'!$B$23+VLOOKUP(VLOOKUP($B13,'20Trips'!$A$2:$I$22,4,FALSE),'20Trips'!$AB$32:$AH$36,3,FALSE))/1440),1,0)</f>
        <v>1</v>
      </c>
      <c r="Q13" s="2" t="e">
        <f>IF(AND(VLOOKUP(Q$1,'20Trips'!$A$3:$F$22,5,FALSE) - VLOOKUP($B13,'20Trips'!$A$3:$G$22,6,FALSE) &gt;= ('20Trips'!$B$23+VLOOKUP(VLOOKUP($B13,'20Trips'!$A$2:$I$22,4,FALSE),'20Trips'!$AB$32:$AH$36,3,FALSE))/1440),1,0)</f>
        <v>#N/A</v>
      </c>
      <c r="R13" s="2">
        <f>IF(AND(VLOOKUP(R$1,'20Trips'!$A$3:$F$22,5,FALSE) - VLOOKUP($B13,'20Trips'!$A$3:$G$22,6,FALSE) &gt;= ('20Trips'!$B$23+VLOOKUP(VLOOKUP($B13,'20Trips'!$A$2:$I$22,4,FALSE),'20Trips'!$AB$32:$AH$36,3,FALSE))/1440),1,0)</f>
        <v>0</v>
      </c>
      <c r="S13" s="2">
        <f>IF(AND(VLOOKUP(S$1,'20Trips'!$A$3:$F$22,5,FALSE) - VLOOKUP($B13,'20Trips'!$A$3:$G$22,6,FALSE) &gt;= ('20Trips'!$B$23+VLOOKUP(VLOOKUP($B13,'20Trips'!$A$2:$I$22,4,FALSE),'20Trips'!$AB$32:$AH$36,3,FALSE))/1440),1,0)</f>
        <v>0</v>
      </c>
      <c r="T13" s="2">
        <f>IF(AND(VLOOKUP(T$1,'20Trips'!$A$3:$F$22,5,FALSE) - VLOOKUP($B13,'20Trips'!$A$3:$G$22,6,FALSE) &gt;= ('20Trips'!$B$23+VLOOKUP(VLOOKUP($B13,'20Trips'!$A$2:$I$22,4,FALSE),'20Trips'!$AB$32:$AH$36,3,FALSE))/1440),1,0)</f>
        <v>0</v>
      </c>
      <c r="U13" s="2">
        <f>IF(AND(VLOOKUP(U$1,'20Trips'!$A$3:$F$22,5,FALSE) - VLOOKUP($B13,'20Trips'!$A$3:$G$22,6,FALSE) &gt;= ('20Trips'!$B$23+VLOOKUP(VLOOKUP($B13,'20Trips'!$A$2:$I$22,4,FALSE),'20Trips'!$AB$32:$AH$36,3,FALSE))/1440),1,0)</f>
        <v>0</v>
      </c>
      <c r="V13" s="2">
        <f>IF(AND(VLOOKUP(V$1,'20Trips'!$A$3:$F$22,5,FALSE) - VLOOKUP($B13,'20Trips'!$A$3:$G$22,6,FALSE) &gt;= ('20Trips'!$B$23+VLOOKUP(VLOOKUP($B13,'20Trips'!$A$2:$I$22,4,FALSE),'20Trips'!$AB$32:$AH$36,3,FALSE))/1440),1,0)</f>
        <v>0</v>
      </c>
      <c r="W13" s="2" t="e">
        <f>IF(AND(VLOOKUP(W$1,'20Trips'!$A$3:$F$22,5,FALSE) - VLOOKUP($B13,'20Trips'!$A$3:$G$22,6,FALSE) &gt;= ('20Trips'!$B$23+VLOOKUP(VLOOKUP($B13,'20Trips'!$A$2:$I$22,4,FALSE),'20Trips'!$AB$32:$AH$36,3,FALSE))/1440),1,0)</f>
        <v>#N/A</v>
      </c>
      <c r="X13" s="2" t="e">
        <f>IF(AND(VLOOKUP(X$1,'20Trips'!$A$3:$F$22,5,FALSE) - VLOOKUP($B13,'20Trips'!$A$3:$G$22,6,FALSE) &gt;= ('20Trips'!$B$23+VLOOKUP(VLOOKUP($B13,'20Trips'!$A$2:$I$22,4,FALSE),'20Trips'!$AB$32:$AH$36,3,FALSE))/1440),1,0)</f>
        <v>#N/A</v>
      </c>
      <c r="Y13" s="2" t="e">
        <f>IF(AND(VLOOKUP(Y$1,'20Trips'!$A$3:$F$22,5,FALSE) - VLOOKUP($B13,'20Trips'!$A$3:$G$22,6,FALSE) &gt;= ('20Trips'!$B$23+VLOOKUP(VLOOKUP($B13,'20Trips'!$A$2:$I$22,4,FALSE),'20Trips'!$AB$32:$AH$36,3,FALSE))/1440),1,0)</f>
        <v>#N/A</v>
      </c>
      <c r="Z13" s="2">
        <f>IF(AND(VLOOKUP(Z$1,'20Trips'!$A$3:$F$22,5,FALSE) - VLOOKUP($B13,'20Trips'!$A$3:$G$22,6,FALSE) &gt;= ('20Trips'!$B$23+VLOOKUP(VLOOKUP($B13,'20Trips'!$A$2:$I$22,4,FALSE),'20Trips'!$AB$32:$AH$36,3,FALSE))/1440),1,0)</f>
        <v>0</v>
      </c>
      <c r="AA13" s="2">
        <f>IF(AND(VLOOKUP(AA$1,'20Trips'!$A$3:$F$22,5,FALSE) - VLOOKUP($B13,'20Trips'!$A$3:$G$22,6,FALSE) &gt;= ('20Trips'!$B$23+VLOOKUP(VLOOKUP($B13,'20Trips'!$A$2:$I$22,4,FALSE),'20Trips'!$AB$32:$AH$36,3,FALSE))/1440),1,0)</f>
        <v>0</v>
      </c>
      <c r="AB13" s="2">
        <f>IF(AND(VLOOKUP(AB$1,'20Trips'!$A$3:$F$22,5,FALSE) - VLOOKUP($B13,'20Trips'!$A$3:$G$22,6,FALSE) &gt;= ('20Trips'!$B$23+VLOOKUP(VLOOKUP($B13,'20Trips'!$A$2:$I$22,4,FALSE),'20Trips'!$AB$32:$AH$36,3,FALSE))/1440),1,0)</f>
        <v>0</v>
      </c>
      <c r="AC13" s="2">
        <f>IF(AND(VLOOKUP(AC$1,'20Trips'!$A$3:$F$22,5,FALSE) - VLOOKUP($B13,'20Trips'!$A$3:$G$22,6,FALSE) &gt;= ('20Trips'!$B$23+VLOOKUP(VLOOKUP($B13,'20Trips'!$A$2:$I$22,4,FALSE),'20Trips'!$AB$32:$AH$36,3,FALSE))/1440),1,0)</f>
        <v>0</v>
      </c>
      <c r="AD13" s="2">
        <f>IF(AND(VLOOKUP(AD$1,'20Trips'!$A$3:$F$22,5,FALSE) - VLOOKUP($B13,'20Trips'!$A$3:$G$22,6,FALSE) &gt;= ('20Trips'!$B$23+VLOOKUP(VLOOKUP($B13,'20Trips'!$A$2:$I$22,4,FALSE),'20Trips'!$AB$32:$AH$36,3,FALSE))/1440),1,0)</f>
        <v>1</v>
      </c>
      <c r="AE13" s="2" t="e">
        <f>IF(AND(VLOOKUP(AE$1,'20Trips'!$A$3:$F$22,5,FALSE) - VLOOKUP($B13,'20Trips'!$A$3:$G$22,6,FALSE) &gt;= ('20Trips'!$B$23+VLOOKUP(VLOOKUP($B13,'20Trips'!$A$2:$I$22,4,FALSE),'20Trips'!$AB$32:$AH$36,3,FALSE))/1440),1,0)</f>
        <v>#N/A</v>
      </c>
      <c r="AF13" s="2" t="e">
        <f>IF(AND(VLOOKUP(AF$1,'20Trips'!$A$3:$F$22,5,FALSE) - VLOOKUP($B13,'20Trips'!$A$3:$G$22,6,FALSE) &gt;= ('20Trips'!$B$23+VLOOKUP(VLOOKUP($B13,'20Trips'!$A$2:$I$22,4,FALSE),'20Trips'!$AB$32:$AH$36,3,FALSE))/1440),1,0)</f>
        <v>#N/A</v>
      </c>
      <c r="AG13" s="2" t="e">
        <f>IF(AND(VLOOKUP(AG$1,'20Trips'!$A$3:$F$22,5,FALSE) - VLOOKUP($B13,'20Trips'!$A$3:$G$22,6,FALSE) &gt;= ('20Trips'!$B$23+VLOOKUP(VLOOKUP($B13,'20Trips'!$A$2:$I$22,4,FALSE),'20Trips'!$AB$32:$AH$36,3,FALSE))/1440),1,0)</f>
        <v>#N/A</v>
      </c>
    </row>
    <row r="14" spans="1:34" x14ac:dyDescent="0.25">
      <c r="A14" t="s">
        <v>48</v>
      </c>
      <c r="B14" t="s">
        <v>22</v>
      </c>
      <c r="C14">
        <v>0</v>
      </c>
      <c r="D14" s="2">
        <f>IF(AND(VLOOKUP(D$1,'20Trips'!$A$3:$F$22,5,FALSE) - VLOOKUP($B14,'20Trips'!$A$3:$G$22,6,FALSE) &gt;= ('20Trips'!$B$23+VLOOKUP(VLOOKUP($B14,'20Trips'!$A$2:$I$22,4,FALSE),'20Trips'!$AB$32:$AH$36,3,FALSE))/1440),1,0)</f>
        <v>0</v>
      </c>
      <c r="E14" s="2">
        <f>IF(AND(VLOOKUP(E$1,'20Trips'!$A$3:$F$22,5,FALSE) - VLOOKUP($B14,'20Trips'!$A$3:$G$22,6,FALSE) &gt;= ('20Trips'!$B$23+VLOOKUP(VLOOKUP($B14,'20Trips'!$A$2:$I$22,4,FALSE),'20Trips'!$AB$32:$AH$36,3,FALSE))/1440),1,0)</f>
        <v>0</v>
      </c>
      <c r="F14" s="2">
        <f>IF(AND(VLOOKUP(F$1,'20Trips'!$A$3:$F$22,5,FALSE) - VLOOKUP($B14,'20Trips'!$A$3:$G$22,6,FALSE) &gt;= ('20Trips'!$B$23+VLOOKUP(VLOOKUP($B14,'20Trips'!$A$2:$I$22,4,FALSE),'20Trips'!$AB$32:$AH$36,3,FALSE))/1440),1,0)</f>
        <v>0</v>
      </c>
      <c r="G14" s="2">
        <f>IF(AND(VLOOKUP(G$1,'20Trips'!$A$3:$F$22,5,FALSE) - VLOOKUP($B14,'20Trips'!$A$3:$G$22,6,FALSE) &gt;= ('20Trips'!$B$23+VLOOKUP(VLOOKUP($B14,'20Trips'!$A$2:$I$22,4,FALSE),'20Trips'!$AB$32:$AH$36,3,FALSE))/1440),1,0)</f>
        <v>0</v>
      </c>
      <c r="H14" s="2">
        <f>IF(AND(VLOOKUP(H$1,'20Trips'!$A$3:$F$22,5,FALSE) - VLOOKUP($B14,'20Trips'!$A$3:$G$22,6,FALSE) &gt;= ('20Trips'!$B$23+VLOOKUP(VLOOKUP($B14,'20Trips'!$A$2:$I$22,4,FALSE),'20Trips'!$AB$32:$AH$36,3,FALSE))/1440),1,0)</f>
        <v>0</v>
      </c>
      <c r="I14" s="2" t="e">
        <f>IF(AND(VLOOKUP(I$1,'20Trips'!$A$3:$F$22,5,FALSE) - VLOOKUP($B14,'20Trips'!$A$3:$G$22,6,FALSE) &gt;= ('20Trips'!$B$23+VLOOKUP(VLOOKUP($B14,'20Trips'!$A$2:$I$22,4,FALSE),'20Trips'!$AB$32:$AH$36,3,FALSE))/1440),1,0)</f>
        <v>#N/A</v>
      </c>
      <c r="J14" s="2" t="e">
        <f>IF(AND(VLOOKUP(J$1,'20Trips'!$A$3:$F$22,5,FALSE) - VLOOKUP($B14,'20Trips'!$A$3:$G$22,6,FALSE) &gt;= ('20Trips'!$B$23+VLOOKUP(VLOOKUP($B14,'20Trips'!$A$2:$I$22,4,FALSE),'20Trips'!$AB$32:$AH$36,3,FALSE))/1440),1,0)</f>
        <v>#N/A</v>
      </c>
      <c r="K14" s="2" t="e">
        <f>IF(AND(VLOOKUP(K$1,'20Trips'!$A$3:$F$22,5,FALSE) - VLOOKUP($B14,'20Trips'!$A$3:$G$22,6,FALSE) &gt;= ('20Trips'!$B$23+VLOOKUP(VLOOKUP($B14,'20Trips'!$A$2:$I$22,4,FALSE),'20Trips'!$AB$32:$AH$36,3,FALSE))/1440),1,0)</f>
        <v>#N/A</v>
      </c>
      <c r="L14" s="2">
        <f>IF(AND(VLOOKUP(L$1,'20Trips'!$A$3:$F$22,5,FALSE) - VLOOKUP($B14,'20Trips'!$A$3:$G$22,6,FALSE) &gt;= ('20Trips'!$B$23+VLOOKUP(VLOOKUP($B14,'20Trips'!$A$2:$I$22,4,FALSE),'20Trips'!$AB$32:$AH$36,3,FALSE))/1440),1,0)</f>
        <v>0</v>
      </c>
      <c r="M14" s="2">
        <f>IF(AND(VLOOKUP(M$1,'20Trips'!$A$3:$F$22,5,FALSE) - VLOOKUP($B14,'20Trips'!$A$3:$G$22,6,FALSE) &gt;= ('20Trips'!$B$23+VLOOKUP(VLOOKUP($B14,'20Trips'!$A$2:$I$22,4,FALSE),'20Trips'!$AB$32:$AH$36,3,FALSE))/1440),1,0)</f>
        <v>0</v>
      </c>
      <c r="N14" s="2">
        <f>IF(AND(VLOOKUP(N$1,'20Trips'!$A$3:$F$22,5,FALSE) - VLOOKUP($B14,'20Trips'!$A$3:$G$22,6,FALSE) &gt;= ('20Trips'!$B$23+VLOOKUP(VLOOKUP($B14,'20Trips'!$A$2:$I$22,4,FALSE),'20Trips'!$AB$32:$AH$36,3,FALSE))/1440),1,0)</f>
        <v>0</v>
      </c>
      <c r="O14" s="2">
        <f>IF(AND(VLOOKUP(O$1,'20Trips'!$A$3:$F$22,5,FALSE) - VLOOKUP($B14,'20Trips'!$A$3:$G$22,6,FALSE) &gt;= ('20Trips'!$B$23+VLOOKUP(VLOOKUP($B14,'20Trips'!$A$2:$I$22,4,FALSE),'20Trips'!$AB$32:$AH$36,3,FALSE))/1440),1,0)</f>
        <v>0</v>
      </c>
      <c r="P14" s="2">
        <f>IF(AND(VLOOKUP(P$1,'20Trips'!$A$3:$F$22,5,FALSE) - VLOOKUP($B14,'20Trips'!$A$3:$G$22,6,FALSE) &gt;= ('20Trips'!$B$23+VLOOKUP(VLOOKUP($B14,'20Trips'!$A$2:$I$22,4,FALSE),'20Trips'!$AB$32:$AH$36,3,FALSE))/1440),1,0)</f>
        <v>0</v>
      </c>
      <c r="Q14" s="2" t="e">
        <f>IF(AND(VLOOKUP(Q$1,'20Trips'!$A$3:$F$22,5,FALSE) - VLOOKUP($B14,'20Trips'!$A$3:$G$22,6,FALSE) &gt;= ('20Trips'!$B$23+VLOOKUP(VLOOKUP($B14,'20Trips'!$A$2:$I$22,4,FALSE),'20Trips'!$AB$32:$AH$36,3,FALSE))/1440),1,0)</f>
        <v>#N/A</v>
      </c>
      <c r="R14" s="2">
        <f>IF(AND(VLOOKUP(R$1,'20Trips'!$A$3:$F$22,5,FALSE) - VLOOKUP($B14,'20Trips'!$A$3:$G$22,6,FALSE) &gt;= ('20Trips'!$B$23+VLOOKUP(VLOOKUP($B14,'20Trips'!$A$2:$I$22,4,FALSE),'20Trips'!$AB$32:$AH$36,3,FALSE))/1440),1,0)</f>
        <v>0</v>
      </c>
      <c r="S14" s="2">
        <f>IF(AND(VLOOKUP(S$1,'20Trips'!$A$3:$F$22,5,FALSE) - VLOOKUP($B14,'20Trips'!$A$3:$G$22,6,FALSE) &gt;= ('20Trips'!$B$23+VLOOKUP(VLOOKUP($B14,'20Trips'!$A$2:$I$22,4,FALSE),'20Trips'!$AB$32:$AH$36,3,FALSE))/1440),1,0)</f>
        <v>0</v>
      </c>
      <c r="T14" s="2">
        <f>IF(AND(VLOOKUP(T$1,'20Trips'!$A$3:$F$22,5,FALSE) - VLOOKUP($B14,'20Trips'!$A$3:$G$22,6,FALSE) &gt;= ('20Trips'!$B$23+VLOOKUP(VLOOKUP($B14,'20Trips'!$A$2:$I$22,4,FALSE),'20Trips'!$AB$32:$AH$36,3,FALSE))/1440),1,0)</f>
        <v>0</v>
      </c>
      <c r="U14" s="2">
        <f>IF(AND(VLOOKUP(U$1,'20Trips'!$A$3:$F$22,5,FALSE) - VLOOKUP($B14,'20Trips'!$A$3:$G$22,6,FALSE) &gt;= ('20Trips'!$B$23+VLOOKUP(VLOOKUP($B14,'20Trips'!$A$2:$I$22,4,FALSE),'20Trips'!$AB$32:$AH$36,3,FALSE))/1440),1,0)</f>
        <v>0</v>
      </c>
      <c r="V14" s="2">
        <f>IF(AND(VLOOKUP(V$1,'20Trips'!$A$3:$F$22,5,FALSE) - VLOOKUP($B14,'20Trips'!$A$3:$G$22,6,FALSE) &gt;= ('20Trips'!$B$23+VLOOKUP(VLOOKUP($B14,'20Trips'!$A$2:$I$22,4,FALSE),'20Trips'!$AB$32:$AH$36,3,FALSE))/1440),1,0)</f>
        <v>0</v>
      </c>
      <c r="W14" s="2" t="e">
        <f>IF(AND(VLOOKUP(W$1,'20Trips'!$A$3:$F$22,5,FALSE) - VLOOKUP($B14,'20Trips'!$A$3:$G$22,6,FALSE) &gt;= ('20Trips'!$B$23+VLOOKUP(VLOOKUP($B14,'20Trips'!$A$2:$I$22,4,FALSE),'20Trips'!$AB$32:$AH$36,3,FALSE))/1440),1,0)</f>
        <v>#N/A</v>
      </c>
      <c r="X14" s="2" t="e">
        <f>IF(AND(VLOOKUP(X$1,'20Trips'!$A$3:$F$22,5,FALSE) - VLOOKUP($B14,'20Trips'!$A$3:$G$22,6,FALSE) &gt;= ('20Trips'!$B$23+VLOOKUP(VLOOKUP($B14,'20Trips'!$A$2:$I$22,4,FALSE),'20Trips'!$AB$32:$AH$36,3,FALSE))/1440),1,0)</f>
        <v>#N/A</v>
      </c>
      <c r="Y14" s="2" t="e">
        <f>IF(AND(VLOOKUP(Y$1,'20Trips'!$A$3:$F$22,5,FALSE) - VLOOKUP($B14,'20Trips'!$A$3:$G$22,6,FALSE) &gt;= ('20Trips'!$B$23+VLOOKUP(VLOOKUP($B14,'20Trips'!$A$2:$I$22,4,FALSE),'20Trips'!$AB$32:$AH$36,3,FALSE))/1440),1,0)</f>
        <v>#N/A</v>
      </c>
      <c r="Z14" s="2">
        <f>IF(AND(VLOOKUP(Z$1,'20Trips'!$A$3:$F$22,5,FALSE) - VLOOKUP($B14,'20Trips'!$A$3:$G$22,6,FALSE) &gt;= ('20Trips'!$B$23+VLOOKUP(VLOOKUP($B14,'20Trips'!$A$2:$I$22,4,FALSE),'20Trips'!$AB$32:$AH$36,3,FALSE))/1440),1,0)</f>
        <v>0</v>
      </c>
      <c r="AA14" s="2">
        <f>IF(AND(VLOOKUP(AA$1,'20Trips'!$A$3:$F$22,5,FALSE) - VLOOKUP($B14,'20Trips'!$A$3:$G$22,6,FALSE) &gt;= ('20Trips'!$B$23+VLOOKUP(VLOOKUP($B14,'20Trips'!$A$2:$I$22,4,FALSE),'20Trips'!$AB$32:$AH$36,3,FALSE))/1440),1,0)</f>
        <v>0</v>
      </c>
      <c r="AB14" s="2">
        <f>IF(AND(VLOOKUP(AB$1,'20Trips'!$A$3:$F$22,5,FALSE) - VLOOKUP($B14,'20Trips'!$A$3:$G$22,6,FALSE) &gt;= ('20Trips'!$B$23+VLOOKUP(VLOOKUP($B14,'20Trips'!$A$2:$I$22,4,FALSE),'20Trips'!$AB$32:$AH$36,3,FALSE))/1440),1,0)</f>
        <v>0</v>
      </c>
      <c r="AC14" s="2">
        <f>IF(AND(VLOOKUP(AC$1,'20Trips'!$A$3:$F$22,5,FALSE) - VLOOKUP($B14,'20Trips'!$A$3:$G$22,6,FALSE) &gt;= ('20Trips'!$B$23+VLOOKUP(VLOOKUP($B14,'20Trips'!$A$2:$I$22,4,FALSE),'20Trips'!$AB$32:$AH$36,3,FALSE))/1440),1,0)</f>
        <v>0</v>
      </c>
      <c r="AD14" s="2">
        <f>IF(AND(VLOOKUP(AD$1,'20Trips'!$A$3:$F$22,5,FALSE) - VLOOKUP($B14,'20Trips'!$A$3:$G$22,6,FALSE) &gt;= ('20Trips'!$B$23+VLOOKUP(VLOOKUP($B14,'20Trips'!$A$2:$I$22,4,FALSE),'20Trips'!$AB$32:$AH$36,3,FALSE))/1440),1,0)</f>
        <v>0</v>
      </c>
      <c r="AE14" s="2" t="e">
        <f>IF(AND(VLOOKUP(AE$1,'20Trips'!$A$3:$F$22,5,FALSE) - VLOOKUP($B14,'20Trips'!$A$3:$G$22,6,FALSE) &gt;= ('20Trips'!$B$23+VLOOKUP(VLOOKUP($B14,'20Trips'!$A$2:$I$22,4,FALSE),'20Trips'!$AB$32:$AH$36,3,FALSE))/1440),1,0)</f>
        <v>#N/A</v>
      </c>
      <c r="AF14" s="2" t="e">
        <f>IF(AND(VLOOKUP(AF$1,'20Trips'!$A$3:$F$22,5,FALSE) - VLOOKUP($B14,'20Trips'!$A$3:$G$22,6,FALSE) &gt;= ('20Trips'!$B$23+VLOOKUP(VLOOKUP($B14,'20Trips'!$A$2:$I$22,4,FALSE),'20Trips'!$AB$32:$AH$36,3,FALSE))/1440),1,0)</f>
        <v>#N/A</v>
      </c>
      <c r="AG14" s="2" t="e">
        <f>IF(AND(VLOOKUP(AG$1,'20Trips'!$A$3:$F$22,5,FALSE) - VLOOKUP($B14,'20Trips'!$A$3:$G$22,6,FALSE) &gt;= ('20Trips'!$B$23+VLOOKUP(VLOOKUP($B14,'20Trips'!$A$2:$I$22,4,FALSE),'20Trips'!$AB$32:$AH$36,3,FALSE))/1440),1,0)</f>
        <v>#N/A</v>
      </c>
    </row>
    <row r="15" spans="1:34" x14ac:dyDescent="0.25">
      <c r="A15" t="s">
        <v>48</v>
      </c>
      <c r="B15" t="s">
        <v>23</v>
      </c>
      <c r="C15">
        <v>0</v>
      </c>
      <c r="D15" s="2">
        <f>IF(AND(VLOOKUP(D$1,'20Trips'!$A$3:$F$22,5,FALSE) - VLOOKUP($B15,'20Trips'!$A$3:$G$22,6,FALSE) &gt;= ('20Trips'!$B$23+VLOOKUP(VLOOKUP($B15,'20Trips'!$A$2:$I$22,4,FALSE),'20Trips'!$AB$32:$AH$36,3,FALSE))/1440),1,0)</f>
        <v>0</v>
      </c>
      <c r="E15" s="2">
        <f>IF(AND(VLOOKUP(E$1,'20Trips'!$A$3:$F$22,5,FALSE) - VLOOKUP($B15,'20Trips'!$A$3:$G$22,6,FALSE) &gt;= ('20Trips'!$B$23+VLOOKUP(VLOOKUP($B15,'20Trips'!$A$2:$I$22,4,FALSE),'20Trips'!$AB$32:$AH$36,3,FALSE))/1440),1,0)</f>
        <v>0</v>
      </c>
      <c r="F15" s="2">
        <f>IF(AND(VLOOKUP(F$1,'20Trips'!$A$3:$F$22,5,FALSE) - VLOOKUP($B15,'20Trips'!$A$3:$G$22,6,FALSE) &gt;= ('20Trips'!$B$23+VLOOKUP(VLOOKUP($B15,'20Trips'!$A$2:$I$22,4,FALSE),'20Trips'!$AB$32:$AH$36,3,FALSE))/1440),1,0)</f>
        <v>0</v>
      </c>
      <c r="G15" s="2">
        <f>IF(AND(VLOOKUP(G$1,'20Trips'!$A$3:$F$22,5,FALSE) - VLOOKUP($B15,'20Trips'!$A$3:$G$22,6,FALSE) &gt;= ('20Trips'!$B$23+VLOOKUP(VLOOKUP($B15,'20Trips'!$A$2:$I$22,4,FALSE),'20Trips'!$AB$32:$AH$36,3,FALSE))/1440),1,0)</f>
        <v>0</v>
      </c>
      <c r="H15" s="2">
        <f>IF(AND(VLOOKUP(H$1,'20Trips'!$A$3:$F$22,5,FALSE) - VLOOKUP($B15,'20Trips'!$A$3:$G$22,6,FALSE) &gt;= ('20Trips'!$B$23+VLOOKUP(VLOOKUP($B15,'20Trips'!$A$2:$I$22,4,FALSE),'20Trips'!$AB$32:$AH$36,3,FALSE))/1440),1,0)</f>
        <v>0</v>
      </c>
      <c r="I15" s="2" t="e">
        <f>IF(AND(VLOOKUP(I$1,'20Trips'!$A$3:$F$22,5,FALSE) - VLOOKUP($B15,'20Trips'!$A$3:$G$22,6,FALSE) &gt;= ('20Trips'!$B$23+VLOOKUP(VLOOKUP($B15,'20Trips'!$A$2:$I$22,4,FALSE),'20Trips'!$AB$32:$AH$36,3,FALSE))/1440),1,0)</f>
        <v>#N/A</v>
      </c>
      <c r="J15" s="2" t="e">
        <f>IF(AND(VLOOKUP(J$1,'20Trips'!$A$3:$F$22,5,FALSE) - VLOOKUP($B15,'20Trips'!$A$3:$G$22,6,FALSE) &gt;= ('20Trips'!$B$23+VLOOKUP(VLOOKUP($B15,'20Trips'!$A$2:$I$22,4,FALSE),'20Trips'!$AB$32:$AH$36,3,FALSE))/1440),1,0)</f>
        <v>#N/A</v>
      </c>
      <c r="K15" s="2" t="e">
        <f>IF(AND(VLOOKUP(K$1,'20Trips'!$A$3:$F$22,5,FALSE) - VLOOKUP($B15,'20Trips'!$A$3:$G$22,6,FALSE) &gt;= ('20Trips'!$B$23+VLOOKUP(VLOOKUP($B15,'20Trips'!$A$2:$I$22,4,FALSE),'20Trips'!$AB$32:$AH$36,3,FALSE))/1440),1,0)</f>
        <v>#N/A</v>
      </c>
      <c r="L15" s="2">
        <f>IF(AND(VLOOKUP(L$1,'20Trips'!$A$3:$F$22,5,FALSE) - VLOOKUP($B15,'20Trips'!$A$3:$G$22,6,FALSE) &gt;= ('20Trips'!$B$23+VLOOKUP(VLOOKUP($B15,'20Trips'!$A$2:$I$22,4,FALSE),'20Trips'!$AB$32:$AH$36,3,FALSE))/1440),1,0)</f>
        <v>0</v>
      </c>
      <c r="M15" s="2">
        <f>IF(AND(VLOOKUP(M$1,'20Trips'!$A$3:$F$22,5,FALSE) - VLOOKUP($B15,'20Trips'!$A$3:$G$22,6,FALSE) &gt;= ('20Trips'!$B$23+VLOOKUP(VLOOKUP($B15,'20Trips'!$A$2:$I$22,4,FALSE),'20Trips'!$AB$32:$AH$36,3,FALSE))/1440),1,0)</f>
        <v>0</v>
      </c>
      <c r="N15" s="2">
        <f>IF(AND(VLOOKUP(N$1,'20Trips'!$A$3:$F$22,5,FALSE) - VLOOKUP($B15,'20Trips'!$A$3:$G$22,6,FALSE) &gt;= ('20Trips'!$B$23+VLOOKUP(VLOOKUP($B15,'20Trips'!$A$2:$I$22,4,FALSE),'20Trips'!$AB$32:$AH$36,3,FALSE))/1440),1,0)</f>
        <v>0</v>
      </c>
      <c r="O15" s="2">
        <f>IF(AND(VLOOKUP(O$1,'20Trips'!$A$3:$F$22,5,FALSE) - VLOOKUP($B15,'20Trips'!$A$3:$G$22,6,FALSE) &gt;= ('20Trips'!$B$23+VLOOKUP(VLOOKUP($B15,'20Trips'!$A$2:$I$22,4,FALSE),'20Trips'!$AB$32:$AH$36,3,FALSE))/1440),1,0)</f>
        <v>0</v>
      </c>
      <c r="P15" s="2">
        <f>IF(AND(VLOOKUP(P$1,'20Trips'!$A$3:$F$22,5,FALSE) - VLOOKUP($B15,'20Trips'!$A$3:$G$22,6,FALSE) &gt;= ('20Trips'!$B$23+VLOOKUP(VLOOKUP($B15,'20Trips'!$A$2:$I$22,4,FALSE),'20Trips'!$AB$32:$AH$36,3,FALSE))/1440),1,0)</f>
        <v>0</v>
      </c>
      <c r="Q15" s="2" t="e">
        <f>IF(AND(VLOOKUP(Q$1,'20Trips'!$A$3:$F$22,5,FALSE) - VLOOKUP($B15,'20Trips'!$A$3:$G$22,6,FALSE) &gt;= ('20Trips'!$B$23+VLOOKUP(VLOOKUP($B15,'20Trips'!$A$2:$I$22,4,FALSE),'20Trips'!$AB$32:$AH$36,3,FALSE))/1440),1,0)</f>
        <v>#N/A</v>
      </c>
      <c r="R15" s="2">
        <f>IF(AND(VLOOKUP(R$1,'20Trips'!$A$3:$F$22,5,FALSE) - VLOOKUP($B15,'20Trips'!$A$3:$G$22,6,FALSE) &gt;= ('20Trips'!$B$23+VLOOKUP(VLOOKUP($B15,'20Trips'!$A$2:$I$22,4,FALSE),'20Trips'!$AB$32:$AH$36,3,FALSE))/1440),1,0)</f>
        <v>0</v>
      </c>
      <c r="S15" s="2">
        <f>IF(AND(VLOOKUP(S$1,'20Trips'!$A$3:$F$22,5,FALSE) - VLOOKUP($B15,'20Trips'!$A$3:$G$22,6,FALSE) &gt;= ('20Trips'!$B$23+VLOOKUP(VLOOKUP($B15,'20Trips'!$A$2:$I$22,4,FALSE),'20Trips'!$AB$32:$AH$36,3,FALSE))/1440),1,0)</f>
        <v>0</v>
      </c>
      <c r="T15" s="2">
        <f>IF(AND(VLOOKUP(T$1,'20Trips'!$A$3:$F$22,5,FALSE) - VLOOKUP($B15,'20Trips'!$A$3:$G$22,6,FALSE) &gt;= ('20Trips'!$B$23+VLOOKUP(VLOOKUP($B15,'20Trips'!$A$2:$I$22,4,FALSE),'20Trips'!$AB$32:$AH$36,3,FALSE))/1440),1,0)</f>
        <v>0</v>
      </c>
      <c r="U15" s="2">
        <f>IF(AND(VLOOKUP(U$1,'20Trips'!$A$3:$F$22,5,FALSE) - VLOOKUP($B15,'20Trips'!$A$3:$G$22,6,FALSE) &gt;= ('20Trips'!$B$23+VLOOKUP(VLOOKUP($B15,'20Trips'!$A$2:$I$22,4,FALSE),'20Trips'!$AB$32:$AH$36,3,FALSE))/1440),1,0)</f>
        <v>0</v>
      </c>
      <c r="V15" s="2">
        <f>IF(AND(VLOOKUP(V$1,'20Trips'!$A$3:$F$22,5,FALSE) - VLOOKUP($B15,'20Trips'!$A$3:$G$22,6,FALSE) &gt;= ('20Trips'!$B$23+VLOOKUP(VLOOKUP($B15,'20Trips'!$A$2:$I$22,4,FALSE),'20Trips'!$AB$32:$AH$36,3,FALSE))/1440),1,0)</f>
        <v>0</v>
      </c>
      <c r="W15" s="2" t="e">
        <f>IF(AND(VLOOKUP(W$1,'20Trips'!$A$3:$F$22,5,FALSE) - VLOOKUP($B15,'20Trips'!$A$3:$G$22,6,FALSE) &gt;= ('20Trips'!$B$23+VLOOKUP(VLOOKUP($B15,'20Trips'!$A$2:$I$22,4,FALSE),'20Trips'!$AB$32:$AH$36,3,FALSE))/1440),1,0)</f>
        <v>#N/A</v>
      </c>
      <c r="X15" s="2" t="e">
        <f>IF(AND(VLOOKUP(X$1,'20Trips'!$A$3:$F$22,5,FALSE) - VLOOKUP($B15,'20Trips'!$A$3:$G$22,6,FALSE) &gt;= ('20Trips'!$B$23+VLOOKUP(VLOOKUP($B15,'20Trips'!$A$2:$I$22,4,FALSE),'20Trips'!$AB$32:$AH$36,3,FALSE))/1440),1,0)</f>
        <v>#N/A</v>
      </c>
      <c r="Y15" s="2" t="e">
        <f>IF(AND(VLOOKUP(Y$1,'20Trips'!$A$3:$F$22,5,FALSE) - VLOOKUP($B15,'20Trips'!$A$3:$G$22,6,FALSE) &gt;= ('20Trips'!$B$23+VLOOKUP(VLOOKUP($B15,'20Trips'!$A$2:$I$22,4,FALSE),'20Trips'!$AB$32:$AH$36,3,FALSE))/1440),1,0)</f>
        <v>#N/A</v>
      </c>
      <c r="Z15" s="2">
        <f>IF(AND(VLOOKUP(Z$1,'20Trips'!$A$3:$F$22,5,FALSE) - VLOOKUP($B15,'20Trips'!$A$3:$G$22,6,FALSE) &gt;= ('20Trips'!$B$23+VLOOKUP(VLOOKUP($B15,'20Trips'!$A$2:$I$22,4,FALSE),'20Trips'!$AB$32:$AH$36,3,FALSE))/1440),1,0)</f>
        <v>0</v>
      </c>
      <c r="AA15" s="2">
        <f>IF(AND(VLOOKUP(AA$1,'20Trips'!$A$3:$F$22,5,FALSE) - VLOOKUP($B15,'20Trips'!$A$3:$G$22,6,FALSE) &gt;= ('20Trips'!$B$23+VLOOKUP(VLOOKUP($B15,'20Trips'!$A$2:$I$22,4,FALSE),'20Trips'!$AB$32:$AH$36,3,FALSE))/1440),1,0)</f>
        <v>0</v>
      </c>
      <c r="AB15" s="2">
        <f>IF(AND(VLOOKUP(AB$1,'20Trips'!$A$3:$F$22,5,FALSE) - VLOOKUP($B15,'20Trips'!$A$3:$G$22,6,FALSE) &gt;= ('20Trips'!$B$23+VLOOKUP(VLOOKUP($B15,'20Trips'!$A$2:$I$22,4,FALSE),'20Trips'!$AB$32:$AH$36,3,FALSE))/1440),1,0)</f>
        <v>0</v>
      </c>
      <c r="AC15" s="2">
        <f>IF(AND(VLOOKUP(AC$1,'20Trips'!$A$3:$F$22,5,FALSE) - VLOOKUP($B15,'20Trips'!$A$3:$G$22,6,FALSE) &gt;= ('20Trips'!$B$23+VLOOKUP(VLOOKUP($B15,'20Trips'!$A$2:$I$22,4,FALSE),'20Trips'!$AB$32:$AH$36,3,FALSE))/1440),1,0)</f>
        <v>0</v>
      </c>
      <c r="AD15" s="2">
        <f>IF(AND(VLOOKUP(AD$1,'20Trips'!$A$3:$F$22,5,FALSE) - VLOOKUP($B15,'20Trips'!$A$3:$G$22,6,FALSE) &gt;= ('20Trips'!$B$23+VLOOKUP(VLOOKUP($B15,'20Trips'!$A$2:$I$22,4,FALSE),'20Trips'!$AB$32:$AH$36,3,FALSE))/1440),1,0)</f>
        <v>0</v>
      </c>
      <c r="AE15" s="2" t="e">
        <f>IF(AND(VLOOKUP(AE$1,'20Trips'!$A$3:$F$22,5,FALSE) - VLOOKUP($B15,'20Trips'!$A$3:$G$22,6,FALSE) &gt;= ('20Trips'!$B$23+VLOOKUP(VLOOKUP($B15,'20Trips'!$A$2:$I$22,4,FALSE),'20Trips'!$AB$32:$AH$36,3,FALSE))/1440),1,0)</f>
        <v>#N/A</v>
      </c>
      <c r="AF15" s="2" t="e">
        <f>IF(AND(VLOOKUP(AF$1,'20Trips'!$A$3:$F$22,5,FALSE) - VLOOKUP($B15,'20Trips'!$A$3:$G$22,6,FALSE) &gt;= ('20Trips'!$B$23+VLOOKUP(VLOOKUP($B15,'20Trips'!$A$2:$I$22,4,FALSE),'20Trips'!$AB$32:$AH$36,3,FALSE))/1440),1,0)</f>
        <v>#N/A</v>
      </c>
      <c r="AG15" s="2" t="e">
        <f>IF(AND(VLOOKUP(AG$1,'20Trips'!$A$3:$F$22,5,FALSE) - VLOOKUP($B15,'20Trips'!$A$3:$G$22,6,FALSE) &gt;= ('20Trips'!$B$23+VLOOKUP(VLOOKUP($B15,'20Trips'!$A$2:$I$22,4,FALSE),'20Trips'!$AB$32:$AH$36,3,FALSE))/1440),1,0)</f>
        <v>#N/A</v>
      </c>
    </row>
    <row r="16" spans="1:34" x14ac:dyDescent="0.25">
      <c r="A16" t="s">
        <v>48</v>
      </c>
      <c r="B16" t="s">
        <v>24</v>
      </c>
      <c r="C16">
        <v>0</v>
      </c>
      <c r="D16" s="2" t="e">
        <f>IF(AND(VLOOKUP(D$1,'20Trips'!$A$3:$F$22,5,FALSE) - VLOOKUP($B16,'20Trips'!$A$3:$G$22,6,FALSE) &gt;= ('20Trips'!$B$23+VLOOKUP(VLOOKUP($B16,'20Trips'!$A$2:$I$22,4,FALSE),'20Trips'!$AB$32:$AH$36,3,FALSE))/1440),1,0)</f>
        <v>#N/A</v>
      </c>
      <c r="E16" s="2" t="e">
        <f>IF(AND(VLOOKUP(E$1,'20Trips'!$A$3:$F$22,5,FALSE) - VLOOKUP($B16,'20Trips'!$A$3:$G$22,6,FALSE) &gt;= ('20Trips'!$B$23+VLOOKUP(VLOOKUP($B16,'20Trips'!$A$2:$I$22,4,FALSE),'20Trips'!$AB$32:$AH$36,3,FALSE))/1440),1,0)</f>
        <v>#N/A</v>
      </c>
      <c r="F16" s="2" t="e">
        <f>IF(AND(VLOOKUP(F$1,'20Trips'!$A$3:$F$22,5,FALSE) - VLOOKUP($B16,'20Trips'!$A$3:$G$22,6,FALSE) &gt;= ('20Trips'!$B$23+VLOOKUP(VLOOKUP($B16,'20Trips'!$A$2:$I$22,4,FALSE),'20Trips'!$AB$32:$AH$36,3,FALSE))/1440),1,0)</f>
        <v>#N/A</v>
      </c>
      <c r="G16" s="2" t="e">
        <f>IF(AND(VLOOKUP(G$1,'20Trips'!$A$3:$F$22,5,FALSE) - VLOOKUP($B16,'20Trips'!$A$3:$G$22,6,FALSE) &gt;= ('20Trips'!$B$23+VLOOKUP(VLOOKUP($B16,'20Trips'!$A$2:$I$22,4,FALSE),'20Trips'!$AB$32:$AH$36,3,FALSE))/1440),1,0)</f>
        <v>#N/A</v>
      </c>
      <c r="H16" s="2" t="e">
        <f>IF(AND(VLOOKUP(H$1,'20Trips'!$A$3:$F$22,5,FALSE) - VLOOKUP($B16,'20Trips'!$A$3:$G$22,6,FALSE) &gt;= ('20Trips'!$B$23+VLOOKUP(VLOOKUP($B16,'20Trips'!$A$2:$I$22,4,FALSE),'20Trips'!$AB$32:$AH$36,3,FALSE))/1440),1,0)</f>
        <v>#N/A</v>
      </c>
      <c r="I16" s="2" t="e">
        <f>IF(AND(VLOOKUP(I$1,'20Trips'!$A$3:$F$22,5,FALSE) - VLOOKUP($B16,'20Trips'!$A$3:$G$22,6,FALSE) &gt;= ('20Trips'!$B$23+VLOOKUP(VLOOKUP($B16,'20Trips'!$A$2:$I$22,4,FALSE),'20Trips'!$AB$32:$AH$36,3,FALSE))/1440),1,0)</f>
        <v>#N/A</v>
      </c>
      <c r="J16" s="2" t="e">
        <f>IF(AND(VLOOKUP(J$1,'20Trips'!$A$3:$F$22,5,FALSE) - VLOOKUP($B16,'20Trips'!$A$3:$G$22,6,FALSE) &gt;= ('20Trips'!$B$23+VLOOKUP(VLOOKUP($B16,'20Trips'!$A$2:$I$22,4,FALSE),'20Trips'!$AB$32:$AH$36,3,FALSE))/1440),1,0)</f>
        <v>#N/A</v>
      </c>
      <c r="K16" s="2" t="e">
        <f>IF(AND(VLOOKUP(K$1,'20Trips'!$A$3:$F$22,5,FALSE) - VLOOKUP($B16,'20Trips'!$A$3:$G$22,6,FALSE) &gt;= ('20Trips'!$B$23+VLOOKUP(VLOOKUP($B16,'20Trips'!$A$2:$I$22,4,FALSE),'20Trips'!$AB$32:$AH$36,3,FALSE))/1440),1,0)</f>
        <v>#N/A</v>
      </c>
      <c r="L16" s="2" t="e">
        <f>IF(AND(VLOOKUP(L$1,'20Trips'!$A$3:$F$22,5,FALSE) - VLOOKUP($B16,'20Trips'!$A$3:$G$22,6,FALSE) &gt;= ('20Trips'!$B$23+VLOOKUP(VLOOKUP($B16,'20Trips'!$A$2:$I$22,4,FALSE),'20Trips'!$AB$32:$AH$36,3,FALSE))/1440),1,0)</f>
        <v>#N/A</v>
      </c>
      <c r="M16" s="2" t="e">
        <f>IF(AND(VLOOKUP(M$1,'20Trips'!$A$3:$F$22,5,FALSE) - VLOOKUP($B16,'20Trips'!$A$3:$G$22,6,FALSE) &gt;= ('20Trips'!$B$23+VLOOKUP(VLOOKUP($B16,'20Trips'!$A$2:$I$22,4,FALSE),'20Trips'!$AB$32:$AH$36,3,FALSE))/1440),1,0)</f>
        <v>#N/A</v>
      </c>
      <c r="N16" s="2" t="e">
        <f>IF(AND(VLOOKUP(N$1,'20Trips'!$A$3:$F$22,5,FALSE) - VLOOKUP($B16,'20Trips'!$A$3:$G$22,6,FALSE) &gt;= ('20Trips'!$B$23+VLOOKUP(VLOOKUP($B16,'20Trips'!$A$2:$I$22,4,FALSE),'20Trips'!$AB$32:$AH$36,3,FALSE))/1440),1,0)</f>
        <v>#N/A</v>
      </c>
      <c r="O16" s="2" t="e">
        <f>IF(AND(VLOOKUP(O$1,'20Trips'!$A$3:$F$22,5,FALSE) - VLOOKUP($B16,'20Trips'!$A$3:$G$22,6,FALSE) &gt;= ('20Trips'!$B$23+VLOOKUP(VLOOKUP($B16,'20Trips'!$A$2:$I$22,4,FALSE),'20Trips'!$AB$32:$AH$36,3,FALSE))/1440),1,0)</f>
        <v>#N/A</v>
      </c>
      <c r="P16" s="2" t="e">
        <f>IF(AND(VLOOKUP(P$1,'20Trips'!$A$3:$F$22,5,FALSE) - VLOOKUP($B16,'20Trips'!$A$3:$G$22,6,FALSE) &gt;= ('20Trips'!$B$23+VLOOKUP(VLOOKUP($B16,'20Trips'!$A$2:$I$22,4,FALSE),'20Trips'!$AB$32:$AH$36,3,FALSE))/1440),1,0)</f>
        <v>#N/A</v>
      </c>
      <c r="Q16" s="2" t="e">
        <f>IF(AND(VLOOKUP(Q$1,'20Trips'!$A$3:$F$22,5,FALSE) - VLOOKUP($B16,'20Trips'!$A$3:$G$22,6,FALSE) &gt;= ('20Trips'!$B$23+VLOOKUP(VLOOKUP($B16,'20Trips'!$A$2:$I$22,4,FALSE),'20Trips'!$AB$32:$AH$36,3,FALSE))/1440),1,0)</f>
        <v>#N/A</v>
      </c>
      <c r="R16" s="2" t="e">
        <f>IF(AND(VLOOKUP(R$1,'20Trips'!$A$3:$F$22,5,FALSE) - VLOOKUP($B16,'20Trips'!$A$3:$G$22,6,FALSE) &gt;= ('20Trips'!$B$23+VLOOKUP(VLOOKUP($B16,'20Trips'!$A$2:$I$22,4,FALSE),'20Trips'!$AB$32:$AH$36,3,FALSE))/1440),1,0)</f>
        <v>#N/A</v>
      </c>
      <c r="S16" s="2" t="e">
        <f>IF(AND(VLOOKUP(S$1,'20Trips'!$A$3:$F$22,5,FALSE) - VLOOKUP($B16,'20Trips'!$A$3:$G$22,6,FALSE) &gt;= ('20Trips'!$B$23+VLOOKUP(VLOOKUP($B16,'20Trips'!$A$2:$I$22,4,FALSE),'20Trips'!$AB$32:$AH$36,3,FALSE))/1440),1,0)</f>
        <v>#N/A</v>
      </c>
      <c r="T16" s="2" t="e">
        <f>IF(AND(VLOOKUP(T$1,'20Trips'!$A$3:$F$22,5,FALSE) - VLOOKUP($B16,'20Trips'!$A$3:$G$22,6,FALSE) &gt;= ('20Trips'!$B$23+VLOOKUP(VLOOKUP($B16,'20Trips'!$A$2:$I$22,4,FALSE),'20Trips'!$AB$32:$AH$36,3,FALSE))/1440),1,0)</f>
        <v>#N/A</v>
      </c>
      <c r="U16" s="2" t="e">
        <f>IF(AND(VLOOKUP(U$1,'20Trips'!$A$3:$F$22,5,FALSE) - VLOOKUP($B16,'20Trips'!$A$3:$G$22,6,FALSE) &gt;= ('20Trips'!$B$23+VLOOKUP(VLOOKUP($B16,'20Trips'!$A$2:$I$22,4,FALSE),'20Trips'!$AB$32:$AH$36,3,FALSE))/1440),1,0)</f>
        <v>#N/A</v>
      </c>
      <c r="V16" s="2" t="e">
        <f>IF(AND(VLOOKUP(V$1,'20Trips'!$A$3:$F$22,5,FALSE) - VLOOKUP($B16,'20Trips'!$A$3:$G$22,6,FALSE) &gt;= ('20Trips'!$B$23+VLOOKUP(VLOOKUP($B16,'20Trips'!$A$2:$I$22,4,FALSE),'20Trips'!$AB$32:$AH$36,3,FALSE))/1440),1,0)</f>
        <v>#N/A</v>
      </c>
      <c r="W16" s="2" t="e">
        <f>IF(AND(VLOOKUP(W$1,'20Trips'!$A$3:$F$22,5,FALSE) - VLOOKUP($B16,'20Trips'!$A$3:$G$22,6,FALSE) &gt;= ('20Trips'!$B$23+VLOOKUP(VLOOKUP($B16,'20Trips'!$A$2:$I$22,4,FALSE),'20Trips'!$AB$32:$AH$36,3,FALSE))/1440),1,0)</f>
        <v>#N/A</v>
      </c>
      <c r="X16" s="2" t="e">
        <f>IF(AND(VLOOKUP(X$1,'20Trips'!$A$3:$F$22,5,FALSE) - VLOOKUP($B16,'20Trips'!$A$3:$G$22,6,FALSE) &gt;= ('20Trips'!$B$23+VLOOKUP(VLOOKUP($B16,'20Trips'!$A$2:$I$22,4,FALSE),'20Trips'!$AB$32:$AH$36,3,FALSE))/1440),1,0)</f>
        <v>#N/A</v>
      </c>
      <c r="Y16" s="2" t="e">
        <f>IF(AND(VLOOKUP(Y$1,'20Trips'!$A$3:$F$22,5,FALSE) - VLOOKUP($B16,'20Trips'!$A$3:$G$22,6,FALSE) &gt;= ('20Trips'!$B$23+VLOOKUP(VLOOKUP($B16,'20Trips'!$A$2:$I$22,4,FALSE),'20Trips'!$AB$32:$AH$36,3,FALSE))/1440),1,0)</f>
        <v>#N/A</v>
      </c>
      <c r="Z16" s="2" t="e">
        <f>IF(AND(VLOOKUP(Z$1,'20Trips'!$A$3:$F$22,5,FALSE) - VLOOKUP($B16,'20Trips'!$A$3:$G$22,6,FALSE) &gt;= ('20Trips'!$B$23+VLOOKUP(VLOOKUP($B16,'20Trips'!$A$2:$I$22,4,FALSE),'20Trips'!$AB$32:$AH$36,3,FALSE))/1440),1,0)</f>
        <v>#N/A</v>
      </c>
      <c r="AA16" s="2" t="e">
        <f>IF(AND(VLOOKUP(AA$1,'20Trips'!$A$3:$F$22,5,FALSE) - VLOOKUP($B16,'20Trips'!$A$3:$G$22,6,FALSE) &gt;= ('20Trips'!$B$23+VLOOKUP(VLOOKUP($B16,'20Trips'!$A$2:$I$22,4,FALSE),'20Trips'!$AB$32:$AH$36,3,FALSE))/1440),1,0)</f>
        <v>#N/A</v>
      </c>
      <c r="AB16" s="2" t="e">
        <f>IF(AND(VLOOKUP(AB$1,'20Trips'!$A$3:$F$22,5,FALSE) - VLOOKUP($B16,'20Trips'!$A$3:$G$22,6,FALSE) &gt;= ('20Trips'!$B$23+VLOOKUP(VLOOKUP($B16,'20Trips'!$A$2:$I$22,4,FALSE),'20Trips'!$AB$32:$AH$36,3,FALSE))/1440),1,0)</f>
        <v>#N/A</v>
      </c>
      <c r="AC16" s="2" t="e">
        <f>IF(AND(VLOOKUP(AC$1,'20Trips'!$A$3:$F$22,5,FALSE) - VLOOKUP($B16,'20Trips'!$A$3:$G$22,6,FALSE) &gt;= ('20Trips'!$B$23+VLOOKUP(VLOOKUP($B16,'20Trips'!$A$2:$I$22,4,FALSE),'20Trips'!$AB$32:$AH$36,3,FALSE))/1440),1,0)</f>
        <v>#N/A</v>
      </c>
      <c r="AD16" s="2" t="e">
        <f>IF(AND(VLOOKUP(AD$1,'20Trips'!$A$3:$F$22,5,FALSE) - VLOOKUP($B16,'20Trips'!$A$3:$G$22,6,FALSE) &gt;= ('20Trips'!$B$23+VLOOKUP(VLOOKUP($B16,'20Trips'!$A$2:$I$22,4,FALSE),'20Trips'!$AB$32:$AH$36,3,FALSE))/1440),1,0)</f>
        <v>#N/A</v>
      </c>
      <c r="AE16" s="2" t="e">
        <f>IF(AND(VLOOKUP(AE$1,'20Trips'!$A$3:$F$22,5,FALSE) - VLOOKUP($B16,'20Trips'!$A$3:$G$22,6,FALSE) &gt;= ('20Trips'!$B$23+VLOOKUP(VLOOKUP($B16,'20Trips'!$A$2:$I$22,4,FALSE),'20Trips'!$AB$32:$AH$36,3,FALSE))/1440),1,0)</f>
        <v>#N/A</v>
      </c>
      <c r="AF16" s="2" t="e">
        <f>IF(AND(VLOOKUP(AF$1,'20Trips'!$A$3:$F$22,5,FALSE) - VLOOKUP($B16,'20Trips'!$A$3:$G$22,6,FALSE) &gt;= ('20Trips'!$B$23+VLOOKUP(VLOOKUP($B16,'20Trips'!$A$2:$I$22,4,FALSE),'20Trips'!$AB$32:$AH$36,3,FALSE))/1440),1,0)</f>
        <v>#N/A</v>
      </c>
      <c r="AG16" s="2" t="e">
        <f>IF(AND(VLOOKUP(AG$1,'20Trips'!$A$3:$F$22,5,FALSE) - VLOOKUP($B16,'20Trips'!$A$3:$G$22,6,FALSE) &gt;= ('20Trips'!$B$23+VLOOKUP(VLOOKUP($B16,'20Trips'!$A$2:$I$22,4,FALSE),'20Trips'!$AB$32:$AH$36,3,FALSE))/1440),1,0)</f>
        <v>#N/A</v>
      </c>
    </row>
    <row r="17" spans="1:33" x14ac:dyDescent="0.25">
      <c r="A17" t="s">
        <v>48</v>
      </c>
      <c r="B17" t="s">
        <v>26</v>
      </c>
      <c r="C17">
        <v>0</v>
      </c>
      <c r="D17" s="2">
        <f>IF(AND(VLOOKUP(D$1,'20Trips'!$A$3:$F$22,5,FALSE) - VLOOKUP($B17,'20Trips'!$A$3:$G$22,6,FALSE) &gt;= ('20Trips'!$B$23+VLOOKUP(VLOOKUP($B17,'20Trips'!$A$2:$I$22,4,FALSE),'20Trips'!$AB$32:$AH$36,3,FALSE))/1440),1,0)</f>
        <v>0</v>
      </c>
      <c r="E17" s="2">
        <f>IF(AND(VLOOKUP(E$1,'20Trips'!$A$3:$F$22,5,FALSE) - VLOOKUP($B17,'20Trips'!$A$3:$G$22,6,FALSE) &gt;= ('20Trips'!$B$23+VLOOKUP(VLOOKUP($B17,'20Trips'!$A$2:$I$22,4,FALSE),'20Trips'!$AB$32:$AH$36,3,FALSE))/1440),1,0)</f>
        <v>0</v>
      </c>
      <c r="F17" s="2">
        <f>IF(AND(VLOOKUP(F$1,'20Trips'!$A$3:$F$22,5,FALSE) - VLOOKUP($B17,'20Trips'!$A$3:$G$22,6,FALSE) &gt;= ('20Trips'!$B$23+VLOOKUP(VLOOKUP($B17,'20Trips'!$A$2:$I$22,4,FALSE),'20Trips'!$AB$32:$AH$36,3,FALSE))/1440),1,0)</f>
        <v>1</v>
      </c>
      <c r="G17" s="2">
        <f>IF(AND(VLOOKUP(G$1,'20Trips'!$A$3:$F$22,5,FALSE) - VLOOKUP($B17,'20Trips'!$A$3:$G$22,6,FALSE) &gt;= ('20Trips'!$B$23+VLOOKUP(VLOOKUP($B17,'20Trips'!$A$2:$I$22,4,FALSE),'20Trips'!$AB$32:$AH$36,3,FALSE))/1440),1,0)</f>
        <v>1</v>
      </c>
      <c r="H17" s="2">
        <f>IF(AND(VLOOKUP(H$1,'20Trips'!$A$3:$F$22,5,FALSE) - VLOOKUP($B17,'20Trips'!$A$3:$G$22,6,FALSE) &gt;= ('20Trips'!$B$23+VLOOKUP(VLOOKUP($B17,'20Trips'!$A$2:$I$22,4,FALSE),'20Trips'!$AB$32:$AH$36,3,FALSE))/1440),1,0)</f>
        <v>1</v>
      </c>
      <c r="I17" s="2" t="e">
        <f>IF(AND(VLOOKUP(I$1,'20Trips'!$A$3:$F$22,5,FALSE) - VLOOKUP($B17,'20Trips'!$A$3:$G$22,6,FALSE) &gt;= ('20Trips'!$B$23+VLOOKUP(VLOOKUP($B17,'20Trips'!$A$2:$I$22,4,FALSE),'20Trips'!$AB$32:$AH$36,3,FALSE))/1440),1,0)</f>
        <v>#N/A</v>
      </c>
      <c r="J17" s="2" t="e">
        <f>IF(AND(VLOOKUP(J$1,'20Trips'!$A$3:$F$22,5,FALSE) - VLOOKUP($B17,'20Trips'!$A$3:$G$22,6,FALSE) &gt;= ('20Trips'!$B$23+VLOOKUP(VLOOKUP($B17,'20Trips'!$A$2:$I$22,4,FALSE),'20Trips'!$AB$32:$AH$36,3,FALSE))/1440),1,0)</f>
        <v>#N/A</v>
      </c>
      <c r="K17" s="2" t="e">
        <f>IF(AND(VLOOKUP(K$1,'20Trips'!$A$3:$F$22,5,FALSE) - VLOOKUP($B17,'20Trips'!$A$3:$G$22,6,FALSE) &gt;= ('20Trips'!$B$23+VLOOKUP(VLOOKUP($B17,'20Trips'!$A$2:$I$22,4,FALSE),'20Trips'!$AB$32:$AH$36,3,FALSE))/1440),1,0)</f>
        <v>#N/A</v>
      </c>
      <c r="L17" s="2">
        <f>IF(AND(VLOOKUP(L$1,'20Trips'!$A$3:$F$22,5,FALSE) - VLOOKUP($B17,'20Trips'!$A$3:$G$22,6,FALSE) &gt;= ('20Trips'!$B$23+VLOOKUP(VLOOKUP($B17,'20Trips'!$A$2:$I$22,4,FALSE),'20Trips'!$AB$32:$AH$36,3,FALSE))/1440),1,0)</f>
        <v>0</v>
      </c>
      <c r="M17" s="2">
        <f>IF(AND(VLOOKUP(M$1,'20Trips'!$A$3:$F$22,5,FALSE) - VLOOKUP($B17,'20Trips'!$A$3:$G$22,6,FALSE) &gt;= ('20Trips'!$B$23+VLOOKUP(VLOOKUP($B17,'20Trips'!$A$2:$I$22,4,FALSE),'20Trips'!$AB$32:$AH$36,3,FALSE))/1440),1,0)</f>
        <v>0</v>
      </c>
      <c r="N17" s="2">
        <f>IF(AND(VLOOKUP(N$1,'20Trips'!$A$3:$F$22,5,FALSE) - VLOOKUP($B17,'20Trips'!$A$3:$G$22,6,FALSE) &gt;= ('20Trips'!$B$23+VLOOKUP(VLOOKUP($B17,'20Trips'!$A$2:$I$22,4,FALSE),'20Trips'!$AB$32:$AH$36,3,FALSE))/1440),1,0)</f>
        <v>1</v>
      </c>
      <c r="O17" s="2">
        <f>IF(AND(VLOOKUP(O$1,'20Trips'!$A$3:$F$22,5,FALSE) - VLOOKUP($B17,'20Trips'!$A$3:$G$22,6,FALSE) &gt;= ('20Trips'!$B$23+VLOOKUP(VLOOKUP($B17,'20Trips'!$A$2:$I$22,4,FALSE),'20Trips'!$AB$32:$AH$36,3,FALSE))/1440),1,0)</f>
        <v>1</v>
      </c>
      <c r="P17" s="2">
        <f>IF(AND(VLOOKUP(P$1,'20Trips'!$A$3:$F$22,5,FALSE) - VLOOKUP($B17,'20Trips'!$A$3:$G$22,6,FALSE) &gt;= ('20Trips'!$B$23+VLOOKUP(VLOOKUP($B17,'20Trips'!$A$2:$I$22,4,FALSE),'20Trips'!$AB$32:$AH$36,3,FALSE))/1440),1,0)</f>
        <v>1</v>
      </c>
      <c r="Q17" s="2" t="e">
        <f>IF(AND(VLOOKUP(Q$1,'20Trips'!$A$3:$F$22,5,FALSE) - VLOOKUP($B17,'20Trips'!$A$3:$G$22,6,FALSE) &gt;= ('20Trips'!$B$23+VLOOKUP(VLOOKUP($B17,'20Trips'!$A$2:$I$22,4,FALSE),'20Trips'!$AB$32:$AH$36,3,FALSE))/1440),1,0)</f>
        <v>#N/A</v>
      </c>
      <c r="R17" s="2">
        <f>IF(AND(VLOOKUP(R$1,'20Trips'!$A$3:$F$22,5,FALSE) - VLOOKUP($B17,'20Trips'!$A$3:$G$22,6,FALSE) &gt;= ('20Trips'!$B$23+VLOOKUP(VLOOKUP($B17,'20Trips'!$A$2:$I$22,4,FALSE),'20Trips'!$AB$32:$AH$36,3,FALSE))/1440),1,0)</f>
        <v>0</v>
      </c>
      <c r="S17" s="2">
        <f>IF(AND(VLOOKUP(S$1,'20Trips'!$A$3:$F$22,5,FALSE) - VLOOKUP($B17,'20Trips'!$A$3:$G$22,6,FALSE) &gt;= ('20Trips'!$B$23+VLOOKUP(VLOOKUP($B17,'20Trips'!$A$2:$I$22,4,FALSE),'20Trips'!$AB$32:$AH$36,3,FALSE))/1440),1,0)</f>
        <v>0</v>
      </c>
      <c r="T17" s="2">
        <f>IF(AND(VLOOKUP(T$1,'20Trips'!$A$3:$F$22,5,FALSE) - VLOOKUP($B17,'20Trips'!$A$3:$G$22,6,FALSE) &gt;= ('20Trips'!$B$23+VLOOKUP(VLOOKUP($B17,'20Trips'!$A$2:$I$22,4,FALSE),'20Trips'!$AB$32:$AH$36,3,FALSE))/1440),1,0)</f>
        <v>0</v>
      </c>
      <c r="U17" s="2">
        <f>IF(AND(VLOOKUP(U$1,'20Trips'!$A$3:$F$22,5,FALSE) - VLOOKUP($B17,'20Trips'!$A$3:$G$22,6,FALSE) &gt;= ('20Trips'!$B$23+VLOOKUP(VLOOKUP($B17,'20Trips'!$A$2:$I$22,4,FALSE),'20Trips'!$AB$32:$AH$36,3,FALSE))/1440),1,0)</f>
        <v>1</v>
      </c>
      <c r="V17" s="2">
        <f>IF(AND(VLOOKUP(V$1,'20Trips'!$A$3:$F$22,5,FALSE) - VLOOKUP($B17,'20Trips'!$A$3:$G$22,6,FALSE) &gt;= ('20Trips'!$B$23+VLOOKUP(VLOOKUP($B17,'20Trips'!$A$2:$I$22,4,FALSE),'20Trips'!$AB$32:$AH$36,3,FALSE))/1440),1,0)</f>
        <v>1</v>
      </c>
      <c r="W17" s="2" t="e">
        <f>IF(AND(VLOOKUP(W$1,'20Trips'!$A$3:$F$22,5,FALSE) - VLOOKUP($B17,'20Trips'!$A$3:$G$22,6,FALSE) &gt;= ('20Trips'!$B$23+VLOOKUP(VLOOKUP($B17,'20Trips'!$A$2:$I$22,4,FALSE),'20Trips'!$AB$32:$AH$36,3,FALSE))/1440),1,0)</f>
        <v>#N/A</v>
      </c>
      <c r="X17" s="2" t="e">
        <f>IF(AND(VLOOKUP(X$1,'20Trips'!$A$3:$F$22,5,FALSE) - VLOOKUP($B17,'20Trips'!$A$3:$G$22,6,FALSE) &gt;= ('20Trips'!$B$23+VLOOKUP(VLOOKUP($B17,'20Trips'!$A$2:$I$22,4,FALSE),'20Trips'!$AB$32:$AH$36,3,FALSE))/1440),1,0)</f>
        <v>#N/A</v>
      </c>
      <c r="Y17" s="2" t="e">
        <f>IF(AND(VLOOKUP(Y$1,'20Trips'!$A$3:$F$22,5,FALSE) - VLOOKUP($B17,'20Trips'!$A$3:$G$22,6,FALSE) &gt;= ('20Trips'!$B$23+VLOOKUP(VLOOKUP($B17,'20Trips'!$A$2:$I$22,4,FALSE),'20Trips'!$AB$32:$AH$36,3,FALSE))/1440),1,0)</f>
        <v>#N/A</v>
      </c>
      <c r="Z17" s="2">
        <f>IF(AND(VLOOKUP(Z$1,'20Trips'!$A$3:$F$22,5,FALSE) - VLOOKUP($B17,'20Trips'!$A$3:$G$22,6,FALSE) &gt;= ('20Trips'!$B$23+VLOOKUP(VLOOKUP($B17,'20Trips'!$A$2:$I$22,4,FALSE),'20Trips'!$AB$32:$AH$36,3,FALSE))/1440),1,0)</f>
        <v>0</v>
      </c>
      <c r="AA17" s="2">
        <f>IF(AND(VLOOKUP(AA$1,'20Trips'!$A$3:$F$22,5,FALSE) - VLOOKUP($B17,'20Trips'!$A$3:$G$22,6,FALSE) &gt;= ('20Trips'!$B$23+VLOOKUP(VLOOKUP($B17,'20Trips'!$A$2:$I$22,4,FALSE),'20Trips'!$AB$32:$AH$36,3,FALSE))/1440),1,0)</f>
        <v>0</v>
      </c>
      <c r="AB17" s="2">
        <f>IF(AND(VLOOKUP(AB$1,'20Trips'!$A$3:$F$22,5,FALSE) - VLOOKUP($B17,'20Trips'!$A$3:$G$22,6,FALSE) &gt;= ('20Trips'!$B$23+VLOOKUP(VLOOKUP($B17,'20Trips'!$A$2:$I$22,4,FALSE),'20Trips'!$AB$32:$AH$36,3,FALSE))/1440),1,0)</f>
        <v>1</v>
      </c>
      <c r="AC17" s="2">
        <f>IF(AND(VLOOKUP(AC$1,'20Trips'!$A$3:$F$22,5,FALSE) - VLOOKUP($B17,'20Trips'!$A$3:$G$22,6,FALSE) &gt;= ('20Trips'!$B$23+VLOOKUP(VLOOKUP($B17,'20Trips'!$A$2:$I$22,4,FALSE),'20Trips'!$AB$32:$AH$36,3,FALSE))/1440),1,0)</f>
        <v>1</v>
      </c>
      <c r="AD17" s="2">
        <f>IF(AND(VLOOKUP(AD$1,'20Trips'!$A$3:$F$22,5,FALSE) - VLOOKUP($B17,'20Trips'!$A$3:$G$22,6,FALSE) &gt;= ('20Trips'!$B$23+VLOOKUP(VLOOKUP($B17,'20Trips'!$A$2:$I$22,4,FALSE),'20Trips'!$AB$32:$AH$36,3,FALSE))/1440),1,0)</f>
        <v>1</v>
      </c>
      <c r="AE17" s="2" t="e">
        <f>IF(AND(VLOOKUP(AE$1,'20Trips'!$A$3:$F$22,5,FALSE) - VLOOKUP($B17,'20Trips'!$A$3:$G$22,6,FALSE) &gt;= ('20Trips'!$B$23+VLOOKUP(VLOOKUP($B17,'20Trips'!$A$2:$I$22,4,FALSE),'20Trips'!$AB$32:$AH$36,3,FALSE))/1440),1,0)</f>
        <v>#N/A</v>
      </c>
      <c r="AF17" s="2" t="e">
        <f>IF(AND(VLOOKUP(AF$1,'20Trips'!$A$3:$F$22,5,FALSE) - VLOOKUP($B17,'20Trips'!$A$3:$G$22,6,FALSE) &gt;= ('20Trips'!$B$23+VLOOKUP(VLOOKUP($B17,'20Trips'!$A$2:$I$22,4,FALSE),'20Trips'!$AB$32:$AH$36,3,FALSE))/1440),1,0)</f>
        <v>#N/A</v>
      </c>
      <c r="AG17" s="2" t="e">
        <f>IF(AND(VLOOKUP(AG$1,'20Trips'!$A$3:$F$22,5,FALSE) - VLOOKUP($B17,'20Trips'!$A$3:$G$22,6,FALSE) &gt;= ('20Trips'!$B$23+VLOOKUP(VLOOKUP($B17,'20Trips'!$A$2:$I$22,4,FALSE),'20Trips'!$AB$32:$AH$36,3,FALSE))/1440),1,0)</f>
        <v>#N/A</v>
      </c>
    </row>
    <row r="18" spans="1:33" x14ac:dyDescent="0.25">
      <c r="A18" t="s">
        <v>48</v>
      </c>
      <c r="B18" t="s">
        <v>27</v>
      </c>
      <c r="C18">
        <v>0</v>
      </c>
      <c r="D18" s="2">
        <f>IF(AND(VLOOKUP(D$1,'20Trips'!$A$3:$F$22,5,FALSE) - VLOOKUP($B18,'20Trips'!$A$3:$G$22,6,FALSE) &gt;= ('20Trips'!$B$23+VLOOKUP(VLOOKUP($B18,'20Trips'!$A$2:$I$22,4,FALSE),'20Trips'!$AB$32:$AH$36,3,FALSE))/1440),1,0)</f>
        <v>0</v>
      </c>
      <c r="E18" s="2">
        <f>IF(AND(VLOOKUP(E$1,'20Trips'!$A$3:$F$22,5,FALSE) - VLOOKUP($B18,'20Trips'!$A$3:$G$22,6,FALSE) &gt;= ('20Trips'!$B$23+VLOOKUP(VLOOKUP($B18,'20Trips'!$A$2:$I$22,4,FALSE),'20Trips'!$AB$32:$AH$36,3,FALSE))/1440),1,0)</f>
        <v>0</v>
      </c>
      <c r="F18" s="2">
        <f>IF(AND(VLOOKUP(F$1,'20Trips'!$A$3:$F$22,5,FALSE) - VLOOKUP($B18,'20Trips'!$A$3:$G$22,6,FALSE) &gt;= ('20Trips'!$B$23+VLOOKUP(VLOOKUP($B18,'20Trips'!$A$2:$I$22,4,FALSE),'20Trips'!$AB$32:$AH$36,3,FALSE))/1440),1,0)</f>
        <v>0</v>
      </c>
      <c r="G18" s="2">
        <f>IF(AND(VLOOKUP(G$1,'20Trips'!$A$3:$F$22,5,FALSE) - VLOOKUP($B18,'20Trips'!$A$3:$G$22,6,FALSE) &gt;= ('20Trips'!$B$23+VLOOKUP(VLOOKUP($B18,'20Trips'!$A$2:$I$22,4,FALSE),'20Trips'!$AB$32:$AH$36,3,FALSE))/1440),1,0)</f>
        <v>1</v>
      </c>
      <c r="H18" s="2">
        <f>IF(AND(VLOOKUP(H$1,'20Trips'!$A$3:$F$22,5,FALSE) - VLOOKUP($B18,'20Trips'!$A$3:$G$22,6,FALSE) &gt;= ('20Trips'!$B$23+VLOOKUP(VLOOKUP($B18,'20Trips'!$A$2:$I$22,4,FALSE),'20Trips'!$AB$32:$AH$36,3,FALSE))/1440),1,0)</f>
        <v>1</v>
      </c>
      <c r="I18" s="2" t="e">
        <f>IF(AND(VLOOKUP(I$1,'20Trips'!$A$3:$F$22,5,FALSE) - VLOOKUP($B18,'20Trips'!$A$3:$G$22,6,FALSE) &gt;= ('20Trips'!$B$23+VLOOKUP(VLOOKUP($B18,'20Trips'!$A$2:$I$22,4,FALSE),'20Trips'!$AB$32:$AH$36,3,FALSE))/1440),1,0)</f>
        <v>#N/A</v>
      </c>
      <c r="J18" s="2" t="e">
        <f>IF(AND(VLOOKUP(J$1,'20Trips'!$A$3:$F$22,5,FALSE) - VLOOKUP($B18,'20Trips'!$A$3:$G$22,6,FALSE) &gt;= ('20Trips'!$B$23+VLOOKUP(VLOOKUP($B18,'20Trips'!$A$2:$I$22,4,FALSE),'20Trips'!$AB$32:$AH$36,3,FALSE))/1440),1,0)</f>
        <v>#N/A</v>
      </c>
      <c r="K18" s="2" t="e">
        <f>IF(AND(VLOOKUP(K$1,'20Trips'!$A$3:$F$22,5,FALSE) - VLOOKUP($B18,'20Trips'!$A$3:$G$22,6,FALSE) &gt;= ('20Trips'!$B$23+VLOOKUP(VLOOKUP($B18,'20Trips'!$A$2:$I$22,4,FALSE),'20Trips'!$AB$32:$AH$36,3,FALSE))/1440),1,0)</f>
        <v>#N/A</v>
      </c>
      <c r="L18" s="2">
        <f>IF(AND(VLOOKUP(L$1,'20Trips'!$A$3:$F$22,5,FALSE) - VLOOKUP($B18,'20Trips'!$A$3:$G$22,6,FALSE) &gt;= ('20Trips'!$B$23+VLOOKUP(VLOOKUP($B18,'20Trips'!$A$2:$I$22,4,FALSE),'20Trips'!$AB$32:$AH$36,3,FALSE))/1440),1,0)</f>
        <v>0</v>
      </c>
      <c r="M18" s="2">
        <f>IF(AND(VLOOKUP(M$1,'20Trips'!$A$3:$F$22,5,FALSE) - VLOOKUP($B18,'20Trips'!$A$3:$G$22,6,FALSE) &gt;= ('20Trips'!$B$23+VLOOKUP(VLOOKUP($B18,'20Trips'!$A$2:$I$22,4,FALSE),'20Trips'!$AB$32:$AH$36,3,FALSE))/1440),1,0)</f>
        <v>0</v>
      </c>
      <c r="N18" s="2">
        <f>IF(AND(VLOOKUP(N$1,'20Trips'!$A$3:$F$22,5,FALSE) - VLOOKUP($B18,'20Trips'!$A$3:$G$22,6,FALSE) &gt;= ('20Trips'!$B$23+VLOOKUP(VLOOKUP($B18,'20Trips'!$A$2:$I$22,4,FALSE),'20Trips'!$AB$32:$AH$36,3,FALSE))/1440),1,0)</f>
        <v>0</v>
      </c>
      <c r="O18" s="2">
        <f>IF(AND(VLOOKUP(O$1,'20Trips'!$A$3:$F$22,5,FALSE) - VLOOKUP($B18,'20Trips'!$A$3:$G$22,6,FALSE) &gt;= ('20Trips'!$B$23+VLOOKUP(VLOOKUP($B18,'20Trips'!$A$2:$I$22,4,FALSE),'20Trips'!$AB$32:$AH$36,3,FALSE))/1440),1,0)</f>
        <v>1</v>
      </c>
      <c r="P18" s="2">
        <f>IF(AND(VLOOKUP(P$1,'20Trips'!$A$3:$F$22,5,FALSE) - VLOOKUP($B18,'20Trips'!$A$3:$G$22,6,FALSE) &gt;= ('20Trips'!$B$23+VLOOKUP(VLOOKUP($B18,'20Trips'!$A$2:$I$22,4,FALSE),'20Trips'!$AB$32:$AH$36,3,FALSE))/1440),1,0)</f>
        <v>1</v>
      </c>
      <c r="Q18" s="2" t="e">
        <f>IF(AND(VLOOKUP(Q$1,'20Trips'!$A$3:$F$22,5,FALSE) - VLOOKUP($B18,'20Trips'!$A$3:$G$22,6,FALSE) &gt;= ('20Trips'!$B$23+VLOOKUP(VLOOKUP($B18,'20Trips'!$A$2:$I$22,4,FALSE),'20Trips'!$AB$32:$AH$36,3,FALSE))/1440),1,0)</f>
        <v>#N/A</v>
      </c>
      <c r="R18" s="2">
        <f>IF(AND(VLOOKUP(R$1,'20Trips'!$A$3:$F$22,5,FALSE) - VLOOKUP($B18,'20Trips'!$A$3:$G$22,6,FALSE) &gt;= ('20Trips'!$B$23+VLOOKUP(VLOOKUP($B18,'20Trips'!$A$2:$I$22,4,FALSE),'20Trips'!$AB$32:$AH$36,3,FALSE))/1440),1,0)</f>
        <v>0</v>
      </c>
      <c r="S18" s="2">
        <f>IF(AND(VLOOKUP(S$1,'20Trips'!$A$3:$F$22,5,FALSE) - VLOOKUP($B18,'20Trips'!$A$3:$G$22,6,FALSE) &gt;= ('20Trips'!$B$23+VLOOKUP(VLOOKUP($B18,'20Trips'!$A$2:$I$22,4,FALSE),'20Trips'!$AB$32:$AH$36,3,FALSE))/1440),1,0)</f>
        <v>0</v>
      </c>
      <c r="T18" s="2">
        <f>IF(AND(VLOOKUP(T$1,'20Trips'!$A$3:$F$22,5,FALSE) - VLOOKUP($B18,'20Trips'!$A$3:$G$22,6,FALSE) &gt;= ('20Trips'!$B$23+VLOOKUP(VLOOKUP($B18,'20Trips'!$A$2:$I$22,4,FALSE),'20Trips'!$AB$32:$AH$36,3,FALSE))/1440),1,0)</f>
        <v>0</v>
      </c>
      <c r="U18" s="2">
        <f>IF(AND(VLOOKUP(U$1,'20Trips'!$A$3:$F$22,5,FALSE) - VLOOKUP($B18,'20Trips'!$A$3:$G$22,6,FALSE) &gt;= ('20Trips'!$B$23+VLOOKUP(VLOOKUP($B18,'20Trips'!$A$2:$I$22,4,FALSE),'20Trips'!$AB$32:$AH$36,3,FALSE))/1440),1,0)</f>
        <v>0</v>
      </c>
      <c r="V18" s="2">
        <f>IF(AND(VLOOKUP(V$1,'20Trips'!$A$3:$F$22,5,FALSE) - VLOOKUP($B18,'20Trips'!$A$3:$G$22,6,FALSE) &gt;= ('20Trips'!$B$23+VLOOKUP(VLOOKUP($B18,'20Trips'!$A$2:$I$22,4,FALSE),'20Trips'!$AB$32:$AH$36,3,FALSE))/1440),1,0)</f>
        <v>1</v>
      </c>
      <c r="W18" s="2" t="e">
        <f>IF(AND(VLOOKUP(W$1,'20Trips'!$A$3:$F$22,5,FALSE) - VLOOKUP($B18,'20Trips'!$A$3:$G$22,6,FALSE) &gt;= ('20Trips'!$B$23+VLOOKUP(VLOOKUP($B18,'20Trips'!$A$2:$I$22,4,FALSE),'20Trips'!$AB$32:$AH$36,3,FALSE))/1440),1,0)</f>
        <v>#N/A</v>
      </c>
      <c r="X18" s="2" t="e">
        <f>IF(AND(VLOOKUP(X$1,'20Trips'!$A$3:$F$22,5,FALSE) - VLOOKUP($B18,'20Trips'!$A$3:$G$22,6,FALSE) &gt;= ('20Trips'!$B$23+VLOOKUP(VLOOKUP($B18,'20Trips'!$A$2:$I$22,4,FALSE),'20Trips'!$AB$32:$AH$36,3,FALSE))/1440),1,0)</f>
        <v>#N/A</v>
      </c>
      <c r="Y18" s="2" t="e">
        <f>IF(AND(VLOOKUP(Y$1,'20Trips'!$A$3:$F$22,5,FALSE) - VLOOKUP($B18,'20Trips'!$A$3:$G$22,6,FALSE) &gt;= ('20Trips'!$B$23+VLOOKUP(VLOOKUP($B18,'20Trips'!$A$2:$I$22,4,FALSE),'20Trips'!$AB$32:$AH$36,3,FALSE))/1440),1,0)</f>
        <v>#N/A</v>
      </c>
      <c r="Z18" s="2">
        <f>IF(AND(VLOOKUP(Z$1,'20Trips'!$A$3:$F$22,5,FALSE) - VLOOKUP($B18,'20Trips'!$A$3:$G$22,6,FALSE) &gt;= ('20Trips'!$B$23+VLOOKUP(VLOOKUP($B18,'20Trips'!$A$2:$I$22,4,FALSE),'20Trips'!$AB$32:$AH$36,3,FALSE))/1440),1,0)</f>
        <v>0</v>
      </c>
      <c r="AA18" s="2">
        <f>IF(AND(VLOOKUP(AA$1,'20Trips'!$A$3:$F$22,5,FALSE) - VLOOKUP($B18,'20Trips'!$A$3:$G$22,6,FALSE) &gt;= ('20Trips'!$B$23+VLOOKUP(VLOOKUP($B18,'20Trips'!$A$2:$I$22,4,FALSE),'20Trips'!$AB$32:$AH$36,3,FALSE))/1440),1,0)</f>
        <v>0</v>
      </c>
      <c r="AB18" s="2">
        <f>IF(AND(VLOOKUP(AB$1,'20Trips'!$A$3:$F$22,5,FALSE) - VLOOKUP($B18,'20Trips'!$A$3:$G$22,6,FALSE) &gt;= ('20Trips'!$B$23+VLOOKUP(VLOOKUP($B18,'20Trips'!$A$2:$I$22,4,FALSE),'20Trips'!$AB$32:$AH$36,3,FALSE))/1440),1,0)</f>
        <v>1</v>
      </c>
      <c r="AC18" s="2">
        <f>IF(AND(VLOOKUP(AC$1,'20Trips'!$A$3:$F$22,5,FALSE) - VLOOKUP($B18,'20Trips'!$A$3:$G$22,6,FALSE) &gt;= ('20Trips'!$B$23+VLOOKUP(VLOOKUP($B18,'20Trips'!$A$2:$I$22,4,FALSE),'20Trips'!$AB$32:$AH$36,3,FALSE))/1440),1,0)</f>
        <v>1</v>
      </c>
      <c r="AD18" s="2">
        <f>IF(AND(VLOOKUP(AD$1,'20Trips'!$A$3:$F$22,5,FALSE) - VLOOKUP($B18,'20Trips'!$A$3:$G$22,6,FALSE) &gt;= ('20Trips'!$B$23+VLOOKUP(VLOOKUP($B18,'20Trips'!$A$2:$I$22,4,FALSE),'20Trips'!$AB$32:$AH$36,3,FALSE))/1440),1,0)</f>
        <v>1</v>
      </c>
      <c r="AE18" s="2" t="e">
        <f>IF(AND(VLOOKUP(AE$1,'20Trips'!$A$3:$F$22,5,FALSE) - VLOOKUP($B18,'20Trips'!$A$3:$G$22,6,FALSE) &gt;= ('20Trips'!$B$23+VLOOKUP(VLOOKUP($B18,'20Trips'!$A$2:$I$22,4,FALSE),'20Trips'!$AB$32:$AH$36,3,FALSE))/1440),1,0)</f>
        <v>#N/A</v>
      </c>
      <c r="AF18" s="2" t="e">
        <f>IF(AND(VLOOKUP(AF$1,'20Trips'!$A$3:$F$22,5,FALSE) - VLOOKUP($B18,'20Trips'!$A$3:$G$22,6,FALSE) &gt;= ('20Trips'!$B$23+VLOOKUP(VLOOKUP($B18,'20Trips'!$A$2:$I$22,4,FALSE),'20Trips'!$AB$32:$AH$36,3,FALSE))/1440),1,0)</f>
        <v>#N/A</v>
      </c>
      <c r="AG18" s="2" t="e">
        <f>IF(AND(VLOOKUP(AG$1,'20Trips'!$A$3:$F$22,5,FALSE) - VLOOKUP($B18,'20Trips'!$A$3:$G$22,6,FALSE) &gt;= ('20Trips'!$B$23+VLOOKUP(VLOOKUP($B18,'20Trips'!$A$2:$I$22,4,FALSE),'20Trips'!$AB$32:$AH$36,3,FALSE))/1440),1,0)</f>
        <v>#N/A</v>
      </c>
    </row>
    <row r="19" spans="1:33" x14ac:dyDescent="0.25">
      <c r="A19" t="s">
        <v>48</v>
      </c>
      <c r="B19" t="s">
        <v>28</v>
      </c>
      <c r="C19">
        <v>0</v>
      </c>
      <c r="D19" s="2">
        <f>IF(AND(VLOOKUP(D$1,'20Trips'!$A$3:$F$22,5,FALSE) - VLOOKUP($B19,'20Trips'!$A$3:$G$22,6,FALSE) &gt;= ('20Trips'!$B$23+VLOOKUP(VLOOKUP($B19,'20Trips'!$A$2:$I$22,4,FALSE),'20Trips'!$AB$32:$AH$36,3,FALSE))/1440),1,0)</f>
        <v>0</v>
      </c>
      <c r="E19" s="2">
        <f>IF(AND(VLOOKUP(E$1,'20Trips'!$A$3:$F$22,5,FALSE) - VLOOKUP($B19,'20Trips'!$A$3:$G$22,6,FALSE) &gt;= ('20Trips'!$B$23+VLOOKUP(VLOOKUP($B19,'20Trips'!$A$2:$I$22,4,FALSE),'20Trips'!$AB$32:$AH$36,3,FALSE))/1440),1,0)</f>
        <v>0</v>
      </c>
      <c r="F19" s="2">
        <f>IF(AND(VLOOKUP(F$1,'20Trips'!$A$3:$F$22,5,FALSE) - VLOOKUP($B19,'20Trips'!$A$3:$G$22,6,FALSE) &gt;= ('20Trips'!$B$23+VLOOKUP(VLOOKUP($B19,'20Trips'!$A$2:$I$22,4,FALSE),'20Trips'!$AB$32:$AH$36,3,FALSE))/1440),1,0)</f>
        <v>0</v>
      </c>
      <c r="G19" s="2">
        <f>IF(AND(VLOOKUP(G$1,'20Trips'!$A$3:$F$22,5,FALSE) - VLOOKUP($B19,'20Trips'!$A$3:$G$22,6,FALSE) &gt;= ('20Trips'!$B$23+VLOOKUP(VLOOKUP($B19,'20Trips'!$A$2:$I$22,4,FALSE),'20Trips'!$AB$32:$AH$36,3,FALSE))/1440),1,0)</f>
        <v>0</v>
      </c>
      <c r="H19" s="2">
        <f>IF(AND(VLOOKUP(H$1,'20Trips'!$A$3:$F$22,5,FALSE) - VLOOKUP($B19,'20Trips'!$A$3:$G$22,6,FALSE) &gt;= ('20Trips'!$B$23+VLOOKUP(VLOOKUP($B19,'20Trips'!$A$2:$I$22,4,FALSE),'20Trips'!$AB$32:$AH$36,3,FALSE))/1440),1,0)</f>
        <v>1</v>
      </c>
      <c r="I19" s="2" t="e">
        <f>IF(AND(VLOOKUP(I$1,'20Trips'!$A$3:$F$22,5,FALSE) - VLOOKUP($B19,'20Trips'!$A$3:$G$22,6,FALSE) &gt;= ('20Trips'!$B$23+VLOOKUP(VLOOKUP($B19,'20Trips'!$A$2:$I$22,4,FALSE),'20Trips'!$AB$32:$AH$36,3,FALSE))/1440),1,0)</f>
        <v>#N/A</v>
      </c>
      <c r="J19" s="2" t="e">
        <f>IF(AND(VLOOKUP(J$1,'20Trips'!$A$3:$F$22,5,FALSE) - VLOOKUP($B19,'20Trips'!$A$3:$G$22,6,FALSE) &gt;= ('20Trips'!$B$23+VLOOKUP(VLOOKUP($B19,'20Trips'!$A$2:$I$22,4,FALSE),'20Trips'!$AB$32:$AH$36,3,FALSE))/1440),1,0)</f>
        <v>#N/A</v>
      </c>
      <c r="K19" s="2" t="e">
        <f>IF(AND(VLOOKUP(K$1,'20Trips'!$A$3:$F$22,5,FALSE) - VLOOKUP($B19,'20Trips'!$A$3:$G$22,6,FALSE) &gt;= ('20Trips'!$B$23+VLOOKUP(VLOOKUP($B19,'20Trips'!$A$2:$I$22,4,FALSE),'20Trips'!$AB$32:$AH$36,3,FALSE))/1440),1,0)</f>
        <v>#N/A</v>
      </c>
      <c r="L19" s="2">
        <f>IF(AND(VLOOKUP(L$1,'20Trips'!$A$3:$F$22,5,FALSE) - VLOOKUP($B19,'20Trips'!$A$3:$G$22,6,FALSE) &gt;= ('20Trips'!$B$23+VLOOKUP(VLOOKUP($B19,'20Trips'!$A$2:$I$22,4,FALSE),'20Trips'!$AB$32:$AH$36,3,FALSE))/1440),1,0)</f>
        <v>0</v>
      </c>
      <c r="M19" s="2">
        <f>IF(AND(VLOOKUP(M$1,'20Trips'!$A$3:$F$22,5,FALSE) - VLOOKUP($B19,'20Trips'!$A$3:$G$22,6,FALSE) &gt;= ('20Trips'!$B$23+VLOOKUP(VLOOKUP($B19,'20Trips'!$A$2:$I$22,4,FALSE),'20Trips'!$AB$32:$AH$36,3,FALSE))/1440),1,0)</f>
        <v>0</v>
      </c>
      <c r="N19" s="2">
        <f>IF(AND(VLOOKUP(N$1,'20Trips'!$A$3:$F$22,5,FALSE) - VLOOKUP($B19,'20Trips'!$A$3:$G$22,6,FALSE) &gt;= ('20Trips'!$B$23+VLOOKUP(VLOOKUP($B19,'20Trips'!$A$2:$I$22,4,FALSE),'20Trips'!$AB$32:$AH$36,3,FALSE))/1440),1,0)</f>
        <v>0</v>
      </c>
      <c r="O19" s="2">
        <f>IF(AND(VLOOKUP(O$1,'20Trips'!$A$3:$F$22,5,FALSE) - VLOOKUP($B19,'20Trips'!$A$3:$G$22,6,FALSE) &gt;= ('20Trips'!$B$23+VLOOKUP(VLOOKUP($B19,'20Trips'!$A$2:$I$22,4,FALSE),'20Trips'!$AB$32:$AH$36,3,FALSE))/1440),1,0)</f>
        <v>1</v>
      </c>
      <c r="P19" s="2">
        <f>IF(AND(VLOOKUP(P$1,'20Trips'!$A$3:$F$22,5,FALSE) - VLOOKUP($B19,'20Trips'!$A$3:$G$22,6,FALSE) &gt;= ('20Trips'!$B$23+VLOOKUP(VLOOKUP($B19,'20Trips'!$A$2:$I$22,4,FALSE),'20Trips'!$AB$32:$AH$36,3,FALSE))/1440),1,0)</f>
        <v>1</v>
      </c>
      <c r="Q19" s="2" t="e">
        <f>IF(AND(VLOOKUP(Q$1,'20Trips'!$A$3:$F$22,5,FALSE) - VLOOKUP($B19,'20Trips'!$A$3:$G$22,6,FALSE) &gt;= ('20Trips'!$B$23+VLOOKUP(VLOOKUP($B19,'20Trips'!$A$2:$I$22,4,FALSE),'20Trips'!$AB$32:$AH$36,3,FALSE))/1440),1,0)</f>
        <v>#N/A</v>
      </c>
      <c r="R19" s="2">
        <f>IF(AND(VLOOKUP(R$1,'20Trips'!$A$3:$F$22,5,FALSE) - VLOOKUP($B19,'20Trips'!$A$3:$G$22,6,FALSE) &gt;= ('20Trips'!$B$23+VLOOKUP(VLOOKUP($B19,'20Trips'!$A$2:$I$22,4,FALSE),'20Trips'!$AB$32:$AH$36,3,FALSE))/1440),1,0)</f>
        <v>0</v>
      </c>
      <c r="S19" s="2">
        <f>IF(AND(VLOOKUP(S$1,'20Trips'!$A$3:$F$22,5,FALSE) - VLOOKUP($B19,'20Trips'!$A$3:$G$22,6,FALSE) &gt;= ('20Trips'!$B$23+VLOOKUP(VLOOKUP($B19,'20Trips'!$A$2:$I$22,4,FALSE),'20Trips'!$AB$32:$AH$36,3,FALSE))/1440),1,0)</f>
        <v>0</v>
      </c>
      <c r="T19" s="2">
        <f>IF(AND(VLOOKUP(T$1,'20Trips'!$A$3:$F$22,5,FALSE) - VLOOKUP($B19,'20Trips'!$A$3:$G$22,6,FALSE) &gt;= ('20Trips'!$B$23+VLOOKUP(VLOOKUP($B19,'20Trips'!$A$2:$I$22,4,FALSE),'20Trips'!$AB$32:$AH$36,3,FALSE))/1440),1,0)</f>
        <v>0</v>
      </c>
      <c r="U19" s="2">
        <f>IF(AND(VLOOKUP(U$1,'20Trips'!$A$3:$F$22,5,FALSE) - VLOOKUP($B19,'20Trips'!$A$3:$G$22,6,FALSE) &gt;= ('20Trips'!$B$23+VLOOKUP(VLOOKUP($B19,'20Trips'!$A$2:$I$22,4,FALSE),'20Trips'!$AB$32:$AH$36,3,FALSE))/1440),1,0)</f>
        <v>0</v>
      </c>
      <c r="V19" s="2">
        <f>IF(AND(VLOOKUP(V$1,'20Trips'!$A$3:$F$22,5,FALSE) - VLOOKUP($B19,'20Trips'!$A$3:$G$22,6,FALSE) &gt;= ('20Trips'!$B$23+VLOOKUP(VLOOKUP($B19,'20Trips'!$A$2:$I$22,4,FALSE),'20Trips'!$AB$32:$AH$36,3,FALSE))/1440),1,0)</f>
        <v>0</v>
      </c>
      <c r="W19" s="2" t="e">
        <f>IF(AND(VLOOKUP(W$1,'20Trips'!$A$3:$F$22,5,FALSE) - VLOOKUP($B19,'20Trips'!$A$3:$G$22,6,FALSE) &gt;= ('20Trips'!$B$23+VLOOKUP(VLOOKUP($B19,'20Trips'!$A$2:$I$22,4,FALSE),'20Trips'!$AB$32:$AH$36,3,FALSE))/1440),1,0)</f>
        <v>#N/A</v>
      </c>
      <c r="X19" s="2" t="e">
        <f>IF(AND(VLOOKUP(X$1,'20Trips'!$A$3:$F$22,5,FALSE) - VLOOKUP($B19,'20Trips'!$A$3:$G$22,6,FALSE) &gt;= ('20Trips'!$B$23+VLOOKUP(VLOOKUP($B19,'20Trips'!$A$2:$I$22,4,FALSE),'20Trips'!$AB$32:$AH$36,3,FALSE))/1440),1,0)</f>
        <v>#N/A</v>
      </c>
      <c r="Y19" s="2" t="e">
        <f>IF(AND(VLOOKUP(Y$1,'20Trips'!$A$3:$F$22,5,FALSE) - VLOOKUP($B19,'20Trips'!$A$3:$G$22,6,FALSE) &gt;= ('20Trips'!$B$23+VLOOKUP(VLOOKUP($B19,'20Trips'!$A$2:$I$22,4,FALSE),'20Trips'!$AB$32:$AH$36,3,FALSE))/1440),1,0)</f>
        <v>#N/A</v>
      </c>
      <c r="Z19" s="2">
        <f>IF(AND(VLOOKUP(Z$1,'20Trips'!$A$3:$F$22,5,FALSE) - VLOOKUP($B19,'20Trips'!$A$3:$G$22,6,FALSE) &gt;= ('20Trips'!$B$23+VLOOKUP(VLOOKUP($B19,'20Trips'!$A$2:$I$22,4,FALSE),'20Trips'!$AB$32:$AH$36,3,FALSE))/1440),1,0)</f>
        <v>0</v>
      </c>
      <c r="AA19" s="2">
        <f>IF(AND(VLOOKUP(AA$1,'20Trips'!$A$3:$F$22,5,FALSE) - VLOOKUP($B19,'20Trips'!$A$3:$G$22,6,FALSE) &gt;= ('20Trips'!$B$23+VLOOKUP(VLOOKUP($B19,'20Trips'!$A$2:$I$22,4,FALSE),'20Trips'!$AB$32:$AH$36,3,FALSE))/1440),1,0)</f>
        <v>0</v>
      </c>
      <c r="AB19" s="2">
        <f>IF(AND(VLOOKUP(AB$1,'20Trips'!$A$3:$F$22,5,FALSE) - VLOOKUP($B19,'20Trips'!$A$3:$G$22,6,FALSE) &gt;= ('20Trips'!$B$23+VLOOKUP(VLOOKUP($B19,'20Trips'!$A$2:$I$22,4,FALSE),'20Trips'!$AB$32:$AH$36,3,FALSE))/1440),1,0)</f>
        <v>0</v>
      </c>
      <c r="AC19" s="2">
        <f>IF(AND(VLOOKUP(AC$1,'20Trips'!$A$3:$F$22,5,FALSE) - VLOOKUP($B19,'20Trips'!$A$3:$G$22,6,FALSE) &gt;= ('20Trips'!$B$23+VLOOKUP(VLOOKUP($B19,'20Trips'!$A$2:$I$22,4,FALSE),'20Trips'!$AB$32:$AH$36,3,FALSE))/1440),1,0)</f>
        <v>0</v>
      </c>
      <c r="AD19" s="2">
        <f>IF(AND(VLOOKUP(AD$1,'20Trips'!$A$3:$F$22,5,FALSE) - VLOOKUP($B19,'20Trips'!$A$3:$G$22,6,FALSE) &gt;= ('20Trips'!$B$23+VLOOKUP(VLOOKUP($B19,'20Trips'!$A$2:$I$22,4,FALSE),'20Trips'!$AB$32:$AH$36,3,FALSE))/1440),1,0)</f>
        <v>1</v>
      </c>
      <c r="AE19" s="2" t="e">
        <f>IF(AND(VLOOKUP(AE$1,'20Trips'!$A$3:$F$22,5,FALSE) - VLOOKUP($B19,'20Trips'!$A$3:$G$22,6,FALSE) &gt;= ('20Trips'!$B$23+VLOOKUP(VLOOKUP($B19,'20Trips'!$A$2:$I$22,4,FALSE),'20Trips'!$AB$32:$AH$36,3,FALSE))/1440),1,0)</f>
        <v>#N/A</v>
      </c>
      <c r="AF19" s="2" t="e">
        <f>IF(AND(VLOOKUP(AF$1,'20Trips'!$A$3:$F$22,5,FALSE) - VLOOKUP($B19,'20Trips'!$A$3:$G$22,6,FALSE) &gt;= ('20Trips'!$B$23+VLOOKUP(VLOOKUP($B19,'20Trips'!$A$2:$I$22,4,FALSE),'20Trips'!$AB$32:$AH$36,3,FALSE))/1440),1,0)</f>
        <v>#N/A</v>
      </c>
      <c r="AG19" s="2" t="e">
        <f>IF(AND(VLOOKUP(AG$1,'20Trips'!$A$3:$F$22,5,FALSE) - VLOOKUP($B19,'20Trips'!$A$3:$G$22,6,FALSE) &gt;= ('20Trips'!$B$23+VLOOKUP(VLOOKUP($B19,'20Trips'!$A$2:$I$22,4,FALSE),'20Trips'!$AB$32:$AH$36,3,FALSE))/1440),1,0)</f>
        <v>#N/A</v>
      </c>
    </row>
    <row r="20" spans="1:33" x14ac:dyDescent="0.25">
      <c r="A20" t="s">
        <v>48</v>
      </c>
      <c r="B20" t="s">
        <v>29</v>
      </c>
      <c r="C20">
        <v>0</v>
      </c>
      <c r="D20" s="2">
        <f>IF(AND(VLOOKUP(D$1,'20Trips'!$A$3:$F$22,5,FALSE) - VLOOKUP($B20,'20Trips'!$A$3:$G$22,6,FALSE) &gt;= ('20Trips'!$B$23+VLOOKUP(VLOOKUP($B20,'20Trips'!$A$2:$I$22,4,FALSE),'20Trips'!$AB$32:$AH$36,3,FALSE))/1440),1,0)</f>
        <v>0</v>
      </c>
      <c r="E20" s="2">
        <f>IF(AND(VLOOKUP(E$1,'20Trips'!$A$3:$F$22,5,FALSE) - VLOOKUP($B20,'20Trips'!$A$3:$G$22,6,FALSE) &gt;= ('20Trips'!$B$23+VLOOKUP(VLOOKUP($B20,'20Trips'!$A$2:$I$22,4,FALSE),'20Trips'!$AB$32:$AH$36,3,FALSE))/1440),1,0)</f>
        <v>0</v>
      </c>
      <c r="F20" s="2">
        <f>IF(AND(VLOOKUP(F$1,'20Trips'!$A$3:$F$22,5,FALSE) - VLOOKUP($B20,'20Trips'!$A$3:$G$22,6,FALSE) &gt;= ('20Trips'!$B$23+VLOOKUP(VLOOKUP($B20,'20Trips'!$A$2:$I$22,4,FALSE),'20Trips'!$AB$32:$AH$36,3,FALSE))/1440),1,0)</f>
        <v>0</v>
      </c>
      <c r="G20" s="2">
        <f>IF(AND(VLOOKUP(G$1,'20Trips'!$A$3:$F$22,5,FALSE) - VLOOKUP($B20,'20Trips'!$A$3:$G$22,6,FALSE) &gt;= ('20Trips'!$B$23+VLOOKUP(VLOOKUP($B20,'20Trips'!$A$2:$I$22,4,FALSE),'20Trips'!$AB$32:$AH$36,3,FALSE))/1440),1,0)</f>
        <v>0</v>
      </c>
      <c r="H20" s="2">
        <f>IF(AND(VLOOKUP(H$1,'20Trips'!$A$3:$F$22,5,FALSE) - VLOOKUP($B20,'20Trips'!$A$3:$G$22,6,FALSE) &gt;= ('20Trips'!$B$23+VLOOKUP(VLOOKUP($B20,'20Trips'!$A$2:$I$22,4,FALSE),'20Trips'!$AB$32:$AH$36,3,FALSE))/1440),1,0)</f>
        <v>0</v>
      </c>
      <c r="I20" s="2" t="e">
        <f>IF(AND(VLOOKUP(I$1,'20Trips'!$A$3:$F$22,5,FALSE) - VLOOKUP($B20,'20Trips'!$A$3:$G$22,6,FALSE) &gt;= ('20Trips'!$B$23+VLOOKUP(VLOOKUP($B20,'20Trips'!$A$2:$I$22,4,FALSE),'20Trips'!$AB$32:$AH$36,3,FALSE))/1440),1,0)</f>
        <v>#N/A</v>
      </c>
      <c r="J20" s="2" t="e">
        <f>IF(AND(VLOOKUP(J$1,'20Trips'!$A$3:$F$22,5,FALSE) - VLOOKUP($B20,'20Trips'!$A$3:$G$22,6,FALSE) &gt;= ('20Trips'!$B$23+VLOOKUP(VLOOKUP($B20,'20Trips'!$A$2:$I$22,4,FALSE),'20Trips'!$AB$32:$AH$36,3,FALSE))/1440),1,0)</f>
        <v>#N/A</v>
      </c>
      <c r="K20" s="2" t="e">
        <f>IF(AND(VLOOKUP(K$1,'20Trips'!$A$3:$F$22,5,FALSE) - VLOOKUP($B20,'20Trips'!$A$3:$G$22,6,FALSE) &gt;= ('20Trips'!$B$23+VLOOKUP(VLOOKUP($B20,'20Trips'!$A$2:$I$22,4,FALSE),'20Trips'!$AB$32:$AH$36,3,FALSE))/1440),1,0)</f>
        <v>#N/A</v>
      </c>
      <c r="L20" s="2">
        <f>IF(AND(VLOOKUP(L$1,'20Trips'!$A$3:$F$22,5,FALSE) - VLOOKUP($B20,'20Trips'!$A$3:$G$22,6,FALSE) &gt;= ('20Trips'!$B$23+VLOOKUP(VLOOKUP($B20,'20Trips'!$A$2:$I$22,4,FALSE),'20Trips'!$AB$32:$AH$36,3,FALSE))/1440),1,0)</f>
        <v>0</v>
      </c>
      <c r="M20" s="2">
        <f>IF(AND(VLOOKUP(M$1,'20Trips'!$A$3:$F$22,5,FALSE) - VLOOKUP($B20,'20Trips'!$A$3:$G$22,6,FALSE) &gt;= ('20Trips'!$B$23+VLOOKUP(VLOOKUP($B20,'20Trips'!$A$2:$I$22,4,FALSE),'20Trips'!$AB$32:$AH$36,3,FALSE))/1440),1,0)</f>
        <v>0</v>
      </c>
      <c r="N20" s="2">
        <f>IF(AND(VLOOKUP(N$1,'20Trips'!$A$3:$F$22,5,FALSE) - VLOOKUP($B20,'20Trips'!$A$3:$G$22,6,FALSE) &gt;= ('20Trips'!$B$23+VLOOKUP(VLOOKUP($B20,'20Trips'!$A$2:$I$22,4,FALSE),'20Trips'!$AB$32:$AH$36,3,FALSE))/1440),1,0)</f>
        <v>0</v>
      </c>
      <c r="O20" s="2">
        <f>IF(AND(VLOOKUP(O$1,'20Trips'!$A$3:$F$22,5,FALSE) - VLOOKUP($B20,'20Trips'!$A$3:$G$22,6,FALSE) &gt;= ('20Trips'!$B$23+VLOOKUP(VLOOKUP($B20,'20Trips'!$A$2:$I$22,4,FALSE),'20Trips'!$AB$32:$AH$36,3,FALSE))/1440),1,0)</f>
        <v>1</v>
      </c>
      <c r="P20" s="2">
        <f>IF(AND(VLOOKUP(P$1,'20Trips'!$A$3:$F$22,5,FALSE) - VLOOKUP($B20,'20Trips'!$A$3:$G$22,6,FALSE) &gt;= ('20Trips'!$B$23+VLOOKUP(VLOOKUP($B20,'20Trips'!$A$2:$I$22,4,FALSE),'20Trips'!$AB$32:$AH$36,3,FALSE))/1440),1,0)</f>
        <v>1</v>
      </c>
      <c r="Q20" s="2" t="e">
        <f>IF(AND(VLOOKUP(Q$1,'20Trips'!$A$3:$F$22,5,FALSE) - VLOOKUP($B20,'20Trips'!$A$3:$G$22,6,FALSE) &gt;= ('20Trips'!$B$23+VLOOKUP(VLOOKUP($B20,'20Trips'!$A$2:$I$22,4,FALSE),'20Trips'!$AB$32:$AH$36,3,FALSE))/1440),1,0)</f>
        <v>#N/A</v>
      </c>
      <c r="R20" s="2">
        <f>IF(AND(VLOOKUP(R$1,'20Trips'!$A$3:$F$22,5,FALSE) - VLOOKUP($B20,'20Trips'!$A$3:$G$22,6,FALSE) &gt;= ('20Trips'!$B$23+VLOOKUP(VLOOKUP($B20,'20Trips'!$A$2:$I$22,4,FALSE),'20Trips'!$AB$32:$AH$36,3,FALSE))/1440),1,0)</f>
        <v>0</v>
      </c>
      <c r="S20" s="2">
        <f>IF(AND(VLOOKUP(S$1,'20Trips'!$A$3:$F$22,5,FALSE) - VLOOKUP($B20,'20Trips'!$A$3:$G$22,6,FALSE) &gt;= ('20Trips'!$B$23+VLOOKUP(VLOOKUP($B20,'20Trips'!$A$2:$I$22,4,FALSE),'20Trips'!$AB$32:$AH$36,3,FALSE))/1440),1,0)</f>
        <v>0</v>
      </c>
      <c r="T20" s="2">
        <f>IF(AND(VLOOKUP(T$1,'20Trips'!$A$3:$F$22,5,FALSE) - VLOOKUP($B20,'20Trips'!$A$3:$G$22,6,FALSE) &gt;= ('20Trips'!$B$23+VLOOKUP(VLOOKUP($B20,'20Trips'!$A$2:$I$22,4,FALSE),'20Trips'!$AB$32:$AH$36,3,FALSE))/1440),1,0)</f>
        <v>0</v>
      </c>
      <c r="U20" s="2">
        <f>IF(AND(VLOOKUP(U$1,'20Trips'!$A$3:$F$22,5,FALSE) - VLOOKUP($B20,'20Trips'!$A$3:$G$22,6,FALSE) &gt;= ('20Trips'!$B$23+VLOOKUP(VLOOKUP($B20,'20Trips'!$A$2:$I$22,4,FALSE),'20Trips'!$AB$32:$AH$36,3,FALSE))/1440),1,0)</f>
        <v>0</v>
      </c>
      <c r="V20" s="2">
        <f>IF(AND(VLOOKUP(V$1,'20Trips'!$A$3:$F$22,5,FALSE) - VLOOKUP($B20,'20Trips'!$A$3:$G$22,6,FALSE) &gt;= ('20Trips'!$B$23+VLOOKUP(VLOOKUP($B20,'20Trips'!$A$2:$I$22,4,FALSE),'20Trips'!$AB$32:$AH$36,3,FALSE))/1440),1,0)</f>
        <v>0</v>
      </c>
      <c r="W20" s="2" t="e">
        <f>IF(AND(VLOOKUP(W$1,'20Trips'!$A$3:$F$22,5,FALSE) - VLOOKUP($B20,'20Trips'!$A$3:$G$22,6,FALSE) &gt;= ('20Trips'!$B$23+VLOOKUP(VLOOKUP($B20,'20Trips'!$A$2:$I$22,4,FALSE),'20Trips'!$AB$32:$AH$36,3,FALSE))/1440),1,0)</f>
        <v>#N/A</v>
      </c>
      <c r="X20" s="2" t="e">
        <f>IF(AND(VLOOKUP(X$1,'20Trips'!$A$3:$F$22,5,FALSE) - VLOOKUP($B20,'20Trips'!$A$3:$G$22,6,FALSE) &gt;= ('20Trips'!$B$23+VLOOKUP(VLOOKUP($B20,'20Trips'!$A$2:$I$22,4,FALSE),'20Trips'!$AB$32:$AH$36,3,FALSE))/1440),1,0)</f>
        <v>#N/A</v>
      </c>
      <c r="Y20" s="2" t="e">
        <f>IF(AND(VLOOKUP(Y$1,'20Trips'!$A$3:$F$22,5,FALSE) - VLOOKUP($B20,'20Trips'!$A$3:$G$22,6,FALSE) &gt;= ('20Trips'!$B$23+VLOOKUP(VLOOKUP($B20,'20Trips'!$A$2:$I$22,4,FALSE),'20Trips'!$AB$32:$AH$36,3,FALSE))/1440),1,0)</f>
        <v>#N/A</v>
      </c>
      <c r="Z20" s="2">
        <f>IF(AND(VLOOKUP(Z$1,'20Trips'!$A$3:$F$22,5,FALSE) - VLOOKUP($B20,'20Trips'!$A$3:$G$22,6,FALSE) &gt;= ('20Trips'!$B$23+VLOOKUP(VLOOKUP($B20,'20Trips'!$A$2:$I$22,4,FALSE),'20Trips'!$AB$32:$AH$36,3,FALSE))/1440),1,0)</f>
        <v>0</v>
      </c>
      <c r="AA20" s="2">
        <f>IF(AND(VLOOKUP(AA$1,'20Trips'!$A$3:$F$22,5,FALSE) - VLOOKUP($B20,'20Trips'!$A$3:$G$22,6,FALSE) &gt;= ('20Trips'!$B$23+VLOOKUP(VLOOKUP($B20,'20Trips'!$A$2:$I$22,4,FALSE),'20Trips'!$AB$32:$AH$36,3,FALSE))/1440),1,0)</f>
        <v>0</v>
      </c>
      <c r="AB20" s="2">
        <f>IF(AND(VLOOKUP(AB$1,'20Trips'!$A$3:$F$22,5,FALSE) - VLOOKUP($B20,'20Trips'!$A$3:$G$22,6,FALSE) &gt;= ('20Trips'!$B$23+VLOOKUP(VLOOKUP($B20,'20Trips'!$A$2:$I$22,4,FALSE),'20Trips'!$AB$32:$AH$36,3,FALSE))/1440),1,0)</f>
        <v>0</v>
      </c>
      <c r="AC20" s="2">
        <f>IF(AND(VLOOKUP(AC$1,'20Trips'!$A$3:$F$22,5,FALSE) - VLOOKUP($B20,'20Trips'!$A$3:$G$22,6,FALSE) &gt;= ('20Trips'!$B$23+VLOOKUP(VLOOKUP($B20,'20Trips'!$A$2:$I$22,4,FALSE),'20Trips'!$AB$32:$AH$36,3,FALSE))/1440),1,0)</f>
        <v>0</v>
      </c>
      <c r="AD20" s="2">
        <f>IF(AND(VLOOKUP(AD$1,'20Trips'!$A$3:$F$22,5,FALSE) - VLOOKUP($B20,'20Trips'!$A$3:$G$22,6,FALSE) &gt;= ('20Trips'!$B$23+VLOOKUP(VLOOKUP($B20,'20Trips'!$A$2:$I$22,4,FALSE),'20Trips'!$AB$32:$AH$36,3,FALSE))/1440),1,0)</f>
        <v>1</v>
      </c>
      <c r="AE20" s="2" t="e">
        <f>IF(AND(VLOOKUP(AE$1,'20Trips'!$A$3:$F$22,5,FALSE) - VLOOKUP($B20,'20Trips'!$A$3:$G$22,6,FALSE) &gt;= ('20Trips'!$B$23+VLOOKUP(VLOOKUP($B20,'20Trips'!$A$2:$I$22,4,FALSE),'20Trips'!$AB$32:$AH$36,3,FALSE))/1440),1,0)</f>
        <v>#N/A</v>
      </c>
      <c r="AF20" s="2" t="e">
        <f>IF(AND(VLOOKUP(AF$1,'20Trips'!$A$3:$F$22,5,FALSE) - VLOOKUP($B20,'20Trips'!$A$3:$G$22,6,FALSE) &gt;= ('20Trips'!$B$23+VLOOKUP(VLOOKUP($B20,'20Trips'!$A$2:$I$22,4,FALSE),'20Trips'!$AB$32:$AH$36,3,FALSE))/1440),1,0)</f>
        <v>#N/A</v>
      </c>
      <c r="AG20" s="2" t="e">
        <f>IF(AND(VLOOKUP(AG$1,'20Trips'!$A$3:$F$22,5,FALSE) - VLOOKUP($B20,'20Trips'!$A$3:$G$22,6,FALSE) &gt;= ('20Trips'!$B$23+VLOOKUP(VLOOKUP($B20,'20Trips'!$A$2:$I$22,4,FALSE),'20Trips'!$AB$32:$AH$36,3,FALSE))/1440),1,0)</f>
        <v>#N/A</v>
      </c>
    </row>
    <row r="21" spans="1:33" x14ac:dyDescent="0.25">
      <c r="A21" t="s">
        <v>48</v>
      </c>
      <c r="B21" t="s">
        <v>30</v>
      </c>
      <c r="C21">
        <v>0</v>
      </c>
      <c r="D21" s="2">
        <f>IF(AND(VLOOKUP(D$1,'20Trips'!$A$3:$F$22,5,FALSE) - VLOOKUP($B21,'20Trips'!$A$3:$G$22,6,FALSE) &gt;= ('20Trips'!$B$23+VLOOKUP(VLOOKUP($B21,'20Trips'!$A$2:$I$22,4,FALSE),'20Trips'!$AB$32:$AH$36,3,FALSE))/1440),1,0)</f>
        <v>0</v>
      </c>
      <c r="E21" s="2">
        <f>IF(AND(VLOOKUP(E$1,'20Trips'!$A$3:$F$22,5,FALSE) - VLOOKUP($B21,'20Trips'!$A$3:$G$22,6,FALSE) &gt;= ('20Trips'!$B$23+VLOOKUP(VLOOKUP($B21,'20Trips'!$A$2:$I$22,4,FALSE),'20Trips'!$AB$32:$AH$36,3,FALSE))/1440),1,0)</f>
        <v>0</v>
      </c>
      <c r="F21" s="2">
        <f>IF(AND(VLOOKUP(F$1,'20Trips'!$A$3:$F$22,5,FALSE) - VLOOKUP($B21,'20Trips'!$A$3:$G$22,6,FALSE) &gt;= ('20Trips'!$B$23+VLOOKUP(VLOOKUP($B21,'20Trips'!$A$2:$I$22,4,FALSE),'20Trips'!$AB$32:$AH$36,3,FALSE))/1440),1,0)</f>
        <v>0</v>
      </c>
      <c r="G21" s="2">
        <f>IF(AND(VLOOKUP(G$1,'20Trips'!$A$3:$F$22,5,FALSE) - VLOOKUP($B21,'20Trips'!$A$3:$G$22,6,FALSE) &gt;= ('20Trips'!$B$23+VLOOKUP(VLOOKUP($B21,'20Trips'!$A$2:$I$22,4,FALSE),'20Trips'!$AB$32:$AH$36,3,FALSE))/1440),1,0)</f>
        <v>0</v>
      </c>
      <c r="H21" s="2">
        <f>IF(AND(VLOOKUP(H$1,'20Trips'!$A$3:$F$22,5,FALSE) - VLOOKUP($B21,'20Trips'!$A$3:$G$22,6,FALSE) &gt;= ('20Trips'!$B$23+VLOOKUP(VLOOKUP($B21,'20Trips'!$A$2:$I$22,4,FALSE),'20Trips'!$AB$32:$AH$36,3,FALSE))/1440),1,0)</f>
        <v>0</v>
      </c>
      <c r="I21" s="2" t="e">
        <f>IF(AND(VLOOKUP(I$1,'20Trips'!$A$3:$F$22,5,FALSE) - VLOOKUP($B21,'20Trips'!$A$3:$G$22,6,FALSE) &gt;= ('20Trips'!$B$23+VLOOKUP(VLOOKUP($B21,'20Trips'!$A$2:$I$22,4,FALSE),'20Trips'!$AB$32:$AH$36,3,FALSE))/1440),1,0)</f>
        <v>#N/A</v>
      </c>
      <c r="J21" s="2" t="e">
        <f>IF(AND(VLOOKUP(J$1,'20Trips'!$A$3:$F$22,5,FALSE) - VLOOKUP($B21,'20Trips'!$A$3:$G$22,6,FALSE) &gt;= ('20Trips'!$B$23+VLOOKUP(VLOOKUP($B21,'20Trips'!$A$2:$I$22,4,FALSE),'20Trips'!$AB$32:$AH$36,3,FALSE))/1440),1,0)</f>
        <v>#N/A</v>
      </c>
      <c r="K21" s="2" t="e">
        <f>IF(AND(VLOOKUP(K$1,'20Trips'!$A$3:$F$22,5,FALSE) - VLOOKUP($B21,'20Trips'!$A$3:$G$22,6,FALSE) &gt;= ('20Trips'!$B$23+VLOOKUP(VLOOKUP($B21,'20Trips'!$A$2:$I$22,4,FALSE),'20Trips'!$AB$32:$AH$36,3,FALSE))/1440),1,0)</f>
        <v>#N/A</v>
      </c>
      <c r="L21" s="2">
        <f>IF(AND(VLOOKUP(L$1,'20Trips'!$A$3:$F$22,5,FALSE) - VLOOKUP($B21,'20Trips'!$A$3:$G$22,6,FALSE) &gt;= ('20Trips'!$B$23+VLOOKUP(VLOOKUP($B21,'20Trips'!$A$2:$I$22,4,FALSE),'20Trips'!$AB$32:$AH$36,3,FALSE))/1440),1,0)</f>
        <v>0</v>
      </c>
      <c r="M21" s="2">
        <f>IF(AND(VLOOKUP(M$1,'20Trips'!$A$3:$F$22,5,FALSE) - VLOOKUP($B21,'20Trips'!$A$3:$G$22,6,FALSE) &gt;= ('20Trips'!$B$23+VLOOKUP(VLOOKUP($B21,'20Trips'!$A$2:$I$22,4,FALSE),'20Trips'!$AB$32:$AH$36,3,FALSE))/1440),1,0)</f>
        <v>0</v>
      </c>
      <c r="N21" s="2">
        <f>IF(AND(VLOOKUP(N$1,'20Trips'!$A$3:$F$22,5,FALSE) - VLOOKUP($B21,'20Trips'!$A$3:$G$22,6,FALSE) &gt;= ('20Trips'!$B$23+VLOOKUP(VLOOKUP($B21,'20Trips'!$A$2:$I$22,4,FALSE),'20Trips'!$AB$32:$AH$36,3,FALSE))/1440),1,0)</f>
        <v>0</v>
      </c>
      <c r="O21" s="2">
        <f>IF(AND(VLOOKUP(O$1,'20Trips'!$A$3:$F$22,5,FALSE) - VLOOKUP($B21,'20Trips'!$A$3:$G$22,6,FALSE) &gt;= ('20Trips'!$B$23+VLOOKUP(VLOOKUP($B21,'20Trips'!$A$2:$I$22,4,FALSE),'20Trips'!$AB$32:$AH$36,3,FALSE))/1440),1,0)</f>
        <v>1</v>
      </c>
      <c r="P21" s="2">
        <f>IF(AND(VLOOKUP(P$1,'20Trips'!$A$3:$F$22,5,FALSE) - VLOOKUP($B21,'20Trips'!$A$3:$G$22,6,FALSE) &gt;= ('20Trips'!$B$23+VLOOKUP(VLOOKUP($B21,'20Trips'!$A$2:$I$22,4,FALSE),'20Trips'!$AB$32:$AH$36,3,FALSE))/1440),1,0)</f>
        <v>1</v>
      </c>
      <c r="Q21" s="2" t="e">
        <f>IF(AND(VLOOKUP(Q$1,'20Trips'!$A$3:$F$22,5,FALSE) - VLOOKUP($B21,'20Trips'!$A$3:$G$22,6,FALSE) &gt;= ('20Trips'!$B$23+VLOOKUP(VLOOKUP($B21,'20Trips'!$A$2:$I$22,4,FALSE),'20Trips'!$AB$32:$AH$36,3,FALSE))/1440),1,0)</f>
        <v>#N/A</v>
      </c>
      <c r="R21" s="2">
        <f>IF(AND(VLOOKUP(R$1,'20Trips'!$A$3:$F$22,5,FALSE) - VLOOKUP($B21,'20Trips'!$A$3:$G$22,6,FALSE) &gt;= ('20Trips'!$B$23+VLOOKUP(VLOOKUP($B21,'20Trips'!$A$2:$I$22,4,FALSE),'20Trips'!$AB$32:$AH$36,3,FALSE))/1440),1,0)</f>
        <v>0</v>
      </c>
      <c r="S21" s="2">
        <f>IF(AND(VLOOKUP(S$1,'20Trips'!$A$3:$F$22,5,FALSE) - VLOOKUP($B21,'20Trips'!$A$3:$G$22,6,FALSE) &gt;= ('20Trips'!$B$23+VLOOKUP(VLOOKUP($B21,'20Trips'!$A$2:$I$22,4,FALSE),'20Trips'!$AB$32:$AH$36,3,FALSE))/1440),1,0)</f>
        <v>0</v>
      </c>
      <c r="T21" s="2">
        <f>IF(AND(VLOOKUP(T$1,'20Trips'!$A$3:$F$22,5,FALSE) - VLOOKUP($B21,'20Trips'!$A$3:$G$22,6,FALSE) &gt;= ('20Trips'!$B$23+VLOOKUP(VLOOKUP($B21,'20Trips'!$A$2:$I$22,4,FALSE),'20Trips'!$AB$32:$AH$36,3,FALSE))/1440),1,0)</f>
        <v>0</v>
      </c>
      <c r="U21" s="2">
        <f>IF(AND(VLOOKUP(U$1,'20Trips'!$A$3:$F$22,5,FALSE) - VLOOKUP($B21,'20Trips'!$A$3:$G$22,6,FALSE) &gt;= ('20Trips'!$B$23+VLOOKUP(VLOOKUP($B21,'20Trips'!$A$2:$I$22,4,FALSE),'20Trips'!$AB$32:$AH$36,3,FALSE))/1440),1,0)</f>
        <v>0</v>
      </c>
      <c r="V21" s="2">
        <f>IF(AND(VLOOKUP(V$1,'20Trips'!$A$3:$F$22,5,FALSE) - VLOOKUP($B21,'20Trips'!$A$3:$G$22,6,FALSE) &gt;= ('20Trips'!$B$23+VLOOKUP(VLOOKUP($B21,'20Trips'!$A$2:$I$22,4,FALSE),'20Trips'!$AB$32:$AH$36,3,FALSE))/1440),1,0)</f>
        <v>0</v>
      </c>
      <c r="W21" s="2" t="e">
        <f>IF(AND(VLOOKUP(W$1,'20Trips'!$A$3:$F$22,5,FALSE) - VLOOKUP($B21,'20Trips'!$A$3:$G$22,6,FALSE) &gt;= ('20Trips'!$B$23+VLOOKUP(VLOOKUP($B21,'20Trips'!$A$2:$I$22,4,FALSE),'20Trips'!$AB$32:$AH$36,3,FALSE))/1440),1,0)</f>
        <v>#N/A</v>
      </c>
      <c r="X21" s="2" t="e">
        <f>IF(AND(VLOOKUP(X$1,'20Trips'!$A$3:$F$22,5,FALSE) - VLOOKUP($B21,'20Trips'!$A$3:$G$22,6,FALSE) &gt;= ('20Trips'!$B$23+VLOOKUP(VLOOKUP($B21,'20Trips'!$A$2:$I$22,4,FALSE),'20Trips'!$AB$32:$AH$36,3,FALSE))/1440),1,0)</f>
        <v>#N/A</v>
      </c>
      <c r="Y21" s="2" t="e">
        <f>IF(AND(VLOOKUP(Y$1,'20Trips'!$A$3:$F$22,5,FALSE) - VLOOKUP($B21,'20Trips'!$A$3:$G$22,6,FALSE) &gt;= ('20Trips'!$B$23+VLOOKUP(VLOOKUP($B21,'20Trips'!$A$2:$I$22,4,FALSE),'20Trips'!$AB$32:$AH$36,3,FALSE))/1440),1,0)</f>
        <v>#N/A</v>
      </c>
      <c r="Z21" s="2">
        <f>IF(AND(VLOOKUP(Z$1,'20Trips'!$A$3:$F$22,5,FALSE) - VLOOKUP($B21,'20Trips'!$A$3:$G$22,6,FALSE) &gt;= ('20Trips'!$B$23+VLOOKUP(VLOOKUP($B21,'20Trips'!$A$2:$I$22,4,FALSE),'20Trips'!$AB$32:$AH$36,3,FALSE))/1440),1,0)</f>
        <v>0</v>
      </c>
      <c r="AA21" s="2">
        <f>IF(AND(VLOOKUP(AA$1,'20Trips'!$A$3:$F$22,5,FALSE) - VLOOKUP($B21,'20Trips'!$A$3:$G$22,6,FALSE) &gt;= ('20Trips'!$B$23+VLOOKUP(VLOOKUP($B21,'20Trips'!$A$2:$I$22,4,FALSE),'20Trips'!$AB$32:$AH$36,3,FALSE))/1440),1,0)</f>
        <v>0</v>
      </c>
      <c r="AB21" s="2">
        <f>IF(AND(VLOOKUP(AB$1,'20Trips'!$A$3:$F$22,5,FALSE) - VLOOKUP($B21,'20Trips'!$A$3:$G$22,6,FALSE) &gt;= ('20Trips'!$B$23+VLOOKUP(VLOOKUP($B21,'20Trips'!$A$2:$I$22,4,FALSE),'20Trips'!$AB$32:$AH$36,3,FALSE))/1440),1,0)</f>
        <v>0</v>
      </c>
      <c r="AC21" s="2">
        <f>IF(AND(VLOOKUP(AC$1,'20Trips'!$A$3:$F$22,5,FALSE) - VLOOKUP($B21,'20Trips'!$A$3:$G$22,6,FALSE) &gt;= ('20Trips'!$B$23+VLOOKUP(VLOOKUP($B21,'20Trips'!$A$2:$I$22,4,FALSE),'20Trips'!$AB$32:$AH$36,3,FALSE))/1440),1,0)</f>
        <v>0</v>
      </c>
      <c r="AD21" s="2">
        <f>IF(AND(VLOOKUP(AD$1,'20Trips'!$A$3:$F$22,5,FALSE) - VLOOKUP($B21,'20Trips'!$A$3:$G$22,6,FALSE) &gt;= ('20Trips'!$B$23+VLOOKUP(VLOOKUP($B21,'20Trips'!$A$2:$I$22,4,FALSE),'20Trips'!$AB$32:$AH$36,3,FALSE))/1440),1,0)</f>
        <v>0</v>
      </c>
      <c r="AE21" s="2" t="e">
        <f>IF(AND(VLOOKUP(AE$1,'20Trips'!$A$3:$F$22,5,FALSE) - VLOOKUP($B21,'20Trips'!$A$3:$G$22,6,FALSE) &gt;= ('20Trips'!$B$23+VLOOKUP(VLOOKUP($B21,'20Trips'!$A$2:$I$22,4,FALSE),'20Trips'!$AB$32:$AH$36,3,FALSE))/1440),1,0)</f>
        <v>#N/A</v>
      </c>
      <c r="AF21" s="2" t="e">
        <f>IF(AND(VLOOKUP(AF$1,'20Trips'!$A$3:$F$22,5,FALSE) - VLOOKUP($B21,'20Trips'!$A$3:$G$22,6,FALSE) &gt;= ('20Trips'!$B$23+VLOOKUP(VLOOKUP($B21,'20Trips'!$A$2:$I$22,4,FALSE),'20Trips'!$AB$32:$AH$36,3,FALSE))/1440),1,0)</f>
        <v>#N/A</v>
      </c>
      <c r="AG21" s="2" t="e">
        <f>IF(AND(VLOOKUP(AG$1,'20Trips'!$A$3:$F$22,5,FALSE) - VLOOKUP($B21,'20Trips'!$A$3:$G$22,6,FALSE) &gt;= ('20Trips'!$B$23+VLOOKUP(VLOOKUP($B21,'20Trips'!$A$2:$I$22,4,FALSE),'20Trips'!$AB$32:$AH$36,3,FALSE))/1440),1,0)</f>
        <v>#N/A</v>
      </c>
    </row>
    <row r="22" spans="1:33" x14ac:dyDescent="0.25">
      <c r="A22" t="s">
        <v>48</v>
      </c>
      <c r="B22" t="s">
        <v>31</v>
      </c>
      <c r="C22">
        <v>0</v>
      </c>
      <c r="D22" s="2" t="e">
        <f>IF(AND(VLOOKUP(D$1,'20Trips'!$A$3:$F$22,5,FALSE) - VLOOKUP($B22,'20Trips'!$A$3:$G$22,6,FALSE) &gt;= ('20Trips'!$B$23+VLOOKUP(VLOOKUP($B22,'20Trips'!$A$2:$I$22,4,FALSE),'20Trips'!$AB$32:$AH$36,3,FALSE))/1440),1,0)</f>
        <v>#N/A</v>
      </c>
      <c r="E22" s="2" t="e">
        <f>IF(AND(VLOOKUP(E$1,'20Trips'!$A$3:$F$22,5,FALSE) - VLOOKUP($B22,'20Trips'!$A$3:$G$22,6,FALSE) &gt;= ('20Trips'!$B$23+VLOOKUP(VLOOKUP($B22,'20Trips'!$A$2:$I$22,4,FALSE),'20Trips'!$AB$32:$AH$36,3,FALSE))/1440),1,0)</f>
        <v>#N/A</v>
      </c>
      <c r="F22" s="2" t="e">
        <f>IF(AND(VLOOKUP(F$1,'20Trips'!$A$3:$F$22,5,FALSE) - VLOOKUP($B22,'20Trips'!$A$3:$G$22,6,FALSE) &gt;= ('20Trips'!$B$23+VLOOKUP(VLOOKUP($B22,'20Trips'!$A$2:$I$22,4,FALSE),'20Trips'!$AB$32:$AH$36,3,FALSE))/1440),1,0)</f>
        <v>#N/A</v>
      </c>
      <c r="G22" s="2" t="e">
        <f>IF(AND(VLOOKUP(G$1,'20Trips'!$A$3:$F$22,5,FALSE) - VLOOKUP($B22,'20Trips'!$A$3:$G$22,6,FALSE) &gt;= ('20Trips'!$B$23+VLOOKUP(VLOOKUP($B22,'20Trips'!$A$2:$I$22,4,FALSE),'20Trips'!$AB$32:$AH$36,3,FALSE))/1440),1,0)</f>
        <v>#N/A</v>
      </c>
      <c r="H22" s="2" t="e">
        <f>IF(AND(VLOOKUP(H$1,'20Trips'!$A$3:$F$22,5,FALSE) - VLOOKUP($B22,'20Trips'!$A$3:$G$22,6,FALSE) &gt;= ('20Trips'!$B$23+VLOOKUP(VLOOKUP($B22,'20Trips'!$A$2:$I$22,4,FALSE),'20Trips'!$AB$32:$AH$36,3,FALSE))/1440),1,0)</f>
        <v>#N/A</v>
      </c>
      <c r="I22" s="2" t="e">
        <f>IF(AND(VLOOKUP(I$1,'20Trips'!$A$3:$F$22,5,FALSE) - VLOOKUP($B22,'20Trips'!$A$3:$G$22,6,FALSE) &gt;= ('20Trips'!$B$23+VLOOKUP(VLOOKUP($B22,'20Trips'!$A$2:$I$22,4,FALSE),'20Trips'!$AB$32:$AH$36,3,FALSE))/1440),1,0)</f>
        <v>#N/A</v>
      </c>
      <c r="J22" s="2" t="e">
        <f>IF(AND(VLOOKUP(J$1,'20Trips'!$A$3:$F$22,5,FALSE) - VLOOKUP($B22,'20Trips'!$A$3:$G$22,6,FALSE) &gt;= ('20Trips'!$B$23+VLOOKUP(VLOOKUP($B22,'20Trips'!$A$2:$I$22,4,FALSE),'20Trips'!$AB$32:$AH$36,3,FALSE))/1440),1,0)</f>
        <v>#N/A</v>
      </c>
      <c r="K22" s="2" t="e">
        <f>IF(AND(VLOOKUP(K$1,'20Trips'!$A$3:$F$22,5,FALSE) - VLOOKUP($B22,'20Trips'!$A$3:$G$22,6,FALSE) &gt;= ('20Trips'!$B$23+VLOOKUP(VLOOKUP($B22,'20Trips'!$A$2:$I$22,4,FALSE),'20Trips'!$AB$32:$AH$36,3,FALSE))/1440),1,0)</f>
        <v>#N/A</v>
      </c>
      <c r="L22" s="2" t="e">
        <f>IF(AND(VLOOKUP(L$1,'20Trips'!$A$3:$F$22,5,FALSE) - VLOOKUP($B22,'20Trips'!$A$3:$G$22,6,FALSE) &gt;= ('20Trips'!$B$23+VLOOKUP(VLOOKUP($B22,'20Trips'!$A$2:$I$22,4,FALSE),'20Trips'!$AB$32:$AH$36,3,FALSE))/1440),1,0)</f>
        <v>#N/A</v>
      </c>
      <c r="M22" s="2" t="e">
        <f>IF(AND(VLOOKUP(M$1,'20Trips'!$A$3:$F$22,5,FALSE) - VLOOKUP($B22,'20Trips'!$A$3:$G$22,6,FALSE) &gt;= ('20Trips'!$B$23+VLOOKUP(VLOOKUP($B22,'20Trips'!$A$2:$I$22,4,FALSE),'20Trips'!$AB$32:$AH$36,3,FALSE))/1440),1,0)</f>
        <v>#N/A</v>
      </c>
      <c r="N22" s="2" t="e">
        <f>IF(AND(VLOOKUP(N$1,'20Trips'!$A$3:$F$22,5,FALSE) - VLOOKUP($B22,'20Trips'!$A$3:$G$22,6,FALSE) &gt;= ('20Trips'!$B$23+VLOOKUP(VLOOKUP($B22,'20Trips'!$A$2:$I$22,4,FALSE),'20Trips'!$AB$32:$AH$36,3,FALSE))/1440),1,0)</f>
        <v>#N/A</v>
      </c>
      <c r="O22" s="2" t="e">
        <f>IF(AND(VLOOKUP(O$1,'20Trips'!$A$3:$F$22,5,FALSE) - VLOOKUP($B22,'20Trips'!$A$3:$G$22,6,FALSE) &gt;= ('20Trips'!$B$23+VLOOKUP(VLOOKUP($B22,'20Trips'!$A$2:$I$22,4,FALSE),'20Trips'!$AB$32:$AH$36,3,FALSE))/1440),1,0)</f>
        <v>#N/A</v>
      </c>
      <c r="P22" s="2" t="e">
        <f>IF(AND(VLOOKUP(P$1,'20Trips'!$A$3:$F$22,5,FALSE) - VLOOKUP($B22,'20Trips'!$A$3:$G$22,6,FALSE) &gt;= ('20Trips'!$B$23+VLOOKUP(VLOOKUP($B22,'20Trips'!$A$2:$I$22,4,FALSE),'20Trips'!$AB$32:$AH$36,3,FALSE))/1440),1,0)</f>
        <v>#N/A</v>
      </c>
      <c r="Q22" s="2" t="e">
        <f>IF(AND(VLOOKUP(Q$1,'20Trips'!$A$3:$F$22,5,FALSE) - VLOOKUP($B22,'20Trips'!$A$3:$G$22,6,FALSE) &gt;= ('20Trips'!$B$23+VLOOKUP(VLOOKUP($B22,'20Trips'!$A$2:$I$22,4,FALSE),'20Trips'!$AB$32:$AH$36,3,FALSE))/1440),1,0)</f>
        <v>#N/A</v>
      </c>
      <c r="R22" s="2" t="e">
        <f>IF(AND(VLOOKUP(R$1,'20Trips'!$A$3:$F$22,5,FALSE) - VLOOKUP($B22,'20Trips'!$A$3:$G$22,6,FALSE) &gt;= ('20Trips'!$B$23+VLOOKUP(VLOOKUP($B22,'20Trips'!$A$2:$I$22,4,FALSE),'20Trips'!$AB$32:$AH$36,3,FALSE))/1440),1,0)</f>
        <v>#N/A</v>
      </c>
      <c r="S22" s="2" t="e">
        <f>IF(AND(VLOOKUP(S$1,'20Trips'!$A$3:$F$22,5,FALSE) - VLOOKUP($B22,'20Trips'!$A$3:$G$22,6,FALSE) &gt;= ('20Trips'!$B$23+VLOOKUP(VLOOKUP($B22,'20Trips'!$A$2:$I$22,4,FALSE),'20Trips'!$AB$32:$AH$36,3,FALSE))/1440),1,0)</f>
        <v>#N/A</v>
      </c>
      <c r="T22" s="2" t="e">
        <f>IF(AND(VLOOKUP(T$1,'20Trips'!$A$3:$F$22,5,FALSE) - VLOOKUP($B22,'20Trips'!$A$3:$G$22,6,FALSE) &gt;= ('20Trips'!$B$23+VLOOKUP(VLOOKUP($B22,'20Trips'!$A$2:$I$22,4,FALSE),'20Trips'!$AB$32:$AH$36,3,FALSE))/1440),1,0)</f>
        <v>#N/A</v>
      </c>
      <c r="U22" s="2" t="e">
        <f>IF(AND(VLOOKUP(U$1,'20Trips'!$A$3:$F$22,5,FALSE) - VLOOKUP($B22,'20Trips'!$A$3:$G$22,6,FALSE) &gt;= ('20Trips'!$B$23+VLOOKUP(VLOOKUP($B22,'20Trips'!$A$2:$I$22,4,FALSE),'20Trips'!$AB$32:$AH$36,3,FALSE))/1440),1,0)</f>
        <v>#N/A</v>
      </c>
      <c r="V22" s="2" t="e">
        <f>IF(AND(VLOOKUP(V$1,'20Trips'!$A$3:$F$22,5,FALSE) - VLOOKUP($B22,'20Trips'!$A$3:$G$22,6,FALSE) &gt;= ('20Trips'!$B$23+VLOOKUP(VLOOKUP($B22,'20Trips'!$A$2:$I$22,4,FALSE),'20Trips'!$AB$32:$AH$36,3,FALSE))/1440),1,0)</f>
        <v>#N/A</v>
      </c>
      <c r="W22" s="2" t="e">
        <f>IF(AND(VLOOKUP(W$1,'20Trips'!$A$3:$F$22,5,FALSE) - VLOOKUP($B22,'20Trips'!$A$3:$G$22,6,FALSE) &gt;= ('20Trips'!$B$23+VLOOKUP(VLOOKUP($B22,'20Trips'!$A$2:$I$22,4,FALSE),'20Trips'!$AB$32:$AH$36,3,FALSE))/1440),1,0)</f>
        <v>#N/A</v>
      </c>
      <c r="X22" s="2" t="e">
        <f>IF(AND(VLOOKUP(X$1,'20Trips'!$A$3:$F$22,5,FALSE) - VLOOKUP($B22,'20Trips'!$A$3:$G$22,6,FALSE) &gt;= ('20Trips'!$B$23+VLOOKUP(VLOOKUP($B22,'20Trips'!$A$2:$I$22,4,FALSE),'20Trips'!$AB$32:$AH$36,3,FALSE))/1440),1,0)</f>
        <v>#N/A</v>
      </c>
      <c r="Y22" s="2" t="e">
        <f>IF(AND(VLOOKUP(Y$1,'20Trips'!$A$3:$F$22,5,FALSE) - VLOOKUP($B22,'20Trips'!$A$3:$G$22,6,FALSE) &gt;= ('20Trips'!$B$23+VLOOKUP(VLOOKUP($B22,'20Trips'!$A$2:$I$22,4,FALSE),'20Trips'!$AB$32:$AH$36,3,FALSE))/1440),1,0)</f>
        <v>#N/A</v>
      </c>
      <c r="Z22" s="2" t="e">
        <f>IF(AND(VLOOKUP(Z$1,'20Trips'!$A$3:$F$22,5,FALSE) - VLOOKUP($B22,'20Trips'!$A$3:$G$22,6,FALSE) &gt;= ('20Trips'!$B$23+VLOOKUP(VLOOKUP($B22,'20Trips'!$A$2:$I$22,4,FALSE),'20Trips'!$AB$32:$AH$36,3,FALSE))/1440),1,0)</f>
        <v>#N/A</v>
      </c>
      <c r="AA22" s="2" t="e">
        <f>IF(AND(VLOOKUP(AA$1,'20Trips'!$A$3:$F$22,5,FALSE) - VLOOKUP($B22,'20Trips'!$A$3:$G$22,6,FALSE) &gt;= ('20Trips'!$B$23+VLOOKUP(VLOOKUP($B22,'20Trips'!$A$2:$I$22,4,FALSE),'20Trips'!$AB$32:$AH$36,3,FALSE))/1440),1,0)</f>
        <v>#N/A</v>
      </c>
      <c r="AB22" s="2" t="e">
        <f>IF(AND(VLOOKUP(AB$1,'20Trips'!$A$3:$F$22,5,FALSE) - VLOOKUP($B22,'20Trips'!$A$3:$G$22,6,FALSE) &gt;= ('20Trips'!$B$23+VLOOKUP(VLOOKUP($B22,'20Trips'!$A$2:$I$22,4,FALSE),'20Trips'!$AB$32:$AH$36,3,FALSE))/1440),1,0)</f>
        <v>#N/A</v>
      </c>
      <c r="AC22" s="2" t="e">
        <f>IF(AND(VLOOKUP(AC$1,'20Trips'!$A$3:$F$22,5,FALSE) - VLOOKUP($B22,'20Trips'!$A$3:$G$22,6,FALSE) &gt;= ('20Trips'!$B$23+VLOOKUP(VLOOKUP($B22,'20Trips'!$A$2:$I$22,4,FALSE),'20Trips'!$AB$32:$AH$36,3,FALSE))/1440),1,0)</f>
        <v>#N/A</v>
      </c>
      <c r="AD22" s="2" t="e">
        <f>IF(AND(VLOOKUP(AD$1,'20Trips'!$A$3:$F$22,5,FALSE) - VLOOKUP($B22,'20Trips'!$A$3:$G$22,6,FALSE) &gt;= ('20Trips'!$B$23+VLOOKUP(VLOOKUP($B22,'20Trips'!$A$2:$I$22,4,FALSE),'20Trips'!$AB$32:$AH$36,3,FALSE))/1440),1,0)</f>
        <v>#N/A</v>
      </c>
      <c r="AE22" s="2" t="e">
        <f>IF(AND(VLOOKUP(AE$1,'20Trips'!$A$3:$F$22,5,FALSE) - VLOOKUP($B22,'20Trips'!$A$3:$G$22,6,FALSE) &gt;= ('20Trips'!$B$23+VLOOKUP(VLOOKUP($B22,'20Trips'!$A$2:$I$22,4,FALSE),'20Trips'!$AB$32:$AH$36,3,FALSE))/1440),1,0)</f>
        <v>#N/A</v>
      </c>
      <c r="AF22" s="2" t="e">
        <f>IF(AND(VLOOKUP(AF$1,'20Trips'!$A$3:$F$22,5,FALSE) - VLOOKUP($B22,'20Trips'!$A$3:$G$22,6,FALSE) &gt;= ('20Trips'!$B$23+VLOOKUP(VLOOKUP($B22,'20Trips'!$A$2:$I$22,4,FALSE),'20Trips'!$AB$32:$AH$36,3,FALSE))/1440),1,0)</f>
        <v>#N/A</v>
      </c>
      <c r="AG22" s="2" t="e">
        <f>IF(AND(VLOOKUP(AG$1,'20Trips'!$A$3:$F$22,5,FALSE) - VLOOKUP($B22,'20Trips'!$A$3:$G$22,6,FALSE) &gt;= ('20Trips'!$B$23+VLOOKUP(VLOOKUP($B22,'20Trips'!$A$2:$I$22,4,FALSE),'20Trips'!$AB$32:$AH$36,3,FALSE))/1440),1,0)</f>
        <v>#N/A</v>
      </c>
    </row>
    <row r="23" spans="1:33" x14ac:dyDescent="0.25">
      <c r="A23" t="s">
        <v>48</v>
      </c>
      <c r="B23" t="s">
        <v>32</v>
      </c>
      <c r="C23">
        <v>0</v>
      </c>
      <c r="D23" s="2" t="e">
        <f>IF(AND(VLOOKUP(D$1,'20Trips'!$A$3:$F$22,5,FALSE) - VLOOKUP($B23,'20Trips'!$A$3:$G$22,6,FALSE) &gt;= ('20Trips'!$B$23+VLOOKUP(VLOOKUP($B23,'20Trips'!$A$2:$I$22,4,FALSE),'20Trips'!$AB$32:$AH$36,3,FALSE))/1440),1,0)</f>
        <v>#N/A</v>
      </c>
      <c r="E23" s="2" t="e">
        <f>IF(AND(VLOOKUP(E$1,'20Trips'!$A$3:$F$22,5,FALSE) - VLOOKUP($B23,'20Trips'!$A$3:$G$22,6,FALSE) &gt;= ('20Trips'!$B$23+VLOOKUP(VLOOKUP($B23,'20Trips'!$A$2:$I$22,4,FALSE),'20Trips'!$AB$32:$AH$36,3,FALSE))/1440),1,0)</f>
        <v>#N/A</v>
      </c>
      <c r="F23" s="2" t="e">
        <f>IF(AND(VLOOKUP(F$1,'20Trips'!$A$3:$F$22,5,FALSE) - VLOOKUP($B23,'20Trips'!$A$3:$G$22,6,FALSE) &gt;= ('20Trips'!$B$23+VLOOKUP(VLOOKUP($B23,'20Trips'!$A$2:$I$22,4,FALSE),'20Trips'!$AB$32:$AH$36,3,FALSE))/1440),1,0)</f>
        <v>#N/A</v>
      </c>
      <c r="G23" s="2" t="e">
        <f>IF(AND(VLOOKUP(G$1,'20Trips'!$A$3:$F$22,5,FALSE) - VLOOKUP($B23,'20Trips'!$A$3:$G$22,6,FALSE) &gt;= ('20Trips'!$B$23+VLOOKUP(VLOOKUP($B23,'20Trips'!$A$2:$I$22,4,FALSE),'20Trips'!$AB$32:$AH$36,3,FALSE))/1440),1,0)</f>
        <v>#N/A</v>
      </c>
      <c r="H23" s="2" t="e">
        <f>IF(AND(VLOOKUP(H$1,'20Trips'!$A$3:$F$22,5,FALSE) - VLOOKUP($B23,'20Trips'!$A$3:$G$22,6,FALSE) &gt;= ('20Trips'!$B$23+VLOOKUP(VLOOKUP($B23,'20Trips'!$A$2:$I$22,4,FALSE),'20Trips'!$AB$32:$AH$36,3,FALSE))/1440),1,0)</f>
        <v>#N/A</v>
      </c>
      <c r="I23" s="2" t="e">
        <f>IF(AND(VLOOKUP(I$1,'20Trips'!$A$3:$F$22,5,FALSE) - VLOOKUP($B23,'20Trips'!$A$3:$G$22,6,FALSE) &gt;= ('20Trips'!$B$23+VLOOKUP(VLOOKUP($B23,'20Trips'!$A$2:$I$22,4,FALSE),'20Trips'!$AB$32:$AH$36,3,FALSE))/1440),1,0)</f>
        <v>#N/A</v>
      </c>
      <c r="J23" s="2" t="e">
        <f>IF(AND(VLOOKUP(J$1,'20Trips'!$A$3:$F$22,5,FALSE) - VLOOKUP($B23,'20Trips'!$A$3:$G$22,6,FALSE) &gt;= ('20Trips'!$B$23+VLOOKUP(VLOOKUP($B23,'20Trips'!$A$2:$I$22,4,FALSE),'20Trips'!$AB$32:$AH$36,3,FALSE))/1440),1,0)</f>
        <v>#N/A</v>
      </c>
      <c r="K23" s="2" t="e">
        <f>IF(AND(VLOOKUP(K$1,'20Trips'!$A$3:$F$22,5,FALSE) - VLOOKUP($B23,'20Trips'!$A$3:$G$22,6,FALSE) &gt;= ('20Trips'!$B$23+VLOOKUP(VLOOKUP($B23,'20Trips'!$A$2:$I$22,4,FALSE),'20Trips'!$AB$32:$AH$36,3,FALSE))/1440),1,0)</f>
        <v>#N/A</v>
      </c>
      <c r="L23" s="2" t="e">
        <f>IF(AND(VLOOKUP(L$1,'20Trips'!$A$3:$F$22,5,FALSE) - VLOOKUP($B23,'20Trips'!$A$3:$G$22,6,FALSE) &gt;= ('20Trips'!$B$23+VLOOKUP(VLOOKUP($B23,'20Trips'!$A$2:$I$22,4,FALSE),'20Trips'!$AB$32:$AH$36,3,FALSE))/1440),1,0)</f>
        <v>#N/A</v>
      </c>
      <c r="M23" s="2" t="e">
        <f>IF(AND(VLOOKUP(M$1,'20Trips'!$A$3:$F$22,5,FALSE) - VLOOKUP($B23,'20Trips'!$A$3:$G$22,6,FALSE) &gt;= ('20Trips'!$B$23+VLOOKUP(VLOOKUP($B23,'20Trips'!$A$2:$I$22,4,FALSE),'20Trips'!$AB$32:$AH$36,3,FALSE))/1440),1,0)</f>
        <v>#N/A</v>
      </c>
      <c r="N23" s="2" t="e">
        <f>IF(AND(VLOOKUP(N$1,'20Trips'!$A$3:$F$22,5,FALSE) - VLOOKUP($B23,'20Trips'!$A$3:$G$22,6,FALSE) &gt;= ('20Trips'!$B$23+VLOOKUP(VLOOKUP($B23,'20Trips'!$A$2:$I$22,4,FALSE),'20Trips'!$AB$32:$AH$36,3,FALSE))/1440),1,0)</f>
        <v>#N/A</v>
      </c>
      <c r="O23" s="2" t="e">
        <f>IF(AND(VLOOKUP(O$1,'20Trips'!$A$3:$F$22,5,FALSE) - VLOOKUP($B23,'20Trips'!$A$3:$G$22,6,FALSE) &gt;= ('20Trips'!$B$23+VLOOKUP(VLOOKUP($B23,'20Trips'!$A$2:$I$22,4,FALSE),'20Trips'!$AB$32:$AH$36,3,FALSE))/1440),1,0)</f>
        <v>#N/A</v>
      </c>
      <c r="P23" s="2" t="e">
        <f>IF(AND(VLOOKUP(P$1,'20Trips'!$A$3:$F$22,5,FALSE) - VLOOKUP($B23,'20Trips'!$A$3:$G$22,6,FALSE) &gt;= ('20Trips'!$B$23+VLOOKUP(VLOOKUP($B23,'20Trips'!$A$2:$I$22,4,FALSE),'20Trips'!$AB$32:$AH$36,3,FALSE))/1440),1,0)</f>
        <v>#N/A</v>
      </c>
      <c r="Q23" s="2" t="e">
        <f>IF(AND(VLOOKUP(Q$1,'20Trips'!$A$3:$F$22,5,FALSE) - VLOOKUP($B23,'20Trips'!$A$3:$G$22,6,FALSE) &gt;= ('20Trips'!$B$23+VLOOKUP(VLOOKUP($B23,'20Trips'!$A$2:$I$22,4,FALSE),'20Trips'!$AB$32:$AH$36,3,FALSE))/1440),1,0)</f>
        <v>#N/A</v>
      </c>
      <c r="R23" s="2" t="e">
        <f>IF(AND(VLOOKUP(R$1,'20Trips'!$A$3:$F$22,5,FALSE) - VLOOKUP($B23,'20Trips'!$A$3:$G$22,6,FALSE) &gt;= ('20Trips'!$B$23+VLOOKUP(VLOOKUP($B23,'20Trips'!$A$2:$I$22,4,FALSE),'20Trips'!$AB$32:$AH$36,3,FALSE))/1440),1,0)</f>
        <v>#N/A</v>
      </c>
      <c r="S23" s="2" t="e">
        <f>IF(AND(VLOOKUP(S$1,'20Trips'!$A$3:$F$22,5,FALSE) - VLOOKUP($B23,'20Trips'!$A$3:$G$22,6,FALSE) &gt;= ('20Trips'!$B$23+VLOOKUP(VLOOKUP($B23,'20Trips'!$A$2:$I$22,4,FALSE),'20Trips'!$AB$32:$AH$36,3,FALSE))/1440),1,0)</f>
        <v>#N/A</v>
      </c>
      <c r="T23" s="2" t="e">
        <f>IF(AND(VLOOKUP(T$1,'20Trips'!$A$3:$F$22,5,FALSE) - VLOOKUP($B23,'20Trips'!$A$3:$G$22,6,FALSE) &gt;= ('20Trips'!$B$23+VLOOKUP(VLOOKUP($B23,'20Trips'!$A$2:$I$22,4,FALSE),'20Trips'!$AB$32:$AH$36,3,FALSE))/1440),1,0)</f>
        <v>#N/A</v>
      </c>
      <c r="U23" s="2" t="e">
        <f>IF(AND(VLOOKUP(U$1,'20Trips'!$A$3:$F$22,5,FALSE) - VLOOKUP($B23,'20Trips'!$A$3:$G$22,6,FALSE) &gt;= ('20Trips'!$B$23+VLOOKUP(VLOOKUP($B23,'20Trips'!$A$2:$I$22,4,FALSE),'20Trips'!$AB$32:$AH$36,3,FALSE))/1440),1,0)</f>
        <v>#N/A</v>
      </c>
      <c r="V23" s="2" t="e">
        <f>IF(AND(VLOOKUP(V$1,'20Trips'!$A$3:$F$22,5,FALSE) - VLOOKUP($B23,'20Trips'!$A$3:$G$22,6,FALSE) &gt;= ('20Trips'!$B$23+VLOOKUP(VLOOKUP($B23,'20Trips'!$A$2:$I$22,4,FALSE),'20Trips'!$AB$32:$AH$36,3,FALSE))/1440),1,0)</f>
        <v>#N/A</v>
      </c>
      <c r="W23" s="2" t="e">
        <f>IF(AND(VLOOKUP(W$1,'20Trips'!$A$3:$F$22,5,FALSE) - VLOOKUP($B23,'20Trips'!$A$3:$G$22,6,FALSE) &gt;= ('20Trips'!$B$23+VLOOKUP(VLOOKUP($B23,'20Trips'!$A$2:$I$22,4,FALSE),'20Trips'!$AB$32:$AH$36,3,FALSE))/1440),1,0)</f>
        <v>#N/A</v>
      </c>
      <c r="X23" s="2" t="e">
        <f>IF(AND(VLOOKUP(X$1,'20Trips'!$A$3:$F$22,5,FALSE) - VLOOKUP($B23,'20Trips'!$A$3:$G$22,6,FALSE) &gt;= ('20Trips'!$B$23+VLOOKUP(VLOOKUP($B23,'20Trips'!$A$2:$I$22,4,FALSE),'20Trips'!$AB$32:$AH$36,3,FALSE))/1440),1,0)</f>
        <v>#N/A</v>
      </c>
      <c r="Y23" s="2" t="e">
        <f>IF(AND(VLOOKUP(Y$1,'20Trips'!$A$3:$F$22,5,FALSE) - VLOOKUP($B23,'20Trips'!$A$3:$G$22,6,FALSE) &gt;= ('20Trips'!$B$23+VLOOKUP(VLOOKUP($B23,'20Trips'!$A$2:$I$22,4,FALSE),'20Trips'!$AB$32:$AH$36,3,FALSE))/1440),1,0)</f>
        <v>#N/A</v>
      </c>
      <c r="Z23" s="2" t="e">
        <f>IF(AND(VLOOKUP(Z$1,'20Trips'!$A$3:$F$22,5,FALSE) - VLOOKUP($B23,'20Trips'!$A$3:$G$22,6,FALSE) &gt;= ('20Trips'!$B$23+VLOOKUP(VLOOKUP($B23,'20Trips'!$A$2:$I$22,4,FALSE),'20Trips'!$AB$32:$AH$36,3,FALSE))/1440),1,0)</f>
        <v>#N/A</v>
      </c>
      <c r="AA23" s="2" t="e">
        <f>IF(AND(VLOOKUP(AA$1,'20Trips'!$A$3:$F$22,5,FALSE) - VLOOKUP($B23,'20Trips'!$A$3:$G$22,6,FALSE) &gt;= ('20Trips'!$B$23+VLOOKUP(VLOOKUP($B23,'20Trips'!$A$2:$I$22,4,FALSE),'20Trips'!$AB$32:$AH$36,3,FALSE))/1440),1,0)</f>
        <v>#N/A</v>
      </c>
      <c r="AB23" s="2" t="e">
        <f>IF(AND(VLOOKUP(AB$1,'20Trips'!$A$3:$F$22,5,FALSE) - VLOOKUP($B23,'20Trips'!$A$3:$G$22,6,FALSE) &gt;= ('20Trips'!$B$23+VLOOKUP(VLOOKUP($B23,'20Trips'!$A$2:$I$22,4,FALSE),'20Trips'!$AB$32:$AH$36,3,FALSE))/1440),1,0)</f>
        <v>#N/A</v>
      </c>
      <c r="AC23" s="2" t="e">
        <f>IF(AND(VLOOKUP(AC$1,'20Trips'!$A$3:$F$22,5,FALSE) - VLOOKUP($B23,'20Trips'!$A$3:$G$22,6,FALSE) &gt;= ('20Trips'!$B$23+VLOOKUP(VLOOKUP($B23,'20Trips'!$A$2:$I$22,4,FALSE),'20Trips'!$AB$32:$AH$36,3,FALSE))/1440),1,0)</f>
        <v>#N/A</v>
      </c>
      <c r="AD23" s="2" t="e">
        <f>IF(AND(VLOOKUP(AD$1,'20Trips'!$A$3:$F$22,5,FALSE) - VLOOKUP($B23,'20Trips'!$A$3:$G$22,6,FALSE) &gt;= ('20Trips'!$B$23+VLOOKUP(VLOOKUP($B23,'20Trips'!$A$2:$I$22,4,FALSE),'20Trips'!$AB$32:$AH$36,3,FALSE))/1440),1,0)</f>
        <v>#N/A</v>
      </c>
      <c r="AE23" s="2" t="e">
        <f>IF(AND(VLOOKUP(AE$1,'20Trips'!$A$3:$F$22,5,FALSE) - VLOOKUP($B23,'20Trips'!$A$3:$G$22,6,FALSE) &gt;= ('20Trips'!$B$23+VLOOKUP(VLOOKUP($B23,'20Trips'!$A$2:$I$22,4,FALSE),'20Trips'!$AB$32:$AH$36,3,FALSE))/1440),1,0)</f>
        <v>#N/A</v>
      </c>
      <c r="AF23" s="2" t="e">
        <f>IF(AND(VLOOKUP(AF$1,'20Trips'!$A$3:$F$22,5,FALSE) - VLOOKUP($B23,'20Trips'!$A$3:$G$22,6,FALSE) &gt;= ('20Trips'!$B$23+VLOOKUP(VLOOKUP($B23,'20Trips'!$A$2:$I$22,4,FALSE),'20Trips'!$AB$32:$AH$36,3,FALSE))/1440),1,0)</f>
        <v>#N/A</v>
      </c>
      <c r="AG23" s="2" t="e">
        <f>IF(AND(VLOOKUP(AG$1,'20Trips'!$A$3:$F$22,5,FALSE) - VLOOKUP($B23,'20Trips'!$A$3:$G$22,6,FALSE) &gt;= ('20Trips'!$B$23+VLOOKUP(VLOOKUP($B23,'20Trips'!$A$2:$I$22,4,FALSE),'20Trips'!$AB$32:$AH$36,3,FALSE))/1440),1,0)</f>
        <v>#N/A</v>
      </c>
    </row>
    <row r="24" spans="1:33" x14ac:dyDescent="0.25">
      <c r="A24" t="s">
        <v>48</v>
      </c>
      <c r="B24" t="s">
        <v>33</v>
      </c>
      <c r="C24">
        <v>0</v>
      </c>
      <c r="D24" s="2" t="e">
        <f>IF(AND(VLOOKUP(D$1,'20Trips'!$A$3:$F$22,5,FALSE) - VLOOKUP($B24,'20Trips'!$A$3:$G$22,6,FALSE) &gt;= ('20Trips'!$B$23+VLOOKUP(VLOOKUP($B24,'20Trips'!$A$2:$I$22,4,FALSE),'20Trips'!$AB$32:$AH$36,3,FALSE))/1440),1,0)</f>
        <v>#N/A</v>
      </c>
      <c r="E24" s="2" t="e">
        <f>IF(AND(VLOOKUP(E$1,'20Trips'!$A$3:$F$22,5,FALSE) - VLOOKUP($B24,'20Trips'!$A$3:$G$22,6,FALSE) &gt;= ('20Trips'!$B$23+VLOOKUP(VLOOKUP($B24,'20Trips'!$A$2:$I$22,4,FALSE),'20Trips'!$AB$32:$AH$36,3,FALSE))/1440),1,0)</f>
        <v>#N/A</v>
      </c>
      <c r="F24" s="2" t="e">
        <f>IF(AND(VLOOKUP(F$1,'20Trips'!$A$3:$F$22,5,FALSE) - VLOOKUP($B24,'20Trips'!$A$3:$G$22,6,FALSE) &gt;= ('20Trips'!$B$23+VLOOKUP(VLOOKUP($B24,'20Trips'!$A$2:$I$22,4,FALSE),'20Trips'!$AB$32:$AH$36,3,FALSE))/1440),1,0)</f>
        <v>#N/A</v>
      </c>
      <c r="G24" s="2" t="e">
        <f>IF(AND(VLOOKUP(G$1,'20Trips'!$A$3:$F$22,5,FALSE) - VLOOKUP($B24,'20Trips'!$A$3:$G$22,6,FALSE) &gt;= ('20Trips'!$B$23+VLOOKUP(VLOOKUP($B24,'20Trips'!$A$2:$I$22,4,FALSE),'20Trips'!$AB$32:$AH$36,3,FALSE))/1440),1,0)</f>
        <v>#N/A</v>
      </c>
      <c r="H24" s="2" t="e">
        <f>IF(AND(VLOOKUP(H$1,'20Trips'!$A$3:$F$22,5,FALSE) - VLOOKUP($B24,'20Trips'!$A$3:$G$22,6,FALSE) &gt;= ('20Trips'!$B$23+VLOOKUP(VLOOKUP($B24,'20Trips'!$A$2:$I$22,4,FALSE),'20Trips'!$AB$32:$AH$36,3,FALSE))/1440),1,0)</f>
        <v>#N/A</v>
      </c>
      <c r="I24" s="2" t="e">
        <f>IF(AND(VLOOKUP(I$1,'20Trips'!$A$3:$F$22,5,FALSE) - VLOOKUP($B24,'20Trips'!$A$3:$G$22,6,FALSE) &gt;= ('20Trips'!$B$23+VLOOKUP(VLOOKUP($B24,'20Trips'!$A$2:$I$22,4,FALSE),'20Trips'!$AB$32:$AH$36,3,FALSE))/1440),1,0)</f>
        <v>#N/A</v>
      </c>
      <c r="J24" s="2" t="e">
        <f>IF(AND(VLOOKUP(J$1,'20Trips'!$A$3:$F$22,5,FALSE) - VLOOKUP($B24,'20Trips'!$A$3:$G$22,6,FALSE) &gt;= ('20Trips'!$B$23+VLOOKUP(VLOOKUP($B24,'20Trips'!$A$2:$I$22,4,FALSE),'20Trips'!$AB$32:$AH$36,3,FALSE))/1440),1,0)</f>
        <v>#N/A</v>
      </c>
      <c r="K24" s="2" t="e">
        <f>IF(AND(VLOOKUP(K$1,'20Trips'!$A$3:$F$22,5,FALSE) - VLOOKUP($B24,'20Trips'!$A$3:$G$22,6,FALSE) &gt;= ('20Trips'!$B$23+VLOOKUP(VLOOKUP($B24,'20Trips'!$A$2:$I$22,4,FALSE),'20Trips'!$AB$32:$AH$36,3,FALSE))/1440),1,0)</f>
        <v>#N/A</v>
      </c>
      <c r="L24" s="2" t="e">
        <f>IF(AND(VLOOKUP(L$1,'20Trips'!$A$3:$F$22,5,FALSE) - VLOOKUP($B24,'20Trips'!$A$3:$G$22,6,FALSE) &gt;= ('20Trips'!$B$23+VLOOKUP(VLOOKUP($B24,'20Trips'!$A$2:$I$22,4,FALSE),'20Trips'!$AB$32:$AH$36,3,FALSE))/1440),1,0)</f>
        <v>#N/A</v>
      </c>
      <c r="M24" s="2" t="e">
        <f>IF(AND(VLOOKUP(M$1,'20Trips'!$A$3:$F$22,5,FALSE) - VLOOKUP($B24,'20Trips'!$A$3:$G$22,6,FALSE) &gt;= ('20Trips'!$B$23+VLOOKUP(VLOOKUP($B24,'20Trips'!$A$2:$I$22,4,FALSE),'20Trips'!$AB$32:$AH$36,3,FALSE))/1440),1,0)</f>
        <v>#N/A</v>
      </c>
      <c r="N24" s="2" t="e">
        <f>IF(AND(VLOOKUP(N$1,'20Trips'!$A$3:$F$22,5,FALSE) - VLOOKUP($B24,'20Trips'!$A$3:$G$22,6,FALSE) &gt;= ('20Trips'!$B$23+VLOOKUP(VLOOKUP($B24,'20Trips'!$A$2:$I$22,4,FALSE),'20Trips'!$AB$32:$AH$36,3,FALSE))/1440),1,0)</f>
        <v>#N/A</v>
      </c>
      <c r="O24" s="2" t="e">
        <f>IF(AND(VLOOKUP(O$1,'20Trips'!$A$3:$F$22,5,FALSE) - VLOOKUP($B24,'20Trips'!$A$3:$G$22,6,FALSE) &gt;= ('20Trips'!$B$23+VLOOKUP(VLOOKUP($B24,'20Trips'!$A$2:$I$22,4,FALSE),'20Trips'!$AB$32:$AH$36,3,FALSE))/1440),1,0)</f>
        <v>#N/A</v>
      </c>
      <c r="P24" s="2" t="e">
        <f>IF(AND(VLOOKUP(P$1,'20Trips'!$A$3:$F$22,5,FALSE) - VLOOKUP($B24,'20Trips'!$A$3:$G$22,6,FALSE) &gt;= ('20Trips'!$B$23+VLOOKUP(VLOOKUP($B24,'20Trips'!$A$2:$I$22,4,FALSE),'20Trips'!$AB$32:$AH$36,3,FALSE))/1440),1,0)</f>
        <v>#N/A</v>
      </c>
      <c r="Q24" s="2" t="e">
        <f>IF(AND(VLOOKUP(Q$1,'20Trips'!$A$3:$F$22,5,FALSE) - VLOOKUP($B24,'20Trips'!$A$3:$G$22,6,FALSE) &gt;= ('20Trips'!$B$23+VLOOKUP(VLOOKUP($B24,'20Trips'!$A$2:$I$22,4,FALSE),'20Trips'!$AB$32:$AH$36,3,FALSE))/1440),1,0)</f>
        <v>#N/A</v>
      </c>
      <c r="R24" s="2" t="e">
        <f>IF(AND(VLOOKUP(R$1,'20Trips'!$A$3:$F$22,5,FALSE) - VLOOKUP($B24,'20Trips'!$A$3:$G$22,6,FALSE) &gt;= ('20Trips'!$B$23+VLOOKUP(VLOOKUP($B24,'20Trips'!$A$2:$I$22,4,FALSE),'20Trips'!$AB$32:$AH$36,3,FALSE))/1440),1,0)</f>
        <v>#N/A</v>
      </c>
      <c r="S24" s="2" t="e">
        <f>IF(AND(VLOOKUP(S$1,'20Trips'!$A$3:$F$22,5,FALSE) - VLOOKUP($B24,'20Trips'!$A$3:$G$22,6,FALSE) &gt;= ('20Trips'!$B$23+VLOOKUP(VLOOKUP($B24,'20Trips'!$A$2:$I$22,4,FALSE),'20Trips'!$AB$32:$AH$36,3,FALSE))/1440),1,0)</f>
        <v>#N/A</v>
      </c>
      <c r="T24" s="2" t="e">
        <f>IF(AND(VLOOKUP(T$1,'20Trips'!$A$3:$F$22,5,FALSE) - VLOOKUP($B24,'20Trips'!$A$3:$G$22,6,FALSE) &gt;= ('20Trips'!$B$23+VLOOKUP(VLOOKUP($B24,'20Trips'!$A$2:$I$22,4,FALSE),'20Trips'!$AB$32:$AH$36,3,FALSE))/1440),1,0)</f>
        <v>#N/A</v>
      </c>
      <c r="U24" s="2" t="e">
        <f>IF(AND(VLOOKUP(U$1,'20Trips'!$A$3:$F$22,5,FALSE) - VLOOKUP($B24,'20Trips'!$A$3:$G$22,6,FALSE) &gt;= ('20Trips'!$B$23+VLOOKUP(VLOOKUP($B24,'20Trips'!$A$2:$I$22,4,FALSE),'20Trips'!$AB$32:$AH$36,3,FALSE))/1440),1,0)</f>
        <v>#N/A</v>
      </c>
      <c r="V24" s="2" t="e">
        <f>IF(AND(VLOOKUP(V$1,'20Trips'!$A$3:$F$22,5,FALSE) - VLOOKUP($B24,'20Trips'!$A$3:$G$22,6,FALSE) &gt;= ('20Trips'!$B$23+VLOOKUP(VLOOKUP($B24,'20Trips'!$A$2:$I$22,4,FALSE),'20Trips'!$AB$32:$AH$36,3,FALSE))/1440),1,0)</f>
        <v>#N/A</v>
      </c>
      <c r="W24" s="2" t="e">
        <f>IF(AND(VLOOKUP(W$1,'20Trips'!$A$3:$F$22,5,FALSE) - VLOOKUP($B24,'20Trips'!$A$3:$G$22,6,FALSE) &gt;= ('20Trips'!$B$23+VLOOKUP(VLOOKUP($B24,'20Trips'!$A$2:$I$22,4,FALSE),'20Trips'!$AB$32:$AH$36,3,FALSE))/1440),1,0)</f>
        <v>#N/A</v>
      </c>
      <c r="X24" s="2" t="e">
        <f>IF(AND(VLOOKUP(X$1,'20Trips'!$A$3:$F$22,5,FALSE) - VLOOKUP($B24,'20Trips'!$A$3:$G$22,6,FALSE) &gt;= ('20Trips'!$B$23+VLOOKUP(VLOOKUP($B24,'20Trips'!$A$2:$I$22,4,FALSE),'20Trips'!$AB$32:$AH$36,3,FALSE))/1440),1,0)</f>
        <v>#N/A</v>
      </c>
      <c r="Y24" s="2" t="e">
        <f>IF(AND(VLOOKUP(Y$1,'20Trips'!$A$3:$F$22,5,FALSE) - VLOOKUP($B24,'20Trips'!$A$3:$G$22,6,FALSE) &gt;= ('20Trips'!$B$23+VLOOKUP(VLOOKUP($B24,'20Trips'!$A$2:$I$22,4,FALSE),'20Trips'!$AB$32:$AH$36,3,FALSE))/1440),1,0)</f>
        <v>#N/A</v>
      </c>
      <c r="Z24" s="2" t="e">
        <f>IF(AND(VLOOKUP(Z$1,'20Trips'!$A$3:$F$22,5,FALSE) - VLOOKUP($B24,'20Trips'!$A$3:$G$22,6,FALSE) &gt;= ('20Trips'!$B$23+VLOOKUP(VLOOKUP($B24,'20Trips'!$A$2:$I$22,4,FALSE),'20Trips'!$AB$32:$AH$36,3,FALSE))/1440),1,0)</f>
        <v>#N/A</v>
      </c>
      <c r="AA24" s="2" t="e">
        <f>IF(AND(VLOOKUP(AA$1,'20Trips'!$A$3:$F$22,5,FALSE) - VLOOKUP($B24,'20Trips'!$A$3:$G$22,6,FALSE) &gt;= ('20Trips'!$B$23+VLOOKUP(VLOOKUP($B24,'20Trips'!$A$2:$I$22,4,FALSE),'20Trips'!$AB$32:$AH$36,3,FALSE))/1440),1,0)</f>
        <v>#N/A</v>
      </c>
      <c r="AB24" s="2" t="e">
        <f>IF(AND(VLOOKUP(AB$1,'20Trips'!$A$3:$F$22,5,FALSE) - VLOOKUP($B24,'20Trips'!$A$3:$G$22,6,FALSE) &gt;= ('20Trips'!$B$23+VLOOKUP(VLOOKUP($B24,'20Trips'!$A$2:$I$22,4,FALSE),'20Trips'!$AB$32:$AH$36,3,FALSE))/1440),1,0)</f>
        <v>#N/A</v>
      </c>
      <c r="AC24" s="2" t="e">
        <f>IF(AND(VLOOKUP(AC$1,'20Trips'!$A$3:$F$22,5,FALSE) - VLOOKUP($B24,'20Trips'!$A$3:$G$22,6,FALSE) &gt;= ('20Trips'!$B$23+VLOOKUP(VLOOKUP($B24,'20Trips'!$A$2:$I$22,4,FALSE),'20Trips'!$AB$32:$AH$36,3,FALSE))/1440),1,0)</f>
        <v>#N/A</v>
      </c>
      <c r="AD24" s="2" t="e">
        <f>IF(AND(VLOOKUP(AD$1,'20Trips'!$A$3:$F$22,5,FALSE) - VLOOKUP($B24,'20Trips'!$A$3:$G$22,6,FALSE) &gt;= ('20Trips'!$B$23+VLOOKUP(VLOOKUP($B24,'20Trips'!$A$2:$I$22,4,FALSE),'20Trips'!$AB$32:$AH$36,3,FALSE))/1440),1,0)</f>
        <v>#N/A</v>
      </c>
      <c r="AE24" s="2" t="e">
        <f>IF(AND(VLOOKUP(AE$1,'20Trips'!$A$3:$F$22,5,FALSE) - VLOOKUP($B24,'20Trips'!$A$3:$G$22,6,FALSE) &gt;= ('20Trips'!$B$23+VLOOKUP(VLOOKUP($B24,'20Trips'!$A$2:$I$22,4,FALSE),'20Trips'!$AB$32:$AH$36,3,FALSE))/1440),1,0)</f>
        <v>#N/A</v>
      </c>
      <c r="AF24" s="2" t="e">
        <f>IF(AND(VLOOKUP(AF$1,'20Trips'!$A$3:$F$22,5,FALSE) - VLOOKUP($B24,'20Trips'!$A$3:$G$22,6,FALSE) &gt;= ('20Trips'!$B$23+VLOOKUP(VLOOKUP($B24,'20Trips'!$A$2:$I$22,4,FALSE),'20Trips'!$AB$32:$AH$36,3,FALSE))/1440),1,0)</f>
        <v>#N/A</v>
      </c>
      <c r="AG24" s="2" t="e">
        <f>IF(AND(VLOOKUP(AG$1,'20Trips'!$A$3:$F$22,5,FALSE) - VLOOKUP($B24,'20Trips'!$A$3:$G$22,6,FALSE) &gt;= ('20Trips'!$B$23+VLOOKUP(VLOOKUP($B24,'20Trips'!$A$2:$I$22,4,FALSE),'20Trips'!$AB$32:$AH$36,3,FALSE))/1440),1,0)</f>
        <v>#N/A</v>
      </c>
    </row>
    <row r="25" spans="1:33" x14ac:dyDescent="0.25">
      <c r="A25" t="s">
        <v>48</v>
      </c>
      <c r="B25" t="s">
        <v>34</v>
      </c>
      <c r="C25">
        <v>0</v>
      </c>
      <c r="D25" s="2">
        <f>IF(AND(VLOOKUP(D$1,'20Trips'!$A$3:$F$22,5,FALSE) - VLOOKUP($B25,'20Trips'!$A$3:$G$22,6,FALSE) &gt;= ('20Trips'!$B$23+VLOOKUP(VLOOKUP($B25,'20Trips'!$A$2:$I$22,4,FALSE),'20Trips'!$AB$32:$AH$36,3,FALSE))/1440),1,0)</f>
        <v>0</v>
      </c>
      <c r="E25" s="2">
        <f>IF(AND(VLOOKUP(E$1,'20Trips'!$A$3:$F$22,5,FALSE) - VLOOKUP($B25,'20Trips'!$A$3:$G$22,6,FALSE) &gt;= ('20Trips'!$B$23+VLOOKUP(VLOOKUP($B25,'20Trips'!$A$2:$I$22,4,FALSE),'20Trips'!$AB$32:$AH$36,3,FALSE))/1440),1,0)</f>
        <v>0</v>
      </c>
      <c r="F25" s="2">
        <f>IF(AND(VLOOKUP(F$1,'20Trips'!$A$3:$F$22,5,FALSE) - VLOOKUP($B25,'20Trips'!$A$3:$G$22,6,FALSE) &gt;= ('20Trips'!$B$23+VLOOKUP(VLOOKUP($B25,'20Trips'!$A$2:$I$22,4,FALSE),'20Trips'!$AB$32:$AH$36,3,FALSE))/1440),1,0)</f>
        <v>1</v>
      </c>
      <c r="G25" s="2">
        <f>IF(AND(VLOOKUP(G$1,'20Trips'!$A$3:$F$22,5,FALSE) - VLOOKUP($B25,'20Trips'!$A$3:$G$22,6,FALSE) &gt;= ('20Trips'!$B$23+VLOOKUP(VLOOKUP($B25,'20Trips'!$A$2:$I$22,4,FALSE),'20Trips'!$AB$32:$AH$36,3,FALSE))/1440),1,0)</f>
        <v>1</v>
      </c>
      <c r="H25" s="2">
        <f>IF(AND(VLOOKUP(H$1,'20Trips'!$A$3:$F$22,5,FALSE) - VLOOKUP($B25,'20Trips'!$A$3:$G$22,6,FALSE) &gt;= ('20Trips'!$B$23+VLOOKUP(VLOOKUP($B25,'20Trips'!$A$2:$I$22,4,FALSE),'20Trips'!$AB$32:$AH$36,3,FALSE))/1440),1,0)</f>
        <v>1</v>
      </c>
      <c r="I25" s="2" t="e">
        <f>IF(AND(VLOOKUP(I$1,'20Trips'!$A$3:$F$22,5,FALSE) - VLOOKUP($B25,'20Trips'!$A$3:$G$22,6,FALSE) &gt;= ('20Trips'!$B$23+VLOOKUP(VLOOKUP($B25,'20Trips'!$A$2:$I$22,4,FALSE),'20Trips'!$AB$32:$AH$36,3,FALSE))/1440),1,0)</f>
        <v>#N/A</v>
      </c>
      <c r="J25" s="2" t="e">
        <f>IF(AND(VLOOKUP(J$1,'20Trips'!$A$3:$F$22,5,FALSE) - VLOOKUP($B25,'20Trips'!$A$3:$G$22,6,FALSE) &gt;= ('20Trips'!$B$23+VLOOKUP(VLOOKUP($B25,'20Trips'!$A$2:$I$22,4,FALSE),'20Trips'!$AB$32:$AH$36,3,FALSE))/1440),1,0)</f>
        <v>#N/A</v>
      </c>
      <c r="K25" s="2" t="e">
        <f>IF(AND(VLOOKUP(K$1,'20Trips'!$A$3:$F$22,5,FALSE) - VLOOKUP($B25,'20Trips'!$A$3:$G$22,6,FALSE) &gt;= ('20Trips'!$B$23+VLOOKUP(VLOOKUP($B25,'20Trips'!$A$2:$I$22,4,FALSE),'20Trips'!$AB$32:$AH$36,3,FALSE))/1440),1,0)</f>
        <v>#N/A</v>
      </c>
      <c r="L25" s="2">
        <f>IF(AND(VLOOKUP(L$1,'20Trips'!$A$3:$F$22,5,FALSE) - VLOOKUP($B25,'20Trips'!$A$3:$G$22,6,FALSE) &gt;= ('20Trips'!$B$23+VLOOKUP(VLOOKUP($B25,'20Trips'!$A$2:$I$22,4,FALSE),'20Trips'!$AB$32:$AH$36,3,FALSE))/1440),1,0)</f>
        <v>0</v>
      </c>
      <c r="M25" s="2">
        <f>IF(AND(VLOOKUP(M$1,'20Trips'!$A$3:$F$22,5,FALSE) - VLOOKUP($B25,'20Trips'!$A$3:$G$22,6,FALSE) &gt;= ('20Trips'!$B$23+VLOOKUP(VLOOKUP($B25,'20Trips'!$A$2:$I$22,4,FALSE),'20Trips'!$AB$32:$AH$36,3,FALSE))/1440),1,0)</f>
        <v>0</v>
      </c>
      <c r="N25" s="2">
        <f>IF(AND(VLOOKUP(N$1,'20Trips'!$A$3:$F$22,5,FALSE) - VLOOKUP($B25,'20Trips'!$A$3:$G$22,6,FALSE) &gt;= ('20Trips'!$B$23+VLOOKUP(VLOOKUP($B25,'20Trips'!$A$2:$I$22,4,FALSE),'20Trips'!$AB$32:$AH$36,3,FALSE))/1440),1,0)</f>
        <v>1</v>
      </c>
      <c r="O25" s="2">
        <f>IF(AND(VLOOKUP(O$1,'20Trips'!$A$3:$F$22,5,FALSE) - VLOOKUP($B25,'20Trips'!$A$3:$G$22,6,FALSE) &gt;= ('20Trips'!$B$23+VLOOKUP(VLOOKUP($B25,'20Trips'!$A$2:$I$22,4,FALSE),'20Trips'!$AB$32:$AH$36,3,FALSE))/1440),1,0)</f>
        <v>1</v>
      </c>
      <c r="P25" s="2">
        <f>IF(AND(VLOOKUP(P$1,'20Trips'!$A$3:$F$22,5,FALSE) - VLOOKUP($B25,'20Trips'!$A$3:$G$22,6,FALSE) &gt;= ('20Trips'!$B$23+VLOOKUP(VLOOKUP($B25,'20Trips'!$A$2:$I$22,4,FALSE),'20Trips'!$AB$32:$AH$36,3,FALSE))/1440),1,0)</f>
        <v>1</v>
      </c>
      <c r="Q25" s="2" t="e">
        <f>IF(AND(VLOOKUP(Q$1,'20Trips'!$A$3:$F$22,5,FALSE) - VLOOKUP($B25,'20Trips'!$A$3:$G$22,6,FALSE) &gt;= ('20Trips'!$B$23+VLOOKUP(VLOOKUP($B25,'20Trips'!$A$2:$I$22,4,FALSE),'20Trips'!$AB$32:$AH$36,3,FALSE))/1440),1,0)</f>
        <v>#N/A</v>
      </c>
      <c r="R25" s="2">
        <f>IF(AND(VLOOKUP(R$1,'20Trips'!$A$3:$F$22,5,FALSE) - VLOOKUP($B25,'20Trips'!$A$3:$G$22,6,FALSE) &gt;= ('20Trips'!$B$23+VLOOKUP(VLOOKUP($B25,'20Trips'!$A$2:$I$22,4,FALSE),'20Trips'!$AB$32:$AH$36,3,FALSE))/1440),1,0)</f>
        <v>0</v>
      </c>
      <c r="S25" s="2">
        <f>IF(AND(VLOOKUP(S$1,'20Trips'!$A$3:$F$22,5,FALSE) - VLOOKUP($B25,'20Trips'!$A$3:$G$22,6,FALSE) &gt;= ('20Trips'!$B$23+VLOOKUP(VLOOKUP($B25,'20Trips'!$A$2:$I$22,4,FALSE),'20Trips'!$AB$32:$AH$36,3,FALSE))/1440),1,0)</f>
        <v>0</v>
      </c>
      <c r="T25" s="2">
        <f>IF(AND(VLOOKUP(T$1,'20Trips'!$A$3:$F$22,5,FALSE) - VLOOKUP($B25,'20Trips'!$A$3:$G$22,6,FALSE) &gt;= ('20Trips'!$B$23+VLOOKUP(VLOOKUP($B25,'20Trips'!$A$2:$I$22,4,FALSE),'20Trips'!$AB$32:$AH$36,3,FALSE))/1440),1,0)</f>
        <v>0</v>
      </c>
      <c r="U25" s="2">
        <f>IF(AND(VLOOKUP(U$1,'20Trips'!$A$3:$F$22,5,FALSE) - VLOOKUP($B25,'20Trips'!$A$3:$G$22,6,FALSE) &gt;= ('20Trips'!$B$23+VLOOKUP(VLOOKUP($B25,'20Trips'!$A$2:$I$22,4,FALSE),'20Trips'!$AB$32:$AH$36,3,FALSE))/1440),1,0)</f>
        <v>1</v>
      </c>
      <c r="V25" s="2">
        <f>IF(AND(VLOOKUP(V$1,'20Trips'!$A$3:$F$22,5,FALSE) - VLOOKUP($B25,'20Trips'!$A$3:$G$22,6,FALSE) &gt;= ('20Trips'!$B$23+VLOOKUP(VLOOKUP($B25,'20Trips'!$A$2:$I$22,4,FALSE),'20Trips'!$AB$32:$AH$36,3,FALSE))/1440),1,0)</f>
        <v>1</v>
      </c>
      <c r="W25" s="2" t="e">
        <f>IF(AND(VLOOKUP(W$1,'20Trips'!$A$3:$F$22,5,FALSE) - VLOOKUP($B25,'20Trips'!$A$3:$G$22,6,FALSE) &gt;= ('20Trips'!$B$23+VLOOKUP(VLOOKUP($B25,'20Trips'!$A$2:$I$22,4,FALSE),'20Trips'!$AB$32:$AH$36,3,FALSE))/1440),1,0)</f>
        <v>#N/A</v>
      </c>
      <c r="X25" s="2" t="e">
        <f>IF(AND(VLOOKUP(X$1,'20Trips'!$A$3:$F$22,5,FALSE) - VLOOKUP($B25,'20Trips'!$A$3:$G$22,6,FALSE) &gt;= ('20Trips'!$B$23+VLOOKUP(VLOOKUP($B25,'20Trips'!$A$2:$I$22,4,FALSE),'20Trips'!$AB$32:$AH$36,3,FALSE))/1440),1,0)</f>
        <v>#N/A</v>
      </c>
      <c r="Y25" s="2" t="e">
        <f>IF(AND(VLOOKUP(Y$1,'20Trips'!$A$3:$F$22,5,FALSE) - VLOOKUP($B25,'20Trips'!$A$3:$G$22,6,FALSE) &gt;= ('20Trips'!$B$23+VLOOKUP(VLOOKUP($B25,'20Trips'!$A$2:$I$22,4,FALSE),'20Trips'!$AB$32:$AH$36,3,FALSE))/1440),1,0)</f>
        <v>#N/A</v>
      </c>
      <c r="Z25" s="2">
        <f>IF(AND(VLOOKUP(Z$1,'20Trips'!$A$3:$F$22,5,FALSE) - VLOOKUP($B25,'20Trips'!$A$3:$G$22,6,FALSE) &gt;= ('20Trips'!$B$23+VLOOKUP(VLOOKUP($B25,'20Trips'!$A$2:$I$22,4,FALSE),'20Trips'!$AB$32:$AH$36,3,FALSE))/1440),1,0)</f>
        <v>0</v>
      </c>
      <c r="AA25" s="2">
        <f>IF(AND(VLOOKUP(AA$1,'20Trips'!$A$3:$F$22,5,FALSE) - VLOOKUP($B25,'20Trips'!$A$3:$G$22,6,FALSE) &gt;= ('20Trips'!$B$23+VLOOKUP(VLOOKUP($B25,'20Trips'!$A$2:$I$22,4,FALSE),'20Trips'!$AB$32:$AH$36,3,FALSE))/1440),1,0)</f>
        <v>0</v>
      </c>
      <c r="AB25" s="2">
        <f>IF(AND(VLOOKUP(AB$1,'20Trips'!$A$3:$F$22,5,FALSE) - VLOOKUP($B25,'20Trips'!$A$3:$G$22,6,FALSE) &gt;= ('20Trips'!$B$23+VLOOKUP(VLOOKUP($B25,'20Trips'!$A$2:$I$22,4,FALSE),'20Trips'!$AB$32:$AH$36,3,FALSE))/1440),1,0)</f>
        <v>1</v>
      </c>
      <c r="AC25" s="2">
        <f>IF(AND(VLOOKUP(AC$1,'20Trips'!$A$3:$F$22,5,FALSE) - VLOOKUP($B25,'20Trips'!$A$3:$G$22,6,FALSE) &gt;= ('20Trips'!$B$23+VLOOKUP(VLOOKUP($B25,'20Trips'!$A$2:$I$22,4,FALSE),'20Trips'!$AB$32:$AH$36,3,FALSE))/1440),1,0)</f>
        <v>1</v>
      </c>
      <c r="AD25" s="2">
        <f>IF(AND(VLOOKUP(AD$1,'20Trips'!$A$3:$F$22,5,FALSE) - VLOOKUP($B25,'20Trips'!$A$3:$G$22,6,FALSE) &gt;= ('20Trips'!$B$23+VLOOKUP(VLOOKUP($B25,'20Trips'!$A$2:$I$22,4,FALSE),'20Trips'!$AB$32:$AH$36,3,FALSE))/1440),1,0)</f>
        <v>1</v>
      </c>
      <c r="AE25" s="2" t="e">
        <f>IF(AND(VLOOKUP(AE$1,'20Trips'!$A$3:$F$22,5,FALSE) - VLOOKUP($B25,'20Trips'!$A$3:$G$22,6,FALSE) &gt;= ('20Trips'!$B$23+VLOOKUP(VLOOKUP($B25,'20Trips'!$A$2:$I$22,4,FALSE),'20Trips'!$AB$32:$AH$36,3,FALSE))/1440),1,0)</f>
        <v>#N/A</v>
      </c>
      <c r="AF25" s="2" t="e">
        <f>IF(AND(VLOOKUP(AF$1,'20Trips'!$A$3:$F$22,5,FALSE) - VLOOKUP($B25,'20Trips'!$A$3:$G$22,6,FALSE) &gt;= ('20Trips'!$B$23+VLOOKUP(VLOOKUP($B25,'20Trips'!$A$2:$I$22,4,FALSE),'20Trips'!$AB$32:$AH$36,3,FALSE))/1440),1,0)</f>
        <v>#N/A</v>
      </c>
      <c r="AG25" s="2" t="e">
        <f>IF(AND(VLOOKUP(AG$1,'20Trips'!$A$3:$F$22,5,FALSE) - VLOOKUP($B25,'20Trips'!$A$3:$G$22,6,FALSE) &gt;= ('20Trips'!$B$23+VLOOKUP(VLOOKUP($B25,'20Trips'!$A$2:$I$22,4,FALSE),'20Trips'!$AB$32:$AH$36,3,FALSE))/1440),1,0)</f>
        <v>#N/A</v>
      </c>
    </row>
    <row r="26" spans="1:33" x14ac:dyDescent="0.25">
      <c r="A26" t="s">
        <v>48</v>
      </c>
      <c r="B26" t="s">
        <v>35</v>
      </c>
      <c r="C26">
        <v>0</v>
      </c>
      <c r="D26" s="2">
        <f>IF(AND(VLOOKUP(D$1,'20Trips'!$A$3:$F$22,5,FALSE) - VLOOKUP($B26,'20Trips'!$A$3:$G$22,6,FALSE) &gt;= ('20Trips'!$B$23+VLOOKUP(VLOOKUP($B26,'20Trips'!$A$2:$I$22,4,FALSE),'20Trips'!$AB$32:$AH$36,3,FALSE))/1440),1,0)</f>
        <v>0</v>
      </c>
      <c r="E26" s="2">
        <f>IF(AND(VLOOKUP(E$1,'20Trips'!$A$3:$F$22,5,FALSE) - VLOOKUP($B26,'20Trips'!$A$3:$G$22,6,FALSE) &gt;= ('20Trips'!$B$23+VLOOKUP(VLOOKUP($B26,'20Trips'!$A$2:$I$22,4,FALSE),'20Trips'!$AB$32:$AH$36,3,FALSE))/1440),1,0)</f>
        <v>0</v>
      </c>
      <c r="F26" s="2">
        <f>IF(AND(VLOOKUP(F$1,'20Trips'!$A$3:$F$22,5,FALSE) - VLOOKUP($B26,'20Trips'!$A$3:$G$22,6,FALSE) &gt;= ('20Trips'!$B$23+VLOOKUP(VLOOKUP($B26,'20Trips'!$A$2:$I$22,4,FALSE),'20Trips'!$AB$32:$AH$36,3,FALSE))/1440),1,0)</f>
        <v>0</v>
      </c>
      <c r="G26" s="2">
        <f>IF(AND(VLOOKUP(G$1,'20Trips'!$A$3:$F$22,5,FALSE) - VLOOKUP($B26,'20Trips'!$A$3:$G$22,6,FALSE) &gt;= ('20Trips'!$B$23+VLOOKUP(VLOOKUP($B26,'20Trips'!$A$2:$I$22,4,FALSE),'20Trips'!$AB$32:$AH$36,3,FALSE))/1440),1,0)</f>
        <v>0</v>
      </c>
      <c r="H26" s="2">
        <f>IF(AND(VLOOKUP(H$1,'20Trips'!$A$3:$F$22,5,FALSE) - VLOOKUP($B26,'20Trips'!$A$3:$G$22,6,FALSE) &gt;= ('20Trips'!$B$23+VLOOKUP(VLOOKUP($B26,'20Trips'!$A$2:$I$22,4,FALSE),'20Trips'!$AB$32:$AH$36,3,FALSE))/1440),1,0)</f>
        <v>1</v>
      </c>
      <c r="I26" s="2" t="e">
        <f>IF(AND(VLOOKUP(I$1,'20Trips'!$A$3:$F$22,5,FALSE) - VLOOKUP($B26,'20Trips'!$A$3:$G$22,6,FALSE) &gt;= ('20Trips'!$B$23+VLOOKUP(VLOOKUP($B26,'20Trips'!$A$2:$I$22,4,FALSE),'20Trips'!$AB$32:$AH$36,3,FALSE))/1440),1,0)</f>
        <v>#N/A</v>
      </c>
      <c r="J26" s="2" t="e">
        <f>IF(AND(VLOOKUP(J$1,'20Trips'!$A$3:$F$22,5,FALSE) - VLOOKUP($B26,'20Trips'!$A$3:$G$22,6,FALSE) &gt;= ('20Trips'!$B$23+VLOOKUP(VLOOKUP($B26,'20Trips'!$A$2:$I$22,4,FALSE),'20Trips'!$AB$32:$AH$36,3,FALSE))/1440),1,0)</f>
        <v>#N/A</v>
      </c>
      <c r="K26" s="2" t="e">
        <f>IF(AND(VLOOKUP(K$1,'20Trips'!$A$3:$F$22,5,FALSE) - VLOOKUP($B26,'20Trips'!$A$3:$G$22,6,FALSE) &gt;= ('20Trips'!$B$23+VLOOKUP(VLOOKUP($B26,'20Trips'!$A$2:$I$22,4,FALSE),'20Trips'!$AB$32:$AH$36,3,FALSE))/1440),1,0)</f>
        <v>#N/A</v>
      </c>
      <c r="L26" s="2">
        <f>IF(AND(VLOOKUP(L$1,'20Trips'!$A$3:$F$22,5,FALSE) - VLOOKUP($B26,'20Trips'!$A$3:$G$22,6,FALSE) &gt;= ('20Trips'!$B$23+VLOOKUP(VLOOKUP($B26,'20Trips'!$A$2:$I$22,4,FALSE),'20Trips'!$AB$32:$AH$36,3,FALSE))/1440),1,0)</f>
        <v>0</v>
      </c>
      <c r="M26" s="2">
        <f>IF(AND(VLOOKUP(M$1,'20Trips'!$A$3:$F$22,5,FALSE) - VLOOKUP($B26,'20Trips'!$A$3:$G$22,6,FALSE) &gt;= ('20Trips'!$B$23+VLOOKUP(VLOOKUP($B26,'20Trips'!$A$2:$I$22,4,FALSE),'20Trips'!$AB$32:$AH$36,3,FALSE))/1440),1,0)</f>
        <v>0</v>
      </c>
      <c r="N26" s="2">
        <f>IF(AND(VLOOKUP(N$1,'20Trips'!$A$3:$F$22,5,FALSE) - VLOOKUP($B26,'20Trips'!$A$3:$G$22,6,FALSE) &gt;= ('20Trips'!$B$23+VLOOKUP(VLOOKUP($B26,'20Trips'!$A$2:$I$22,4,FALSE),'20Trips'!$AB$32:$AH$36,3,FALSE))/1440),1,0)</f>
        <v>0</v>
      </c>
      <c r="O26" s="2">
        <f>IF(AND(VLOOKUP(O$1,'20Trips'!$A$3:$F$22,5,FALSE) - VLOOKUP($B26,'20Trips'!$A$3:$G$22,6,FALSE) &gt;= ('20Trips'!$B$23+VLOOKUP(VLOOKUP($B26,'20Trips'!$A$2:$I$22,4,FALSE),'20Trips'!$AB$32:$AH$36,3,FALSE))/1440),1,0)</f>
        <v>1</v>
      </c>
      <c r="P26" s="2">
        <f>IF(AND(VLOOKUP(P$1,'20Trips'!$A$3:$F$22,5,FALSE) - VLOOKUP($B26,'20Trips'!$A$3:$G$22,6,FALSE) &gt;= ('20Trips'!$B$23+VLOOKUP(VLOOKUP($B26,'20Trips'!$A$2:$I$22,4,FALSE),'20Trips'!$AB$32:$AH$36,3,FALSE))/1440),1,0)</f>
        <v>1</v>
      </c>
      <c r="Q26" s="2" t="e">
        <f>IF(AND(VLOOKUP(Q$1,'20Trips'!$A$3:$F$22,5,FALSE) - VLOOKUP($B26,'20Trips'!$A$3:$G$22,6,FALSE) &gt;= ('20Trips'!$B$23+VLOOKUP(VLOOKUP($B26,'20Trips'!$A$2:$I$22,4,FALSE),'20Trips'!$AB$32:$AH$36,3,FALSE))/1440),1,0)</f>
        <v>#N/A</v>
      </c>
      <c r="R26" s="2">
        <f>IF(AND(VLOOKUP(R$1,'20Trips'!$A$3:$F$22,5,FALSE) - VLOOKUP($B26,'20Trips'!$A$3:$G$22,6,FALSE) &gt;= ('20Trips'!$B$23+VLOOKUP(VLOOKUP($B26,'20Trips'!$A$2:$I$22,4,FALSE),'20Trips'!$AB$32:$AH$36,3,FALSE))/1440),1,0)</f>
        <v>0</v>
      </c>
      <c r="S26" s="2">
        <f>IF(AND(VLOOKUP(S$1,'20Trips'!$A$3:$F$22,5,FALSE) - VLOOKUP($B26,'20Trips'!$A$3:$G$22,6,FALSE) &gt;= ('20Trips'!$B$23+VLOOKUP(VLOOKUP($B26,'20Trips'!$A$2:$I$22,4,FALSE),'20Trips'!$AB$32:$AH$36,3,FALSE))/1440),1,0)</f>
        <v>0</v>
      </c>
      <c r="T26" s="2">
        <f>IF(AND(VLOOKUP(T$1,'20Trips'!$A$3:$F$22,5,FALSE) - VLOOKUP($B26,'20Trips'!$A$3:$G$22,6,FALSE) &gt;= ('20Trips'!$B$23+VLOOKUP(VLOOKUP($B26,'20Trips'!$A$2:$I$22,4,FALSE),'20Trips'!$AB$32:$AH$36,3,FALSE))/1440),1,0)</f>
        <v>0</v>
      </c>
      <c r="U26" s="2">
        <f>IF(AND(VLOOKUP(U$1,'20Trips'!$A$3:$F$22,5,FALSE) - VLOOKUP($B26,'20Trips'!$A$3:$G$22,6,FALSE) &gt;= ('20Trips'!$B$23+VLOOKUP(VLOOKUP($B26,'20Trips'!$A$2:$I$22,4,FALSE),'20Trips'!$AB$32:$AH$36,3,FALSE))/1440),1,0)</f>
        <v>0</v>
      </c>
      <c r="V26" s="2">
        <f>IF(AND(VLOOKUP(V$1,'20Trips'!$A$3:$F$22,5,FALSE) - VLOOKUP($B26,'20Trips'!$A$3:$G$22,6,FALSE) &gt;= ('20Trips'!$B$23+VLOOKUP(VLOOKUP($B26,'20Trips'!$A$2:$I$22,4,FALSE),'20Trips'!$AB$32:$AH$36,3,FALSE))/1440),1,0)</f>
        <v>0</v>
      </c>
      <c r="W26" s="2" t="e">
        <f>IF(AND(VLOOKUP(W$1,'20Trips'!$A$3:$F$22,5,FALSE) - VLOOKUP($B26,'20Trips'!$A$3:$G$22,6,FALSE) &gt;= ('20Trips'!$B$23+VLOOKUP(VLOOKUP($B26,'20Trips'!$A$2:$I$22,4,FALSE),'20Trips'!$AB$32:$AH$36,3,FALSE))/1440),1,0)</f>
        <v>#N/A</v>
      </c>
      <c r="X26" s="2" t="e">
        <f>IF(AND(VLOOKUP(X$1,'20Trips'!$A$3:$F$22,5,FALSE) - VLOOKUP($B26,'20Trips'!$A$3:$G$22,6,FALSE) &gt;= ('20Trips'!$B$23+VLOOKUP(VLOOKUP($B26,'20Trips'!$A$2:$I$22,4,FALSE),'20Trips'!$AB$32:$AH$36,3,FALSE))/1440),1,0)</f>
        <v>#N/A</v>
      </c>
      <c r="Y26" s="2" t="e">
        <f>IF(AND(VLOOKUP(Y$1,'20Trips'!$A$3:$F$22,5,FALSE) - VLOOKUP($B26,'20Trips'!$A$3:$G$22,6,FALSE) &gt;= ('20Trips'!$B$23+VLOOKUP(VLOOKUP($B26,'20Trips'!$A$2:$I$22,4,FALSE),'20Trips'!$AB$32:$AH$36,3,FALSE))/1440),1,0)</f>
        <v>#N/A</v>
      </c>
      <c r="Z26" s="2">
        <f>IF(AND(VLOOKUP(Z$1,'20Trips'!$A$3:$F$22,5,FALSE) - VLOOKUP($B26,'20Trips'!$A$3:$G$22,6,FALSE) &gt;= ('20Trips'!$B$23+VLOOKUP(VLOOKUP($B26,'20Trips'!$A$2:$I$22,4,FALSE),'20Trips'!$AB$32:$AH$36,3,FALSE))/1440),1,0)</f>
        <v>0</v>
      </c>
      <c r="AA26" s="2">
        <f>IF(AND(VLOOKUP(AA$1,'20Trips'!$A$3:$F$22,5,FALSE) - VLOOKUP($B26,'20Trips'!$A$3:$G$22,6,FALSE) &gt;= ('20Trips'!$B$23+VLOOKUP(VLOOKUP($B26,'20Trips'!$A$2:$I$22,4,FALSE),'20Trips'!$AB$32:$AH$36,3,FALSE))/1440),1,0)</f>
        <v>0</v>
      </c>
      <c r="AB26" s="2">
        <f>IF(AND(VLOOKUP(AB$1,'20Trips'!$A$3:$F$22,5,FALSE) - VLOOKUP($B26,'20Trips'!$A$3:$G$22,6,FALSE) &gt;= ('20Trips'!$B$23+VLOOKUP(VLOOKUP($B26,'20Trips'!$A$2:$I$22,4,FALSE),'20Trips'!$AB$32:$AH$36,3,FALSE))/1440),1,0)</f>
        <v>0</v>
      </c>
      <c r="AC26" s="2">
        <f>IF(AND(VLOOKUP(AC$1,'20Trips'!$A$3:$F$22,5,FALSE) - VLOOKUP($B26,'20Trips'!$A$3:$G$22,6,FALSE) &gt;= ('20Trips'!$B$23+VLOOKUP(VLOOKUP($B26,'20Trips'!$A$2:$I$22,4,FALSE),'20Trips'!$AB$32:$AH$36,3,FALSE))/1440),1,0)</f>
        <v>0</v>
      </c>
      <c r="AD26" s="2">
        <f>IF(AND(VLOOKUP(AD$1,'20Trips'!$A$3:$F$22,5,FALSE) - VLOOKUP($B26,'20Trips'!$A$3:$G$22,6,FALSE) &gt;= ('20Trips'!$B$23+VLOOKUP(VLOOKUP($B26,'20Trips'!$A$2:$I$22,4,FALSE),'20Trips'!$AB$32:$AH$36,3,FALSE))/1440),1,0)</f>
        <v>1</v>
      </c>
      <c r="AE26" s="2" t="e">
        <f>IF(AND(VLOOKUP(AE$1,'20Trips'!$A$3:$F$22,5,FALSE) - VLOOKUP($B26,'20Trips'!$A$3:$G$22,6,FALSE) &gt;= ('20Trips'!$B$23+VLOOKUP(VLOOKUP($B26,'20Trips'!$A$2:$I$22,4,FALSE),'20Trips'!$AB$32:$AH$36,3,FALSE))/1440),1,0)</f>
        <v>#N/A</v>
      </c>
      <c r="AF26" s="2" t="e">
        <f>IF(AND(VLOOKUP(AF$1,'20Trips'!$A$3:$F$22,5,FALSE) - VLOOKUP($B26,'20Trips'!$A$3:$G$22,6,FALSE) &gt;= ('20Trips'!$B$23+VLOOKUP(VLOOKUP($B26,'20Trips'!$A$2:$I$22,4,FALSE),'20Trips'!$AB$32:$AH$36,3,FALSE))/1440),1,0)</f>
        <v>#N/A</v>
      </c>
      <c r="AG26" s="2" t="e">
        <f>IF(AND(VLOOKUP(AG$1,'20Trips'!$A$3:$F$22,5,FALSE) - VLOOKUP($B26,'20Trips'!$A$3:$G$22,6,FALSE) &gt;= ('20Trips'!$B$23+VLOOKUP(VLOOKUP($B26,'20Trips'!$A$2:$I$22,4,FALSE),'20Trips'!$AB$32:$AH$36,3,FALSE))/1440),1,0)</f>
        <v>#N/A</v>
      </c>
    </row>
    <row r="27" spans="1:33" x14ac:dyDescent="0.25">
      <c r="A27" t="s">
        <v>48</v>
      </c>
      <c r="B27" t="s">
        <v>36</v>
      </c>
      <c r="C27">
        <v>0</v>
      </c>
      <c r="D27" s="2">
        <f>IF(AND(VLOOKUP(D$1,'20Trips'!$A$3:$F$22,5,FALSE) - VLOOKUP($B27,'20Trips'!$A$3:$G$22,6,FALSE) &gt;= ('20Trips'!$B$23+VLOOKUP(VLOOKUP($B27,'20Trips'!$A$2:$I$22,4,FALSE),'20Trips'!$AB$32:$AH$36,3,FALSE))/1440),1,0)</f>
        <v>0</v>
      </c>
      <c r="E27" s="2">
        <f>IF(AND(VLOOKUP(E$1,'20Trips'!$A$3:$F$22,5,FALSE) - VLOOKUP($B27,'20Trips'!$A$3:$G$22,6,FALSE) &gt;= ('20Trips'!$B$23+VLOOKUP(VLOOKUP($B27,'20Trips'!$A$2:$I$22,4,FALSE),'20Trips'!$AB$32:$AH$36,3,FALSE))/1440),1,0)</f>
        <v>0</v>
      </c>
      <c r="F27" s="2">
        <f>IF(AND(VLOOKUP(F$1,'20Trips'!$A$3:$F$22,5,FALSE) - VLOOKUP($B27,'20Trips'!$A$3:$G$22,6,FALSE) &gt;= ('20Trips'!$B$23+VLOOKUP(VLOOKUP($B27,'20Trips'!$A$2:$I$22,4,FALSE),'20Trips'!$AB$32:$AH$36,3,FALSE))/1440),1,0)</f>
        <v>0</v>
      </c>
      <c r="G27" s="2">
        <f>IF(AND(VLOOKUP(G$1,'20Trips'!$A$3:$F$22,5,FALSE) - VLOOKUP($B27,'20Trips'!$A$3:$G$22,6,FALSE) &gt;= ('20Trips'!$B$23+VLOOKUP(VLOOKUP($B27,'20Trips'!$A$2:$I$22,4,FALSE),'20Trips'!$AB$32:$AH$36,3,FALSE))/1440),1,0)</f>
        <v>0</v>
      </c>
      <c r="H27" s="2">
        <f>IF(AND(VLOOKUP(H$1,'20Trips'!$A$3:$F$22,5,FALSE) - VLOOKUP($B27,'20Trips'!$A$3:$G$22,6,FALSE) &gt;= ('20Trips'!$B$23+VLOOKUP(VLOOKUP($B27,'20Trips'!$A$2:$I$22,4,FALSE),'20Trips'!$AB$32:$AH$36,3,FALSE))/1440),1,0)</f>
        <v>0</v>
      </c>
      <c r="I27" s="2" t="e">
        <f>IF(AND(VLOOKUP(I$1,'20Trips'!$A$3:$F$22,5,FALSE) - VLOOKUP($B27,'20Trips'!$A$3:$G$22,6,FALSE) &gt;= ('20Trips'!$B$23+VLOOKUP(VLOOKUP($B27,'20Trips'!$A$2:$I$22,4,FALSE),'20Trips'!$AB$32:$AH$36,3,FALSE))/1440),1,0)</f>
        <v>#N/A</v>
      </c>
      <c r="J27" s="2" t="e">
        <f>IF(AND(VLOOKUP(J$1,'20Trips'!$A$3:$F$22,5,FALSE) - VLOOKUP($B27,'20Trips'!$A$3:$G$22,6,FALSE) &gt;= ('20Trips'!$B$23+VLOOKUP(VLOOKUP($B27,'20Trips'!$A$2:$I$22,4,FALSE),'20Trips'!$AB$32:$AH$36,3,FALSE))/1440),1,0)</f>
        <v>#N/A</v>
      </c>
      <c r="K27" s="2" t="e">
        <f>IF(AND(VLOOKUP(K$1,'20Trips'!$A$3:$F$22,5,FALSE) - VLOOKUP($B27,'20Trips'!$A$3:$G$22,6,FALSE) &gt;= ('20Trips'!$B$23+VLOOKUP(VLOOKUP($B27,'20Trips'!$A$2:$I$22,4,FALSE),'20Trips'!$AB$32:$AH$36,3,FALSE))/1440),1,0)</f>
        <v>#N/A</v>
      </c>
      <c r="L27" s="2">
        <f>IF(AND(VLOOKUP(L$1,'20Trips'!$A$3:$F$22,5,FALSE) - VLOOKUP($B27,'20Trips'!$A$3:$G$22,6,FALSE) &gt;= ('20Trips'!$B$23+VLOOKUP(VLOOKUP($B27,'20Trips'!$A$2:$I$22,4,FALSE),'20Trips'!$AB$32:$AH$36,3,FALSE))/1440),1,0)</f>
        <v>0</v>
      </c>
      <c r="M27" s="2">
        <f>IF(AND(VLOOKUP(M$1,'20Trips'!$A$3:$F$22,5,FALSE) - VLOOKUP($B27,'20Trips'!$A$3:$G$22,6,FALSE) &gt;= ('20Trips'!$B$23+VLOOKUP(VLOOKUP($B27,'20Trips'!$A$2:$I$22,4,FALSE),'20Trips'!$AB$32:$AH$36,3,FALSE))/1440),1,0)</f>
        <v>0</v>
      </c>
      <c r="N27" s="2">
        <f>IF(AND(VLOOKUP(N$1,'20Trips'!$A$3:$F$22,5,FALSE) - VLOOKUP($B27,'20Trips'!$A$3:$G$22,6,FALSE) &gt;= ('20Trips'!$B$23+VLOOKUP(VLOOKUP($B27,'20Trips'!$A$2:$I$22,4,FALSE),'20Trips'!$AB$32:$AH$36,3,FALSE))/1440),1,0)</f>
        <v>0</v>
      </c>
      <c r="O27" s="2">
        <f>IF(AND(VLOOKUP(O$1,'20Trips'!$A$3:$F$22,5,FALSE) - VLOOKUP($B27,'20Trips'!$A$3:$G$22,6,FALSE) &gt;= ('20Trips'!$B$23+VLOOKUP(VLOOKUP($B27,'20Trips'!$A$2:$I$22,4,FALSE),'20Trips'!$AB$32:$AH$36,3,FALSE))/1440),1,0)</f>
        <v>1</v>
      </c>
      <c r="P27" s="2">
        <f>IF(AND(VLOOKUP(P$1,'20Trips'!$A$3:$F$22,5,FALSE) - VLOOKUP($B27,'20Trips'!$A$3:$G$22,6,FALSE) &gt;= ('20Trips'!$B$23+VLOOKUP(VLOOKUP($B27,'20Trips'!$A$2:$I$22,4,FALSE),'20Trips'!$AB$32:$AH$36,3,FALSE))/1440),1,0)</f>
        <v>1</v>
      </c>
      <c r="Q27" s="2" t="e">
        <f>IF(AND(VLOOKUP(Q$1,'20Trips'!$A$3:$F$22,5,FALSE) - VLOOKUP($B27,'20Trips'!$A$3:$G$22,6,FALSE) &gt;= ('20Trips'!$B$23+VLOOKUP(VLOOKUP($B27,'20Trips'!$A$2:$I$22,4,FALSE),'20Trips'!$AB$32:$AH$36,3,FALSE))/1440),1,0)</f>
        <v>#N/A</v>
      </c>
      <c r="R27" s="2">
        <f>IF(AND(VLOOKUP(R$1,'20Trips'!$A$3:$F$22,5,FALSE) - VLOOKUP($B27,'20Trips'!$A$3:$G$22,6,FALSE) &gt;= ('20Trips'!$B$23+VLOOKUP(VLOOKUP($B27,'20Trips'!$A$2:$I$22,4,FALSE),'20Trips'!$AB$32:$AH$36,3,FALSE))/1440),1,0)</f>
        <v>0</v>
      </c>
      <c r="S27" s="2">
        <f>IF(AND(VLOOKUP(S$1,'20Trips'!$A$3:$F$22,5,FALSE) - VLOOKUP($B27,'20Trips'!$A$3:$G$22,6,FALSE) &gt;= ('20Trips'!$B$23+VLOOKUP(VLOOKUP($B27,'20Trips'!$A$2:$I$22,4,FALSE),'20Trips'!$AB$32:$AH$36,3,FALSE))/1440),1,0)</f>
        <v>0</v>
      </c>
      <c r="T27" s="2">
        <f>IF(AND(VLOOKUP(T$1,'20Trips'!$A$3:$F$22,5,FALSE) - VLOOKUP($B27,'20Trips'!$A$3:$G$22,6,FALSE) &gt;= ('20Trips'!$B$23+VLOOKUP(VLOOKUP($B27,'20Trips'!$A$2:$I$22,4,FALSE),'20Trips'!$AB$32:$AH$36,3,FALSE))/1440),1,0)</f>
        <v>0</v>
      </c>
      <c r="U27" s="2">
        <f>IF(AND(VLOOKUP(U$1,'20Trips'!$A$3:$F$22,5,FALSE) - VLOOKUP($B27,'20Trips'!$A$3:$G$22,6,FALSE) &gt;= ('20Trips'!$B$23+VLOOKUP(VLOOKUP($B27,'20Trips'!$A$2:$I$22,4,FALSE),'20Trips'!$AB$32:$AH$36,3,FALSE))/1440),1,0)</f>
        <v>0</v>
      </c>
      <c r="V27" s="2">
        <f>IF(AND(VLOOKUP(V$1,'20Trips'!$A$3:$F$22,5,FALSE) - VLOOKUP($B27,'20Trips'!$A$3:$G$22,6,FALSE) &gt;= ('20Trips'!$B$23+VLOOKUP(VLOOKUP($B27,'20Trips'!$A$2:$I$22,4,FALSE),'20Trips'!$AB$32:$AH$36,3,FALSE))/1440),1,0)</f>
        <v>0</v>
      </c>
      <c r="W27" s="2" t="e">
        <f>IF(AND(VLOOKUP(W$1,'20Trips'!$A$3:$F$22,5,FALSE) - VLOOKUP($B27,'20Trips'!$A$3:$G$22,6,FALSE) &gt;= ('20Trips'!$B$23+VLOOKUP(VLOOKUP($B27,'20Trips'!$A$2:$I$22,4,FALSE),'20Trips'!$AB$32:$AH$36,3,FALSE))/1440),1,0)</f>
        <v>#N/A</v>
      </c>
      <c r="X27" s="2" t="e">
        <f>IF(AND(VLOOKUP(X$1,'20Trips'!$A$3:$F$22,5,FALSE) - VLOOKUP($B27,'20Trips'!$A$3:$G$22,6,FALSE) &gt;= ('20Trips'!$B$23+VLOOKUP(VLOOKUP($B27,'20Trips'!$A$2:$I$22,4,FALSE),'20Trips'!$AB$32:$AH$36,3,FALSE))/1440),1,0)</f>
        <v>#N/A</v>
      </c>
      <c r="Y27" s="2" t="e">
        <f>IF(AND(VLOOKUP(Y$1,'20Trips'!$A$3:$F$22,5,FALSE) - VLOOKUP($B27,'20Trips'!$A$3:$G$22,6,FALSE) &gt;= ('20Trips'!$B$23+VLOOKUP(VLOOKUP($B27,'20Trips'!$A$2:$I$22,4,FALSE),'20Trips'!$AB$32:$AH$36,3,FALSE))/1440),1,0)</f>
        <v>#N/A</v>
      </c>
      <c r="Z27" s="2">
        <f>IF(AND(VLOOKUP(Z$1,'20Trips'!$A$3:$F$22,5,FALSE) - VLOOKUP($B27,'20Trips'!$A$3:$G$22,6,FALSE) &gt;= ('20Trips'!$B$23+VLOOKUP(VLOOKUP($B27,'20Trips'!$A$2:$I$22,4,FALSE),'20Trips'!$AB$32:$AH$36,3,FALSE))/1440),1,0)</f>
        <v>0</v>
      </c>
      <c r="AA27" s="2">
        <f>IF(AND(VLOOKUP(AA$1,'20Trips'!$A$3:$F$22,5,FALSE) - VLOOKUP($B27,'20Trips'!$A$3:$G$22,6,FALSE) &gt;= ('20Trips'!$B$23+VLOOKUP(VLOOKUP($B27,'20Trips'!$A$2:$I$22,4,FALSE),'20Trips'!$AB$32:$AH$36,3,FALSE))/1440),1,0)</f>
        <v>0</v>
      </c>
      <c r="AB27" s="2">
        <f>IF(AND(VLOOKUP(AB$1,'20Trips'!$A$3:$F$22,5,FALSE) - VLOOKUP($B27,'20Trips'!$A$3:$G$22,6,FALSE) &gt;= ('20Trips'!$B$23+VLOOKUP(VLOOKUP($B27,'20Trips'!$A$2:$I$22,4,FALSE),'20Trips'!$AB$32:$AH$36,3,FALSE))/1440),1,0)</f>
        <v>0</v>
      </c>
      <c r="AC27" s="2">
        <f>IF(AND(VLOOKUP(AC$1,'20Trips'!$A$3:$F$22,5,FALSE) - VLOOKUP($B27,'20Trips'!$A$3:$G$22,6,FALSE) &gt;= ('20Trips'!$B$23+VLOOKUP(VLOOKUP($B27,'20Trips'!$A$2:$I$22,4,FALSE),'20Trips'!$AB$32:$AH$36,3,FALSE))/1440),1,0)</f>
        <v>0</v>
      </c>
      <c r="AD27" s="2">
        <f>IF(AND(VLOOKUP(AD$1,'20Trips'!$A$3:$F$22,5,FALSE) - VLOOKUP($B27,'20Trips'!$A$3:$G$22,6,FALSE) &gt;= ('20Trips'!$B$23+VLOOKUP(VLOOKUP($B27,'20Trips'!$A$2:$I$22,4,FALSE),'20Trips'!$AB$32:$AH$36,3,FALSE))/1440),1,0)</f>
        <v>0</v>
      </c>
      <c r="AE27" s="2" t="e">
        <f>IF(AND(VLOOKUP(AE$1,'20Trips'!$A$3:$F$22,5,FALSE) - VLOOKUP($B27,'20Trips'!$A$3:$G$22,6,FALSE) &gt;= ('20Trips'!$B$23+VLOOKUP(VLOOKUP($B27,'20Trips'!$A$2:$I$22,4,FALSE),'20Trips'!$AB$32:$AH$36,3,FALSE))/1440),1,0)</f>
        <v>#N/A</v>
      </c>
      <c r="AF27" s="2" t="e">
        <f>IF(AND(VLOOKUP(AF$1,'20Trips'!$A$3:$F$22,5,FALSE) - VLOOKUP($B27,'20Trips'!$A$3:$G$22,6,FALSE) &gt;= ('20Trips'!$B$23+VLOOKUP(VLOOKUP($B27,'20Trips'!$A$2:$I$22,4,FALSE),'20Trips'!$AB$32:$AH$36,3,FALSE))/1440),1,0)</f>
        <v>#N/A</v>
      </c>
      <c r="AG27" s="2" t="e">
        <f>IF(AND(VLOOKUP(AG$1,'20Trips'!$A$3:$F$22,5,FALSE) - VLOOKUP($B27,'20Trips'!$A$3:$G$22,6,FALSE) &gt;= ('20Trips'!$B$23+VLOOKUP(VLOOKUP($B27,'20Trips'!$A$2:$I$22,4,FALSE),'20Trips'!$AB$32:$AH$36,3,FALSE))/1440),1,0)</f>
        <v>#N/A</v>
      </c>
    </row>
    <row r="28" spans="1:33" x14ac:dyDescent="0.25">
      <c r="A28" t="s">
        <v>48</v>
      </c>
      <c r="B28" t="s">
        <v>37</v>
      </c>
      <c r="C28">
        <v>0</v>
      </c>
      <c r="D28" s="2">
        <f>IF(AND(VLOOKUP(D$1,'20Trips'!$A$3:$F$22,5,FALSE) - VLOOKUP($B28,'20Trips'!$A$3:$G$22,6,FALSE) &gt;= ('20Trips'!$B$23+VLOOKUP(VLOOKUP($B28,'20Trips'!$A$2:$I$22,4,FALSE),'20Trips'!$AB$32:$AH$36,3,FALSE))/1440),1,0)</f>
        <v>0</v>
      </c>
      <c r="E28" s="2">
        <f>IF(AND(VLOOKUP(E$1,'20Trips'!$A$3:$F$22,5,FALSE) - VLOOKUP($B28,'20Trips'!$A$3:$G$22,6,FALSE) &gt;= ('20Trips'!$B$23+VLOOKUP(VLOOKUP($B28,'20Trips'!$A$2:$I$22,4,FALSE),'20Trips'!$AB$32:$AH$36,3,FALSE))/1440),1,0)</f>
        <v>0</v>
      </c>
      <c r="F28" s="2">
        <f>IF(AND(VLOOKUP(F$1,'20Trips'!$A$3:$F$22,5,FALSE) - VLOOKUP($B28,'20Trips'!$A$3:$G$22,6,FALSE) &gt;= ('20Trips'!$B$23+VLOOKUP(VLOOKUP($B28,'20Trips'!$A$2:$I$22,4,FALSE),'20Trips'!$AB$32:$AH$36,3,FALSE))/1440),1,0)</f>
        <v>0</v>
      </c>
      <c r="G28" s="2">
        <f>IF(AND(VLOOKUP(G$1,'20Trips'!$A$3:$F$22,5,FALSE) - VLOOKUP($B28,'20Trips'!$A$3:$G$22,6,FALSE) &gt;= ('20Trips'!$B$23+VLOOKUP(VLOOKUP($B28,'20Trips'!$A$2:$I$22,4,FALSE),'20Trips'!$AB$32:$AH$36,3,FALSE))/1440),1,0)</f>
        <v>0</v>
      </c>
      <c r="H28" s="2">
        <f>IF(AND(VLOOKUP(H$1,'20Trips'!$A$3:$F$22,5,FALSE) - VLOOKUP($B28,'20Trips'!$A$3:$G$22,6,FALSE) &gt;= ('20Trips'!$B$23+VLOOKUP(VLOOKUP($B28,'20Trips'!$A$2:$I$22,4,FALSE),'20Trips'!$AB$32:$AH$36,3,FALSE))/1440),1,0)</f>
        <v>0</v>
      </c>
      <c r="I28" s="2" t="e">
        <f>IF(AND(VLOOKUP(I$1,'20Trips'!$A$3:$F$22,5,FALSE) - VLOOKUP($B28,'20Trips'!$A$3:$G$22,6,FALSE) &gt;= ('20Trips'!$B$23+VLOOKUP(VLOOKUP($B28,'20Trips'!$A$2:$I$22,4,FALSE),'20Trips'!$AB$32:$AH$36,3,FALSE))/1440),1,0)</f>
        <v>#N/A</v>
      </c>
      <c r="J28" s="2" t="e">
        <f>IF(AND(VLOOKUP(J$1,'20Trips'!$A$3:$F$22,5,FALSE) - VLOOKUP($B28,'20Trips'!$A$3:$G$22,6,FALSE) &gt;= ('20Trips'!$B$23+VLOOKUP(VLOOKUP($B28,'20Trips'!$A$2:$I$22,4,FALSE),'20Trips'!$AB$32:$AH$36,3,FALSE))/1440),1,0)</f>
        <v>#N/A</v>
      </c>
      <c r="K28" s="2" t="e">
        <f>IF(AND(VLOOKUP(K$1,'20Trips'!$A$3:$F$22,5,FALSE) - VLOOKUP($B28,'20Trips'!$A$3:$G$22,6,FALSE) &gt;= ('20Trips'!$B$23+VLOOKUP(VLOOKUP($B28,'20Trips'!$A$2:$I$22,4,FALSE),'20Trips'!$AB$32:$AH$36,3,FALSE))/1440),1,0)</f>
        <v>#N/A</v>
      </c>
      <c r="L28" s="2">
        <f>IF(AND(VLOOKUP(L$1,'20Trips'!$A$3:$F$22,5,FALSE) - VLOOKUP($B28,'20Trips'!$A$3:$G$22,6,FALSE) &gt;= ('20Trips'!$B$23+VLOOKUP(VLOOKUP($B28,'20Trips'!$A$2:$I$22,4,FALSE),'20Trips'!$AB$32:$AH$36,3,FALSE))/1440),1,0)</f>
        <v>0</v>
      </c>
      <c r="M28" s="2">
        <f>IF(AND(VLOOKUP(M$1,'20Trips'!$A$3:$F$22,5,FALSE) - VLOOKUP($B28,'20Trips'!$A$3:$G$22,6,FALSE) &gt;= ('20Trips'!$B$23+VLOOKUP(VLOOKUP($B28,'20Trips'!$A$2:$I$22,4,FALSE),'20Trips'!$AB$32:$AH$36,3,FALSE))/1440),1,0)</f>
        <v>0</v>
      </c>
      <c r="N28" s="2">
        <f>IF(AND(VLOOKUP(N$1,'20Trips'!$A$3:$F$22,5,FALSE) - VLOOKUP($B28,'20Trips'!$A$3:$G$22,6,FALSE) &gt;= ('20Trips'!$B$23+VLOOKUP(VLOOKUP($B28,'20Trips'!$A$2:$I$22,4,FALSE),'20Trips'!$AB$32:$AH$36,3,FALSE))/1440),1,0)</f>
        <v>0</v>
      </c>
      <c r="O28" s="2">
        <f>IF(AND(VLOOKUP(O$1,'20Trips'!$A$3:$F$22,5,FALSE) - VLOOKUP($B28,'20Trips'!$A$3:$G$22,6,FALSE) &gt;= ('20Trips'!$B$23+VLOOKUP(VLOOKUP($B28,'20Trips'!$A$2:$I$22,4,FALSE),'20Trips'!$AB$32:$AH$36,3,FALSE))/1440),1,0)</f>
        <v>1</v>
      </c>
      <c r="P28" s="2">
        <f>IF(AND(VLOOKUP(P$1,'20Trips'!$A$3:$F$22,5,FALSE) - VLOOKUP($B28,'20Trips'!$A$3:$G$22,6,FALSE) &gt;= ('20Trips'!$B$23+VLOOKUP(VLOOKUP($B28,'20Trips'!$A$2:$I$22,4,FALSE),'20Trips'!$AB$32:$AH$36,3,FALSE))/1440),1,0)</f>
        <v>1</v>
      </c>
      <c r="Q28" s="2" t="e">
        <f>IF(AND(VLOOKUP(Q$1,'20Trips'!$A$3:$F$22,5,FALSE) - VLOOKUP($B28,'20Trips'!$A$3:$G$22,6,FALSE) &gt;= ('20Trips'!$B$23+VLOOKUP(VLOOKUP($B28,'20Trips'!$A$2:$I$22,4,FALSE),'20Trips'!$AB$32:$AH$36,3,FALSE))/1440),1,0)</f>
        <v>#N/A</v>
      </c>
      <c r="R28" s="2">
        <f>IF(AND(VLOOKUP(R$1,'20Trips'!$A$3:$F$22,5,FALSE) - VLOOKUP($B28,'20Trips'!$A$3:$G$22,6,FALSE) &gt;= ('20Trips'!$B$23+VLOOKUP(VLOOKUP($B28,'20Trips'!$A$2:$I$22,4,FALSE),'20Trips'!$AB$32:$AH$36,3,FALSE))/1440),1,0)</f>
        <v>0</v>
      </c>
      <c r="S28" s="2">
        <f>IF(AND(VLOOKUP(S$1,'20Trips'!$A$3:$F$22,5,FALSE) - VLOOKUP($B28,'20Trips'!$A$3:$G$22,6,FALSE) &gt;= ('20Trips'!$B$23+VLOOKUP(VLOOKUP($B28,'20Trips'!$A$2:$I$22,4,FALSE),'20Trips'!$AB$32:$AH$36,3,FALSE))/1440),1,0)</f>
        <v>0</v>
      </c>
      <c r="T28" s="2">
        <f>IF(AND(VLOOKUP(T$1,'20Trips'!$A$3:$F$22,5,FALSE) - VLOOKUP($B28,'20Trips'!$A$3:$G$22,6,FALSE) &gt;= ('20Trips'!$B$23+VLOOKUP(VLOOKUP($B28,'20Trips'!$A$2:$I$22,4,FALSE),'20Trips'!$AB$32:$AH$36,3,FALSE))/1440),1,0)</f>
        <v>0</v>
      </c>
      <c r="U28" s="2">
        <f>IF(AND(VLOOKUP(U$1,'20Trips'!$A$3:$F$22,5,FALSE) - VLOOKUP($B28,'20Trips'!$A$3:$G$22,6,FALSE) &gt;= ('20Trips'!$B$23+VLOOKUP(VLOOKUP($B28,'20Trips'!$A$2:$I$22,4,FALSE),'20Trips'!$AB$32:$AH$36,3,FALSE))/1440),1,0)</f>
        <v>0</v>
      </c>
      <c r="V28" s="2">
        <f>IF(AND(VLOOKUP(V$1,'20Trips'!$A$3:$F$22,5,FALSE) - VLOOKUP($B28,'20Trips'!$A$3:$G$22,6,FALSE) &gt;= ('20Trips'!$B$23+VLOOKUP(VLOOKUP($B28,'20Trips'!$A$2:$I$22,4,FALSE),'20Trips'!$AB$32:$AH$36,3,FALSE))/1440),1,0)</f>
        <v>0</v>
      </c>
      <c r="W28" s="2" t="e">
        <f>IF(AND(VLOOKUP(W$1,'20Trips'!$A$3:$F$22,5,FALSE) - VLOOKUP($B28,'20Trips'!$A$3:$G$22,6,FALSE) &gt;= ('20Trips'!$B$23+VLOOKUP(VLOOKUP($B28,'20Trips'!$A$2:$I$22,4,FALSE),'20Trips'!$AB$32:$AH$36,3,FALSE))/1440),1,0)</f>
        <v>#N/A</v>
      </c>
      <c r="X28" s="2" t="e">
        <f>IF(AND(VLOOKUP(X$1,'20Trips'!$A$3:$F$22,5,FALSE) - VLOOKUP($B28,'20Trips'!$A$3:$G$22,6,FALSE) &gt;= ('20Trips'!$B$23+VLOOKUP(VLOOKUP($B28,'20Trips'!$A$2:$I$22,4,FALSE),'20Trips'!$AB$32:$AH$36,3,FALSE))/1440),1,0)</f>
        <v>#N/A</v>
      </c>
      <c r="Y28" s="2" t="e">
        <f>IF(AND(VLOOKUP(Y$1,'20Trips'!$A$3:$F$22,5,FALSE) - VLOOKUP($B28,'20Trips'!$A$3:$G$22,6,FALSE) &gt;= ('20Trips'!$B$23+VLOOKUP(VLOOKUP($B28,'20Trips'!$A$2:$I$22,4,FALSE),'20Trips'!$AB$32:$AH$36,3,FALSE))/1440),1,0)</f>
        <v>#N/A</v>
      </c>
      <c r="Z28" s="2">
        <f>IF(AND(VLOOKUP(Z$1,'20Trips'!$A$3:$F$22,5,FALSE) - VLOOKUP($B28,'20Trips'!$A$3:$G$22,6,FALSE) &gt;= ('20Trips'!$B$23+VLOOKUP(VLOOKUP($B28,'20Trips'!$A$2:$I$22,4,FALSE),'20Trips'!$AB$32:$AH$36,3,FALSE))/1440),1,0)</f>
        <v>0</v>
      </c>
      <c r="AA28" s="2">
        <f>IF(AND(VLOOKUP(AA$1,'20Trips'!$A$3:$F$22,5,FALSE) - VLOOKUP($B28,'20Trips'!$A$3:$G$22,6,FALSE) &gt;= ('20Trips'!$B$23+VLOOKUP(VLOOKUP($B28,'20Trips'!$A$2:$I$22,4,FALSE),'20Trips'!$AB$32:$AH$36,3,FALSE))/1440),1,0)</f>
        <v>0</v>
      </c>
      <c r="AB28" s="2">
        <f>IF(AND(VLOOKUP(AB$1,'20Trips'!$A$3:$F$22,5,FALSE) - VLOOKUP($B28,'20Trips'!$A$3:$G$22,6,FALSE) &gt;= ('20Trips'!$B$23+VLOOKUP(VLOOKUP($B28,'20Trips'!$A$2:$I$22,4,FALSE),'20Trips'!$AB$32:$AH$36,3,FALSE))/1440),1,0)</f>
        <v>0</v>
      </c>
      <c r="AC28" s="2">
        <f>IF(AND(VLOOKUP(AC$1,'20Trips'!$A$3:$F$22,5,FALSE) - VLOOKUP($B28,'20Trips'!$A$3:$G$22,6,FALSE) &gt;= ('20Trips'!$B$23+VLOOKUP(VLOOKUP($B28,'20Trips'!$A$2:$I$22,4,FALSE),'20Trips'!$AB$32:$AH$36,3,FALSE))/1440),1,0)</f>
        <v>0</v>
      </c>
      <c r="AD28" s="2">
        <f>IF(AND(VLOOKUP(AD$1,'20Trips'!$A$3:$F$22,5,FALSE) - VLOOKUP($B28,'20Trips'!$A$3:$G$22,6,FALSE) &gt;= ('20Trips'!$B$23+VLOOKUP(VLOOKUP($B28,'20Trips'!$A$2:$I$22,4,FALSE),'20Trips'!$AB$32:$AH$36,3,FALSE))/1440),1,0)</f>
        <v>0</v>
      </c>
      <c r="AE28" s="2" t="e">
        <f>IF(AND(VLOOKUP(AE$1,'20Trips'!$A$3:$F$22,5,FALSE) - VLOOKUP($B28,'20Trips'!$A$3:$G$22,6,FALSE) &gt;= ('20Trips'!$B$23+VLOOKUP(VLOOKUP($B28,'20Trips'!$A$2:$I$22,4,FALSE),'20Trips'!$AB$32:$AH$36,3,FALSE))/1440),1,0)</f>
        <v>#N/A</v>
      </c>
      <c r="AF28" s="2" t="e">
        <f>IF(AND(VLOOKUP(AF$1,'20Trips'!$A$3:$F$22,5,FALSE) - VLOOKUP($B28,'20Trips'!$A$3:$G$22,6,FALSE) &gt;= ('20Trips'!$B$23+VLOOKUP(VLOOKUP($B28,'20Trips'!$A$2:$I$22,4,FALSE),'20Trips'!$AB$32:$AH$36,3,FALSE))/1440),1,0)</f>
        <v>#N/A</v>
      </c>
      <c r="AG28" s="2" t="e">
        <f>IF(AND(VLOOKUP(AG$1,'20Trips'!$A$3:$F$22,5,FALSE) - VLOOKUP($B28,'20Trips'!$A$3:$G$22,6,FALSE) &gt;= ('20Trips'!$B$23+VLOOKUP(VLOOKUP($B28,'20Trips'!$A$2:$I$22,4,FALSE),'20Trips'!$AB$32:$AH$36,3,FALSE))/1440),1,0)</f>
        <v>#N/A</v>
      </c>
    </row>
    <row r="29" spans="1:33" x14ac:dyDescent="0.25">
      <c r="A29" t="s">
        <v>48</v>
      </c>
      <c r="B29" t="s">
        <v>38</v>
      </c>
      <c r="C29">
        <v>0</v>
      </c>
      <c r="D29" s="2">
        <f>IF(AND(VLOOKUP(D$1,'20Trips'!$A$3:$F$22,5,FALSE) - VLOOKUP($B29,'20Trips'!$A$3:$G$22,6,FALSE) &gt;= ('20Trips'!$B$23+VLOOKUP(VLOOKUP($B29,'20Trips'!$A$2:$I$22,4,FALSE),'20Trips'!$AB$32:$AH$36,3,FALSE))/1440),1,0)</f>
        <v>0</v>
      </c>
      <c r="E29" s="2">
        <f>IF(AND(VLOOKUP(E$1,'20Trips'!$A$3:$F$22,5,FALSE) - VLOOKUP($B29,'20Trips'!$A$3:$G$22,6,FALSE) &gt;= ('20Trips'!$B$23+VLOOKUP(VLOOKUP($B29,'20Trips'!$A$2:$I$22,4,FALSE),'20Trips'!$AB$32:$AH$36,3,FALSE))/1440),1,0)</f>
        <v>0</v>
      </c>
      <c r="F29" s="2">
        <f>IF(AND(VLOOKUP(F$1,'20Trips'!$A$3:$F$22,5,FALSE) - VLOOKUP($B29,'20Trips'!$A$3:$G$22,6,FALSE) &gt;= ('20Trips'!$B$23+VLOOKUP(VLOOKUP($B29,'20Trips'!$A$2:$I$22,4,FALSE),'20Trips'!$AB$32:$AH$36,3,FALSE))/1440),1,0)</f>
        <v>0</v>
      </c>
      <c r="G29" s="2">
        <f>IF(AND(VLOOKUP(G$1,'20Trips'!$A$3:$F$22,5,FALSE) - VLOOKUP($B29,'20Trips'!$A$3:$G$22,6,FALSE) &gt;= ('20Trips'!$B$23+VLOOKUP(VLOOKUP($B29,'20Trips'!$A$2:$I$22,4,FALSE),'20Trips'!$AB$32:$AH$36,3,FALSE))/1440),1,0)</f>
        <v>0</v>
      </c>
      <c r="H29" s="2">
        <f>IF(AND(VLOOKUP(H$1,'20Trips'!$A$3:$F$22,5,FALSE) - VLOOKUP($B29,'20Trips'!$A$3:$G$22,6,FALSE) &gt;= ('20Trips'!$B$23+VLOOKUP(VLOOKUP($B29,'20Trips'!$A$2:$I$22,4,FALSE),'20Trips'!$AB$32:$AH$36,3,FALSE))/1440),1,0)</f>
        <v>0</v>
      </c>
      <c r="I29" s="2" t="e">
        <f>IF(AND(VLOOKUP(I$1,'20Trips'!$A$3:$F$22,5,FALSE) - VLOOKUP($B29,'20Trips'!$A$3:$G$22,6,FALSE) &gt;= ('20Trips'!$B$23+VLOOKUP(VLOOKUP($B29,'20Trips'!$A$2:$I$22,4,FALSE),'20Trips'!$AB$32:$AH$36,3,FALSE))/1440),1,0)</f>
        <v>#N/A</v>
      </c>
      <c r="J29" s="2" t="e">
        <f>IF(AND(VLOOKUP(J$1,'20Trips'!$A$3:$F$22,5,FALSE) - VLOOKUP($B29,'20Trips'!$A$3:$G$22,6,FALSE) &gt;= ('20Trips'!$B$23+VLOOKUP(VLOOKUP($B29,'20Trips'!$A$2:$I$22,4,FALSE),'20Trips'!$AB$32:$AH$36,3,FALSE))/1440),1,0)</f>
        <v>#N/A</v>
      </c>
      <c r="K29" s="2" t="e">
        <f>IF(AND(VLOOKUP(K$1,'20Trips'!$A$3:$F$22,5,FALSE) - VLOOKUP($B29,'20Trips'!$A$3:$G$22,6,FALSE) &gt;= ('20Trips'!$B$23+VLOOKUP(VLOOKUP($B29,'20Trips'!$A$2:$I$22,4,FALSE),'20Trips'!$AB$32:$AH$36,3,FALSE))/1440),1,0)</f>
        <v>#N/A</v>
      </c>
      <c r="L29" s="2">
        <f>IF(AND(VLOOKUP(L$1,'20Trips'!$A$3:$F$22,5,FALSE) - VLOOKUP($B29,'20Trips'!$A$3:$G$22,6,FALSE) &gt;= ('20Trips'!$B$23+VLOOKUP(VLOOKUP($B29,'20Trips'!$A$2:$I$22,4,FALSE),'20Trips'!$AB$32:$AH$36,3,FALSE))/1440),1,0)</f>
        <v>0</v>
      </c>
      <c r="M29" s="2">
        <f>IF(AND(VLOOKUP(M$1,'20Trips'!$A$3:$F$22,5,FALSE) - VLOOKUP($B29,'20Trips'!$A$3:$G$22,6,FALSE) &gt;= ('20Trips'!$B$23+VLOOKUP(VLOOKUP($B29,'20Trips'!$A$2:$I$22,4,FALSE),'20Trips'!$AB$32:$AH$36,3,FALSE))/1440),1,0)</f>
        <v>0</v>
      </c>
      <c r="N29" s="2">
        <f>IF(AND(VLOOKUP(N$1,'20Trips'!$A$3:$F$22,5,FALSE) - VLOOKUP($B29,'20Trips'!$A$3:$G$22,6,FALSE) &gt;= ('20Trips'!$B$23+VLOOKUP(VLOOKUP($B29,'20Trips'!$A$2:$I$22,4,FALSE),'20Trips'!$AB$32:$AH$36,3,FALSE))/1440),1,0)</f>
        <v>0</v>
      </c>
      <c r="O29" s="2">
        <f>IF(AND(VLOOKUP(O$1,'20Trips'!$A$3:$F$22,5,FALSE) - VLOOKUP($B29,'20Trips'!$A$3:$G$22,6,FALSE) &gt;= ('20Trips'!$B$23+VLOOKUP(VLOOKUP($B29,'20Trips'!$A$2:$I$22,4,FALSE),'20Trips'!$AB$32:$AH$36,3,FALSE))/1440),1,0)</f>
        <v>0</v>
      </c>
      <c r="P29" s="2">
        <f>IF(AND(VLOOKUP(P$1,'20Trips'!$A$3:$F$22,5,FALSE) - VLOOKUP($B29,'20Trips'!$A$3:$G$22,6,FALSE) &gt;= ('20Trips'!$B$23+VLOOKUP(VLOOKUP($B29,'20Trips'!$A$2:$I$22,4,FALSE),'20Trips'!$AB$32:$AH$36,3,FALSE))/1440),1,0)</f>
        <v>0</v>
      </c>
      <c r="Q29" s="2" t="e">
        <f>IF(AND(VLOOKUP(Q$1,'20Trips'!$A$3:$F$22,5,FALSE) - VLOOKUP($B29,'20Trips'!$A$3:$G$22,6,FALSE) &gt;= ('20Trips'!$B$23+VLOOKUP(VLOOKUP($B29,'20Trips'!$A$2:$I$22,4,FALSE),'20Trips'!$AB$32:$AH$36,3,FALSE))/1440),1,0)</f>
        <v>#N/A</v>
      </c>
      <c r="R29" s="2">
        <f>IF(AND(VLOOKUP(R$1,'20Trips'!$A$3:$F$22,5,FALSE) - VLOOKUP($B29,'20Trips'!$A$3:$G$22,6,FALSE) &gt;= ('20Trips'!$B$23+VLOOKUP(VLOOKUP($B29,'20Trips'!$A$2:$I$22,4,FALSE),'20Trips'!$AB$32:$AH$36,3,FALSE))/1440),1,0)</f>
        <v>0</v>
      </c>
      <c r="S29" s="2">
        <f>IF(AND(VLOOKUP(S$1,'20Trips'!$A$3:$F$22,5,FALSE) - VLOOKUP($B29,'20Trips'!$A$3:$G$22,6,FALSE) &gt;= ('20Trips'!$B$23+VLOOKUP(VLOOKUP($B29,'20Trips'!$A$2:$I$22,4,FALSE),'20Trips'!$AB$32:$AH$36,3,FALSE))/1440),1,0)</f>
        <v>0</v>
      </c>
      <c r="T29" s="2">
        <f>IF(AND(VLOOKUP(T$1,'20Trips'!$A$3:$F$22,5,FALSE) - VLOOKUP($B29,'20Trips'!$A$3:$G$22,6,FALSE) &gt;= ('20Trips'!$B$23+VLOOKUP(VLOOKUP($B29,'20Trips'!$A$2:$I$22,4,FALSE),'20Trips'!$AB$32:$AH$36,3,FALSE))/1440),1,0)</f>
        <v>0</v>
      </c>
      <c r="U29" s="2">
        <f>IF(AND(VLOOKUP(U$1,'20Trips'!$A$3:$F$22,5,FALSE) - VLOOKUP($B29,'20Trips'!$A$3:$G$22,6,FALSE) &gt;= ('20Trips'!$B$23+VLOOKUP(VLOOKUP($B29,'20Trips'!$A$2:$I$22,4,FALSE),'20Trips'!$AB$32:$AH$36,3,FALSE))/1440),1,0)</f>
        <v>0</v>
      </c>
      <c r="V29" s="2">
        <f>IF(AND(VLOOKUP(V$1,'20Trips'!$A$3:$F$22,5,FALSE) - VLOOKUP($B29,'20Trips'!$A$3:$G$22,6,FALSE) &gt;= ('20Trips'!$B$23+VLOOKUP(VLOOKUP($B29,'20Trips'!$A$2:$I$22,4,FALSE),'20Trips'!$AB$32:$AH$36,3,FALSE))/1440),1,0)</f>
        <v>0</v>
      </c>
      <c r="W29" s="2" t="e">
        <f>IF(AND(VLOOKUP(W$1,'20Trips'!$A$3:$F$22,5,FALSE) - VLOOKUP($B29,'20Trips'!$A$3:$G$22,6,FALSE) &gt;= ('20Trips'!$B$23+VLOOKUP(VLOOKUP($B29,'20Trips'!$A$2:$I$22,4,FALSE),'20Trips'!$AB$32:$AH$36,3,FALSE))/1440),1,0)</f>
        <v>#N/A</v>
      </c>
      <c r="X29" s="2" t="e">
        <f>IF(AND(VLOOKUP(X$1,'20Trips'!$A$3:$F$22,5,FALSE) - VLOOKUP($B29,'20Trips'!$A$3:$G$22,6,FALSE) &gt;= ('20Trips'!$B$23+VLOOKUP(VLOOKUP($B29,'20Trips'!$A$2:$I$22,4,FALSE),'20Trips'!$AB$32:$AH$36,3,FALSE))/1440),1,0)</f>
        <v>#N/A</v>
      </c>
      <c r="Y29" s="2" t="e">
        <f>IF(AND(VLOOKUP(Y$1,'20Trips'!$A$3:$F$22,5,FALSE) - VLOOKUP($B29,'20Trips'!$A$3:$G$22,6,FALSE) &gt;= ('20Trips'!$B$23+VLOOKUP(VLOOKUP($B29,'20Trips'!$A$2:$I$22,4,FALSE),'20Trips'!$AB$32:$AH$36,3,FALSE))/1440),1,0)</f>
        <v>#N/A</v>
      </c>
      <c r="Z29" s="2">
        <f>IF(AND(VLOOKUP(Z$1,'20Trips'!$A$3:$F$22,5,FALSE) - VLOOKUP($B29,'20Trips'!$A$3:$G$22,6,FALSE) &gt;= ('20Trips'!$B$23+VLOOKUP(VLOOKUP($B29,'20Trips'!$A$2:$I$22,4,FALSE),'20Trips'!$AB$32:$AH$36,3,FALSE))/1440),1,0)</f>
        <v>0</v>
      </c>
      <c r="AA29" s="2">
        <f>IF(AND(VLOOKUP(AA$1,'20Trips'!$A$3:$F$22,5,FALSE) - VLOOKUP($B29,'20Trips'!$A$3:$G$22,6,FALSE) &gt;= ('20Trips'!$B$23+VLOOKUP(VLOOKUP($B29,'20Trips'!$A$2:$I$22,4,FALSE),'20Trips'!$AB$32:$AH$36,3,FALSE))/1440),1,0)</f>
        <v>0</v>
      </c>
      <c r="AB29" s="2">
        <f>IF(AND(VLOOKUP(AB$1,'20Trips'!$A$3:$F$22,5,FALSE) - VLOOKUP($B29,'20Trips'!$A$3:$G$22,6,FALSE) &gt;= ('20Trips'!$B$23+VLOOKUP(VLOOKUP($B29,'20Trips'!$A$2:$I$22,4,FALSE),'20Trips'!$AB$32:$AH$36,3,FALSE))/1440),1,0)</f>
        <v>0</v>
      </c>
      <c r="AC29" s="2">
        <f>IF(AND(VLOOKUP(AC$1,'20Trips'!$A$3:$F$22,5,FALSE) - VLOOKUP($B29,'20Trips'!$A$3:$G$22,6,FALSE) &gt;= ('20Trips'!$B$23+VLOOKUP(VLOOKUP($B29,'20Trips'!$A$2:$I$22,4,FALSE),'20Trips'!$AB$32:$AH$36,3,FALSE))/1440),1,0)</f>
        <v>0</v>
      </c>
      <c r="AD29" s="2">
        <f>IF(AND(VLOOKUP(AD$1,'20Trips'!$A$3:$F$22,5,FALSE) - VLOOKUP($B29,'20Trips'!$A$3:$G$22,6,FALSE) &gt;= ('20Trips'!$B$23+VLOOKUP(VLOOKUP($B29,'20Trips'!$A$2:$I$22,4,FALSE),'20Trips'!$AB$32:$AH$36,3,FALSE))/1440),1,0)</f>
        <v>0</v>
      </c>
      <c r="AE29" s="2" t="e">
        <f>IF(AND(VLOOKUP(AE$1,'20Trips'!$A$3:$F$22,5,FALSE) - VLOOKUP($B29,'20Trips'!$A$3:$G$22,6,FALSE) &gt;= ('20Trips'!$B$23+VLOOKUP(VLOOKUP($B29,'20Trips'!$A$2:$I$22,4,FALSE),'20Trips'!$AB$32:$AH$36,3,FALSE))/1440),1,0)</f>
        <v>#N/A</v>
      </c>
      <c r="AF29" s="2" t="e">
        <f>IF(AND(VLOOKUP(AF$1,'20Trips'!$A$3:$F$22,5,FALSE) - VLOOKUP($B29,'20Trips'!$A$3:$G$22,6,FALSE) &gt;= ('20Trips'!$B$23+VLOOKUP(VLOOKUP($B29,'20Trips'!$A$2:$I$22,4,FALSE),'20Trips'!$AB$32:$AH$36,3,FALSE))/1440),1,0)</f>
        <v>#N/A</v>
      </c>
      <c r="AG29" s="2" t="e">
        <f>IF(AND(VLOOKUP(AG$1,'20Trips'!$A$3:$F$22,5,FALSE) - VLOOKUP($B29,'20Trips'!$A$3:$G$22,6,FALSE) &gt;= ('20Trips'!$B$23+VLOOKUP(VLOOKUP($B29,'20Trips'!$A$2:$I$22,4,FALSE),'20Trips'!$AB$32:$AH$36,3,FALSE))/1440),1,0)</f>
        <v>#N/A</v>
      </c>
    </row>
    <row r="30" spans="1:33" x14ac:dyDescent="0.25">
      <c r="A30" t="s">
        <v>48</v>
      </c>
      <c r="B30" t="s">
        <v>39</v>
      </c>
      <c r="C30">
        <v>0</v>
      </c>
      <c r="D30" s="2" t="e">
        <f>IF(AND(VLOOKUP(D$1,'20Trips'!$A$3:$F$22,5,FALSE) - VLOOKUP($B30,'20Trips'!$A$3:$G$22,6,FALSE) &gt;= ('20Trips'!$B$23+VLOOKUP(VLOOKUP($B30,'20Trips'!$A$2:$I$22,4,FALSE),'20Trips'!$AB$32:$AH$36,3,FALSE))/1440),1,0)</f>
        <v>#N/A</v>
      </c>
      <c r="E30" s="2" t="e">
        <f>IF(AND(VLOOKUP(E$1,'20Trips'!$A$3:$F$22,5,FALSE) - VLOOKUP($B30,'20Trips'!$A$3:$G$22,6,FALSE) &gt;= ('20Trips'!$B$23+VLOOKUP(VLOOKUP($B30,'20Trips'!$A$2:$I$22,4,FALSE),'20Trips'!$AB$32:$AH$36,3,FALSE))/1440),1,0)</f>
        <v>#N/A</v>
      </c>
      <c r="F30" s="2" t="e">
        <f>IF(AND(VLOOKUP(F$1,'20Trips'!$A$3:$F$22,5,FALSE) - VLOOKUP($B30,'20Trips'!$A$3:$G$22,6,FALSE) &gt;= ('20Trips'!$B$23+VLOOKUP(VLOOKUP($B30,'20Trips'!$A$2:$I$22,4,FALSE),'20Trips'!$AB$32:$AH$36,3,FALSE))/1440),1,0)</f>
        <v>#N/A</v>
      </c>
      <c r="G30" s="2" t="e">
        <f>IF(AND(VLOOKUP(G$1,'20Trips'!$A$3:$F$22,5,FALSE) - VLOOKUP($B30,'20Trips'!$A$3:$G$22,6,FALSE) &gt;= ('20Trips'!$B$23+VLOOKUP(VLOOKUP($B30,'20Trips'!$A$2:$I$22,4,FALSE),'20Trips'!$AB$32:$AH$36,3,FALSE))/1440),1,0)</f>
        <v>#N/A</v>
      </c>
      <c r="H30" s="2" t="e">
        <f>IF(AND(VLOOKUP(H$1,'20Trips'!$A$3:$F$22,5,FALSE) - VLOOKUP($B30,'20Trips'!$A$3:$G$22,6,FALSE) &gt;= ('20Trips'!$B$23+VLOOKUP(VLOOKUP($B30,'20Trips'!$A$2:$I$22,4,FALSE),'20Trips'!$AB$32:$AH$36,3,FALSE))/1440),1,0)</f>
        <v>#N/A</v>
      </c>
      <c r="I30" s="2" t="e">
        <f>IF(AND(VLOOKUP(I$1,'20Trips'!$A$3:$F$22,5,FALSE) - VLOOKUP($B30,'20Trips'!$A$3:$G$22,6,FALSE) &gt;= ('20Trips'!$B$23+VLOOKUP(VLOOKUP($B30,'20Trips'!$A$2:$I$22,4,FALSE),'20Trips'!$AB$32:$AH$36,3,FALSE))/1440),1,0)</f>
        <v>#N/A</v>
      </c>
      <c r="J30" s="2" t="e">
        <f>IF(AND(VLOOKUP(J$1,'20Trips'!$A$3:$F$22,5,FALSE) - VLOOKUP($B30,'20Trips'!$A$3:$G$22,6,FALSE) &gt;= ('20Trips'!$B$23+VLOOKUP(VLOOKUP($B30,'20Trips'!$A$2:$I$22,4,FALSE),'20Trips'!$AB$32:$AH$36,3,FALSE))/1440),1,0)</f>
        <v>#N/A</v>
      </c>
      <c r="K30" s="2" t="e">
        <f>IF(AND(VLOOKUP(K$1,'20Trips'!$A$3:$F$22,5,FALSE) - VLOOKUP($B30,'20Trips'!$A$3:$G$22,6,FALSE) &gt;= ('20Trips'!$B$23+VLOOKUP(VLOOKUP($B30,'20Trips'!$A$2:$I$22,4,FALSE),'20Trips'!$AB$32:$AH$36,3,FALSE))/1440),1,0)</f>
        <v>#N/A</v>
      </c>
      <c r="L30" s="2" t="e">
        <f>IF(AND(VLOOKUP(L$1,'20Trips'!$A$3:$F$22,5,FALSE) - VLOOKUP($B30,'20Trips'!$A$3:$G$22,6,FALSE) &gt;= ('20Trips'!$B$23+VLOOKUP(VLOOKUP($B30,'20Trips'!$A$2:$I$22,4,FALSE),'20Trips'!$AB$32:$AH$36,3,FALSE))/1440),1,0)</f>
        <v>#N/A</v>
      </c>
      <c r="M30" s="2" t="e">
        <f>IF(AND(VLOOKUP(M$1,'20Trips'!$A$3:$F$22,5,FALSE) - VLOOKUP($B30,'20Trips'!$A$3:$G$22,6,FALSE) &gt;= ('20Trips'!$B$23+VLOOKUP(VLOOKUP($B30,'20Trips'!$A$2:$I$22,4,FALSE),'20Trips'!$AB$32:$AH$36,3,FALSE))/1440),1,0)</f>
        <v>#N/A</v>
      </c>
      <c r="N30" s="2" t="e">
        <f>IF(AND(VLOOKUP(N$1,'20Trips'!$A$3:$F$22,5,FALSE) - VLOOKUP($B30,'20Trips'!$A$3:$G$22,6,FALSE) &gt;= ('20Trips'!$B$23+VLOOKUP(VLOOKUP($B30,'20Trips'!$A$2:$I$22,4,FALSE),'20Trips'!$AB$32:$AH$36,3,FALSE))/1440),1,0)</f>
        <v>#N/A</v>
      </c>
      <c r="O30" s="2" t="e">
        <f>IF(AND(VLOOKUP(O$1,'20Trips'!$A$3:$F$22,5,FALSE) - VLOOKUP($B30,'20Trips'!$A$3:$G$22,6,FALSE) &gt;= ('20Trips'!$B$23+VLOOKUP(VLOOKUP($B30,'20Trips'!$A$2:$I$22,4,FALSE),'20Trips'!$AB$32:$AH$36,3,FALSE))/1440),1,0)</f>
        <v>#N/A</v>
      </c>
      <c r="P30" s="2" t="e">
        <f>IF(AND(VLOOKUP(P$1,'20Trips'!$A$3:$F$22,5,FALSE) - VLOOKUP($B30,'20Trips'!$A$3:$G$22,6,FALSE) &gt;= ('20Trips'!$B$23+VLOOKUP(VLOOKUP($B30,'20Trips'!$A$2:$I$22,4,FALSE),'20Trips'!$AB$32:$AH$36,3,FALSE))/1440),1,0)</f>
        <v>#N/A</v>
      </c>
      <c r="Q30" s="2" t="e">
        <f>IF(AND(VLOOKUP(Q$1,'20Trips'!$A$3:$F$22,5,FALSE) - VLOOKUP($B30,'20Trips'!$A$3:$G$22,6,FALSE) &gt;= ('20Trips'!$B$23+VLOOKUP(VLOOKUP($B30,'20Trips'!$A$2:$I$22,4,FALSE),'20Trips'!$AB$32:$AH$36,3,FALSE))/1440),1,0)</f>
        <v>#N/A</v>
      </c>
      <c r="R30" s="2" t="e">
        <f>IF(AND(VLOOKUP(R$1,'20Trips'!$A$3:$F$22,5,FALSE) - VLOOKUP($B30,'20Trips'!$A$3:$G$22,6,FALSE) &gt;= ('20Trips'!$B$23+VLOOKUP(VLOOKUP($B30,'20Trips'!$A$2:$I$22,4,FALSE),'20Trips'!$AB$32:$AH$36,3,FALSE))/1440),1,0)</f>
        <v>#N/A</v>
      </c>
      <c r="S30" s="2" t="e">
        <f>IF(AND(VLOOKUP(S$1,'20Trips'!$A$3:$F$22,5,FALSE) - VLOOKUP($B30,'20Trips'!$A$3:$G$22,6,FALSE) &gt;= ('20Trips'!$B$23+VLOOKUP(VLOOKUP($B30,'20Trips'!$A$2:$I$22,4,FALSE),'20Trips'!$AB$32:$AH$36,3,FALSE))/1440),1,0)</f>
        <v>#N/A</v>
      </c>
      <c r="T30" s="2" t="e">
        <f>IF(AND(VLOOKUP(T$1,'20Trips'!$A$3:$F$22,5,FALSE) - VLOOKUP($B30,'20Trips'!$A$3:$G$22,6,FALSE) &gt;= ('20Trips'!$B$23+VLOOKUP(VLOOKUP($B30,'20Trips'!$A$2:$I$22,4,FALSE),'20Trips'!$AB$32:$AH$36,3,FALSE))/1440),1,0)</f>
        <v>#N/A</v>
      </c>
      <c r="U30" s="2" t="e">
        <f>IF(AND(VLOOKUP(U$1,'20Trips'!$A$3:$F$22,5,FALSE) - VLOOKUP($B30,'20Trips'!$A$3:$G$22,6,FALSE) &gt;= ('20Trips'!$B$23+VLOOKUP(VLOOKUP($B30,'20Trips'!$A$2:$I$22,4,FALSE),'20Trips'!$AB$32:$AH$36,3,FALSE))/1440),1,0)</f>
        <v>#N/A</v>
      </c>
      <c r="V30" s="2" t="e">
        <f>IF(AND(VLOOKUP(V$1,'20Trips'!$A$3:$F$22,5,FALSE) - VLOOKUP($B30,'20Trips'!$A$3:$G$22,6,FALSE) &gt;= ('20Trips'!$B$23+VLOOKUP(VLOOKUP($B30,'20Trips'!$A$2:$I$22,4,FALSE),'20Trips'!$AB$32:$AH$36,3,FALSE))/1440),1,0)</f>
        <v>#N/A</v>
      </c>
      <c r="W30" s="2" t="e">
        <f>IF(AND(VLOOKUP(W$1,'20Trips'!$A$3:$F$22,5,FALSE) - VLOOKUP($B30,'20Trips'!$A$3:$G$22,6,FALSE) &gt;= ('20Trips'!$B$23+VLOOKUP(VLOOKUP($B30,'20Trips'!$A$2:$I$22,4,FALSE),'20Trips'!$AB$32:$AH$36,3,FALSE))/1440),1,0)</f>
        <v>#N/A</v>
      </c>
      <c r="X30" s="2" t="e">
        <f>IF(AND(VLOOKUP(X$1,'20Trips'!$A$3:$F$22,5,FALSE) - VLOOKUP($B30,'20Trips'!$A$3:$G$22,6,FALSE) &gt;= ('20Trips'!$B$23+VLOOKUP(VLOOKUP($B30,'20Trips'!$A$2:$I$22,4,FALSE),'20Trips'!$AB$32:$AH$36,3,FALSE))/1440),1,0)</f>
        <v>#N/A</v>
      </c>
      <c r="Y30" s="2" t="e">
        <f>IF(AND(VLOOKUP(Y$1,'20Trips'!$A$3:$F$22,5,FALSE) - VLOOKUP($B30,'20Trips'!$A$3:$G$22,6,FALSE) &gt;= ('20Trips'!$B$23+VLOOKUP(VLOOKUP($B30,'20Trips'!$A$2:$I$22,4,FALSE),'20Trips'!$AB$32:$AH$36,3,FALSE))/1440),1,0)</f>
        <v>#N/A</v>
      </c>
      <c r="Z30" s="2" t="e">
        <f>IF(AND(VLOOKUP(Z$1,'20Trips'!$A$3:$F$22,5,FALSE) - VLOOKUP($B30,'20Trips'!$A$3:$G$22,6,FALSE) &gt;= ('20Trips'!$B$23+VLOOKUP(VLOOKUP($B30,'20Trips'!$A$2:$I$22,4,FALSE),'20Trips'!$AB$32:$AH$36,3,FALSE))/1440),1,0)</f>
        <v>#N/A</v>
      </c>
      <c r="AA30" s="2" t="e">
        <f>IF(AND(VLOOKUP(AA$1,'20Trips'!$A$3:$F$22,5,FALSE) - VLOOKUP($B30,'20Trips'!$A$3:$G$22,6,FALSE) &gt;= ('20Trips'!$B$23+VLOOKUP(VLOOKUP($B30,'20Trips'!$A$2:$I$22,4,FALSE),'20Trips'!$AB$32:$AH$36,3,FALSE))/1440),1,0)</f>
        <v>#N/A</v>
      </c>
      <c r="AB30" s="2" t="e">
        <f>IF(AND(VLOOKUP(AB$1,'20Trips'!$A$3:$F$22,5,FALSE) - VLOOKUP($B30,'20Trips'!$A$3:$G$22,6,FALSE) &gt;= ('20Trips'!$B$23+VLOOKUP(VLOOKUP($B30,'20Trips'!$A$2:$I$22,4,FALSE),'20Trips'!$AB$32:$AH$36,3,FALSE))/1440),1,0)</f>
        <v>#N/A</v>
      </c>
      <c r="AC30" s="2" t="e">
        <f>IF(AND(VLOOKUP(AC$1,'20Trips'!$A$3:$F$22,5,FALSE) - VLOOKUP($B30,'20Trips'!$A$3:$G$22,6,FALSE) &gt;= ('20Trips'!$B$23+VLOOKUP(VLOOKUP($B30,'20Trips'!$A$2:$I$22,4,FALSE),'20Trips'!$AB$32:$AH$36,3,FALSE))/1440),1,0)</f>
        <v>#N/A</v>
      </c>
      <c r="AD30" s="2" t="e">
        <f>IF(AND(VLOOKUP(AD$1,'20Trips'!$A$3:$F$22,5,FALSE) - VLOOKUP($B30,'20Trips'!$A$3:$G$22,6,FALSE) &gt;= ('20Trips'!$B$23+VLOOKUP(VLOOKUP($B30,'20Trips'!$A$2:$I$22,4,FALSE),'20Trips'!$AB$32:$AH$36,3,FALSE))/1440),1,0)</f>
        <v>#N/A</v>
      </c>
      <c r="AE30" s="2" t="e">
        <f>IF(AND(VLOOKUP(AE$1,'20Trips'!$A$3:$F$22,5,FALSE) - VLOOKUP($B30,'20Trips'!$A$3:$G$22,6,FALSE) &gt;= ('20Trips'!$B$23+VLOOKUP(VLOOKUP($B30,'20Trips'!$A$2:$I$22,4,FALSE),'20Trips'!$AB$32:$AH$36,3,FALSE))/1440),1,0)</f>
        <v>#N/A</v>
      </c>
      <c r="AF30" s="2" t="e">
        <f>IF(AND(VLOOKUP(AF$1,'20Trips'!$A$3:$F$22,5,FALSE) - VLOOKUP($B30,'20Trips'!$A$3:$G$22,6,FALSE) &gt;= ('20Trips'!$B$23+VLOOKUP(VLOOKUP($B30,'20Trips'!$A$2:$I$22,4,FALSE),'20Trips'!$AB$32:$AH$36,3,FALSE))/1440),1,0)</f>
        <v>#N/A</v>
      </c>
      <c r="AG30" s="2" t="e">
        <f>IF(AND(VLOOKUP(AG$1,'20Trips'!$A$3:$F$22,5,FALSE) - VLOOKUP($B30,'20Trips'!$A$3:$G$22,6,FALSE) &gt;= ('20Trips'!$B$23+VLOOKUP(VLOOKUP($B30,'20Trips'!$A$2:$I$22,4,FALSE),'20Trips'!$AB$32:$AH$36,3,FALSE))/1440),1,0)</f>
        <v>#N/A</v>
      </c>
    </row>
    <row r="31" spans="1:33" x14ac:dyDescent="0.25">
      <c r="A31" t="s">
        <v>48</v>
      </c>
      <c r="B31" t="s">
        <v>40</v>
      </c>
      <c r="C31">
        <v>0</v>
      </c>
      <c r="D31" s="2" t="e">
        <f>IF(AND(VLOOKUP(D$1,'20Trips'!$A$3:$F$22,5,FALSE) - VLOOKUP($B31,'20Trips'!$A$3:$G$22,6,FALSE) &gt;= ('20Trips'!$B$23+VLOOKUP(VLOOKUP($B31,'20Trips'!$A$2:$I$22,4,FALSE),'20Trips'!$AB$32:$AH$36,3,FALSE))/1440),1,0)</f>
        <v>#N/A</v>
      </c>
      <c r="E31" s="2" t="e">
        <f>IF(AND(VLOOKUP(E$1,'20Trips'!$A$3:$F$22,5,FALSE) - VLOOKUP($B31,'20Trips'!$A$3:$G$22,6,FALSE) &gt;= ('20Trips'!$B$23+VLOOKUP(VLOOKUP($B31,'20Trips'!$A$2:$I$22,4,FALSE),'20Trips'!$AB$32:$AH$36,3,FALSE))/1440),1,0)</f>
        <v>#N/A</v>
      </c>
      <c r="F31" s="2" t="e">
        <f>IF(AND(VLOOKUP(F$1,'20Trips'!$A$3:$F$22,5,FALSE) - VLOOKUP($B31,'20Trips'!$A$3:$G$22,6,FALSE) &gt;= ('20Trips'!$B$23+VLOOKUP(VLOOKUP($B31,'20Trips'!$A$2:$I$22,4,FALSE),'20Trips'!$AB$32:$AH$36,3,FALSE))/1440),1,0)</f>
        <v>#N/A</v>
      </c>
      <c r="G31" s="2" t="e">
        <f>IF(AND(VLOOKUP(G$1,'20Trips'!$A$3:$F$22,5,FALSE) - VLOOKUP($B31,'20Trips'!$A$3:$G$22,6,FALSE) &gt;= ('20Trips'!$B$23+VLOOKUP(VLOOKUP($B31,'20Trips'!$A$2:$I$22,4,FALSE),'20Trips'!$AB$32:$AH$36,3,FALSE))/1440),1,0)</f>
        <v>#N/A</v>
      </c>
      <c r="H31" s="2" t="e">
        <f>IF(AND(VLOOKUP(H$1,'20Trips'!$A$3:$F$22,5,FALSE) - VLOOKUP($B31,'20Trips'!$A$3:$G$22,6,FALSE) &gt;= ('20Trips'!$B$23+VLOOKUP(VLOOKUP($B31,'20Trips'!$A$2:$I$22,4,FALSE),'20Trips'!$AB$32:$AH$36,3,FALSE))/1440),1,0)</f>
        <v>#N/A</v>
      </c>
      <c r="I31" s="2" t="e">
        <f>IF(AND(VLOOKUP(I$1,'20Trips'!$A$3:$F$22,5,FALSE) - VLOOKUP($B31,'20Trips'!$A$3:$G$22,6,FALSE) &gt;= ('20Trips'!$B$23+VLOOKUP(VLOOKUP($B31,'20Trips'!$A$2:$I$22,4,FALSE),'20Trips'!$AB$32:$AH$36,3,FALSE))/1440),1,0)</f>
        <v>#N/A</v>
      </c>
      <c r="J31" s="2" t="e">
        <f>IF(AND(VLOOKUP(J$1,'20Trips'!$A$3:$F$22,5,FALSE) - VLOOKUP($B31,'20Trips'!$A$3:$G$22,6,FALSE) &gt;= ('20Trips'!$B$23+VLOOKUP(VLOOKUP($B31,'20Trips'!$A$2:$I$22,4,FALSE),'20Trips'!$AB$32:$AH$36,3,FALSE))/1440),1,0)</f>
        <v>#N/A</v>
      </c>
      <c r="K31" s="2" t="e">
        <f>IF(AND(VLOOKUP(K$1,'20Trips'!$A$3:$F$22,5,FALSE) - VLOOKUP($B31,'20Trips'!$A$3:$G$22,6,FALSE) &gt;= ('20Trips'!$B$23+VLOOKUP(VLOOKUP($B31,'20Trips'!$A$2:$I$22,4,FALSE),'20Trips'!$AB$32:$AH$36,3,FALSE))/1440),1,0)</f>
        <v>#N/A</v>
      </c>
      <c r="L31" s="2" t="e">
        <f>IF(AND(VLOOKUP(L$1,'20Trips'!$A$3:$F$22,5,FALSE) - VLOOKUP($B31,'20Trips'!$A$3:$G$22,6,FALSE) &gt;= ('20Trips'!$B$23+VLOOKUP(VLOOKUP($B31,'20Trips'!$A$2:$I$22,4,FALSE),'20Trips'!$AB$32:$AH$36,3,FALSE))/1440),1,0)</f>
        <v>#N/A</v>
      </c>
      <c r="M31" s="2" t="e">
        <f>IF(AND(VLOOKUP(M$1,'20Trips'!$A$3:$F$22,5,FALSE) - VLOOKUP($B31,'20Trips'!$A$3:$G$22,6,FALSE) &gt;= ('20Trips'!$B$23+VLOOKUP(VLOOKUP($B31,'20Trips'!$A$2:$I$22,4,FALSE),'20Trips'!$AB$32:$AH$36,3,FALSE))/1440),1,0)</f>
        <v>#N/A</v>
      </c>
      <c r="N31" s="2" t="e">
        <f>IF(AND(VLOOKUP(N$1,'20Trips'!$A$3:$F$22,5,FALSE) - VLOOKUP($B31,'20Trips'!$A$3:$G$22,6,FALSE) &gt;= ('20Trips'!$B$23+VLOOKUP(VLOOKUP($B31,'20Trips'!$A$2:$I$22,4,FALSE),'20Trips'!$AB$32:$AH$36,3,FALSE))/1440),1,0)</f>
        <v>#N/A</v>
      </c>
      <c r="O31" s="2" t="e">
        <f>IF(AND(VLOOKUP(O$1,'20Trips'!$A$3:$F$22,5,FALSE) - VLOOKUP($B31,'20Trips'!$A$3:$G$22,6,FALSE) &gt;= ('20Trips'!$B$23+VLOOKUP(VLOOKUP($B31,'20Trips'!$A$2:$I$22,4,FALSE),'20Trips'!$AB$32:$AH$36,3,FALSE))/1440),1,0)</f>
        <v>#N/A</v>
      </c>
      <c r="P31" s="2" t="e">
        <f>IF(AND(VLOOKUP(P$1,'20Trips'!$A$3:$F$22,5,FALSE) - VLOOKUP($B31,'20Trips'!$A$3:$G$22,6,FALSE) &gt;= ('20Trips'!$B$23+VLOOKUP(VLOOKUP($B31,'20Trips'!$A$2:$I$22,4,FALSE),'20Trips'!$AB$32:$AH$36,3,FALSE))/1440),1,0)</f>
        <v>#N/A</v>
      </c>
      <c r="Q31" s="2" t="e">
        <f>IF(AND(VLOOKUP(Q$1,'20Trips'!$A$3:$F$22,5,FALSE) - VLOOKUP($B31,'20Trips'!$A$3:$G$22,6,FALSE) &gt;= ('20Trips'!$B$23+VLOOKUP(VLOOKUP($B31,'20Trips'!$A$2:$I$22,4,FALSE),'20Trips'!$AB$32:$AH$36,3,FALSE))/1440),1,0)</f>
        <v>#N/A</v>
      </c>
      <c r="R31" s="2" t="e">
        <f>IF(AND(VLOOKUP(R$1,'20Trips'!$A$3:$F$22,5,FALSE) - VLOOKUP($B31,'20Trips'!$A$3:$G$22,6,FALSE) &gt;= ('20Trips'!$B$23+VLOOKUP(VLOOKUP($B31,'20Trips'!$A$2:$I$22,4,FALSE),'20Trips'!$AB$32:$AH$36,3,FALSE))/1440),1,0)</f>
        <v>#N/A</v>
      </c>
      <c r="S31" s="2" t="e">
        <f>IF(AND(VLOOKUP(S$1,'20Trips'!$A$3:$F$22,5,FALSE) - VLOOKUP($B31,'20Trips'!$A$3:$G$22,6,FALSE) &gt;= ('20Trips'!$B$23+VLOOKUP(VLOOKUP($B31,'20Trips'!$A$2:$I$22,4,FALSE),'20Trips'!$AB$32:$AH$36,3,FALSE))/1440),1,0)</f>
        <v>#N/A</v>
      </c>
      <c r="T31" s="2" t="e">
        <f>IF(AND(VLOOKUP(T$1,'20Trips'!$A$3:$F$22,5,FALSE) - VLOOKUP($B31,'20Trips'!$A$3:$G$22,6,FALSE) &gt;= ('20Trips'!$B$23+VLOOKUP(VLOOKUP($B31,'20Trips'!$A$2:$I$22,4,FALSE),'20Trips'!$AB$32:$AH$36,3,FALSE))/1440),1,0)</f>
        <v>#N/A</v>
      </c>
      <c r="U31" s="2" t="e">
        <f>IF(AND(VLOOKUP(U$1,'20Trips'!$A$3:$F$22,5,FALSE) - VLOOKUP($B31,'20Trips'!$A$3:$G$22,6,FALSE) &gt;= ('20Trips'!$B$23+VLOOKUP(VLOOKUP($B31,'20Trips'!$A$2:$I$22,4,FALSE),'20Trips'!$AB$32:$AH$36,3,FALSE))/1440),1,0)</f>
        <v>#N/A</v>
      </c>
      <c r="V31" s="2" t="e">
        <f>IF(AND(VLOOKUP(V$1,'20Trips'!$A$3:$F$22,5,FALSE) - VLOOKUP($B31,'20Trips'!$A$3:$G$22,6,FALSE) &gt;= ('20Trips'!$B$23+VLOOKUP(VLOOKUP($B31,'20Trips'!$A$2:$I$22,4,FALSE),'20Trips'!$AB$32:$AH$36,3,FALSE))/1440),1,0)</f>
        <v>#N/A</v>
      </c>
      <c r="W31" s="2" t="e">
        <f>IF(AND(VLOOKUP(W$1,'20Trips'!$A$3:$F$22,5,FALSE) - VLOOKUP($B31,'20Trips'!$A$3:$G$22,6,FALSE) &gt;= ('20Trips'!$B$23+VLOOKUP(VLOOKUP($B31,'20Trips'!$A$2:$I$22,4,FALSE),'20Trips'!$AB$32:$AH$36,3,FALSE))/1440),1,0)</f>
        <v>#N/A</v>
      </c>
      <c r="X31" s="2" t="e">
        <f>IF(AND(VLOOKUP(X$1,'20Trips'!$A$3:$F$22,5,FALSE) - VLOOKUP($B31,'20Trips'!$A$3:$G$22,6,FALSE) &gt;= ('20Trips'!$B$23+VLOOKUP(VLOOKUP($B31,'20Trips'!$A$2:$I$22,4,FALSE),'20Trips'!$AB$32:$AH$36,3,FALSE))/1440),1,0)</f>
        <v>#N/A</v>
      </c>
      <c r="Y31" s="2" t="e">
        <f>IF(AND(VLOOKUP(Y$1,'20Trips'!$A$3:$F$22,5,FALSE) - VLOOKUP($B31,'20Trips'!$A$3:$G$22,6,FALSE) &gt;= ('20Trips'!$B$23+VLOOKUP(VLOOKUP($B31,'20Trips'!$A$2:$I$22,4,FALSE),'20Trips'!$AB$32:$AH$36,3,FALSE))/1440),1,0)</f>
        <v>#N/A</v>
      </c>
      <c r="Z31" s="2" t="e">
        <f>IF(AND(VLOOKUP(Z$1,'20Trips'!$A$3:$F$22,5,FALSE) - VLOOKUP($B31,'20Trips'!$A$3:$G$22,6,FALSE) &gt;= ('20Trips'!$B$23+VLOOKUP(VLOOKUP($B31,'20Trips'!$A$2:$I$22,4,FALSE),'20Trips'!$AB$32:$AH$36,3,FALSE))/1440),1,0)</f>
        <v>#N/A</v>
      </c>
      <c r="AA31" s="2" t="e">
        <f>IF(AND(VLOOKUP(AA$1,'20Trips'!$A$3:$F$22,5,FALSE) - VLOOKUP($B31,'20Trips'!$A$3:$G$22,6,FALSE) &gt;= ('20Trips'!$B$23+VLOOKUP(VLOOKUP($B31,'20Trips'!$A$2:$I$22,4,FALSE),'20Trips'!$AB$32:$AH$36,3,FALSE))/1440),1,0)</f>
        <v>#N/A</v>
      </c>
      <c r="AB31" s="2" t="e">
        <f>IF(AND(VLOOKUP(AB$1,'20Trips'!$A$3:$F$22,5,FALSE) - VLOOKUP($B31,'20Trips'!$A$3:$G$22,6,FALSE) &gt;= ('20Trips'!$B$23+VLOOKUP(VLOOKUP($B31,'20Trips'!$A$2:$I$22,4,FALSE),'20Trips'!$AB$32:$AH$36,3,FALSE))/1440),1,0)</f>
        <v>#N/A</v>
      </c>
      <c r="AC31" s="2" t="e">
        <f>IF(AND(VLOOKUP(AC$1,'20Trips'!$A$3:$F$22,5,FALSE) - VLOOKUP($B31,'20Trips'!$A$3:$G$22,6,FALSE) &gt;= ('20Trips'!$B$23+VLOOKUP(VLOOKUP($B31,'20Trips'!$A$2:$I$22,4,FALSE),'20Trips'!$AB$32:$AH$36,3,FALSE))/1440),1,0)</f>
        <v>#N/A</v>
      </c>
      <c r="AD31" s="2" t="e">
        <f>IF(AND(VLOOKUP(AD$1,'20Trips'!$A$3:$F$22,5,FALSE) - VLOOKUP($B31,'20Trips'!$A$3:$G$22,6,FALSE) &gt;= ('20Trips'!$B$23+VLOOKUP(VLOOKUP($B31,'20Trips'!$A$2:$I$22,4,FALSE),'20Trips'!$AB$32:$AH$36,3,FALSE))/1440),1,0)</f>
        <v>#N/A</v>
      </c>
      <c r="AE31" s="2" t="e">
        <f>IF(AND(VLOOKUP(AE$1,'20Trips'!$A$3:$F$22,5,FALSE) - VLOOKUP($B31,'20Trips'!$A$3:$G$22,6,FALSE) &gt;= ('20Trips'!$B$23+VLOOKUP(VLOOKUP($B31,'20Trips'!$A$2:$I$22,4,FALSE),'20Trips'!$AB$32:$AH$36,3,FALSE))/1440),1,0)</f>
        <v>#N/A</v>
      </c>
      <c r="AF31" s="2" t="e">
        <f>IF(AND(VLOOKUP(AF$1,'20Trips'!$A$3:$F$22,5,FALSE) - VLOOKUP($B31,'20Trips'!$A$3:$G$22,6,FALSE) &gt;= ('20Trips'!$B$23+VLOOKUP(VLOOKUP($B31,'20Trips'!$A$2:$I$22,4,FALSE),'20Trips'!$AB$32:$AH$36,3,FALSE))/1440),1,0)</f>
        <v>#N/A</v>
      </c>
      <c r="AG31" s="2" t="e">
        <f>IF(AND(VLOOKUP(AG$1,'20Trips'!$A$3:$F$22,5,FALSE) - VLOOKUP($B31,'20Trips'!$A$3:$G$22,6,FALSE) &gt;= ('20Trips'!$B$23+VLOOKUP(VLOOKUP($B31,'20Trips'!$A$2:$I$22,4,FALSE),'20Trips'!$AB$32:$AH$36,3,FALSE))/1440),1,0)</f>
        <v>#N/A</v>
      </c>
    </row>
    <row r="32" spans="1:33" x14ac:dyDescent="0.25">
      <c r="A32" t="s">
        <v>48</v>
      </c>
      <c r="B32" t="s">
        <v>41</v>
      </c>
      <c r="C32">
        <v>0</v>
      </c>
      <c r="D32" s="2" t="e">
        <f>IF(AND(VLOOKUP(D$1,'20Trips'!$A$3:$F$22,5,FALSE) - VLOOKUP($B32,'20Trips'!$A$3:$G$22,6,FALSE) &gt;= ('20Trips'!$B$23+VLOOKUP(VLOOKUP($B32,'20Trips'!$A$2:$I$22,4,FALSE),'20Trips'!$AB$32:$AH$36,3,FALSE))/1440),1,0)</f>
        <v>#N/A</v>
      </c>
      <c r="E32" s="2" t="e">
        <f>IF(AND(VLOOKUP(E$1,'20Trips'!$A$3:$F$22,5,FALSE) - VLOOKUP($B32,'20Trips'!$A$3:$G$22,6,FALSE) &gt;= ('20Trips'!$B$23+VLOOKUP(VLOOKUP($B32,'20Trips'!$A$2:$I$22,4,FALSE),'20Trips'!$AB$32:$AH$36,3,FALSE))/1440),1,0)</f>
        <v>#N/A</v>
      </c>
      <c r="F32" s="2" t="e">
        <f>IF(AND(VLOOKUP(F$1,'20Trips'!$A$3:$F$22,5,FALSE) - VLOOKUP($B32,'20Trips'!$A$3:$G$22,6,FALSE) &gt;= ('20Trips'!$B$23+VLOOKUP(VLOOKUP($B32,'20Trips'!$A$2:$I$22,4,FALSE),'20Trips'!$AB$32:$AH$36,3,FALSE))/1440),1,0)</f>
        <v>#N/A</v>
      </c>
      <c r="G32" s="2" t="e">
        <f>IF(AND(VLOOKUP(G$1,'20Trips'!$A$3:$F$22,5,FALSE) - VLOOKUP($B32,'20Trips'!$A$3:$G$22,6,FALSE) &gt;= ('20Trips'!$B$23+VLOOKUP(VLOOKUP($B32,'20Trips'!$A$2:$I$22,4,FALSE),'20Trips'!$AB$32:$AH$36,3,FALSE))/1440),1,0)</f>
        <v>#N/A</v>
      </c>
      <c r="H32" s="2" t="e">
        <f>IF(AND(VLOOKUP(H$1,'20Trips'!$A$3:$F$22,5,FALSE) - VLOOKUP($B32,'20Trips'!$A$3:$G$22,6,FALSE) &gt;= ('20Trips'!$B$23+VLOOKUP(VLOOKUP($B32,'20Trips'!$A$2:$I$22,4,FALSE),'20Trips'!$AB$32:$AH$36,3,FALSE))/1440),1,0)</f>
        <v>#N/A</v>
      </c>
      <c r="I32" s="2" t="e">
        <f>IF(AND(VLOOKUP(I$1,'20Trips'!$A$3:$F$22,5,FALSE) - VLOOKUP($B32,'20Trips'!$A$3:$G$22,6,FALSE) &gt;= ('20Trips'!$B$23+VLOOKUP(VLOOKUP($B32,'20Trips'!$A$2:$I$22,4,FALSE),'20Trips'!$AB$32:$AH$36,3,FALSE))/1440),1,0)</f>
        <v>#N/A</v>
      </c>
      <c r="J32" s="2" t="e">
        <f>IF(AND(VLOOKUP(J$1,'20Trips'!$A$3:$F$22,5,FALSE) - VLOOKUP($B32,'20Trips'!$A$3:$G$22,6,FALSE) &gt;= ('20Trips'!$B$23+VLOOKUP(VLOOKUP($B32,'20Trips'!$A$2:$I$22,4,FALSE),'20Trips'!$AB$32:$AH$36,3,FALSE))/1440),1,0)</f>
        <v>#N/A</v>
      </c>
      <c r="K32" s="2" t="e">
        <f>IF(AND(VLOOKUP(K$1,'20Trips'!$A$3:$F$22,5,FALSE) - VLOOKUP($B32,'20Trips'!$A$3:$G$22,6,FALSE) &gt;= ('20Trips'!$B$23+VLOOKUP(VLOOKUP($B32,'20Trips'!$A$2:$I$22,4,FALSE),'20Trips'!$AB$32:$AH$36,3,FALSE))/1440),1,0)</f>
        <v>#N/A</v>
      </c>
      <c r="L32" s="2" t="e">
        <f>IF(AND(VLOOKUP(L$1,'20Trips'!$A$3:$F$22,5,FALSE) - VLOOKUP($B32,'20Trips'!$A$3:$G$22,6,FALSE) &gt;= ('20Trips'!$B$23+VLOOKUP(VLOOKUP($B32,'20Trips'!$A$2:$I$22,4,FALSE),'20Trips'!$AB$32:$AH$36,3,FALSE))/1440),1,0)</f>
        <v>#N/A</v>
      </c>
      <c r="M32" s="2" t="e">
        <f>IF(AND(VLOOKUP(M$1,'20Trips'!$A$3:$F$22,5,FALSE) - VLOOKUP($B32,'20Trips'!$A$3:$G$22,6,FALSE) &gt;= ('20Trips'!$B$23+VLOOKUP(VLOOKUP($B32,'20Trips'!$A$2:$I$22,4,FALSE),'20Trips'!$AB$32:$AH$36,3,FALSE))/1440),1,0)</f>
        <v>#N/A</v>
      </c>
      <c r="N32" s="2" t="e">
        <f>IF(AND(VLOOKUP(N$1,'20Trips'!$A$3:$F$22,5,FALSE) - VLOOKUP($B32,'20Trips'!$A$3:$G$22,6,FALSE) &gt;= ('20Trips'!$B$23+VLOOKUP(VLOOKUP($B32,'20Trips'!$A$2:$I$22,4,FALSE),'20Trips'!$AB$32:$AH$36,3,FALSE))/1440),1,0)</f>
        <v>#N/A</v>
      </c>
      <c r="O32" s="2" t="e">
        <f>IF(AND(VLOOKUP(O$1,'20Trips'!$A$3:$F$22,5,FALSE) - VLOOKUP($B32,'20Trips'!$A$3:$G$22,6,FALSE) &gt;= ('20Trips'!$B$23+VLOOKUP(VLOOKUP($B32,'20Trips'!$A$2:$I$22,4,FALSE),'20Trips'!$AB$32:$AH$36,3,FALSE))/1440),1,0)</f>
        <v>#N/A</v>
      </c>
      <c r="P32" s="2" t="e">
        <f>IF(AND(VLOOKUP(P$1,'20Trips'!$A$3:$F$22,5,FALSE) - VLOOKUP($B32,'20Trips'!$A$3:$G$22,6,FALSE) &gt;= ('20Trips'!$B$23+VLOOKUP(VLOOKUP($B32,'20Trips'!$A$2:$I$22,4,FALSE),'20Trips'!$AB$32:$AH$36,3,FALSE))/1440),1,0)</f>
        <v>#N/A</v>
      </c>
      <c r="Q32" s="2" t="e">
        <f>IF(AND(VLOOKUP(Q$1,'20Trips'!$A$3:$F$22,5,FALSE) - VLOOKUP($B32,'20Trips'!$A$3:$G$22,6,FALSE) &gt;= ('20Trips'!$B$23+VLOOKUP(VLOOKUP($B32,'20Trips'!$A$2:$I$22,4,FALSE),'20Trips'!$AB$32:$AH$36,3,FALSE))/1440),1,0)</f>
        <v>#N/A</v>
      </c>
      <c r="R32" s="2" t="e">
        <f>IF(AND(VLOOKUP(R$1,'20Trips'!$A$3:$F$22,5,FALSE) - VLOOKUP($B32,'20Trips'!$A$3:$G$22,6,FALSE) &gt;= ('20Trips'!$B$23+VLOOKUP(VLOOKUP($B32,'20Trips'!$A$2:$I$22,4,FALSE),'20Trips'!$AB$32:$AH$36,3,FALSE))/1440),1,0)</f>
        <v>#N/A</v>
      </c>
      <c r="S32" s="2" t="e">
        <f>IF(AND(VLOOKUP(S$1,'20Trips'!$A$3:$F$22,5,FALSE) - VLOOKUP($B32,'20Trips'!$A$3:$G$22,6,FALSE) &gt;= ('20Trips'!$B$23+VLOOKUP(VLOOKUP($B32,'20Trips'!$A$2:$I$22,4,FALSE),'20Trips'!$AB$32:$AH$36,3,FALSE))/1440),1,0)</f>
        <v>#N/A</v>
      </c>
      <c r="T32" s="2" t="e">
        <f>IF(AND(VLOOKUP(T$1,'20Trips'!$A$3:$F$22,5,FALSE) - VLOOKUP($B32,'20Trips'!$A$3:$G$22,6,FALSE) &gt;= ('20Trips'!$B$23+VLOOKUP(VLOOKUP($B32,'20Trips'!$A$2:$I$22,4,FALSE),'20Trips'!$AB$32:$AH$36,3,FALSE))/1440),1,0)</f>
        <v>#N/A</v>
      </c>
      <c r="U32" s="2" t="e">
        <f>IF(AND(VLOOKUP(U$1,'20Trips'!$A$3:$F$22,5,FALSE) - VLOOKUP($B32,'20Trips'!$A$3:$G$22,6,FALSE) &gt;= ('20Trips'!$B$23+VLOOKUP(VLOOKUP($B32,'20Trips'!$A$2:$I$22,4,FALSE),'20Trips'!$AB$32:$AH$36,3,FALSE))/1440),1,0)</f>
        <v>#N/A</v>
      </c>
      <c r="V32" s="2" t="e">
        <f>IF(AND(VLOOKUP(V$1,'20Trips'!$A$3:$F$22,5,FALSE) - VLOOKUP($B32,'20Trips'!$A$3:$G$22,6,FALSE) &gt;= ('20Trips'!$B$23+VLOOKUP(VLOOKUP($B32,'20Trips'!$A$2:$I$22,4,FALSE),'20Trips'!$AB$32:$AH$36,3,FALSE))/1440),1,0)</f>
        <v>#N/A</v>
      </c>
      <c r="W32" s="2" t="e">
        <f>IF(AND(VLOOKUP(W$1,'20Trips'!$A$3:$F$22,5,FALSE) - VLOOKUP($B32,'20Trips'!$A$3:$G$22,6,FALSE) &gt;= ('20Trips'!$B$23+VLOOKUP(VLOOKUP($B32,'20Trips'!$A$2:$I$22,4,FALSE),'20Trips'!$AB$32:$AH$36,3,FALSE))/1440),1,0)</f>
        <v>#N/A</v>
      </c>
      <c r="X32" s="2" t="e">
        <f>IF(AND(VLOOKUP(X$1,'20Trips'!$A$3:$F$22,5,FALSE) - VLOOKUP($B32,'20Trips'!$A$3:$G$22,6,FALSE) &gt;= ('20Trips'!$B$23+VLOOKUP(VLOOKUP($B32,'20Trips'!$A$2:$I$22,4,FALSE),'20Trips'!$AB$32:$AH$36,3,FALSE))/1440),1,0)</f>
        <v>#N/A</v>
      </c>
      <c r="Y32" s="2" t="e">
        <f>IF(AND(VLOOKUP(Y$1,'20Trips'!$A$3:$F$22,5,FALSE) - VLOOKUP($B32,'20Trips'!$A$3:$G$22,6,FALSE) &gt;= ('20Trips'!$B$23+VLOOKUP(VLOOKUP($B32,'20Trips'!$A$2:$I$22,4,FALSE),'20Trips'!$AB$32:$AH$36,3,FALSE))/1440),1,0)</f>
        <v>#N/A</v>
      </c>
      <c r="Z32" s="2" t="e">
        <f>IF(AND(VLOOKUP(Z$1,'20Trips'!$A$3:$F$22,5,FALSE) - VLOOKUP($B32,'20Trips'!$A$3:$G$22,6,FALSE) &gt;= ('20Trips'!$B$23+VLOOKUP(VLOOKUP($B32,'20Trips'!$A$2:$I$22,4,FALSE),'20Trips'!$AB$32:$AH$36,3,FALSE))/1440),1,0)</f>
        <v>#N/A</v>
      </c>
      <c r="AA32" s="2" t="e">
        <f>IF(AND(VLOOKUP(AA$1,'20Trips'!$A$3:$F$22,5,FALSE) - VLOOKUP($B32,'20Trips'!$A$3:$G$22,6,FALSE) &gt;= ('20Trips'!$B$23+VLOOKUP(VLOOKUP($B32,'20Trips'!$A$2:$I$22,4,FALSE),'20Trips'!$AB$32:$AH$36,3,FALSE))/1440),1,0)</f>
        <v>#N/A</v>
      </c>
      <c r="AB32" s="2" t="e">
        <f>IF(AND(VLOOKUP(AB$1,'20Trips'!$A$3:$F$22,5,FALSE) - VLOOKUP($B32,'20Trips'!$A$3:$G$22,6,FALSE) &gt;= ('20Trips'!$B$23+VLOOKUP(VLOOKUP($B32,'20Trips'!$A$2:$I$22,4,FALSE),'20Trips'!$AB$32:$AH$36,3,FALSE))/1440),1,0)</f>
        <v>#N/A</v>
      </c>
      <c r="AC32" s="2" t="e">
        <f>IF(AND(VLOOKUP(AC$1,'20Trips'!$A$3:$F$22,5,FALSE) - VLOOKUP($B32,'20Trips'!$A$3:$G$22,6,FALSE) &gt;= ('20Trips'!$B$23+VLOOKUP(VLOOKUP($B32,'20Trips'!$A$2:$I$22,4,FALSE),'20Trips'!$AB$32:$AH$36,3,FALSE))/1440),1,0)</f>
        <v>#N/A</v>
      </c>
      <c r="AD32" s="2" t="e">
        <f>IF(AND(VLOOKUP(AD$1,'20Trips'!$A$3:$F$22,5,FALSE) - VLOOKUP($B32,'20Trips'!$A$3:$G$22,6,FALSE) &gt;= ('20Trips'!$B$23+VLOOKUP(VLOOKUP($B32,'20Trips'!$A$2:$I$22,4,FALSE),'20Trips'!$AB$32:$AH$36,3,FALSE))/1440),1,0)</f>
        <v>#N/A</v>
      </c>
      <c r="AE32" s="2" t="e">
        <f>IF(AND(VLOOKUP(AE$1,'20Trips'!$A$3:$F$22,5,FALSE) - VLOOKUP($B32,'20Trips'!$A$3:$G$22,6,FALSE) &gt;= ('20Trips'!$B$23+VLOOKUP(VLOOKUP($B32,'20Trips'!$A$2:$I$22,4,FALSE),'20Trips'!$AB$32:$AH$36,3,FALSE))/1440),1,0)</f>
        <v>#N/A</v>
      </c>
      <c r="AF32" s="2" t="e">
        <f>IF(AND(VLOOKUP(AF$1,'20Trips'!$A$3:$F$22,5,FALSE) - VLOOKUP($B32,'20Trips'!$A$3:$G$22,6,FALSE) &gt;= ('20Trips'!$B$23+VLOOKUP(VLOOKUP($B32,'20Trips'!$A$2:$I$22,4,FALSE),'20Trips'!$AB$32:$AH$36,3,FALSE))/1440),1,0)</f>
        <v>#N/A</v>
      </c>
      <c r="AG32" s="2" t="e">
        <f>IF(AND(VLOOKUP(AG$1,'20Trips'!$A$3:$F$22,5,FALSE) - VLOOKUP($B32,'20Trips'!$A$3:$G$22,6,FALSE) &gt;= ('20Trips'!$B$23+VLOOKUP(VLOOKUP($B32,'20Trips'!$A$2:$I$22,4,FALSE),'20Trips'!$AB$32:$AH$36,3,FALSE))/1440),1,0)</f>
        <v>#N/A</v>
      </c>
    </row>
    <row r="33" spans="1:33" x14ac:dyDescent="0.25">
      <c r="A33" t="s">
        <v>62</v>
      </c>
      <c r="B33" t="s">
        <v>46</v>
      </c>
      <c r="C33">
        <v>0</v>
      </c>
      <c r="D33" s="2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 t="s">
        <v>62</v>
      </c>
      <c r="B34" t="s">
        <v>6</v>
      </c>
      <c r="C34">
        <v>0</v>
      </c>
      <c r="D34" s="2">
        <f>IF(AND(VLOOKUP(D$1,'20Trips'!$A$3:$F$22,5,FALSE) - VLOOKUP($B34,'20Trips'!$A$3:$G$22,6,FALSE) &gt;= ('20Trips'!$B$24+VLOOKUP(VLOOKUP($B34,'20Trips'!$A$2:$I$22,4,FALSE),'20Trips'!$AB$46:$AH$50,4,FALSE))/1440),1,0)</f>
        <v>0</v>
      </c>
      <c r="E34" s="2">
        <f>IF(AND(VLOOKUP(E$1,'20Trips'!$A$3:$F$22,5,FALSE) - VLOOKUP($B34,'20Trips'!$A$3:$G$22,6,FALSE) &gt;= ('20Trips'!$B$24+VLOOKUP(VLOOKUP($B34,'20Trips'!$A$2:$I$22,4,FALSE),'20Trips'!$AB$46:$AH$50,4,FALSE))/1440),1,0)</f>
        <v>0</v>
      </c>
      <c r="F34" s="2">
        <f>IF(AND(VLOOKUP(F$1,'20Trips'!$A$3:$F$22,5,FALSE) - VLOOKUP($B34,'20Trips'!$A$3:$G$22,6,FALSE) &gt;= ('20Trips'!$B$24+VLOOKUP(VLOOKUP($B34,'20Trips'!$A$2:$I$22,4,FALSE),'20Trips'!$AB$46:$AH$50,4,FALSE))/1440),1,0)</f>
        <v>1</v>
      </c>
      <c r="G34" s="2">
        <f>IF(AND(VLOOKUP(G$1,'20Trips'!$A$3:$F$22,5,FALSE) - VLOOKUP($B34,'20Trips'!$A$3:$G$22,6,FALSE) &gt;= ('20Trips'!$B$24+VLOOKUP(VLOOKUP($B34,'20Trips'!$A$2:$I$22,4,FALSE),'20Trips'!$AB$46:$AH$50,4,FALSE))/1440),1,0)</f>
        <v>1</v>
      </c>
      <c r="H34" s="2">
        <f>IF(AND(VLOOKUP(H$1,'20Trips'!$A$3:$F$22,5,FALSE) - VLOOKUP($B34,'20Trips'!$A$3:$G$22,6,FALSE) &gt;= ('20Trips'!$B$24+VLOOKUP(VLOOKUP($B34,'20Trips'!$A$2:$I$22,4,FALSE),'20Trips'!$AB$46:$AH$50,4,FALSE))/1440),1,0)</f>
        <v>1</v>
      </c>
      <c r="I34" s="2" t="e">
        <f>IF(AND(VLOOKUP(I$1,'20Trips'!$A$3:$F$22,5,FALSE) - VLOOKUP($B34,'20Trips'!$A$3:$G$22,6,FALSE) &gt;= ('20Trips'!$B$24+VLOOKUP(VLOOKUP($B34,'20Trips'!$A$2:$I$22,4,FALSE),'20Trips'!$AB$46:$AH$50,4,FALSE))/1440),1,0)</f>
        <v>#N/A</v>
      </c>
      <c r="J34" s="2" t="e">
        <f>IF(AND(VLOOKUP(J$1,'20Trips'!$A$3:$F$22,5,FALSE) - VLOOKUP($B34,'20Trips'!$A$3:$G$22,6,FALSE) &gt;= ('20Trips'!$B$24+VLOOKUP(VLOOKUP($B34,'20Trips'!$A$2:$I$22,4,FALSE),'20Trips'!$AB$46:$AH$50,4,FALSE))/1440),1,0)</f>
        <v>#N/A</v>
      </c>
      <c r="K34" s="2" t="e">
        <f>IF(AND(VLOOKUP(K$1,'20Trips'!$A$3:$F$22,5,FALSE) - VLOOKUP($B34,'20Trips'!$A$3:$G$22,6,FALSE) &gt;= ('20Trips'!$B$24+VLOOKUP(VLOOKUP($B34,'20Trips'!$A$2:$I$22,4,FALSE),'20Trips'!$AB$46:$AH$50,4,FALSE))/1440),1,0)</f>
        <v>#N/A</v>
      </c>
      <c r="L34" s="2">
        <f>IF(AND(VLOOKUP(L$1,'20Trips'!$A$3:$F$22,5,FALSE) - VLOOKUP($B34,'20Trips'!$A$3:$G$22,6,FALSE) &gt;= ('20Trips'!$B$24+VLOOKUP(VLOOKUP($B34,'20Trips'!$A$2:$I$22,4,FALSE),'20Trips'!$AB$46:$AH$50,4,FALSE))/1440),1,0)</f>
        <v>0</v>
      </c>
      <c r="M34" s="2">
        <f>IF(AND(VLOOKUP(M$1,'20Trips'!$A$3:$F$22,5,FALSE) - VLOOKUP($B34,'20Trips'!$A$3:$G$22,6,FALSE) &gt;= ('20Trips'!$B$24+VLOOKUP(VLOOKUP($B34,'20Trips'!$A$2:$I$22,4,FALSE),'20Trips'!$AB$46:$AH$50,4,FALSE))/1440),1,0)</f>
        <v>0</v>
      </c>
      <c r="N34" s="2">
        <f>IF(AND(VLOOKUP(N$1,'20Trips'!$A$3:$F$22,5,FALSE) - VLOOKUP($B34,'20Trips'!$A$3:$G$22,6,FALSE) &gt;= ('20Trips'!$B$24+VLOOKUP(VLOOKUP($B34,'20Trips'!$A$2:$I$22,4,FALSE),'20Trips'!$AB$46:$AH$50,4,FALSE))/1440),1,0)</f>
        <v>0</v>
      </c>
      <c r="O34" s="2">
        <f>IF(AND(VLOOKUP(O$1,'20Trips'!$A$3:$F$22,5,FALSE) - VLOOKUP($B34,'20Trips'!$A$3:$G$22,6,FALSE) &gt;= ('20Trips'!$B$24+VLOOKUP(VLOOKUP($B34,'20Trips'!$A$2:$I$22,4,FALSE),'20Trips'!$AB$46:$AH$50,4,FALSE))/1440),1,0)</f>
        <v>1</v>
      </c>
      <c r="P34" s="2">
        <f>IF(AND(VLOOKUP(P$1,'20Trips'!$A$3:$F$22,5,FALSE) - VLOOKUP($B34,'20Trips'!$A$3:$G$22,6,FALSE) &gt;= ('20Trips'!$B$24+VLOOKUP(VLOOKUP($B34,'20Trips'!$A$2:$I$22,4,FALSE),'20Trips'!$AB$46:$AH$50,4,FALSE))/1440),1,0)</f>
        <v>1</v>
      </c>
      <c r="Q34" s="2" t="e">
        <f>IF(AND(VLOOKUP(Q$1,'20Trips'!$A$3:$F$22,5,FALSE) - VLOOKUP($B34,'20Trips'!$A$3:$G$22,6,FALSE) &gt;= ('20Trips'!$B$24+VLOOKUP(VLOOKUP($B34,'20Trips'!$A$2:$I$22,4,FALSE),'20Trips'!$AB$46:$AH$50,4,FALSE))/1440),1,0)</f>
        <v>#N/A</v>
      </c>
      <c r="R34" s="2">
        <f>IF(AND(VLOOKUP(R$1,'20Trips'!$A$3:$F$22,5,FALSE) - VLOOKUP($B34,'20Trips'!$A$3:$G$22,6,FALSE) &gt;= ('20Trips'!$B$24+VLOOKUP(VLOOKUP($B34,'20Trips'!$A$2:$I$22,4,FALSE),'20Trips'!$AB$46:$AH$50,4,FALSE))/1440),1,0)</f>
        <v>0</v>
      </c>
      <c r="S34" s="2">
        <f>IF(AND(VLOOKUP(S$1,'20Trips'!$A$3:$F$22,5,FALSE) - VLOOKUP($B34,'20Trips'!$A$3:$G$22,6,FALSE) &gt;= ('20Trips'!$B$24+VLOOKUP(VLOOKUP($B34,'20Trips'!$A$2:$I$22,4,FALSE),'20Trips'!$AB$46:$AH$50,4,FALSE))/1440),1,0)</f>
        <v>0</v>
      </c>
      <c r="T34" s="2">
        <f>IF(AND(VLOOKUP(T$1,'20Trips'!$A$3:$F$22,5,FALSE) - VLOOKUP($B34,'20Trips'!$A$3:$G$22,6,FALSE) &gt;= ('20Trips'!$B$24+VLOOKUP(VLOOKUP($B34,'20Trips'!$A$2:$I$22,4,FALSE),'20Trips'!$AB$46:$AH$50,4,FALSE))/1440),1,0)</f>
        <v>0</v>
      </c>
      <c r="U34" s="2">
        <f>IF(AND(VLOOKUP(U$1,'20Trips'!$A$3:$F$22,5,FALSE) - VLOOKUP($B34,'20Trips'!$A$3:$G$22,6,FALSE) &gt;= ('20Trips'!$B$24+VLOOKUP(VLOOKUP($B34,'20Trips'!$A$2:$I$22,4,FALSE),'20Trips'!$AB$46:$AH$50,4,FALSE))/1440),1,0)</f>
        <v>0</v>
      </c>
      <c r="V34" s="2">
        <f>IF(AND(VLOOKUP(V$1,'20Trips'!$A$3:$F$22,5,FALSE) - VLOOKUP($B34,'20Trips'!$A$3:$G$22,6,FALSE) &gt;= ('20Trips'!$B$24+VLOOKUP(VLOOKUP($B34,'20Trips'!$A$2:$I$22,4,FALSE),'20Trips'!$AB$46:$AH$50,4,FALSE))/1440),1,0)</f>
        <v>1</v>
      </c>
      <c r="W34" s="2" t="e">
        <f>IF(AND(VLOOKUP(W$1,'20Trips'!$A$3:$F$22,5,FALSE) - VLOOKUP($B34,'20Trips'!$A$3:$G$22,6,FALSE) &gt;= ('20Trips'!$B$24+VLOOKUP(VLOOKUP($B34,'20Trips'!$A$2:$I$22,4,FALSE),'20Trips'!$AB$46:$AH$50,4,FALSE))/1440),1,0)</f>
        <v>#N/A</v>
      </c>
      <c r="X34" s="2" t="e">
        <f>IF(AND(VLOOKUP(X$1,'20Trips'!$A$3:$F$22,5,FALSE) - VLOOKUP($B34,'20Trips'!$A$3:$G$22,6,FALSE) &gt;= ('20Trips'!$B$24+VLOOKUP(VLOOKUP($B34,'20Trips'!$A$2:$I$22,4,FALSE),'20Trips'!$AB$46:$AH$50,4,FALSE))/1440),1,0)</f>
        <v>#N/A</v>
      </c>
      <c r="Y34" s="2" t="e">
        <f>IF(AND(VLOOKUP(Y$1,'20Trips'!$A$3:$F$22,5,FALSE) - VLOOKUP($B34,'20Trips'!$A$3:$G$22,6,FALSE) &gt;= ('20Trips'!$B$24+VLOOKUP(VLOOKUP($B34,'20Trips'!$A$2:$I$22,4,FALSE),'20Trips'!$AB$46:$AH$50,4,FALSE))/1440),1,0)</f>
        <v>#N/A</v>
      </c>
      <c r="Z34" s="2">
        <f>IF(AND(VLOOKUP(Z$1,'20Trips'!$A$3:$F$22,5,FALSE) - VLOOKUP($B34,'20Trips'!$A$3:$G$22,6,FALSE) &gt;= ('20Trips'!$B$24+VLOOKUP(VLOOKUP($B34,'20Trips'!$A$2:$I$22,4,FALSE),'20Trips'!$AB$46:$AH$50,4,FALSE))/1440),1,0)</f>
        <v>0</v>
      </c>
      <c r="AA34" s="2">
        <f>IF(AND(VLOOKUP(AA$1,'20Trips'!$A$3:$F$22,5,FALSE) - VLOOKUP($B34,'20Trips'!$A$3:$G$22,6,FALSE) &gt;= ('20Trips'!$B$24+VLOOKUP(VLOOKUP($B34,'20Trips'!$A$2:$I$22,4,FALSE),'20Trips'!$AB$46:$AH$50,4,FALSE))/1440),1,0)</f>
        <v>0</v>
      </c>
      <c r="AB34" s="2">
        <f>IF(AND(VLOOKUP(AB$1,'20Trips'!$A$3:$F$22,5,FALSE) - VLOOKUP($B34,'20Trips'!$A$3:$G$22,6,FALSE) &gt;= ('20Trips'!$B$24+VLOOKUP(VLOOKUP($B34,'20Trips'!$A$2:$I$22,4,FALSE),'20Trips'!$AB$46:$AH$50,4,FALSE))/1440),1,0)</f>
        <v>1</v>
      </c>
      <c r="AC34" s="2">
        <f>IF(AND(VLOOKUP(AC$1,'20Trips'!$A$3:$F$22,5,FALSE) - VLOOKUP($B34,'20Trips'!$A$3:$G$22,6,FALSE) &gt;= ('20Trips'!$B$24+VLOOKUP(VLOOKUP($B34,'20Trips'!$A$2:$I$22,4,FALSE),'20Trips'!$AB$46:$AH$50,4,FALSE))/1440),1,0)</f>
        <v>1</v>
      </c>
      <c r="AD34" s="2">
        <f>IF(AND(VLOOKUP(AD$1,'20Trips'!$A$3:$F$22,5,FALSE) - VLOOKUP($B34,'20Trips'!$A$3:$G$22,6,FALSE) &gt;= ('20Trips'!$B$24+VLOOKUP(VLOOKUP($B34,'20Trips'!$A$2:$I$22,4,FALSE),'20Trips'!$AB$46:$AH$50,4,FALSE))/1440),1,0)</f>
        <v>1</v>
      </c>
      <c r="AE34" s="2" t="e">
        <f>IF(AND(VLOOKUP(AE$1,'20Trips'!$A$3:$F$22,5,FALSE) - VLOOKUP($B34,'20Trips'!$A$3:$G$22,6,FALSE) &gt;= ('20Trips'!$B$24+VLOOKUP(VLOOKUP($B34,'20Trips'!$A$2:$I$22,4,FALSE),'20Trips'!$AB$46:$AH$50,4,FALSE))/1440),1,0)</f>
        <v>#N/A</v>
      </c>
      <c r="AF34" s="2" t="e">
        <f>IF(AND(VLOOKUP(AF$1,'20Trips'!$A$3:$F$22,5,FALSE) - VLOOKUP($B34,'20Trips'!$A$3:$G$22,6,FALSE) &gt;= ('20Trips'!$B$24+VLOOKUP(VLOOKUP($B34,'20Trips'!$A$2:$I$22,4,FALSE),'20Trips'!$AB$46:$AH$50,4,FALSE))/1440),1,0)</f>
        <v>#N/A</v>
      </c>
      <c r="AG34" s="2" t="e">
        <f>IF(AND(VLOOKUP(AG$1,'20Trips'!$A$3:$F$22,5,FALSE) - VLOOKUP($B34,'20Trips'!$A$3:$G$22,6,FALSE) &gt;= ('20Trips'!$B$24+VLOOKUP(VLOOKUP($B34,'20Trips'!$A$2:$I$22,4,FALSE),'20Trips'!$AB$46:$AH$50,4,FALSE))/1440),1,0)</f>
        <v>#N/A</v>
      </c>
    </row>
    <row r="35" spans="1:33" x14ac:dyDescent="0.25">
      <c r="A35" t="s">
        <v>62</v>
      </c>
      <c r="B35" t="s">
        <v>9</v>
      </c>
      <c r="C35">
        <v>0</v>
      </c>
      <c r="D35" s="2">
        <f>IF(AND(VLOOKUP(D$1,'20Trips'!$A$3:$F$22,5,FALSE) - VLOOKUP($B35,'20Trips'!$A$3:$G$22,6,FALSE) &gt;= ('20Trips'!$B$24+VLOOKUP(VLOOKUP($B35,'20Trips'!$A$2:$I$22,4,FALSE),'20Trips'!$AB$46:$AH$50,4,FALSE))/1440),1,0)</f>
        <v>0</v>
      </c>
      <c r="E35" s="2">
        <f>IF(AND(VLOOKUP(E$1,'20Trips'!$A$3:$F$22,5,FALSE) - VLOOKUP($B35,'20Trips'!$A$3:$G$22,6,FALSE) &gt;= ('20Trips'!$B$24+VLOOKUP(VLOOKUP($B35,'20Trips'!$A$2:$I$22,4,FALSE),'20Trips'!$AB$46:$AH$50,4,FALSE))/1440),1,0)</f>
        <v>0</v>
      </c>
      <c r="F35" s="2">
        <f>IF(AND(VLOOKUP(F$1,'20Trips'!$A$3:$F$22,5,FALSE) - VLOOKUP($B35,'20Trips'!$A$3:$G$22,6,FALSE) &gt;= ('20Trips'!$B$24+VLOOKUP(VLOOKUP($B35,'20Trips'!$A$2:$I$22,4,FALSE),'20Trips'!$AB$46:$AH$50,4,FALSE))/1440),1,0)</f>
        <v>0</v>
      </c>
      <c r="G35" s="2">
        <f>IF(AND(VLOOKUP(G$1,'20Trips'!$A$3:$F$22,5,FALSE) - VLOOKUP($B35,'20Trips'!$A$3:$G$22,6,FALSE) &gt;= ('20Trips'!$B$24+VLOOKUP(VLOOKUP($B35,'20Trips'!$A$2:$I$22,4,FALSE),'20Trips'!$AB$46:$AH$50,4,FALSE))/1440),1,0)</f>
        <v>0</v>
      </c>
      <c r="H35" s="2">
        <f>IF(AND(VLOOKUP(H$1,'20Trips'!$A$3:$F$22,5,FALSE) - VLOOKUP($B35,'20Trips'!$A$3:$G$22,6,FALSE) &gt;= ('20Trips'!$B$24+VLOOKUP(VLOOKUP($B35,'20Trips'!$A$2:$I$22,4,FALSE),'20Trips'!$AB$46:$AH$50,4,FALSE))/1440),1,0)</f>
        <v>0</v>
      </c>
      <c r="I35" s="2" t="e">
        <f>IF(AND(VLOOKUP(I$1,'20Trips'!$A$3:$F$22,5,FALSE) - VLOOKUP($B35,'20Trips'!$A$3:$G$22,6,FALSE) &gt;= ('20Trips'!$B$24+VLOOKUP(VLOOKUP($B35,'20Trips'!$A$2:$I$22,4,FALSE),'20Trips'!$AB$46:$AH$50,4,FALSE))/1440),1,0)</f>
        <v>#N/A</v>
      </c>
      <c r="J35" s="2" t="e">
        <f>IF(AND(VLOOKUP(J$1,'20Trips'!$A$3:$F$22,5,FALSE) - VLOOKUP($B35,'20Trips'!$A$3:$G$22,6,FALSE) &gt;= ('20Trips'!$B$24+VLOOKUP(VLOOKUP($B35,'20Trips'!$A$2:$I$22,4,FALSE),'20Trips'!$AB$46:$AH$50,4,FALSE))/1440),1,0)</f>
        <v>#N/A</v>
      </c>
      <c r="K35" s="2" t="e">
        <f>IF(AND(VLOOKUP(K$1,'20Trips'!$A$3:$F$22,5,FALSE) - VLOOKUP($B35,'20Trips'!$A$3:$G$22,6,FALSE) &gt;= ('20Trips'!$B$24+VLOOKUP(VLOOKUP($B35,'20Trips'!$A$2:$I$22,4,FALSE),'20Trips'!$AB$46:$AH$50,4,FALSE))/1440),1,0)</f>
        <v>#N/A</v>
      </c>
      <c r="L35" s="2">
        <f>IF(AND(VLOOKUP(L$1,'20Trips'!$A$3:$F$22,5,FALSE) - VLOOKUP($B35,'20Trips'!$A$3:$G$22,6,FALSE) &gt;= ('20Trips'!$B$24+VLOOKUP(VLOOKUP($B35,'20Trips'!$A$2:$I$22,4,FALSE),'20Trips'!$AB$46:$AH$50,4,FALSE))/1440),1,0)</f>
        <v>0</v>
      </c>
      <c r="M35" s="2">
        <f>IF(AND(VLOOKUP(M$1,'20Trips'!$A$3:$F$22,5,FALSE) - VLOOKUP($B35,'20Trips'!$A$3:$G$22,6,FALSE) &gt;= ('20Trips'!$B$24+VLOOKUP(VLOOKUP($B35,'20Trips'!$A$2:$I$22,4,FALSE),'20Trips'!$AB$46:$AH$50,4,FALSE))/1440),1,0)</f>
        <v>0</v>
      </c>
      <c r="N35" s="2">
        <f>IF(AND(VLOOKUP(N$1,'20Trips'!$A$3:$F$22,5,FALSE) - VLOOKUP($B35,'20Trips'!$A$3:$G$22,6,FALSE) &gt;= ('20Trips'!$B$24+VLOOKUP(VLOOKUP($B35,'20Trips'!$A$2:$I$22,4,FALSE),'20Trips'!$AB$46:$AH$50,4,FALSE))/1440),1,0)</f>
        <v>0</v>
      </c>
      <c r="O35" s="2">
        <f>IF(AND(VLOOKUP(O$1,'20Trips'!$A$3:$F$22,5,FALSE) - VLOOKUP($B35,'20Trips'!$A$3:$G$22,6,FALSE) &gt;= ('20Trips'!$B$24+VLOOKUP(VLOOKUP($B35,'20Trips'!$A$2:$I$22,4,FALSE),'20Trips'!$AB$46:$AH$50,4,FALSE))/1440),1,0)</f>
        <v>1</v>
      </c>
      <c r="P35" s="2">
        <f>IF(AND(VLOOKUP(P$1,'20Trips'!$A$3:$F$22,5,FALSE) - VLOOKUP($B35,'20Trips'!$A$3:$G$22,6,FALSE) &gt;= ('20Trips'!$B$24+VLOOKUP(VLOOKUP($B35,'20Trips'!$A$2:$I$22,4,FALSE),'20Trips'!$AB$46:$AH$50,4,FALSE))/1440),1,0)</f>
        <v>1</v>
      </c>
      <c r="Q35" s="2" t="e">
        <f>IF(AND(VLOOKUP(Q$1,'20Trips'!$A$3:$F$22,5,FALSE) - VLOOKUP($B35,'20Trips'!$A$3:$G$22,6,FALSE) &gt;= ('20Trips'!$B$24+VLOOKUP(VLOOKUP($B35,'20Trips'!$A$2:$I$22,4,FALSE),'20Trips'!$AB$46:$AH$50,4,FALSE))/1440),1,0)</f>
        <v>#N/A</v>
      </c>
      <c r="R35" s="2">
        <f>IF(AND(VLOOKUP(R$1,'20Trips'!$A$3:$F$22,5,FALSE) - VLOOKUP($B35,'20Trips'!$A$3:$G$22,6,FALSE) &gt;= ('20Trips'!$B$24+VLOOKUP(VLOOKUP($B35,'20Trips'!$A$2:$I$22,4,FALSE),'20Trips'!$AB$46:$AH$50,4,FALSE))/1440),1,0)</f>
        <v>0</v>
      </c>
      <c r="S35" s="2">
        <f>IF(AND(VLOOKUP(S$1,'20Trips'!$A$3:$F$22,5,FALSE) - VLOOKUP($B35,'20Trips'!$A$3:$G$22,6,FALSE) &gt;= ('20Trips'!$B$24+VLOOKUP(VLOOKUP($B35,'20Trips'!$A$2:$I$22,4,FALSE),'20Trips'!$AB$46:$AH$50,4,FALSE))/1440),1,0)</f>
        <v>0</v>
      </c>
      <c r="T35" s="2">
        <f>IF(AND(VLOOKUP(T$1,'20Trips'!$A$3:$F$22,5,FALSE) - VLOOKUP($B35,'20Trips'!$A$3:$G$22,6,FALSE) &gt;= ('20Trips'!$B$24+VLOOKUP(VLOOKUP($B35,'20Trips'!$A$2:$I$22,4,FALSE),'20Trips'!$AB$46:$AH$50,4,FALSE))/1440),1,0)</f>
        <v>0</v>
      </c>
      <c r="U35" s="2">
        <f>IF(AND(VLOOKUP(U$1,'20Trips'!$A$3:$F$22,5,FALSE) - VLOOKUP($B35,'20Trips'!$A$3:$G$22,6,FALSE) &gt;= ('20Trips'!$B$24+VLOOKUP(VLOOKUP($B35,'20Trips'!$A$2:$I$22,4,FALSE),'20Trips'!$AB$46:$AH$50,4,FALSE))/1440),1,0)</f>
        <v>0</v>
      </c>
      <c r="V35" s="2">
        <f>IF(AND(VLOOKUP(V$1,'20Trips'!$A$3:$F$22,5,FALSE) - VLOOKUP($B35,'20Trips'!$A$3:$G$22,6,FALSE) &gt;= ('20Trips'!$B$24+VLOOKUP(VLOOKUP($B35,'20Trips'!$A$2:$I$22,4,FALSE),'20Trips'!$AB$46:$AH$50,4,FALSE))/1440),1,0)</f>
        <v>0</v>
      </c>
      <c r="W35" s="2" t="e">
        <f>IF(AND(VLOOKUP(W$1,'20Trips'!$A$3:$F$22,5,FALSE) - VLOOKUP($B35,'20Trips'!$A$3:$G$22,6,FALSE) &gt;= ('20Trips'!$B$24+VLOOKUP(VLOOKUP($B35,'20Trips'!$A$2:$I$22,4,FALSE),'20Trips'!$AB$46:$AH$50,4,FALSE))/1440),1,0)</f>
        <v>#N/A</v>
      </c>
      <c r="X35" s="2" t="e">
        <f>IF(AND(VLOOKUP(X$1,'20Trips'!$A$3:$F$22,5,FALSE) - VLOOKUP($B35,'20Trips'!$A$3:$G$22,6,FALSE) &gt;= ('20Trips'!$B$24+VLOOKUP(VLOOKUP($B35,'20Trips'!$A$2:$I$22,4,FALSE),'20Trips'!$AB$46:$AH$50,4,FALSE))/1440),1,0)</f>
        <v>#N/A</v>
      </c>
      <c r="Y35" s="2" t="e">
        <f>IF(AND(VLOOKUP(Y$1,'20Trips'!$A$3:$F$22,5,FALSE) - VLOOKUP($B35,'20Trips'!$A$3:$G$22,6,FALSE) &gt;= ('20Trips'!$B$24+VLOOKUP(VLOOKUP($B35,'20Trips'!$A$2:$I$22,4,FALSE),'20Trips'!$AB$46:$AH$50,4,FALSE))/1440),1,0)</f>
        <v>#N/A</v>
      </c>
      <c r="Z35" s="2">
        <f>IF(AND(VLOOKUP(Z$1,'20Trips'!$A$3:$F$22,5,FALSE) - VLOOKUP($B35,'20Trips'!$A$3:$G$22,6,FALSE) &gt;= ('20Trips'!$B$24+VLOOKUP(VLOOKUP($B35,'20Trips'!$A$2:$I$22,4,FALSE),'20Trips'!$AB$46:$AH$50,4,FALSE))/1440),1,0)</f>
        <v>0</v>
      </c>
      <c r="AA35" s="2">
        <f>IF(AND(VLOOKUP(AA$1,'20Trips'!$A$3:$F$22,5,FALSE) - VLOOKUP($B35,'20Trips'!$A$3:$G$22,6,FALSE) &gt;= ('20Trips'!$B$24+VLOOKUP(VLOOKUP($B35,'20Trips'!$A$2:$I$22,4,FALSE),'20Trips'!$AB$46:$AH$50,4,FALSE))/1440),1,0)</f>
        <v>0</v>
      </c>
      <c r="AB35" s="2">
        <f>IF(AND(VLOOKUP(AB$1,'20Trips'!$A$3:$F$22,5,FALSE) - VLOOKUP($B35,'20Trips'!$A$3:$G$22,6,FALSE) &gt;= ('20Trips'!$B$24+VLOOKUP(VLOOKUP($B35,'20Trips'!$A$2:$I$22,4,FALSE),'20Trips'!$AB$46:$AH$50,4,FALSE))/1440),1,0)</f>
        <v>0</v>
      </c>
      <c r="AC35" s="2">
        <f>IF(AND(VLOOKUP(AC$1,'20Trips'!$A$3:$F$22,5,FALSE) - VLOOKUP($B35,'20Trips'!$A$3:$G$22,6,FALSE) &gt;= ('20Trips'!$B$24+VLOOKUP(VLOOKUP($B35,'20Trips'!$A$2:$I$22,4,FALSE),'20Trips'!$AB$46:$AH$50,4,FALSE))/1440),1,0)</f>
        <v>0</v>
      </c>
      <c r="AD35" s="2">
        <f>IF(AND(VLOOKUP(AD$1,'20Trips'!$A$3:$F$22,5,FALSE) - VLOOKUP($B35,'20Trips'!$A$3:$G$22,6,FALSE) &gt;= ('20Trips'!$B$24+VLOOKUP(VLOOKUP($B35,'20Trips'!$A$2:$I$22,4,FALSE),'20Trips'!$AB$46:$AH$50,4,FALSE))/1440),1,0)</f>
        <v>1</v>
      </c>
      <c r="AE35" s="2" t="e">
        <f>IF(AND(VLOOKUP(AE$1,'20Trips'!$A$3:$F$22,5,FALSE) - VLOOKUP($B35,'20Trips'!$A$3:$G$22,6,FALSE) &gt;= ('20Trips'!$B$24+VLOOKUP(VLOOKUP($B35,'20Trips'!$A$2:$I$22,4,FALSE),'20Trips'!$AB$46:$AH$50,4,FALSE))/1440),1,0)</f>
        <v>#N/A</v>
      </c>
      <c r="AF35" s="2" t="e">
        <f>IF(AND(VLOOKUP(AF$1,'20Trips'!$A$3:$F$22,5,FALSE) - VLOOKUP($B35,'20Trips'!$A$3:$G$22,6,FALSE) &gt;= ('20Trips'!$B$24+VLOOKUP(VLOOKUP($B35,'20Trips'!$A$2:$I$22,4,FALSE),'20Trips'!$AB$46:$AH$50,4,FALSE))/1440),1,0)</f>
        <v>#N/A</v>
      </c>
      <c r="AG35" s="2" t="e">
        <f>IF(AND(VLOOKUP(AG$1,'20Trips'!$A$3:$F$22,5,FALSE) - VLOOKUP($B35,'20Trips'!$A$3:$G$22,6,FALSE) &gt;= ('20Trips'!$B$24+VLOOKUP(VLOOKUP($B35,'20Trips'!$A$2:$I$22,4,FALSE),'20Trips'!$AB$46:$AH$50,4,FALSE))/1440),1,0)</f>
        <v>#N/A</v>
      </c>
    </row>
    <row r="36" spans="1:33" x14ac:dyDescent="0.25">
      <c r="A36" t="s">
        <v>62</v>
      </c>
      <c r="B36" t="s">
        <v>10</v>
      </c>
      <c r="C36">
        <v>0</v>
      </c>
      <c r="D36" s="2">
        <f>IF(AND(VLOOKUP(D$1,'20Trips'!$A$3:$F$22,5,FALSE) - VLOOKUP($B36,'20Trips'!$A$3:$G$22,6,FALSE) &gt;= ('20Trips'!$B$24+VLOOKUP(VLOOKUP($B36,'20Trips'!$A$2:$I$22,4,FALSE),'20Trips'!$AB$46:$AH$50,4,FALSE))/1440),1,0)</f>
        <v>0</v>
      </c>
      <c r="E36" s="2">
        <f>IF(AND(VLOOKUP(E$1,'20Trips'!$A$3:$F$22,5,FALSE) - VLOOKUP($B36,'20Trips'!$A$3:$G$22,6,FALSE) &gt;= ('20Trips'!$B$24+VLOOKUP(VLOOKUP($B36,'20Trips'!$A$2:$I$22,4,FALSE),'20Trips'!$AB$46:$AH$50,4,FALSE))/1440),1,0)</f>
        <v>0</v>
      </c>
      <c r="F36" s="2">
        <f>IF(AND(VLOOKUP(F$1,'20Trips'!$A$3:$F$22,5,FALSE) - VLOOKUP($B36,'20Trips'!$A$3:$G$22,6,FALSE) &gt;= ('20Trips'!$B$24+VLOOKUP(VLOOKUP($B36,'20Trips'!$A$2:$I$22,4,FALSE),'20Trips'!$AB$46:$AH$50,4,FALSE))/1440),1,0)</f>
        <v>0</v>
      </c>
      <c r="G36" s="2">
        <f>IF(AND(VLOOKUP(G$1,'20Trips'!$A$3:$F$22,5,FALSE) - VLOOKUP($B36,'20Trips'!$A$3:$G$22,6,FALSE) &gt;= ('20Trips'!$B$24+VLOOKUP(VLOOKUP($B36,'20Trips'!$A$2:$I$22,4,FALSE),'20Trips'!$AB$46:$AH$50,4,FALSE))/1440),1,0)</f>
        <v>0</v>
      </c>
      <c r="H36" s="2">
        <f>IF(AND(VLOOKUP(H$1,'20Trips'!$A$3:$F$22,5,FALSE) - VLOOKUP($B36,'20Trips'!$A$3:$G$22,6,FALSE) &gt;= ('20Trips'!$B$24+VLOOKUP(VLOOKUP($B36,'20Trips'!$A$2:$I$22,4,FALSE),'20Trips'!$AB$46:$AH$50,4,FALSE))/1440),1,0)</f>
        <v>0</v>
      </c>
      <c r="I36" s="2" t="e">
        <f>IF(AND(VLOOKUP(I$1,'20Trips'!$A$3:$F$22,5,FALSE) - VLOOKUP($B36,'20Trips'!$A$3:$G$22,6,FALSE) &gt;= ('20Trips'!$B$24+VLOOKUP(VLOOKUP($B36,'20Trips'!$A$2:$I$22,4,FALSE),'20Trips'!$AB$46:$AH$50,4,FALSE))/1440),1,0)</f>
        <v>#N/A</v>
      </c>
      <c r="J36" s="2" t="e">
        <f>IF(AND(VLOOKUP(J$1,'20Trips'!$A$3:$F$22,5,FALSE) - VLOOKUP($B36,'20Trips'!$A$3:$G$22,6,FALSE) &gt;= ('20Trips'!$B$24+VLOOKUP(VLOOKUP($B36,'20Trips'!$A$2:$I$22,4,FALSE),'20Trips'!$AB$46:$AH$50,4,FALSE))/1440),1,0)</f>
        <v>#N/A</v>
      </c>
      <c r="K36" s="2" t="e">
        <f>IF(AND(VLOOKUP(K$1,'20Trips'!$A$3:$F$22,5,FALSE) - VLOOKUP($B36,'20Trips'!$A$3:$G$22,6,FALSE) &gt;= ('20Trips'!$B$24+VLOOKUP(VLOOKUP($B36,'20Trips'!$A$2:$I$22,4,FALSE),'20Trips'!$AB$46:$AH$50,4,FALSE))/1440),1,0)</f>
        <v>#N/A</v>
      </c>
      <c r="L36" s="2">
        <f>IF(AND(VLOOKUP(L$1,'20Trips'!$A$3:$F$22,5,FALSE) - VLOOKUP($B36,'20Trips'!$A$3:$G$22,6,FALSE) &gt;= ('20Trips'!$B$24+VLOOKUP(VLOOKUP($B36,'20Trips'!$A$2:$I$22,4,FALSE),'20Trips'!$AB$46:$AH$50,4,FALSE))/1440),1,0)</f>
        <v>0</v>
      </c>
      <c r="M36" s="2">
        <f>IF(AND(VLOOKUP(M$1,'20Trips'!$A$3:$F$22,5,FALSE) - VLOOKUP($B36,'20Trips'!$A$3:$G$22,6,FALSE) &gt;= ('20Trips'!$B$24+VLOOKUP(VLOOKUP($B36,'20Trips'!$A$2:$I$22,4,FALSE),'20Trips'!$AB$46:$AH$50,4,FALSE))/1440),1,0)</f>
        <v>0</v>
      </c>
      <c r="N36" s="2">
        <f>IF(AND(VLOOKUP(N$1,'20Trips'!$A$3:$F$22,5,FALSE) - VLOOKUP($B36,'20Trips'!$A$3:$G$22,6,FALSE) &gt;= ('20Trips'!$B$24+VLOOKUP(VLOOKUP($B36,'20Trips'!$A$2:$I$22,4,FALSE),'20Trips'!$AB$46:$AH$50,4,FALSE))/1440),1,0)</f>
        <v>0</v>
      </c>
      <c r="O36" s="2">
        <f>IF(AND(VLOOKUP(O$1,'20Trips'!$A$3:$F$22,5,FALSE) - VLOOKUP($B36,'20Trips'!$A$3:$G$22,6,FALSE) &gt;= ('20Trips'!$B$24+VLOOKUP(VLOOKUP($B36,'20Trips'!$A$2:$I$22,4,FALSE),'20Trips'!$AB$46:$AH$50,4,FALSE))/1440),1,0)</f>
        <v>1</v>
      </c>
      <c r="P36" s="2">
        <f>IF(AND(VLOOKUP(P$1,'20Trips'!$A$3:$F$22,5,FALSE) - VLOOKUP($B36,'20Trips'!$A$3:$G$22,6,FALSE) &gt;= ('20Trips'!$B$24+VLOOKUP(VLOOKUP($B36,'20Trips'!$A$2:$I$22,4,FALSE),'20Trips'!$AB$46:$AH$50,4,FALSE))/1440),1,0)</f>
        <v>1</v>
      </c>
      <c r="Q36" s="2" t="e">
        <f>IF(AND(VLOOKUP(Q$1,'20Trips'!$A$3:$F$22,5,FALSE) - VLOOKUP($B36,'20Trips'!$A$3:$G$22,6,FALSE) &gt;= ('20Trips'!$B$24+VLOOKUP(VLOOKUP($B36,'20Trips'!$A$2:$I$22,4,FALSE),'20Trips'!$AB$46:$AH$50,4,FALSE))/1440),1,0)</f>
        <v>#N/A</v>
      </c>
      <c r="R36" s="2">
        <f>IF(AND(VLOOKUP(R$1,'20Trips'!$A$3:$F$22,5,FALSE) - VLOOKUP($B36,'20Trips'!$A$3:$G$22,6,FALSE) &gt;= ('20Trips'!$B$24+VLOOKUP(VLOOKUP($B36,'20Trips'!$A$2:$I$22,4,FALSE),'20Trips'!$AB$46:$AH$50,4,FALSE))/1440),1,0)</f>
        <v>0</v>
      </c>
      <c r="S36" s="2">
        <f>IF(AND(VLOOKUP(S$1,'20Trips'!$A$3:$F$22,5,FALSE) - VLOOKUP($B36,'20Trips'!$A$3:$G$22,6,FALSE) &gt;= ('20Trips'!$B$24+VLOOKUP(VLOOKUP($B36,'20Trips'!$A$2:$I$22,4,FALSE),'20Trips'!$AB$46:$AH$50,4,FALSE))/1440),1,0)</f>
        <v>0</v>
      </c>
      <c r="T36" s="2">
        <f>IF(AND(VLOOKUP(T$1,'20Trips'!$A$3:$F$22,5,FALSE) - VLOOKUP($B36,'20Trips'!$A$3:$G$22,6,FALSE) &gt;= ('20Trips'!$B$24+VLOOKUP(VLOOKUP($B36,'20Trips'!$A$2:$I$22,4,FALSE),'20Trips'!$AB$46:$AH$50,4,FALSE))/1440),1,0)</f>
        <v>0</v>
      </c>
      <c r="U36" s="2">
        <f>IF(AND(VLOOKUP(U$1,'20Trips'!$A$3:$F$22,5,FALSE) - VLOOKUP($B36,'20Trips'!$A$3:$G$22,6,FALSE) &gt;= ('20Trips'!$B$24+VLOOKUP(VLOOKUP($B36,'20Trips'!$A$2:$I$22,4,FALSE),'20Trips'!$AB$46:$AH$50,4,FALSE))/1440),1,0)</f>
        <v>0</v>
      </c>
      <c r="V36" s="2">
        <f>IF(AND(VLOOKUP(V$1,'20Trips'!$A$3:$F$22,5,FALSE) - VLOOKUP($B36,'20Trips'!$A$3:$G$22,6,FALSE) &gt;= ('20Trips'!$B$24+VLOOKUP(VLOOKUP($B36,'20Trips'!$A$2:$I$22,4,FALSE),'20Trips'!$AB$46:$AH$50,4,FALSE))/1440),1,0)</f>
        <v>0</v>
      </c>
      <c r="W36" s="2" t="e">
        <f>IF(AND(VLOOKUP(W$1,'20Trips'!$A$3:$F$22,5,FALSE) - VLOOKUP($B36,'20Trips'!$A$3:$G$22,6,FALSE) &gt;= ('20Trips'!$B$24+VLOOKUP(VLOOKUP($B36,'20Trips'!$A$2:$I$22,4,FALSE),'20Trips'!$AB$46:$AH$50,4,FALSE))/1440),1,0)</f>
        <v>#N/A</v>
      </c>
      <c r="X36" s="2" t="e">
        <f>IF(AND(VLOOKUP(X$1,'20Trips'!$A$3:$F$22,5,FALSE) - VLOOKUP($B36,'20Trips'!$A$3:$G$22,6,FALSE) &gt;= ('20Trips'!$B$24+VLOOKUP(VLOOKUP($B36,'20Trips'!$A$2:$I$22,4,FALSE),'20Trips'!$AB$46:$AH$50,4,FALSE))/1440),1,0)</f>
        <v>#N/A</v>
      </c>
      <c r="Y36" s="2" t="e">
        <f>IF(AND(VLOOKUP(Y$1,'20Trips'!$A$3:$F$22,5,FALSE) - VLOOKUP($B36,'20Trips'!$A$3:$G$22,6,FALSE) &gt;= ('20Trips'!$B$24+VLOOKUP(VLOOKUP($B36,'20Trips'!$A$2:$I$22,4,FALSE),'20Trips'!$AB$46:$AH$50,4,FALSE))/1440),1,0)</f>
        <v>#N/A</v>
      </c>
      <c r="Z36" s="2">
        <f>IF(AND(VLOOKUP(Z$1,'20Trips'!$A$3:$F$22,5,FALSE) - VLOOKUP($B36,'20Trips'!$A$3:$G$22,6,FALSE) &gt;= ('20Trips'!$B$24+VLOOKUP(VLOOKUP($B36,'20Trips'!$A$2:$I$22,4,FALSE),'20Trips'!$AB$46:$AH$50,4,FALSE))/1440),1,0)</f>
        <v>0</v>
      </c>
      <c r="AA36" s="2">
        <f>IF(AND(VLOOKUP(AA$1,'20Trips'!$A$3:$F$22,5,FALSE) - VLOOKUP($B36,'20Trips'!$A$3:$G$22,6,FALSE) &gt;= ('20Trips'!$B$24+VLOOKUP(VLOOKUP($B36,'20Trips'!$A$2:$I$22,4,FALSE),'20Trips'!$AB$46:$AH$50,4,FALSE))/1440),1,0)</f>
        <v>0</v>
      </c>
      <c r="AB36" s="2">
        <f>IF(AND(VLOOKUP(AB$1,'20Trips'!$A$3:$F$22,5,FALSE) - VLOOKUP($B36,'20Trips'!$A$3:$G$22,6,FALSE) &gt;= ('20Trips'!$B$24+VLOOKUP(VLOOKUP($B36,'20Trips'!$A$2:$I$22,4,FALSE),'20Trips'!$AB$46:$AH$50,4,FALSE))/1440),1,0)</f>
        <v>0</v>
      </c>
      <c r="AC36" s="2">
        <f>IF(AND(VLOOKUP(AC$1,'20Trips'!$A$3:$F$22,5,FALSE) - VLOOKUP($B36,'20Trips'!$A$3:$G$22,6,FALSE) &gt;= ('20Trips'!$B$24+VLOOKUP(VLOOKUP($B36,'20Trips'!$A$2:$I$22,4,FALSE),'20Trips'!$AB$46:$AH$50,4,FALSE))/1440),1,0)</f>
        <v>0</v>
      </c>
      <c r="AD36" s="2">
        <f>IF(AND(VLOOKUP(AD$1,'20Trips'!$A$3:$F$22,5,FALSE) - VLOOKUP($B36,'20Trips'!$A$3:$G$22,6,FALSE) &gt;= ('20Trips'!$B$24+VLOOKUP(VLOOKUP($B36,'20Trips'!$A$2:$I$22,4,FALSE),'20Trips'!$AB$46:$AH$50,4,FALSE))/1440),1,0)</f>
        <v>0</v>
      </c>
      <c r="AE36" s="2" t="e">
        <f>IF(AND(VLOOKUP(AE$1,'20Trips'!$A$3:$F$22,5,FALSE) - VLOOKUP($B36,'20Trips'!$A$3:$G$22,6,FALSE) &gt;= ('20Trips'!$B$24+VLOOKUP(VLOOKUP($B36,'20Trips'!$A$2:$I$22,4,FALSE),'20Trips'!$AB$46:$AH$50,4,FALSE))/1440),1,0)</f>
        <v>#N/A</v>
      </c>
      <c r="AF36" s="2" t="e">
        <f>IF(AND(VLOOKUP(AF$1,'20Trips'!$A$3:$F$22,5,FALSE) - VLOOKUP($B36,'20Trips'!$A$3:$G$22,6,FALSE) &gt;= ('20Trips'!$B$24+VLOOKUP(VLOOKUP($B36,'20Trips'!$A$2:$I$22,4,FALSE),'20Trips'!$AB$46:$AH$50,4,FALSE))/1440),1,0)</f>
        <v>#N/A</v>
      </c>
      <c r="AG36" s="2" t="e">
        <f>IF(AND(VLOOKUP(AG$1,'20Trips'!$A$3:$F$22,5,FALSE) - VLOOKUP($B36,'20Trips'!$A$3:$G$22,6,FALSE) &gt;= ('20Trips'!$B$24+VLOOKUP(VLOOKUP($B36,'20Trips'!$A$2:$I$22,4,FALSE),'20Trips'!$AB$46:$AH$50,4,FALSE))/1440),1,0)</f>
        <v>#N/A</v>
      </c>
    </row>
    <row r="37" spans="1:33" x14ac:dyDescent="0.25">
      <c r="A37" t="s">
        <v>62</v>
      </c>
      <c r="B37" t="s">
        <v>11</v>
      </c>
      <c r="C37">
        <v>0</v>
      </c>
      <c r="D37" s="2">
        <f>IF(AND(VLOOKUP(D$1,'20Trips'!$A$3:$F$22,5,FALSE) - VLOOKUP($B37,'20Trips'!$A$3:$G$22,6,FALSE) &gt;= ('20Trips'!$B$24+VLOOKUP(VLOOKUP($B37,'20Trips'!$A$2:$I$22,4,FALSE),'20Trips'!$AB$46:$AH$50,4,FALSE))/1440),1,0)</f>
        <v>0</v>
      </c>
      <c r="E37" s="2">
        <f>IF(AND(VLOOKUP(E$1,'20Trips'!$A$3:$F$22,5,FALSE) - VLOOKUP($B37,'20Trips'!$A$3:$G$22,6,FALSE) &gt;= ('20Trips'!$B$24+VLOOKUP(VLOOKUP($B37,'20Trips'!$A$2:$I$22,4,FALSE),'20Trips'!$AB$46:$AH$50,4,FALSE))/1440),1,0)</f>
        <v>0</v>
      </c>
      <c r="F37" s="2">
        <f>IF(AND(VLOOKUP(F$1,'20Trips'!$A$3:$F$22,5,FALSE) - VLOOKUP($B37,'20Trips'!$A$3:$G$22,6,FALSE) &gt;= ('20Trips'!$B$24+VLOOKUP(VLOOKUP($B37,'20Trips'!$A$2:$I$22,4,FALSE),'20Trips'!$AB$46:$AH$50,4,FALSE))/1440),1,0)</f>
        <v>0</v>
      </c>
      <c r="G37" s="2">
        <f>IF(AND(VLOOKUP(G$1,'20Trips'!$A$3:$F$22,5,FALSE) - VLOOKUP($B37,'20Trips'!$A$3:$G$22,6,FALSE) &gt;= ('20Trips'!$B$24+VLOOKUP(VLOOKUP($B37,'20Trips'!$A$2:$I$22,4,FALSE),'20Trips'!$AB$46:$AH$50,4,FALSE))/1440),1,0)</f>
        <v>0</v>
      </c>
      <c r="H37" s="2">
        <f>IF(AND(VLOOKUP(H$1,'20Trips'!$A$3:$F$22,5,FALSE) - VLOOKUP($B37,'20Trips'!$A$3:$G$22,6,FALSE) &gt;= ('20Trips'!$B$24+VLOOKUP(VLOOKUP($B37,'20Trips'!$A$2:$I$22,4,FALSE),'20Trips'!$AB$46:$AH$50,4,FALSE))/1440),1,0)</f>
        <v>0</v>
      </c>
      <c r="I37" s="2" t="e">
        <f>IF(AND(VLOOKUP(I$1,'20Trips'!$A$3:$F$22,5,FALSE) - VLOOKUP($B37,'20Trips'!$A$3:$G$22,6,FALSE) &gt;= ('20Trips'!$B$24+VLOOKUP(VLOOKUP($B37,'20Trips'!$A$2:$I$22,4,FALSE),'20Trips'!$AB$46:$AH$50,4,FALSE))/1440),1,0)</f>
        <v>#N/A</v>
      </c>
      <c r="J37" s="2" t="e">
        <f>IF(AND(VLOOKUP(J$1,'20Trips'!$A$3:$F$22,5,FALSE) - VLOOKUP($B37,'20Trips'!$A$3:$G$22,6,FALSE) &gt;= ('20Trips'!$B$24+VLOOKUP(VLOOKUP($B37,'20Trips'!$A$2:$I$22,4,FALSE),'20Trips'!$AB$46:$AH$50,4,FALSE))/1440),1,0)</f>
        <v>#N/A</v>
      </c>
      <c r="K37" s="2" t="e">
        <f>IF(AND(VLOOKUP(K$1,'20Trips'!$A$3:$F$22,5,FALSE) - VLOOKUP($B37,'20Trips'!$A$3:$G$22,6,FALSE) &gt;= ('20Trips'!$B$24+VLOOKUP(VLOOKUP($B37,'20Trips'!$A$2:$I$22,4,FALSE),'20Trips'!$AB$46:$AH$50,4,FALSE))/1440),1,0)</f>
        <v>#N/A</v>
      </c>
      <c r="L37" s="2">
        <f>IF(AND(VLOOKUP(L$1,'20Trips'!$A$3:$F$22,5,FALSE) - VLOOKUP($B37,'20Trips'!$A$3:$G$22,6,FALSE) &gt;= ('20Trips'!$B$24+VLOOKUP(VLOOKUP($B37,'20Trips'!$A$2:$I$22,4,FALSE),'20Trips'!$AB$46:$AH$50,4,FALSE))/1440),1,0)</f>
        <v>0</v>
      </c>
      <c r="M37" s="2">
        <f>IF(AND(VLOOKUP(M$1,'20Trips'!$A$3:$F$22,5,FALSE) - VLOOKUP($B37,'20Trips'!$A$3:$G$22,6,FALSE) &gt;= ('20Trips'!$B$24+VLOOKUP(VLOOKUP($B37,'20Trips'!$A$2:$I$22,4,FALSE),'20Trips'!$AB$46:$AH$50,4,FALSE))/1440),1,0)</f>
        <v>0</v>
      </c>
      <c r="N37" s="2">
        <f>IF(AND(VLOOKUP(N$1,'20Trips'!$A$3:$F$22,5,FALSE) - VLOOKUP($B37,'20Trips'!$A$3:$G$22,6,FALSE) &gt;= ('20Trips'!$B$24+VLOOKUP(VLOOKUP($B37,'20Trips'!$A$2:$I$22,4,FALSE),'20Trips'!$AB$46:$AH$50,4,FALSE))/1440),1,0)</f>
        <v>0</v>
      </c>
      <c r="O37" s="2">
        <f>IF(AND(VLOOKUP(O$1,'20Trips'!$A$3:$F$22,5,FALSE) - VLOOKUP($B37,'20Trips'!$A$3:$G$22,6,FALSE) &gt;= ('20Trips'!$B$24+VLOOKUP(VLOOKUP($B37,'20Trips'!$A$2:$I$22,4,FALSE),'20Trips'!$AB$46:$AH$50,4,FALSE))/1440),1,0)</f>
        <v>0</v>
      </c>
      <c r="P37" s="2">
        <f>IF(AND(VLOOKUP(P$1,'20Trips'!$A$3:$F$22,5,FALSE) - VLOOKUP($B37,'20Trips'!$A$3:$G$22,6,FALSE) &gt;= ('20Trips'!$B$24+VLOOKUP(VLOOKUP($B37,'20Trips'!$A$2:$I$22,4,FALSE),'20Trips'!$AB$46:$AH$50,4,FALSE))/1440),1,0)</f>
        <v>1</v>
      </c>
      <c r="Q37" s="2" t="e">
        <f>IF(AND(VLOOKUP(Q$1,'20Trips'!$A$3:$F$22,5,FALSE) - VLOOKUP($B37,'20Trips'!$A$3:$G$22,6,FALSE) &gt;= ('20Trips'!$B$24+VLOOKUP(VLOOKUP($B37,'20Trips'!$A$2:$I$22,4,FALSE),'20Trips'!$AB$46:$AH$50,4,FALSE))/1440),1,0)</f>
        <v>#N/A</v>
      </c>
      <c r="R37" s="2">
        <f>IF(AND(VLOOKUP(R$1,'20Trips'!$A$3:$F$22,5,FALSE) - VLOOKUP($B37,'20Trips'!$A$3:$G$22,6,FALSE) &gt;= ('20Trips'!$B$24+VLOOKUP(VLOOKUP($B37,'20Trips'!$A$2:$I$22,4,FALSE),'20Trips'!$AB$46:$AH$50,4,FALSE))/1440),1,0)</f>
        <v>0</v>
      </c>
      <c r="S37" s="2">
        <f>IF(AND(VLOOKUP(S$1,'20Trips'!$A$3:$F$22,5,FALSE) - VLOOKUP($B37,'20Trips'!$A$3:$G$22,6,FALSE) &gt;= ('20Trips'!$B$24+VLOOKUP(VLOOKUP($B37,'20Trips'!$A$2:$I$22,4,FALSE),'20Trips'!$AB$46:$AH$50,4,FALSE))/1440),1,0)</f>
        <v>0</v>
      </c>
      <c r="T37" s="2">
        <f>IF(AND(VLOOKUP(T$1,'20Trips'!$A$3:$F$22,5,FALSE) - VLOOKUP($B37,'20Trips'!$A$3:$G$22,6,FALSE) &gt;= ('20Trips'!$B$24+VLOOKUP(VLOOKUP($B37,'20Trips'!$A$2:$I$22,4,FALSE),'20Trips'!$AB$46:$AH$50,4,FALSE))/1440),1,0)</f>
        <v>0</v>
      </c>
      <c r="U37" s="2">
        <f>IF(AND(VLOOKUP(U$1,'20Trips'!$A$3:$F$22,5,FALSE) - VLOOKUP($B37,'20Trips'!$A$3:$G$22,6,FALSE) &gt;= ('20Trips'!$B$24+VLOOKUP(VLOOKUP($B37,'20Trips'!$A$2:$I$22,4,FALSE),'20Trips'!$AB$46:$AH$50,4,FALSE))/1440),1,0)</f>
        <v>0</v>
      </c>
      <c r="V37" s="2">
        <f>IF(AND(VLOOKUP(V$1,'20Trips'!$A$3:$F$22,5,FALSE) - VLOOKUP($B37,'20Trips'!$A$3:$G$22,6,FALSE) &gt;= ('20Trips'!$B$24+VLOOKUP(VLOOKUP($B37,'20Trips'!$A$2:$I$22,4,FALSE),'20Trips'!$AB$46:$AH$50,4,FALSE))/1440),1,0)</f>
        <v>0</v>
      </c>
      <c r="W37" s="2" t="e">
        <f>IF(AND(VLOOKUP(W$1,'20Trips'!$A$3:$F$22,5,FALSE) - VLOOKUP($B37,'20Trips'!$A$3:$G$22,6,FALSE) &gt;= ('20Trips'!$B$24+VLOOKUP(VLOOKUP($B37,'20Trips'!$A$2:$I$22,4,FALSE),'20Trips'!$AB$46:$AH$50,4,FALSE))/1440),1,0)</f>
        <v>#N/A</v>
      </c>
      <c r="X37" s="2" t="e">
        <f>IF(AND(VLOOKUP(X$1,'20Trips'!$A$3:$F$22,5,FALSE) - VLOOKUP($B37,'20Trips'!$A$3:$G$22,6,FALSE) &gt;= ('20Trips'!$B$24+VLOOKUP(VLOOKUP($B37,'20Trips'!$A$2:$I$22,4,FALSE),'20Trips'!$AB$46:$AH$50,4,FALSE))/1440),1,0)</f>
        <v>#N/A</v>
      </c>
      <c r="Y37" s="2" t="e">
        <f>IF(AND(VLOOKUP(Y$1,'20Trips'!$A$3:$F$22,5,FALSE) - VLOOKUP($B37,'20Trips'!$A$3:$G$22,6,FALSE) &gt;= ('20Trips'!$B$24+VLOOKUP(VLOOKUP($B37,'20Trips'!$A$2:$I$22,4,FALSE),'20Trips'!$AB$46:$AH$50,4,FALSE))/1440),1,0)</f>
        <v>#N/A</v>
      </c>
      <c r="Z37" s="2">
        <f>IF(AND(VLOOKUP(Z$1,'20Trips'!$A$3:$F$22,5,FALSE) - VLOOKUP($B37,'20Trips'!$A$3:$G$22,6,FALSE) &gt;= ('20Trips'!$B$24+VLOOKUP(VLOOKUP($B37,'20Trips'!$A$2:$I$22,4,FALSE),'20Trips'!$AB$46:$AH$50,4,FALSE))/1440),1,0)</f>
        <v>0</v>
      </c>
      <c r="AA37" s="2">
        <f>IF(AND(VLOOKUP(AA$1,'20Trips'!$A$3:$F$22,5,FALSE) - VLOOKUP($B37,'20Trips'!$A$3:$G$22,6,FALSE) &gt;= ('20Trips'!$B$24+VLOOKUP(VLOOKUP($B37,'20Trips'!$A$2:$I$22,4,FALSE),'20Trips'!$AB$46:$AH$50,4,FALSE))/1440),1,0)</f>
        <v>0</v>
      </c>
      <c r="AB37" s="2">
        <f>IF(AND(VLOOKUP(AB$1,'20Trips'!$A$3:$F$22,5,FALSE) - VLOOKUP($B37,'20Trips'!$A$3:$G$22,6,FALSE) &gt;= ('20Trips'!$B$24+VLOOKUP(VLOOKUP($B37,'20Trips'!$A$2:$I$22,4,FALSE),'20Trips'!$AB$46:$AH$50,4,FALSE))/1440),1,0)</f>
        <v>0</v>
      </c>
      <c r="AC37" s="2">
        <f>IF(AND(VLOOKUP(AC$1,'20Trips'!$A$3:$F$22,5,FALSE) - VLOOKUP($B37,'20Trips'!$A$3:$G$22,6,FALSE) &gt;= ('20Trips'!$B$24+VLOOKUP(VLOOKUP($B37,'20Trips'!$A$2:$I$22,4,FALSE),'20Trips'!$AB$46:$AH$50,4,FALSE))/1440),1,0)</f>
        <v>0</v>
      </c>
      <c r="AD37" s="2">
        <f>IF(AND(VLOOKUP(AD$1,'20Trips'!$A$3:$F$22,5,FALSE) - VLOOKUP($B37,'20Trips'!$A$3:$G$22,6,FALSE) &gt;= ('20Trips'!$B$24+VLOOKUP(VLOOKUP($B37,'20Trips'!$A$2:$I$22,4,FALSE),'20Trips'!$AB$46:$AH$50,4,FALSE))/1440),1,0)</f>
        <v>0</v>
      </c>
      <c r="AE37" s="2" t="e">
        <f>IF(AND(VLOOKUP(AE$1,'20Trips'!$A$3:$F$22,5,FALSE) - VLOOKUP($B37,'20Trips'!$A$3:$G$22,6,FALSE) &gt;= ('20Trips'!$B$24+VLOOKUP(VLOOKUP($B37,'20Trips'!$A$2:$I$22,4,FALSE),'20Trips'!$AB$46:$AH$50,4,FALSE))/1440),1,0)</f>
        <v>#N/A</v>
      </c>
      <c r="AF37" s="2" t="e">
        <f>IF(AND(VLOOKUP(AF$1,'20Trips'!$A$3:$F$22,5,FALSE) - VLOOKUP($B37,'20Trips'!$A$3:$G$22,6,FALSE) &gt;= ('20Trips'!$B$24+VLOOKUP(VLOOKUP($B37,'20Trips'!$A$2:$I$22,4,FALSE),'20Trips'!$AB$46:$AH$50,4,FALSE))/1440),1,0)</f>
        <v>#N/A</v>
      </c>
      <c r="AG37" s="2" t="e">
        <f>IF(AND(VLOOKUP(AG$1,'20Trips'!$A$3:$F$22,5,FALSE) - VLOOKUP($B37,'20Trips'!$A$3:$G$22,6,FALSE) &gt;= ('20Trips'!$B$24+VLOOKUP(VLOOKUP($B37,'20Trips'!$A$2:$I$22,4,FALSE),'20Trips'!$AB$46:$AH$50,4,FALSE))/1440),1,0)</f>
        <v>#N/A</v>
      </c>
    </row>
    <row r="38" spans="1:33" x14ac:dyDescent="0.25">
      <c r="A38" t="s">
        <v>62</v>
      </c>
      <c r="B38" t="s">
        <v>12</v>
      </c>
      <c r="C38">
        <v>0</v>
      </c>
      <c r="D38" s="2">
        <f>IF(AND(VLOOKUP(D$1,'20Trips'!$A$3:$F$22,5,FALSE) - VLOOKUP($B38,'20Trips'!$A$3:$G$22,6,FALSE) &gt;= ('20Trips'!$B$24+VLOOKUP(VLOOKUP($B38,'20Trips'!$A$2:$I$22,4,FALSE),'20Trips'!$AB$46:$AH$50,4,FALSE))/1440),1,0)</f>
        <v>0</v>
      </c>
      <c r="E38" s="2">
        <f>IF(AND(VLOOKUP(E$1,'20Trips'!$A$3:$F$22,5,FALSE) - VLOOKUP($B38,'20Trips'!$A$3:$G$22,6,FALSE) &gt;= ('20Trips'!$B$24+VLOOKUP(VLOOKUP($B38,'20Trips'!$A$2:$I$22,4,FALSE),'20Trips'!$AB$46:$AH$50,4,FALSE))/1440),1,0)</f>
        <v>0</v>
      </c>
      <c r="F38" s="2">
        <f>IF(AND(VLOOKUP(F$1,'20Trips'!$A$3:$F$22,5,FALSE) - VLOOKUP($B38,'20Trips'!$A$3:$G$22,6,FALSE) &gt;= ('20Trips'!$B$24+VLOOKUP(VLOOKUP($B38,'20Trips'!$A$2:$I$22,4,FALSE),'20Trips'!$AB$46:$AH$50,4,FALSE))/1440),1,0)</f>
        <v>0</v>
      </c>
      <c r="G38" s="2">
        <f>IF(AND(VLOOKUP(G$1,'20Trips'!$A$3:$F$22,5,FALSE) - VLOOKUP($B38,'20Trips'!$A$3:$G$22,6,FALSE) &gt;= ('20Trips'!$B$24+VLOOKUP(VLOOKUP($B38,'20Trips'!$A$2:$I$22,4,FALSE),'20Trips'!$AB$46:$AH$50,4,FALSE))/1440),1,0)</f>
        <v>0</v>
      </c>
      <c r="H38" s="2">
        <f>IF(AND(VLOOKUP(H$1,'20Trips'!$A$3:$F$22,5,FALSE) - VLOOKUP($B38,'20Trips'!$A$3:$G$22,6,FALSE) &gt;= ('20Trips'!$B$24+VLOOKUP(VLOOKUP($B38,'20Trips'!$A$2:$I$22,4,FALSE),'20Trips'!$AB$46:$AH$50,4,FALSE))/1440),1,0)</f>
        <v>0</v>
      </c>
      <c r="I38" s="2" t="e">
        <f>IF(AND(VLOOKUP(I$1,'20Trips'!$A$3:$F$22,5,FALSE) - VLOOKUP($B38,'20Trips'!$A$3:$G$22,6,FALSE) &gt;= ('20Trips'!$B$24+VLOOKUP(VLOOKUP($B38,'20Trips'!$A$2:$I$22,4,FALSE),'20Trips'!$AB$46:$AH$50,4,FALSE))/1440),1,0)</f>
        <v>#N/A</v>
      </c>
      <c r="J38" s="2" t="e">
        <f>IF(AND(VLOOKUP(J$1,'20Trips'!$A$3:$F$22,5,FALSE) - VLOOKUP($B38,'20Trips'!$A$3:$G$22,6,FALSE) &gt;= ('20Trips'!$B$24+VLOOKUP(VLOOKUP($B38,'20Trips'!$A$2:$I$22,4,FALSE),'20Trips'!$AB$46:$AH$50,4,FALSE))/1440),1,0)</f>
        <v>#N/A</v>
      </c>
      <c r="K38" s="2" t="e">
        <f>IF(AND(VLOOKUP(K$1,'20Trips'!$A$3:$F$22,5,FALSE) - VLOOKUP($B38,'20Trips'!$A$3:$G$22,6,FALSE) &gt;= ('20Trips'!$B$24+VLOOKUP(VLOOKUP($B38,'20Trips'!$A$2:$I$22,4,FALSE),'20Trips'!$AB$46:$AH$50,4,FALSE))/1440),1,0)</f>
        <v>#N/A</v>
      </c>
      <c r="L38" s="2">
        <f>IF(AND(VLOOKUP(L$1,'20Trips'!$A$3:$F$22,5,FALSE) - VLOOKUP($B38,'20Trips'!$A$3:$G$22,6,FALSE) &gt;= ('20Trips'!$B$24+VLOOKUP(VLOOKUP($B38,'20Trips'!$A$2:$I$22,4,FALSE),'20Trips'!$AB$46:$AH$50,4,FALSE))/1440),1,0)</f>
        <v>0</v>
      </c>
      <c r="M38" s="2">
        <f>IF(AND(VLOOKUP(M$1,'20Trips'!$A$3:$F$22,5,FALSE) - VLOOKUP($B38,'20Trips'!$A$3:$G$22,6,FALSE) &gt;= ('20Trips'!$B$24+VLOOKUP(VLOOKUP($B38,'20Trips'!$A$2:$I$22,4,FALSE),'20Trips'!$AB$46:$AH$50,4,FALSE))/1440),1,0)</f>
        <v>0</v>
      </c>
      <c r="N38" s="2">
        <f>IF(AND(VLOOKUP(N$1,'20Trips'!$A$3:$F$22,5,FALSE) - VLOOKUP($B38,'20Trips'!$A$3:$G$22,6,FALSE) &gt;= ('20Trips'!$B$24+VLOOKUP(VLOOKUP($B38,'20Trips'!$A$2:$I$22,4,FALSE),'20Trips'!$AB$46:$AH$50,4,FALSE))/1440),1,0)</f>
        <v>0</v>
      </c>
      <c r="O38" s="2">
        <f>IF(AND(VLOOKUP(O$1,'20Trips'!$A$3:$F$22,5,FALSE) - VLOOKUP($B38,'20Trips'!$A$3:$G$22,6,FALSE) &gt;= ('20Trips'!$B$24+VLOOKUP(VLOOKUP($B38,'20Trips'!$A$2:$I$22,4,FALSE),'20Trips'!$AB$46:$AH$50,4,FALSE))/1440),1,0)</f>
        <v>0</v>
      </c>
      <c r="P38" s="2">
        <f>IF(AND(VLOOKUP(P$1,'20Trips'!$A$3:$F$22,5,FALSE) - VLOOKUP($B38,'20Trips'!$A$3:$G$22,6,FALSE) &gt;= ('20Trips'!$B$24+VLOOKUP(VLOOKUP($B38,'20Trips'!$A$2:$I$22,4,FALSE),'20Trips'!$AB$46:$AH$50,4,FALSE))/1440),1,0)</f>
        <v>0</v>
      </c>
      <c r="Q38" s="2" t="e">
        <f>IF(AND(VLOOKUP(Q$1,'20Trips'!$A$3:$F$22,5,FALSE) - VLOOKUP($B38,'20Trips'!$A$3:$G$22,6,FALSE) &gt;= ('20Trips'!$B$24+VLOOKUP(VLOOKUP($B38,'20Trips'!$A$2:$I$22,4,FALSE),'20Trips'!$AB$46:$AH$50,4,FALSE))/1440),1,0)</f>
        <v>#N/A</v>
      </c>
      <c r="R38" s="2">
        <f>IF(AND(VLOOKUP(R$1,'20Trips'!$A$3:$F$22,5,FALSE) - VLOOKUP($B38,'20Trips'!$A$3:$G$22,6,FALSE) &gt;= ('20Trips'!$B$24+VLOOKUP(VLOOKUP($B38,'20Trips'!$A$2:$I$22,4,FALSE),'20Trips'!$AB$46:$AH$50,4,FALSE))/1440),1,0)</f>
        <v>0</v>
      </c>
      <c r="S38" s="2">
        <f>IF(AND(VLOOKUP(S$1,'20Trips'!$A$3:$F$22,5,FALSE) - VLOOKUP($B38,'20Trips'!$A$3:$G$22,6,FALSE) &gt;= ('20Trips'!$B$24+VLOOKUP(VLOOKUP($B38,'20Trips'!$A$2:$I$22,4,FALSE),'20Trips'!$AB$46:$AH$50,4,FALSE))/1440),1,0)</f>
        <v>0</v>
      </c>
      <c r="T38" s="2">
        <f>IF(AND(VLOOKUP(T$1,'20Trips'!$A$3:$F$22,5,FALSE) - VLOOKUP($B38,'20Trips'!$A$3:$G$22,6,FALSE) &gt;= ('20Trips'!$B$24+VLOOKUP(VLOOKUP($B38,'20Trips'!$A$2:$I$22,4,FALSE),'20Trips'!$AB$46:$AH$50,4,FALSE))/1440),1,0)</f>
        <v>0</v>
      </c>
      <c r="U38" s="2">
        <f>IF(AND(VLOOKUP(U$1,'20Trips'!$A$3:$F$22,5,FALSE) - VLOOKUP($B38,'20Trips'!$A$3:$G$22,6,FALSE) &gt;= ('20Trips'!$B$24+VLOOKUP(VLOOKUP($B38,'20Trips'!$A$2:$I$22,4,FALSE),'20Trips'!$AB$46:$AH$50,4,FALSE))/1440),1,0)</f>
        <v>0</v>
      </c>
      <c r="V38" s="2">
        <f>IF(AND(VLOOKUP(V$1,'20Trips'!$A$3:$F$22,5,FALSE) - VLOOKUP($B38,'20Trips'!$A$3:$G$22,6,FALSE) &gt;= ('20Trips'!$B$24+VLOOKUP(VLOOKUP($B38,'20Trips'!$A$2:$I$22,4,FALSE),'20Trips'!$AB$46:$AH$50,4,FALSE))/1440),1,0)</f>
        <v>0</v>
      </c>
      <c r="W38" s="2" t="e">
        <f>IF(AND(VLOOKUP(W$1,'20Trips'!$A$3:$F$22,5,FALSE) - VLOOKUP($B38,'20Trips'!$A$3:$G$22,6,FALSE) &gt;= ('20Trips'!$B$24+VLOOKUP(VLOOKUP($B38,'20Trips'!$A$2:$I$22,4,FALSE),'20Trips'!$AB$46:$AH$50,4,FALSE))/1440),1,0)</f>
        <v>#N/A</v>
      </c>
      <c r="X38" s="2" t="e">
        <f>IF(AND(VLOOKUP(X$1,'20Trips'!$A$3:$F$22,5,FALSE) - VLOOKUP($B38,'20Trips'!$A$3:$G$22,6,FALSE) &gt;= ('20Trips'!$B$24+VLOOKUP(VLOOKUP($B38,'20Trips'!$A$2:$I$22,4,FALSE),'20Trips'!$AB$46:$AH$50,4,FALSE))/1440),1,0)</f>
        <v>#N/A</v>
      </c>
      <c r="Y38" s="2" t="e">
        <f>IF(AND(VLOOKUP(Y$1,'20Trips'!$A$3:$F$22,5,FALSE) - VLOOKUP($B38,'20Trips'!$A$3:$G$22,6,FALSE) &gt;= ('20Trips'!$B$24+VLOOKUP(VLOOKUP($B38,'20Trips'!$A$2:$I$22,4,FALSE),'20Trips'!$AB$46:$AH$50,4,FALSE))/1440),1,0)</f>
        <v>#N/A</v>
      </c>
      <c r="Z38" s="2">
        <f>IF(AND(VLOOKUP(Z$1,'20Trips'!$A$3:$F$22,5,FALSE) - VLOOKUP($B38,'20Trips'!$A$3:$G$22,6,FALSE) &gt;= ('20Trips'!$B$24+VLOOKUP(VLOOKUP($B38,'20Trips'!$A$2:$I$22,4,FALSE),'20Trips'!$AB$46:$AH$50,4,FALSE))/1440),1,0)</f>
        <v>0</v>
      </c>
      <c r="AA38" s="2">
        <f>IF(AND(VLOOKUP(AA$1,'20Trips'!$A$3:$F$22,5,FALSE) - VLOOKUP($B38,'20Trips'!$A$3:$G$22,6,FALSE) &gt;= ('20Trips'!$B$24+VLOOKUP(VLOOKUP($B38,'20Trips'!$A$2:$I$22,4,FALSE),'20Trips'!$AB$46:$AH$50,4,FALSE))/1440),1,0)</f>
        <v>0</v>
      </c>
      <c r="AB38" s="2">
        <f>IF(AND(VLOOKUP(AB$1,'20Trips'!$A$3:$F$22,5,FALSE) - VLOOKUP($B38,'20Trips'!$A$3:$G$22,6,FALSE) &gt;= ('20Trips'!$B$24+VLOOKUP(VLOOKUP($B38,'20Trips'!$A$2:$I$22,4,FALSE),'20Trips'!$AB$46:$AH$50,4,FALSE))/1440),1,0)</f>
        <v>0</v>
      </c>
      <c r="AC38" s="2">
        <f>IF(AND(VLOOKUP(AC$1,'20Trips'!$A$3:$F$22,5,FALSE) - VLOOKUP($B38,'20Trips'!$A$3:$G$22,6,FALSE) &gt;= ('20Trips'!$B$24+VLOOKUP(VLOOKUP($B38,'20Trips'!$A$2:$I$22,4,FALSE),'20Trips'!$AB$46:$AH$50,4,FALSE))/1440),1,0)</f>
        <v>0</v>
      </c>
      <c r="AD38" s="2">
        <f>IF(AND(VLOOKUP(AD$1,'20Trips'!$A$3:$F$22,5,FALSE) - VLOOKUP($B38,'20Trips'!$A$3:$G$22,6,FALSE) &gt;= ('20Trips'!$B$24+VLOOKUP(VLOOKUP($B38,'20Trips'!$A$2:$I$22,4,FALSE),'20Trips'!$AB$46:$AH$50,4,FALSE))/1440),1,0)</f>
        <v>0</v>
      </c>
      <c r="AE38" s="2" t="e">
        <f>IF(AND(VLOOKUP(AE$1,'20Trips'!$A$3:$F$22,5,FALSE) - VLOOKUP($B38,'20Trips'!$A$3:$G$22,6,FALSE) &gt;= ('20Trips'!$B$24+VLOOKUP(VLOOKUP($B38,'20Trips'!$A$2:$I$22,4,FALSE),'20Trips'!$AB$46:$AH$50,4,FALSE))/1440),1,0)</f>
        <v>#N/A</v>
      </c>
      <c r="AF38" s="2" t="e">
        <f>IF(AND(VLOOKUP(AF$1,'20Trips'!$A$3:$F$22,5,FALSE) - VLOOKUP($B38,'20Trips'!$A$3:$G$22,6,FALSE) &gt;= ('20Trips'!$B$24+VLOOKUP(VLOOKUP($B38,'20Trips'!$A$2:$I$22,4,FALSE),'20Trips'!$AB$46:$AH$50,4,FALSE))/1440),1,0)</f>
        <v>#N/A</v>
      </c>
      <c r="AG38" s="2" t="e">
        <f>IF(AND(VLOOKUP(AG$1,'20Trips'!$A$3:$F$22,5,FALSE) - VLOOKUP($B38,'20Trips'!$A$3:$G$22,6,FALSE) &gt;= ('20Trips'!$B$24+VLOOKUP(VLOOKUP($B38,'20Trips'!$A$2:$I$22,4,FALSE),'20Trips'!$AB$46:$AH$50,4,FALSE))/1440),1,0)</f>
        <v>#N/A</v>
      </c>
    </row>
    <row r="39" spans="1:33" x14ac:dyDescent="0.25">
      <c r="A39" t="s">
        <v>62</v>
      </c>
      <c r="B39" t="s">
        <v>13</v>
      </c>
      <c r="C39">
        <v>0</v>
      </c>
      <c r="D39" s="2" t="e">
        <f>IF(AND(VLOOKUP(D$1,'20Trips'!$A$3:$F$22,5,FALSE) - VLOOKUP($B39,'20Trips'!$A$3:$G$22,6,FALSE) &gt;= ('20Trips'!$B$24+VLOOKUP(VLOOKUP($B39,'20Trips'!$A$2:$I$22,4,FALSE),'20Trips'!$AB$46:$AH$50,4,FALSE))/1440),1,0)</f>
        <v>#N/A</v>
      </c>
      <c r="E39" s="2" t="e">
        <f>IF(AND(VLOOKUP(E$1,'20Trips'!$A$3:$F$22,5,FALSE) - VLOOKUP($B39,'20Trips'!$A$3:$G$22,6,FALSE) &gt;= ('20Trips'!$B$24+VLOOKUP(VLOOKUP($B39,'20Trips'!$A$2:$I$22,4,FALSE),'20Trips'!$AB$46:$AH$50,4,FALSE))/1440),1,0)</f>
        <v>#N/A</v>
      </c>
      <c r="F39" s="2" t="e">
        <f>IF(AND(VLOOKUP(F$1,'20Trips'!$A$3:$F$22,5,FALSE) - VLOOKUP($B39,'20Trips'!$A$3:$G$22,6,FALSE) &gt;= ('20Trips'!$B$24+VLOOKUP(VLOOKUP($B39,'20Trips'!$A$2:$I$22,4,FALSE),'20Trips'!$AB$46:$AH$50,4,FALSE))/1440),1,0)</f>
        <v>#N/A</v>
      </c>
      <c r="G39" s="2" t="e">
        <f>IF(AND(VLOOKUP(G$1,'20Trips'!$A$3:$F$22,5,FALSE) - VLOOKUP($B39,'20Trips'!$A$3:$G$22,6,FALSE) &gt;= ('20Trips'!$B$24+VLOOKUP(VLOOKUP($B39,'20Trips'!$A$2:$I$22,4,FALSE),'20Trips'!$AB$46:$AH$50,4,FALSE))/1440),1,0)</f>
        <v>#N/A</v>
      </c>
      <c r="H39" s="2" t="e">
        <f>IF(AND(VLOOKUP(H$1,'20Trips'!$A$3:$F$22,5,FALSE) - VLOOKUP($B39,'20Trips'!$A$3:$G$22,6,FALSE) &gt;= ('20Trips'!$B$24+VLOOKUP(VLOOKUP($B39,'20Trips'!$A$2:$I$22,4,FALSE),'20Trips'!$AB$46:$AH$50,4,FALSE))/1440),1,0)</f>
        <v>#N/A</v>
      </c>
      <c r="I39" s="2" t="e">
        <f>IF(AND(VLOOKUP(I$1,'20Trips'!$A$3:$F$22,5,FALSE) - VLOOKUP($B39,'20Trips'!$A$3:$G$22,6,FALSE) &gt;= ('20Trips'!$B$24+VLOOKUP(VLOOKUP($B39,'20Trips'!$A$2:$I$22,4,FALSE),'20Trips'!$AB$46:$AH$50,4,FALSE))/1440),1,0)</f>
        <v>#N/A</v>
      </c>
      <c r="J39" s="2" t="e">
        <f>IF(AND(VLOOKUP(J$1,'20Trips'!$A$3:$F$22,5,FALSE) - VLOOKUP($B39,'20Trips'!$A$3:$G$22,6,FALSE) &gt;= ('20Trips'!$B$24+VLOOKUP(VLOOKUP($B39,'20Trips'!$A$2:$I$22,4,FALSE),'20Trips'!$AB$46:$AH$50,4,FALSE))/1440),1,0)</f>
        <v>#N/A</v>
      </c>
      <c r="K39" s="2" t="e">
        <f>IF(AND(VLOOKUP(K$1,'20Trips'!$A$3:$F$22,5,FALSE) - VLOOKUP($B39,'20Trips'!$A$3:$G$22,6,FALSE) &gt;= ('20Trips'!$B$24+VLOOKUP(VLOOKUP($B39,'20Trips'!$A$2:$I$22,4,FALSE),'20Trips'!$AB$46:$AH$50,4,FALSE))/1440),1,0)</f>
        <v>#N/A</v>
      </c>
      <c r="L39" s="2" t="e">
        <f>IF(AND(VLOOKUP(L$1,'20Trips'!$A$3:$F$22,5,FALSE) - VLOOKUP($B39,'20Trips'!$A$3:$G$22,6,FALSE) &gt;= ('20Trips'!$B$24+VLOOKUP(VLOOKUP($B39,'20Trips'!$A$2:$I$22,4,FALSE),'20Trips'!$AB$46:$AH$50,4,FALSE))/1440),1,0)</f>
        <v>#N/A</v>
      </c>
      <c r="M39" s="2" t="e">
        <f>IF(AND(VLOOKUP(M$1,'20Trips'!$A$3:$F$22,5,FALSE) - VLOOKUP($B39,'20Trips'!$A$3:$G$22,6,FALSE) &gt;= ('20Trips'!$B$24+VLOOKUP(VLOOKUP($B39,'20Trips'!$A$2:$I$22,4,FALSE),'20Trips'!$AB$46:$AH$50,4,FALSE))/1440),1,0)</f>
        <v>#N/A</v>
      </c>
      <c r="N39" s="2" t="e">
        <f>IF(AND(VLOOKUP(N$1,'20Trips'!$A$3:$F$22,5,FALSE) - VLOOKUP($B39,'20Trips'!$A$3:$G$22,6,FALSE) &gt;= ('20Trips'!$B$24+VLOOKUP(VLOOKUP($B39,'20Trips'!$A$2:$I$22,4,FALSE),'20Trips'!$AB$46:$AH$50,4,FALSE))/1440),1,0)</f>
        <v>#N/A</v>
      </c>
      <c r="O39" s="2" t="e">
        <f>IF(AND(VLOOKUP(O$1,'20Trips'!$A$3:$F$22,5,FALSE) - VLOOKUP($B39,'20Trips'!$A$3:$G$22,6,FALSE) &gt;= ('20Trips'!$B$24+VLOOKUP(VLOOKUP($B39,'20Trips'!$A$2:$I$22,4,FALSE),'20Trips'!$AB$46:$AH$50,4,FALSE))/1440),1,0)</f>
        <v>#N/A</v>
      </c>
      <c r="P39" s="2" t="e">
        <f>IF(AND(VLOOKUP(P$1,'20Trips'!$A$3:$F$22,5,FALSE) - VLOOKUP($B39,'20Trips'!$A$3:$G$22,6,FALSE) &gt;= ('20Trips'!$B$24+VLOOKUP(VLOOKUP($B39,'20Trips'!$A$2:$I$22,4,FALSE),'20Trips'!$AB$46:$AH$50,4,FALSE))/1440),1,0)</f>
        <v>#N/A</v>
      </c>
      <c r="Q39" s="2" t="e">
        <f>IF(AND(VLOOKUP(Q$1,'20Trips'!$A$3:$F$22,5,FALSE) - VLOOKUP($B39,'20Trips'!$A$3:$G$22,6,FALSE) &gt;= ('20Trips'!$B$24+VLOOKUP(VLOOKUP($B39,'20Trips'!$A$2:$I$22,4,FALSE),'20Trips'!$AB$46:$AH$50,4,FALSE))/1440),1,0)</f>
        <v>#N/A</v>
      </c>
      <c r="R39" s="2" t="e">
        <f>IF(AND(VLOOKUP(R$1,'20Trips'!$A$3:$F$22,5,FALSE) - VLOOKUP($B39,'20Trips'!$A$3:$G$22,6,FALSE) &gt;= ('20Trips'!$B$24+VLOOKUP(VLOOKUP($B39,'20Trips'!$A$2:$I$22,4,FALSE),'20Trips'!$AB$46:$AH$50,4,FALSE))/1440),1,0)</f>
        <v>#N/A</v>
      </c>
      <c r="S39" s="2" t="e">
        <f>IF(AND(VLOOKUP(S$1,'20Trips'!$A$3:$F$22,5,FALSE) - VLOOKUP($B39,'20Trips'!$A$3:$G$22,6,FALSE) &gt;= ('20Trips'!$B$24+VLOOKUP(VLOOKUP($B39,'20Trips'!$A$2:$I$22,4,FALSE),'20Trips'!$AB$46:$AH$50,4,FALSE))/1440),1,0)</f>
        <v>#N/A</v>
      </c>
      <c r="T39" s="2" t="e">
        <f>IF(AND(VLOOKUP(T$1,'20Trips'!$A$3:$F$22,5,FALSE) - VLOOKUP($B39,'20Trips'!$A$3:$G$22,6,FALSE) &gt;= ('20Trips'!$B$24+VLOOKUP(VLOOKUP($B39,'20Trips'!$A$2:$I$22,4,FALSE),'20Trips'!$AB$46:$AH$50,4,FALSE))/1440),1,0)</f>
        <v>#N/A</v>
      </c>
      <c r="U39" s="2" t="e">
        <f>IF(AND(VLOOKUP(U$1,'20Trips'!$A$3:$F$22,5,FALSE) - VLOOKUP($B39,'20Trips'!$A$3:$G$22,6,FALSE) &gt;= ('20Trips'!$B$24+VLOOKUP(VLOOKUP($B39,'20Trips'!$A$2:$I$22,4,FALSE),'20Trips'!$AB$46:$AH$50,4,FALSE))/1440),1,0)</f>
        <v>#N/A</v>
      </c>
      <c r="V39" s="2" t="e">
        <f>IF(AND(VLOOKUP(V$1,'20Trips'!$A$3:$F$22,5,FALSE) - VLOOKUP($B39,'20Trips'!$A$3:$G$22,6,FALSE) &gt;= ('20Trips'!$B$24+VLOOKUP(VLOOKUP($B39,'20Trips'!$A$2:$I$22,4,FALSE),'20Trips'!$AB$46:$AH$50,4,FALSE))/1440),1,0)</f>
        <v>#N/A</v>
      </c>
      <c r="W39" s="2" t="e">
        <f>IF(AND(VLOOKUP(W$1,'20Trips'!$A$3:$F$22,5,FALSE) - VLOOKUP($B39,'20Trips'!$A$3:$G$22,6,FALSE) &gt;= ('20Trips'!$B$24+VLOOKUP(VLOOKUP($B39,'20Trips'!$A$2:$I$22,4,FALSE),'20Trips'!$AB$46:$AH$50,4,FALSE))/1440),1,0)</f>
        <v>#N/A</v>
      </c>
      <c r="X39" s="2" t="e">
        <f>IF(AND(VLOOKUP(X$1,'20Trips'!$A$3:$F$22,5,FALSE) - VLOOKUP($B39,'20Trips'!$A$3:$G$22,6,FALSE) &gt;= ('20Trips'!$B$24+VLOOKUP(VLOOKUP($B39,'20Trips'!$A$2:$I$22,4,FALSE),'20Trips'!$AB$46:$AH$50,4,FALSE))/1440),1,0)</f>
        <v>#N/A</v>
      </c>
      <c r="Y39" s="2" t="e">
        <f>IF(AND(VLOOKUP(Y$1,'20Trips'!$A$3:$F$22,5,FALSE) - VLOOKUP($B39,'20Trips'!$A$3:$G$22,6,FALSE) &gt;= ('20Trips'!$B$24+VLOOKUP(VLOOKUP($B39,'20Trips'!$A$2:$I$22,4,FALSE),'20Trips'!$AB$46:$AH$50,4,FALSE))/1440),1,0)</f>
        <v>#N/A</v>
      </c>
      <c r="Z39" s="2" t="e">
        <f>IF(AND(VLOOKUP(Z$1,'20Trips'!$A$3:$F$22,5,FALSE) - VLOOKUP($B39,'20Trips'!$A$3:$G$22,6,FALSE) &gt;= ('20Trips'!$B$24+VLOOKUP(VLOOKUP($B39,'20Trips'!$A$2:$I$22,4,FALSE),'20Trips'!$AB$46:$AH$50,4,FALSE))/1440),1,0)</f>
        <v>#N/A</v>
      </c>
      <c r="AA39" s="2" t="e">
        <f>IF(AND(VLOOKUP(AA$1,'20Trips'!$A$3:$F$22,5,FALSE) - VLOOKUP($B39,'20Trips'!$A$3:$G$22,6,FALSE) &gt;= ('20Trips'!$B$24+VLOOKUP(VLOOKUP($B39,'20Trips'!$A$2:$I$22,4,FALSE),'20Trips'!$AB$46:$AH$50,4,FALSE))/1440),1,0)</f>
        <v>#N/A</v>
      </c>
      <c r="AB39" s="2" t="e">
        <f>IF(AND(VLOOKUP(AB$1,'20Trips'!$A$3:$F$22,5,FALSE) - VLOOKUP($B39,'20Trips'!$A$3:$G$22,6,FALSE) &gt;= ('20Trips'!$B$24+VLOOKUP(VLOOKUP($B39,'20Trips'!$A$2:$I$22,4,FALSE),'20Trips'!$AB$46:$AH$50,4,FALSE))/1440),1,0)</f>
        <v>#N/A</v>
      </c>
      <c r="AC39" s="2" t="e">
        <f>IF(AND(VLOOKUP(AC$1,'20Trips'!$A$3:$F$22,5,FALSE) - VLOOKUP($B39,'20Trips'!$A$3:$G$22,6,FALSE) &gt;= ('20Trips'!$B$24+VLOOKUP(VLOOKUP($B39,'20Trips'!$A$2:$I$22,4,FALSE),'20Trips'!$AB$46:$AH$50,4,FALSE))/1440),1,0)</f>
        <v>#N/A</v>
      </c>
      <c r="AD39" s="2" t="e">
        <f>IF(AND(VLOOKUP(AD$1,'20Trips'!$A$3:$F$22,5,FALSE) - VLOOKUP($B39,'20Trips'!$A$3:$G$22,6,FALSE) &gt;= ('20Trips'!$B$24+VLOOKUP(VLOOKUP($B39,'20Trips'!$A$2:$I$22,4,FALSE),'20Trips'!$AB$46:$AH$50,4,FALSE))/1440),1,0)</f>
        <v>#N/A</v>
      </c>
      <c r="AE39" s="2" t="e">
        <f>IF(AND(VLOOKUP(AE$1,'20Trips'!$A$3:$F$22,5,FALSE) - VLOOKUP($B39,'20Trips'!$A$3:$G$22,6,FALSE) &gt;= ('20Trips'!$B$24+VLOOKUP(VLOOKUP($B39,'20Trips'!$A$2:$I$22,4,FALSE),'20Trips'!$AB$46:$AH$50,4,FALSE))/1440),1,0)</f>
        <v>#N/A</v>
      </c>
      <c r="AF39" s="2" t="e">
        <f>IF(AND(VLOOKUP(AF$1,'20Trips'!$A$3:$F$22,5,FALSE) - VLOOKUP($B39,'20Trips'!$A$3:$G$22,6,FALSE) &gt;= ('20Trips'!$B$24+VLOOKUP(VLOOKUP($B39,'20Trips'!$A$2:$I$22,4,FALSE),'20Trips'!$AB$46:$AH$50,4,FALSE))/1440),1,0)</f>
        <v>#N/A</v>
      </c>
      <c r="AG39" s="2" t="e">
        <f>IF(AND(VLOOKUP(AG$1,'20Trips'!$A$3:$F$22,5,FALSE) - VLOOKUP($B39,'20Trips'!$A$3:$G$22,6,FALSE) &gt;= ('20Trips'!$B$24+VLOOKUP(VLOOKUP($B39,'20Trips'!$A$2:$I$22,4,FALSE),'20Trips'!$AB$46:$AH$50,4,FALSE))/1440),1,0)</f>
        <v>#N/A</v>
      </c>
    </row>
    <row r="40" spans="1:33" x14ac:dyDescent="0.25">
      <c r="A40" t="s">
        <v>62</v>
      </c>
      <c r="B40" t="s">
        <v>14</v>
      </c>
      <c r="C40">
        <v>0</v>
      </c>
      <c r="D40" s="2" t="e">
        <f>IF(AND(VLOOKUP(D$1,'20Trips'!$A$3:$F$22,5,FALSE) - VLOOKUP($B40,'20Trips'!$A$3:$G$22,6,FALSE) &gt;= ('20Trips'!$B$24+VLOOKUP(VLOOKUP($B40,'20Trips'!$A$2:$I$22,4,FALSE),'20Trips'!$AB$46:$AH$50,4,FALSE))/1440),1,0)</f>
        <v>#N/A</v>
      </c>
      <c r="E40" s="2" t="e">
        <f>IF(AND(VLOOKUP(E$1,'20Trips'!$A$3:$F$22,5,FALSE) - VLOOKUP($B40,'20Trips'!$A$3:$G$22,6,FALSE) &gt;= ('20Trips'!$B$24+VLOOKUP(VLOOKUP($B40,'20Trips'!$A$2:$I$22,4,FALSE),'20Trips'!$AB$46:$AH$50,4,FALSE))/1440),1,0)</f>
        <v>#N/A</v>
      </c>
      <c r="F40" s="2" t="e">
        <f>IF(AND(VLOOKUP(F$1,'20Trips'!$A$3:$F$22,5,FALSE) - VLOOKUP($B40,'20Trips'!$A$3:$G$22,6,FALSE) &gt;= ('20Trips'!$B$24+VLOOKUP(VLOOKUP($B40,'20Trips'!$A$2:$I$22,4,FALSE),'20Trips'!$AB$46:$AH$50,4,FALSE))/1440),1,0)</f>
        <v>#N/A</v>
      </c>
      <c r="G40" s="2" t="e">
        <f>IF(AND(VLOOKUP(G$1,'20Trips'!$A$3:$F$22,5,FALSE) - VLOOKUP($B40,'20Trips'!$A$3:$G$22,6,FALSE) &gt;= ('20Trips'!$B$24+VLOOKUP(VLOOKUP($B40,'20Trips'!$A$2:$I$22,4,FALSE),'20Trips'!$AB$46:$AH$50,4,FALSE))/1440),1,0)</f>
        <v>#N/A</v>
      </c>
      <c r="H40" s="2" t="e">
        <f>IF(AND(VLOOKUP(H$1,'20Trips'!$A$3:$F$22,5,FALSE) - VLOOKUP($B40,'20Trips'!$A$3:$G$22,6,FALSE) &gt;= ('20Trips'!$B$24+VLOOKUP(VLOOKUP($B40,'20Trips'!$A$2:$I$22,4,FALSE),'20Trips'!$AB$46:$AH$50,4,FALSE))/1440),1,0)</f>
        <v>#N/A</v>
      </c>
      <c r="I40" s="2" t="e">
        <f>IF(AND(VLOOKUP(I$1,'20Trips'!$A$3:$F$22,5,FALSE) - VLOOKUP($B40,'20Trips'!$A$3:$G$22,6,FALSE) &gt;= ('20Trips'!$B$24+VLOOKUP(VLOOKUP($B40,'20Trips'!$A$2:$I$22,4,FALSE),'20Trips'!$AB$46:$AH$50,4,FALSE))/1440),1,0)</f>
        <v>#N/A</v>
      </c>
      <c r="J40" s="2" t="e">
        <f>IF(AND(VLOOKUP(J$1,'20Trips'!$A$3:$F$22,5,FALSE) - VLOOKUP($B40,'20Trips'!$A$3:$G$22,6,FALSE) &gt;= ('20Trips'!$B$24+VLOOKUP(VLOOKUP($B40,'20Trips'!$A$2:$I$22,4,FALSE),'20Trips'!$AB$46:$AH$50,4,FALSE))/1440),1,0)</f>
        <v>#N/A</v>
      </c>
      <c r="K40" s="2" t="e">
        <f>IF(AND(VLOOKUP(K$1,'20Trips'!$A$3:$F$22,5,FALSE) - VLOOKUP($B40,'20Trips'!$A$3:$G$22,6,FALSE) &gt;= ('20Trips'!$B$24+VLOOKUP(VLOOKUP($B40,'20Trips'!$A$2:$I$22,4,FALSE),'20Trips'!$AB$46:$AH$50,4,FALSE))/1440),1,0)</f>
        <v>#N/A</v>
      </c>
      <c r="L40" s="2" t="e">
        <f>IF(AND(VLOOKUP(L$1,'20Trips'!$A$3:$F$22,5,FALSE) - VLOOKUP($B40,'20Trips'!$A$3:$G$22,6,FALSE) &gt;= ('20Trips'!$B$24+VLOOKUP(VLOOKUP($B40,'20Trips'!$A$2:$I$22,4,FALSE),'20Trips'!$AB$46:$AH$50,4,FALSE))/1440),1,0)</f>
        <v>#N/A</v>
      </c>
      <c r="M40" s="2" t="e">
        <f>IF(AND(VLOOKUP(M$1,'20Trips'!$A$3:$F$22,5,FALSE) - VLOOKUP($B40,'20Trips'!$A$3:$G$22,6,FALSE) &gt;= ('20Trips'!$B$24+VLOOKUP(VLOOKUP($B40,'20Trips'!$A$2:$I$22,4,FALSE),'20Trips'!$AB$46:$AH$50,4,FALSE))/1440),1,0)</f>
        <v>#N/A</v>
      </c>
      <c r="N40" s="2" t="e">
        <f>IF(AND(VLOOKUP(N$1,'20Trips'!$A$3:$F$22,5,FALSE) - VLOOKUP($B40,'20Trips'!$A$3:$G$22,6,FALSE) &gt;= ('20Trips'!$B$24+VLOOKUP(VLOOKUP($B40,'20Trips'!$A$2:$I$22,4,FALSE),'20Trips'!$AB$46:$AH$50,4,FALSE))/1440),1,0)</f>
        <v>#N/A</v>
      </c>
      <c r="O40" s="2" t="e">
        <f>IF(AND(VLOOKUP(O$1,'20Trips'!$A$3:$F$22,5,FALSE) - VLOOKUP($B40,'20Trips'!$A$3:$G$22,6,FALSE) &gt;= ('20Trips'!$B$24+VLOOKUP(VLOOKUP($B40,'20Trips'!$A$2:$I$22,4,FALSE),'20Trips'!$AB$46:$AH$50,4,FALSE))/1440),1,0)</f>
        <v>#N/A</v>
      </c>
      <c r="P40" s="2" t="e">
        <f>IF(AND(VLOOKUP(P$1,'20Trips'!$A$3:$F$22,5,FALSE) - VLOOKUP($B40,'20Trips'!$A$3:$G$22,6,FALSE) &gt;= ('20Trips'!$B$24+VLOOKUP(VLOOKUP($B40,'20Trips'!$A$2:$I$22,4,FALSE),'20Trips'!$AB$46:$AH$50,4,FALSE))/1440),1,0)</f>
        <v>#N/A</v>
      </c>
      <c r="Q40" s="2" t="e">
        <f>IF(AND(VLOOKUP(Q$1,'20Trips'!$A$3:$F$22,5,FALSE) - VLOOKUP($B40,'20Trips'!$A$3:$G$22,6,FALSE) &gt;= ('20Trips'!$B$24+VLOOKUP(VLOOKUP($B40,'20Trips'!$A$2:$I$22,4,FALSE),'20Trips'!$AB$46:$AH$50,4,FALSE))/1440),1,0)</f>
        <v>#N/A</v>
      </c>
      <c r="R40" s="2" t="e">
        <f>IF(AND(VLOOKUP(R$1,'20Trips'!$A$3:$F$22,5,FALSE) - VLOOKUP($B40,'20Trips'!$A$3:$G$22,6,FALSE) &gt;= ('20Trips'!$B$24+VLOOKUP(VLOOKUP($B40,'20Trips'!$A$2:$I$22,4,FALSE),'20Trips'!$AB$46:$AH$50,4,FALSE))/1440),1,0)</f>
        <v>#N/A</v>
      </c>
      <c r="S40" s="2" t="e">
        <f>IF(AND(VLOOKUP(S$1,'20Trips'!$A$3:$F$22,5,FALSE) - VLOOKUP($B40,'20Trips'!$A$3:$G$22,6,FALSE) &gt;= ('20Trips'!$B$24+VLOOKUP(VLOOKUP($B40,'20Trips'!$A$2:$I$22,4,FALSE),'20Trips'!$AB$46:$AH$50,4,FALSE))/1440),1,0)</f>
        <v>#N/A</v>
      </c>
      <c r="T40" s="2" t="e">
        <f>IF(AND(VLOOKUP(T$1,'20Trips'!$A$3:$F$22,5,FALSE) - VLOOKUP($B40,'20Trips'!$A$3:$G$22,6,FALSE) &gt;= ('20Trips'!$B$24+VLOOKUP(VLOOKUP($B40,'20Trips'!$A$2:$I$22,4,FALSE),'20Trips'!$AB$46:$AH$50,4,FALSE))/1440),1,0)</f>
        <v>#N/A</v>
      </c>
      <c r="U40" s="2" t="e">
        <f>IF(AND(VLOOKUP(U$1,'20Trips'!$A$3:$F$22,5,FALSE) - VLOOKUP($B40,'20Trips'!$A$3:$G$22,6,FALSE) &gt;= ('20Trips'!$B$24+VLOOKUP(VLOOKUP($B40,'20Trips'!$A$2:$I$22,4,FALSE),'20Trips'!$AB$46:$AH$50,4,FALSE))/1440),1,0)</f>
        <v>#N/A</v>
      </c>
      <c r="V40" s="2" t="e">
        <f>IF(AND(VLOOKUP(V$1,'20Trips'!$A$3:$F$22,5,FALSE) - VLOOKUP($B40,'20Trips'!$A$3:$G$22,6,FALSE) &gt;= ('20Trips'!$B$24+VLOOKUP(VLOOKUP($B40,'20Trips'!$A$2:$I$22,4,FALSE),'20Trips'!$AB$46:$AH$50,4,FALSE))/1440),1,0)</f>
        <v>#N/A</v>
      </c>
      <c r="W40" s="2" t="e">
        <f>IF(AND(VLOOKUP(W$1,'20Trips'!$A$3:$F$22,5,FALSE) - VLOOKUP($B40,'20Trips'!$A$3:$G$22,6,FALSE) &gt;= ('20Trips'!$B$24+VLOOKUP(VLOOKUP($B40,'20Trips'!$A$2:$I$22,4,FALSE),'20Trips'!$AB$46:$AH$50,4,FALSE))/1440),1,0)</f>
        <v>#N/A</v>
      </c>
      <c r="X40" s="2" t="e">
        <f>IF(AND(VLOOKUP(X$1,'20Trips'!$A$3:$F$22,5,FALSE) - VLOOKUP($B40,'20Trips'!$A$3:$G$22,6,FALSE) &gt;= ('20Trips'!$B$24+VLOOKUP(VLOOKUP($B40,'20Trips'!$A$2:$I$22,4,FALSE),'20Trips'!$AB$46:$AH$50,4,FALSE))/1440),1,0)</f>
        <v>#N/A</v>
      </c>
      <c r="Y40" s="2" t="e">
        <f>IF(AND(VLOOKUP(Y$1,'20Trips'!$A$3:$F$22,5,FALSE) - VLOOKUP($B40,'20Trips'!$A$3:$G$22,6,FALSE) &gt;= ('20Trips'!$B$24+VLOOKUP(VLOOKUP($B40,'20Trips'!$A$2:$I$22,4,FALSE),'20Trips'!$AB$46:$AH$50,4,FALSE))/1440),1,0)</f>
        <v>#N/A</v>
      </c>
      <c r="Z40" s="2" t="e">
        <f>IF(AND(VLOOKUP(Z$1,'20Trips'!$A$3:$F$22,5,FALSE) - VLOOKUP($B40,'20Trips'!$A$3:$G$22,6,FALSE) &gt;= ('20Trips'!$B$24+VLOOKUP(VLOOKUP($B40,'20Trips'!$A$2:$I$22,4,FALSE),'20Trips'!$AB$46:$AH$50,4,FALSE))/1440),1,0)</f>
        <v>#N/A</v>
      </c>
      <c r="AA40" s="2" t="e">
        <f>IF(AND(VLOOKUP(AA$1,'20Trips'!$A$3:$F$22,5,FALSE) - VLOOKUP($B40,'20Trips'!$A$3:$G$22,6,FALSE) &gt;= ('20Trips'!$B$24+VLOOKUP(VLOOKUP($B40,'20Trips'!$A$2:$I$22,4,FALSE),'20Trips'!$AB$46:$AH$50,4,FALSE))/1440),1,0)</f>
        <v>#N/A</v>
      </c>
      <c r="AB40" s="2" t="e">
        <f>IF(AND(VLOOKUP(AB$1,'20Trips'!$A$3:$F$22,5,FALSE) - VLOOKUP($B40,'20Trips'!$A$3:$G$22,6,FALSE) &gt;= ('20Trips'!$B$24+VLOOKUP(VLOOKUP($B40,'20Trips'!$A$2:$I$22,4,FALSE),'20Trips'!$AB$46:$AH$50,4,FALSE))/1440),1,0)</f>
        <v>#N/A</v>
      </c>
      <c r="AC40" s="2" t="e">
        <f>IF(AND(VLOOKUP(AC$1,'20Trips'!$A$3:$F$22,5,FALSE) - VLOOKUP($B40,'20Trips'!$A$3:$G$22,6,FALSE) &gt;= ('20Trips'!$B$24+VLOOKUP(VLOOKUP($B40,'20Trips'!$A$2:$I$22,4,FALSE),'20Trips'!$AB$46:$AH$50,4,FALSE))/1440),1,0)</f>
        <v>#N/A</v>
      </c>
      <c r="AD40" s="2" t="e">
        <f>IF(AND(VLOOKUP(AD$1,'20Trips'!$A$3:$F$22,5,FALSE) - VLOOKUP($B40,'20Trips'!$A$3:$G$22,6,FALSE) &gt;= ('20Trips'!$B$24+VLOOKUP(VLOOKUP($B40,'20Trips'!$A$2:$I$22,4,FALSE),'20Trips'!$AB$46:$AH$50,4,FALSE))/1440),1,0)</f>
        <v>#N/A</v>
      </c>
      <c r="AE40" s="2" t="e">
        <f>IF(AND(VLOOKUP(AE$1,'20Trips'!$A$3:$F$22,5,FALSE) - VLOOKUP($B40,'20Trips'!$A$3:$G$22,6,FALSE) &gt;= ('20Trips'!$B$24+VLOOKUP(VLOOKUP($B40,'20Trips'!$A$2:$I$22,4,FALSE),'20Trips'!$AB$46:$AH$50,4,FALSE))/1440),1,0)</f>
        <v>#N/A</v>
      </c>
      <c r="AF40" s="2" t="e">
        <f>IF(AND(VLOOKUP(AF$1,'20Trips'!$A$3:$F$22,5,FALSE) - VLOOKUP($B40,'20Trips'!$A$3:$G$22,6,FALSE) &gt;= ('20Trips'!$B$24+VLOOKUP(VLOOKUP($B40,'20Trips'!$A$2:$I$22,4,FALSE),'20Trips'!$AB$46:$AH$50,4,FALSE))/1440),1,0)</f>
        <v>#N/A</v>
      </c>
      <c r="AG40" s="2" t="e">
        <f>IF(AND(VLOOKUP(AG$1,'20Trips'!$A$3:$F$22,5,FALSE) - VLOOKUP($B40,'20Trips'!$A$3:$G$22,6,FALSE) &gt;= ('20Trips'!$B$24+VLOOKUP(VLOOKUP($B40,'20Trips'!$A$2:$I$22,4,FALSE),'20Trips'!$AB$46:$AH$50,4,FALSE))/1440),1,0)</f>
        <v>#N/A</v>
      </c>
    </row>
    <row r="41" spans="1:33" x14ac:dyDescent="0.25">
      <c r="A41" t="s">
        <v>62</v>
      </c>
      <c r="B41" t="s">
        <v>15</v>
      </c>
      <c r="C41">
        <v>0</v>
      </c>
      <c r="D41" s="2" t="e">
        <f>IF(AND(VLOOKUP(D$1,'20Trips'!$A$3:$F$22,5,FALSE) - VLOOKUP($B41,'20Trips'!$A$3:$G$22,6,FALSE) &gt;= ('20Trips'!$B$24+VLOOKUP(VLOOKUP($B41,'20Trips'!$A$2:$I$22,4,FALSE),'20Trips'!$AB$46:$AH$50,4,FALSE))/1440),1,0)</f>
        <v>#N/A</v>
      </c>
      <c r="E41" s="2" t="e">
        <f>IF(AND(VLOOKUP(E$1,'20Trips'!$A$3:$F$22,5,FALSE) - VLOOKUP($B41,'20Trips'!$A$3:$G$22,6,FALSE) &gt;= ('20Trips'!$B$24+VLOOKUP(VLOOKUP($B41,'20Trips'!$A$2:$I$22,4,FALSE),'20Trips'!$AB$46:$AH$50,4,FALSE))/1440),1,0)</f>
        <v>#N/A</v>
      </c>
      <c r="F41" s="2" t="e">
        <f>IF(AND(VLOOKUP(F$1,'20Trips'!$A$3:$F$22,5,FALSE) - VLOOKUP($B41,'20Trips'!$A$3:$G$22,6,FALSE) &gt;= ('20Trips'!$B$24+VLOOKUP(VLOOKUP($B41,'20Trips'!$A$2:$I$22,4,FALSE),'20Trips'!$AB$46:$AH$50,4,FALSE))/1440),1,0)</f>
        <v>#N/A</v>
      </c>
      <c r="G41" s="2" t="e">
        <f>IF(AND(VLOOKUP(G$1,'20Trips'!$A$3:$F$22,5,FALSE) - VLOOKUP($B41,'20Trips'!$A$3:$G$22,6,FALSE) &gt;= ('20Trips'!$B$24+VLOOKUP(VLOOKUP($B41,'20Trips'!$A$2:$I$22,4,FALSE),'20Trips'!$AB$46:$AH$50,4,FALSE))/1440),1,0)</f>
        <v>#N/A</v>
      </c>
      <c r="H41" s="2" t="e">
        <f>IF(AND(VLOOKUP(H$1,'20Trips'!$A$3:$F$22,5,FALSE) - VLOOKUP($B41,'20Trips'!$A$3:$G$22,6,FALSE) &gt;= ('20Trips'!$B$24+VLOOKUP(VLOOKUP($B41,'20Trips'!$A$2:$I$22,4,FALSE),'20Trips'!$AB$46:$AH$50,4,FALSE))/1440),1,0)</f>
        <v>#N/A</v>
      </c>
      <c r="I41" s="2" t="e">
        <f>IF(AND(VLOOKUP(I$1,'20Trips'!$A$3:$F$22,5,FALSE) - VLOOKUP($B41,'20Trips'!$A$3:$G$22,6,FALSE) &gt;= ('20Trips'!$B$24+VLOOKUP(VLOOKUP($B41,'20Trips'!$A$2:$I$22,4,FALSE),'20Trips'!$AB$46:$AH$50,4,FALSE))/1440),1,0)</f>
        <v>#N/A</v>
      </c>
      <c r="J41" s="2" t="e">
        <f>IF(AND(VLOOKUP(J$1,'20Trips'!$A$3:$F$22,5,FALSE) - VLOOKUP($B41,'20Trips'!$A$3:$G$22,6,FALSE) &gt;= ('20Trips'!$B$24+VLOOKUP(VLOOKUP($B41,'20Trips'!$A$2:$I$22,4,FALSE),'20Trips'!$AB$46:$AH$50,4,FALSE))/1440),1,0)</f>
        <v>#N/A</v>
      </c>
      <c r="K41" s="2" t="e">
        <f>IF(AND(VLOOKUP(K$1,'20Trips'!$A$3:$F$22,5,FALSE) - VLOOKUP($B41,'20Trips'!$A$3:$G$22,6,FALSE) &gt;= ('20Trips'!$B$24+VLOOKUP(VLOOKUP($B41,'20Trips'!$A$2:$I$22,4,FALSE),'20Trips'!$AB$46:$AH$50,4,FALSE))/1440),1,0)</f>
        <v>#N/A</v>
      </c>
      <c r="L41" s="2" t="e">
        <f>IF(AND(VLOOKUP(L$1,'20Trips'!$A$3:$F$22,5,FALSE) - VLOOKUP($B41,'20Trips'!$A$3:$G$22,6,FALSE) &gt;= ('20Trips'!$B$24+VLOOKUP(VLOOKUP($B41,'20Trips'!$A$2:$I$22,4,FALSE),'20Trips'!$AB$46:$AH$50,4,FALSE))/1440),1,0)</f>
        <v>#N/A</v>
      </c>
      <c r="M41" s="2" t="e">
        <f>IF(AND(VLOOKUP(M$1,'20Trips'!$A$3:$F$22,5,FALSE) - VLOOKUP($B41,'20Trips'!$A$3:$G$22,6,FALSE) &gt;= ('20Trips'!$B$24+VLOOKUP(VLOOKUP($B41,'20Trips'!$A$2:$I$22,4,FALSE),'20Trips'!$AB$46:$AH$50,4,FALSE))/1440),1,0)</f>
        <v>#N/A</v>
      </c>
      <c r="N41" s="2" t="e">
        <f>IF(AND(VLOOKUP(N$1,'20Trips'!$A$3:$F$22,5,FALSE) - VLOOKUP($B41,'20Trips'!$A$3:$G$22,6,FALSE) &gt;= ('20Trips'!$B$24+VLOOKUP(VLOOKUP($B41,'20Trips'!$A$2:$I$22,4,FALSE),'20Trips'!$AB$46:$AH$50,4,FALSE))/1440),1,0)</f>
        <v>#N/A</v>
      </c>
      <c r="O41" s="2" t="e">
        <f>IF(AND(VLOOKUP(O$1,'20Trips'!$A$3:$F$22,5,FALSE) - VLOOKUP($B41,'20Trips'!$A$3:$G$22,6,FALSE) &gt;= ('20Trips'!$B$24+VLOOKUP(VLOOKUP($B41,'20Trips'!$A$2:$I$22,4,FALSE),'20Trips'!$AB$46:$AH$50,4,FALSE))/1440),1,0)</f>
        <v>#N/A</v>
      </c>
      <c r="P41" s="2" t="e">
        <f>IF(AND(VLOOKUP(P$1,'20Trips'!$A$3:$F$22,5,FALSE) - VLOOKUP($B41,'20Trips'!$A$3:$G$22,6,FALSE) &gt;= ('20Trips'!$B$24+VLOOKUP(VLOOKUP($B41,'20Trips'!$A$2:$I$22,4,FALSE),'20Trips'!$AB$46:$AH$50,4,FALSE))/1440),1,0)</f>
        <v>#N/A</v>
      </c>
      <c r="Q41" s="2" t="e">
        <f>IF(AND(VLOOKUP(Q$1,'20Trips'!$A$3:$F$22,5,FALSE) - VLOOKUP($B41,'20Trips'!$A$3:$G$22,6,FALSE) &gt;= ('20Trips'!$B$24+VLOOKUP(VLOOKUP($B41,'20Trips'!$A$2:$I$22,4,FALSE),'20Trips'!$AB$46:$AH$50,4,FALSE))/1440),1,0)</f>
        <v>#N/A</v>
      </c>
      <c r="R41" s="2" t="e">
        <f>IF(AND(VLOOKUP(R$1,'20Trips'!$A$3:$F$22,5,FALSE) - VLOOKUP($B41,'20Trips'!$A$3:$G$22,6,FALSE) &gt;= ('20Trips'!$B$24+VLOOKUP(VLOOKUP($B41,'20Trips'!$A$2:$I$22,4,FALSE),'20Trips'!$AB$46:$AH$50,4,FALSE))/1440),1,0)</f>
        <v>#N/A</v>
      </c>
      <c r="S41" s="2" t="e">
        <f>IF(AND(VLOOKUP(S$1,'20Trips'!$A$3:$F$22,5,FALSE) - VLOOKUP($B41,'20Trips'!$A$3:$G$22,6,FALSE) &gt;= ('20Trips'!$B$24+VLOOKUP(VLOOKUP($B41,'20Trips'!$A$2:$I$22,4,FALSE),'20Trips'!$AB$46:$AH$50,4,FALSE))/1440),1,0)</f>
        <v>#N/A</v>
      </c>
      <c r="T41" s="2" t="e">
        <f>IF(AND(VLOOKUP(T$1,'20Trips'!$A$3:$F$22,5,FALSE) - VLOOKUP($B41,'20Trips'!$A$3:$G$22,6,FALSE) &gt;= ('20Trips'!$B$24+VLOOKUP(VLOOKUP($B41,'20Trips'!$A$2:$I$22,4,FALSE),'20Trips'!$AB$46:$AH$50,4,FALSE))/1440),1,0)</f>
        <v>#N/A</v>
      </c>
      <c r="U41" s="2" t="e">
        <f>IF(AND(VLOOKUP(U$1,'20Trips'!$A$3:$F$22,5,FALSE) - VLOOKUP($B41,'20Trips'!$A$3:$G$22,6,FALSE) &gt;= ('20Trips'!$B$24+VLOOKUP(VLOOKUP($B41,'20Trips'!$A$2:$I$22,4,FALSE),'20Trips'!$AB$46:$AH$50,4,FALSE))/1440),1,0)</f>
        <v>#N/A</v>
      </c>
      <c r="V41" s="2" t="e">
        <f>IF(AND(VLOOKUP(V$1,'20Trips'!$A$3:$F$22,5,FALSE) - VLOOKUP($B41,'20Trips'!$A$3:$G$22,6,FALSE) &gt;= ('20Trips'!$B$24+VLOOKUP(VLOOKUP($B41,'20Trips'!$A$2:$I$22,4,FALSE),'20Trips'!$AB$46:$AH$50,4,FALSE))/1440),1,0)</f>
        <v>#N/A</v>
      </c>
      <c r="W41" s="2" t="e">
        <f>IF(AND(VLOOKUP(W$1,'20Trips'!$A$3:$F$22,5,FALSE) - VLOOKUP($B41,'20Trips'!$A$3:$G$22,6,FALSE) &gt;= ('20Trips'!$B$24+VLOOKUP(VLOOKUP($B41,'20Trips'!$A$2:$I$22,4,FALSE),'20Trips'!$AB$46:$AH$50,4,FALSE))/1440),1,0)</f>
        <v>#N/A</v>
      </c>
      <c r="X41" s="2" t="e">
        <f>IF(AND(VLOOKUP(X$1,'20Trips'!$A$3:$F$22,5,FALSE) - VLOOKUP($B41,'20Trips'!$A$3:$G$22,6,FALSE) &gt;= ('20Trips'!$B$24+VLOOKUP(VLOOKUP($B41,'20Trips'!$A$2:$I$22,4,FALSE),'20Trips'!$AB$46:$AH$50,4,FALSE))/1440),1,0)</f>
        <v>#N/A</v>
      </c>
      <c r="Y41" s="2" t="e">
        <f>IF(AND(VLOOKUP(Y$1,'20Trips'!$A$3:$F$22,5,FALSE) - VLOOKUP($B41,'20Trips'!$A$3:$G$22,6,FALSE) &gt;= ('20Trips'!$B$24+VLOOKUP(VLOOKUP($B41,'20Trips'!$A$2:$I$22,4,FALSE),'20Trips'!$AB$46:$AH$50,4,FALSE))/1440),1,0)</f>
        <v>#N/A</v>
      </c>
      <c r="Z41" s="2" t="e">
        <f>IF(AND(VLOOKUP(Z$1,'20Trips'!$A$3:$F$22,5,FALSE) - VLOOKUP($B41,'20Trips'!$A$3:$G$22,6,FALSE) &gt;= ('20Trips'!$B$24+VLOOKUP(VLOOKUP($B41,'20Trips'!$A$2:$I$22,4,FALSE),'20Trips'!$AB$46:$AH$50,4,FALSE))/1440),1,0)</f>
        <v>#N/A</v>
      </c>
      <c r="AA41" s="2" t="e">
        <f>IF(AND(VLOOKUP(AA$1,'20Trips'!$A$3:$F$22,5,FALSE) - VLOOKUP($B41,'20Trips'!$A$3:$G$22,6,FALSE) &gt;= ('20Trips'!$B$24+VLOOKUP(VLOOKUP($B41,'20Trips'!$A$2:$I$22,4,FALSE),'20Trips'!$AB$46:$AH$50,4,FALSE))/1440),1,0)</f>
        <v>#N/A</v>
      </c>
      <c r="AB41" s="2" t="e">
        <f>IF(AND(VLOOKUP(AB$1,'20Trips'!$A$3:$F$22,5,FALSE) - VLOOKUP($B41,'20Trips'!$A$3:$G$22,6,FALSE) &gt;= ('20Trips'!$B$24+VLOOKUP(VLOOKUP($B41,'20Trips'!$A$2:$I$22,4,FALSE),'20Trips'!$AB$46:$AH$50,4,FALSE))/1440),1,0)</f>
        <v>#N/A</v>
      </c>
      <c r="AC41" s="2" t="e">
        <f>IF(AND(VLOOKUP(AC$1,'20Trips'!$A$3:$F$22,5,FALSE) - VLOOKUP($B41,'20Trips'!$A$3:$G$22,6,FALSE) &gt;= ('20Trips'!$B$24+VLOOKUP(VLOOKUP($B41,'20Trips'!$A$2:$I$22,4,FALSE),'20Trips'!$AB$46:$AH$50,4,FALSE))/1440),1,0)</f>
        <v>#N/A</v>
      </c>
      <c r="AD41" s="2" t="e">
        <f>IF(AND(VLOOKUP(AD$1,'20Trips'!$A$3:$F$22,5,FALSE) - VLOOKUP($B41,'20Trips'!$A$3:$G$22,6,FALSE) &gt;= ('20Trips'!$B$24+VLOOKUP(VLOOKUP($B41,'20Trips'!$A$2:$I$22,4,FALSE),'20Trips'!$AB$46:$AH$50,4,FALSE))/1440),1,0)</f>
        <v>#N/A</v>
      </c>
      <c r="AE41" s="2" t="e">
        <f>IF(AND(VLOOKUP(AE$1,'20Trips'!$A$3:$F$22,5,FALSE) - VLOOKUP($B41,'20Trips'!$A$3:$G$22,6,FALSE) &gt;= ('20Trips'!$B$24+VLOOKUP(VLOOKUP($B41,'20Trips'!$A$2:$I$22,4,FALSE),'20Trips'!$AB$46:$AH$50,4,FALSE))/1440),1,0)</f>
        <v>#N/A</v>
      </c>
      <c r="AF41" s="2" t="e">
        <f>IF(AND(VLOOKUP(AF$1,'20Trips'!$A$3:$F$22,5,FALSE) - VLOOKUP($B41,'20Trips'!$A$3:$G$22,6,FALSE) &gt;= ('20Trips'!$B$24+VLOOKUP(VLOOKUP($B41,'20Trips'!$A$2:$I$22,4,FALSE),'20Trips'!$AB$46:$AH$50,4,FALSE))/1440),1,0)</f>
        <v>#N/A</v>
      </c>
      <c r="AG41" s="2" t="e">
        <f>IF(AND(VLOOKUP(AG$1,'20Trips'!$A$3:$F$22,5,FALSE) - VLOOKUP($B41,'20Trips'!$A$3:$G$22,6,FALSE) &gt;= ('20Trips'!$B$24+VLOOKUP(VLOOKUP($B41,'20Trips'!$A$2:$I$22,4,FALSE),'20Trips'!$AB$46:$AH$50,4,FALSE))/1440),1,0)</f>
        <v>#N/A</v>
      </c>
    </row>
    <row r="42" spans="1:33" x14ac:dyDescent="0.25">
      <c r="A42" t="s">
        <v>62</v>
      </c>
      <c r="B42" t="s">
        <v>18</v>
      </c>
      <c r="C42">
        <v>0</v>
      </c>
      <c r="D42" s="2">
        <f>IF(AND(VLOOKUP(D$1,'20Trips'!$A$3:$F$22,5,FALSE) - VLOOKUP($B42,'20Trips'!$A$3:$G$22,6,FALSE) &gt;= ('20Trips'!$B$24+VLOOKUP(VLOOKUP($B42,'20Trips'!$A$2:$I$22,4,FALSE),'20Trips'!$AB$46:$AH$50,4,FALSE))/1440),1,0)</f>
        <v>0</v>
      </c>
      <c r="E42" s="2">
        <f>IF(AND(VLOOKUP(E$1,'20Trips'!$A$3:$F$22,5,FALSE) - VLOOKUP($B42,'20Trips'!$A$3:$G$22,6,FALSE) &gt;= ('20Trips'!$B$24+VLOOKUP(VLOOKUP($B42,'20Trips'!$A$2:$I$22,4,FALSE),'20Trips'!$AB$46:$AH$50,4,FALSE))/1440),1,0)</f>
        <v>0</v>
      </c>
      <c r="F42" s="2">
        <f>IF(AND(VLOOKUP(F$1,'20Trips'!$A$3:$F$22,5,FALSE) - VLOOKUP($B42,'20Trips'!$A$3:$G$22,6,FALSE) &gt;= ('20Trips'!$B$24+VLOOKUP(VLOOKUP($B42,'20Trips'!$A$2:$I$22,4,FALSE),'20Trips'!$AB$46:$AH$50,4,FALSE))/1440),1,0)</f>
        <v>1</v>
      </c>
      <c r="G42" s="2">
        <f>IF(AND(VLOOKUP(G$1,'20Trips'!$A$3:$F$22,5,FALSE) - VLOOKUP($B42,'20Trips'!$A$3:$G$22,6,FALSE) &gt;= ('20Trips'!$B$24+VLOOKUP(VLOOKUP($B42,'20Trips'!$A$2:$I$22,4,FALSE),'20Trips'!$AB$46:$AH$50,4,FALSE))/1440),1,0)</f>
        <v>1</v>
      </c>
      <c r="H42" s="2">
        <f>IF(AND(VLOOKUP(H$1,'20Trips'!$A$3:$F$22,5,FALSE) - VLOOKUP($B42,'20Trips'!$A$3:$G$22,6,FALSE) &gt;= ('20Trips'!$B$24+VLOOKUP(VLOOKUP($B42,'20Trips'!$A$2:$I$22,4,FALSE),'20Trips'!$AB$46:$AH$50,4,FALSE))/1440),1,0)</f>
        <v>1</v>
      </c>
      <c r="I42" s="2" t="e">
        <f>IF(AND(VLOOKUP(I$1,'20Trips'!$A$3:$F$22,5,FALSE) - VLOOKUP($B42,'20Trips'!$A$3:$G$22,6,FALSE) &gt;= ('20Trips'!$B$24+VLOOKUP(VLOOKUP($B42,'20Trips'!$A$2:$I$22,4,FALSE),'20Trips'!$AB$46:$AH$50,4,FALSE))/1440),1,0)</f>
        <v>#N/A</v>
      </c>
      <c r="J42" s="2" t="e">
        <f>IF(AND(VLOOKUP(J$1,'20Trips'!$A$3:$F$22,5,FALSE) - VLOOKUP($B42,'20Trips'!$A$3:$G$22,6,FALSE) &gt;= ('20Trips'!$B$24+VLOOKUP(VLOOKUP($B42,'20Trips'!$A$2:$I$22,4,FALSE),'20Trips'!$AB$46:$AH$50,4,FALSE))/1440),1,0)</f>
        <v>#N/A</v>
      </c>
      <c r="K42" s="2" t="e">
        <f>IF(AND(VLOOKUP(K$1,'20Trips'!$A$3:$F$22,5,FALSE) - VLOOKUP($B42,'20Trips'!$A$3:$G$22,6,FALSE) &gt;= ('20Trips'!$B$24+VLOOKUP(VLOOKUP($B42,'20Trips'!$A$2:$I$22,4,FALSE),'20Trips'!$AB$46:$AH$50,4,FALSE))/1440),1,0)</f>
        <v>#N/A</v>
      </c>
      <c r="L42" s="2">
        <f>IF(AND(VLOOKUP(L$1,'20Trips'!$A$3:$F$22,5,FALSE) - VLOOKUP($B42,'20Trips'!$A$3:$G$22,6,FALSE) &gt;= ('20Trips'!$B$24+VLOOKUP(VLOOKUP($B42,'20Trips'!$A$2:$I$22,4,FALSE),'20Trips'!$AB$46:$AH$50,4,FALSE))/1440),1,0)</f>
        <v>0</v>
      </c>
      <c r="M42" s="2">
        <f>IF(AND(VLOOKUP(M$1,'20Trips'!$A$3:$F$22,5,FALSE) - VLOOKUP($B42,'20Trips'!$A$3:$G$22,6,FALSE) &gt;= ('20Trips'!$B$24+VLOOKUP(VLOOKUP($B42,'20Trips'!$A$2:$I$22,4,FALSE),'20Trips'!$AB$46:$AH$50,4,FALSE))/1440),1,0)</f>
        <v>0</v>
      </c>
      <c r="N42" s="2">
        <f>IF(AND(VLOOKUP(N$1,'20Trips'!$A$3:$F$22,5,FALSE) - VLOOKUP($B42,'20Trips'!$A$3:$G$22,6,FALSE) &gt;= ('20Trips'!$B$24+VLOOKUP(VLOOKUP($B42,'20Trips'!$A$2:$I$22,4,FALSE),'20Trips'!$AB$46:$AH$50,4,FALSE))/1440),1,0)</f>
        <v>0</v>
      </c>
      <c r="O42" s="2">
        <f>IF(AND(VLOOKUP(O$1,'20Trips'!$A$3:$F$22,5,FALSE) - VLOOKUP($B42,'20Trips'!$A$3:$G$22,6,FALSE) &gt;= ('20Trips'!$B$24+VLOOKUP(VLOOKUP($B42,'20Trips'!$A$2:$I$22,4,FALSE),'20Trips'!$AB$46:$AH$50,4,FALSE))/1440),1,0)</f>
        <v>1</v>
      </c>
      <c r="P42" s="2">
        <f>IF(AND(VLOOKUP(P$1,'20Trips'!$A$3:$F$22,5,FALSE) - VLOOKUP($B42,'20Trips'!$A$3:$G$22,6,FALSE) &gt;= ('20Trips'!$B$24+VLOOKUP(VLOOKUP($B42,'20Trips'!$A$2:$I$22,4,FALSE),'20Trips'!$AB$46:$AH$50,4,FALSE))/1440),1,0)</f>
        <v>1</v>
      </c>
      <c r="Q42" s="2" t="e">
        <f>IF(AND(VLOOKUP(Q$1,'20Trips'!$A$3:$F$22,5,FALSE) - VLOOKUP($B42,'20Trips'!$A$3:$G$22,6,FALSE) &gt;= ('20Trips'!$B$24+VLOOKUP(VLOOKUP($B42,'20Trips'!$A$2:$I$22,4,FALSE),'20Trips'!$AB$46:$AH$50,4,FALSE))/1440),1,0)</f>
        <v>#N/A</v>
      </c>
      <c r="R42" s="2">
        <f>IF(AND(VLOOKUP(R$1,'20Trips'!$A$3:$F$22,5,FALSE) - VLOOKUP($B42,'20Trips'!$A$3:$G$22,6,FALSE) &gt;= ('20Trips'!$B$24+VLOOKUP(VLOOKUP($B42,'20Trips'!$A$2:$I$22,4,FALSE),'20Trips'!$AB$46:$AH$50,4,FALSE))/1440),1,0)</f>
        <v>0</v>
      </c>
      <c r="S42" s="2">
        <f>IF(AND(VLOOKUP(S$1,'20Trips'!$A$3:$F$22,5,FALSE) - VLOOKUP($B42,'20Trips'!$A$3:$G$22,6,FALSE) &gt;= ('20Trips'!$B$24+VLOOKUP(VLOOKUP($B42,'20Trips'!$A$2:$I$22,4,FALSE),'20Trips'!$AB$46:$AH$50,4,FALSE))/1440),1,0)</f>
        <v>0</v>
      </c>
      <c r="T42" s="2">
        <f>IF(AND(VLOOKUP(T$1,'20Trips'!$A$3:$F$22,5,FALSE) - VLOOKUP($B42,'20Trips'!$A$3:$G$22,6,FALSE) &gt;= ('20Trips'!$B$24+VLOOKUP(VLOOKUP($B42,'20Trips'!$A$2:$I$22,4,FALSE),'20Trips'!$AB$46:$AH$50,4,FALSE))/1440),1,0)</f>
        <v>0</v>
      </c>
      <c r="U42" s="2">
        <f>IF(AND(VLOOKUP(U$1,'20Trips'!$A$3:$F$22,5,FALSE) - VLOOKUP($B42,'20Trips'!$A$3:$G$22,6,FALSE) &gt;= ('20Trips'!$B$24+VLOOKUP(VLOOKUP($B42,'20Trips'!$A$2:$I$22,4,FALSE),'20Trips'!$AB$46:$AH$50,4,FALSE))/1440),1,0)</f>
        <v>0</v>
      </c>
      <c r="V42" s="2">
        <f>IF(AND(VLOOKUP(V$1,'20Trips'!$A$3:$F$22,5,FALSE) - VLOOKUP($B42,'20Trips'!$A$3:$G$22,6,FALSE) &gt;= ('20Trips'!$B$24+VLOOKUP(VLOOKUP($B42,'20Trips'!$A$2:$I$22,4,FALSE),'20Trips'!$AB$46:$AH$50,4,FALSE))/1440),1,0)</f>
        <v>1</v>
      </c>
      <c r="W42" s="2" t="e">
        <f>IF(AND(VLOOKUP(W$1,'20Trips'!$A$3:$F$22,5,FALSE) - VLOOKUP($B42,'20Trips'!$A$3:$G$22,6,FALSE) &gt;= ('20Trips'!$B$24+VLOOKUP(VLOOKUP($B42,'20Trips'!$A$2:$I$22,4,FALSE),'20Trips'!$AB$46:$AH$50,4,FALSE))/1440),1,0)</f>
        <v>#N/A</v>
      </c>
      <c r="X42" s="2" t="e">
        <f>IF(AND(VLOOKUP(X$1,'20Trips'!$A$3:$F$22,5,FALSE) - VLOOKUP($B42,'20Trips'!$A$3:$G$22,6,FALSE) &gt;= ('20Trips'!$B$24+VLOOKUP(VLOOKUP($B42,'20Trips'!$A$2:$I$22,4,FALSE),'20Trips'!$AB$46:$AH$50,4,FALSE))/1440),1,0)</f>
        <v>#N/A</v>
      </c>
      <c r="Y42" s="2" t="e">
        <f>IF(AND(VLOOKUP(Y$1,'20Trips'!$A$3:$F$22,5,FALSE) - VLOOKUP($B42,'20Trips'!$A$3:$G$22,6,FALSE) &gt;= ('20Trips'!$B$24+VLOOKUP(VLOOKUP($B42,'20Trips'!$A$2:$I$22,4,FALSE),'20Trips'!$AB$46:$AH$50,4,FALSE))/1440),1,0)</f>
        <v>#N/A</v>
      </c>
      <c r="Z42" s="2">
        <f>IF(AND(VLOOKUP(Z$1,'20Trips'!$A$3:$F$22,5,FALSE) - VLOOKUP($B42,'20Trips'!$A$3:$G$22,6,FALSE) &gt;= ('20Trips'!$B$24+VLOOKUP(VLOOKUP($B42,'20Trips'!$A$2:$I$22,4,FALSE),'20Trips'!$AB$46:$AH$50,4,FALSE))/1440),1,0)</f>
        <v>0</v>
      </c>
      <c r="AA42" s="2">
        <f>IF(AND(VLOOKUP(AA$1,'20Trips'!$A$3:$F$22,5,FALSE) - VLOOKUP($B42,'20Trips'!$A$3:$G$22,6,FALSE) &gt;= ('20Trips'!$B$24+VLOOKUP(VLOOKUP($B42,'20Trips'!$A$2:$I$22,4,FALSE),'20Trips'!$AB$46:$AH$50,4,FALSE))/1440),1,0)</f>
        <v>0</v>
      </c>
      <c r="AB42" s="2">
        <f>IF(AND(VLOOKUP(AB$1,'20Trips'!$A$3:$F$22,5,FALSE) - VLOOKUP($B42,'20Trips'!$A$3:$G$22,6,FALSE) &gt;= ('20Trips'!$B$24+VLOOKUP(VLOOKUP($B42,'20Trips'!$A$2:$I$22,4,FALSE),'20Trips'!$AB$46:$AH$50,4,FALSE))/1440),1,0)</f>
        <v>1</v>
      </c>
      <c r="AC42" s="2">
        <f>IF(AND(VLOOKUP(AC$1,'20Trips'!$A$3:$F$22,5,FALSE) - VLOOKUP($B42,'20Trips'!$A$3:$G$22,6,FALSE) &gt;= ('20Trips'!$B$24+VLOOKUP(VLOOKUP($B42,'20Trips'!$A$2:$I$22,4,FALSE),'20Trips'!$AB$46:$AH$50,4,FALSE))/1440),1,0)</f>
        <v>1</v>
      </c>
      <c r="AD42" s="2">
        <f>IF(AND(VLOOKUP(AD$1,'20Trips'!$A$3:$F$22,5,FALSE) - VLOOKUP($B42,'20Trips'!$A$3:$G$22,6,FALSE) &gt;= ('20Trips'!$B$24+VLOOKUP(VLOOKUP($B42,'20Trips'!$A$2:$I$22,4,FALSE),'20Trips'!$AB$46:$AH$50,4,FALSE))/1440),1,0)</f>
        <v>1</v>
      </c>
      <c r="AE42" s="2" t="e">
        <f>IF(AND(VLOOKUP(AE$1,'20Trips'!$A$3:$F$22,5,FALSE) - VLOOKUP($B42,'20Trips'!$A$3:$G$22,6,FALSE) &gt;= ('20Trips'!$B$24+VLOOKUP(VLOOKUP($B42,'20Trips'!$A$2:$I$22,4,FALSE),'20Trips'!$AB$46:$AH$50,4,FALSE))/1440),1,0)</f>
        <v>#N/A</v>
      </c>
      <c r="AF42" s="2" t="e">
        <f>IF(AND(VLOOKUP(AF$1,'20Trips'!$A$3:$F$22,5,FALSE) - VLOOKUP($B42,'20Trips'!$A$3:$G$22,6,FALSE) &gt;= ('20Trips'!$B$24+VLOOKUP(VLOOKUP($B42,'20Trips'!$A$2:$I$22,4,FALSE),'20Trips'!$AB$46:$AH$50,4,FALSE))/1440),1,0)</f>
        <v>#N/A</v>
      </c>
      <c r="AG42" s="2" t="e">
        <f>IF(AND(VLOOKUP(AG$1,'20Trips'!$A$3:$F$22,5,FALSE) - VLOOKUP($B42,'20Trips'!$A$3:$G$22,6,FALSE) &gt;= ('20Trips'!$B$24+VLOOKUP(VLOOKUP($B42,'20Trips'!$A$2:$I$22,4,FALSE),'20Trips'!$AB$46:$AH$50,4,FALSE))/1440),1,0)</f>
        <v>#N/A</v>
      </c>
    </row>
    <row r="43" spans="1:33" x14ac:dyDescent="0.25">
      <c r="A43" t="s">
        <v>62</v>
      </c>
      <c r="B43" t="s">
        <v>20</v>
      </c>
      <c r="C43">
        <v>0</v>
      </c>
      <c r="D43" s="2">
        <f>IF(AND(VLOOKUP(D$1,'20Trips'!$A$3:$F$22,5,FALSE) - VLOOKUP($B43,'20Trips'!$A$3:$G$22,6,FALSE) &gt;= ('20Trips'!$B$24+VLOOKUP(VLOOKUP($B43,'20Trips'!$A$2:$I$22,4,FALSE),'20Trips'!$AB$46:$AH$50,4,FALSE))/1440),1,0)</f>
        <v>0</v>
      </c>
      <c r="E43" s="2">
        <f>IF(AND(VLOOKUP(E$1,'20Trips'!$A$3:$F$22,5,FALSE) - VLOOKUP($B43,'20Trips'!$A$3:$G$22,6,FALSE) &gt;= ('20Trips'!$B$24+VLOOKUP(VLOOKUP($B43,'20Trips'!$A$2:$I$22,4,FALSE),'20Trips'!$AB$46:$AH$50,4,FALSE))/1440),1,0)</f>
        <v>0</v>
      </c>
      <c r="F43" s="2">
        <f>IF(AND(VLOOKUP(F$1,'20Trips'!$A$3:$F$22,5,FALSE) - VLOOKUP($B43,'20Trips'!$A$3:$G$22,6,FALSE) &gt;= ('20Trips'!$B$24+VLOOKUP(VLOOKUP($B43,'20Trips'!$A$2:$I$22,4,FALSE),'20Trips'!$AB$46:$AH$50,4,FALSE))/1440),1,0)</f>
        <v>0</v>
      </c>
      <c r="G43" s="2">
        <f>IF(AND(VLOOKUP(G$1,'20Trips'!$A$3:$F$22,5,FALSE) - VLOOKUP($B43,'20Trips'!$A$3:$G$22,6,FALSE) &gt;= ('20Trips'!$B$24+VLOOKUP(VLOOKUP($B43,'20Trips'!$A$2:$I$22,4,FALSE),'20Trips'!$AB$46:$AH$50,4,FALSE))/1440),1,0)</f>
        <v>0</v>
      </c>
      <c r="H43" s="2">
        <f>IF(AND(VLOOKUP(H$1,'20Trips'!$A$3:$F$22,5,FALSE) - VLOOKUP($B43,'20Trips'!$A$3:$G$22,6,FALSE) &gt;= ('20Trips'!$B$24+VLOOKUP(VLOOKUP($B43,'20Trips'!$A$2:$I$22,4,FALSE),'20Trips'!$AB$46:$AH$50,4,FALSE))/1440),1,0)</f>
        <v>1</v>
      </c>
      <c r="I43" s="2" t="e">
        <f>IF(AND(VLOOKUP(I$1,'20Trips'!$A$3:$F$22,5,FALSE) - VLOOKUP($B43,'20Trips'!$A$3:$G$22,6,FALSE) &gt;= ('20Trips'!$B$24+VLOOKUP(VLOOKUP($B43,'20Trips'!$A$2:$I$22,4,FALSE),'20Trips'!$AB$46:$AH$50,4,FALSE))/1440),1,0)</f>
        <v>#N/A</v>
      </c>
      <c r="J43" s="2" t="e">
        <f>IF(AND(VLOOKUP(J$1,'20Trips'!$A$3:$F$22,5,FALSE) - VLOOKUP($B43,'20Trips'!$A$3:$G$22,6,FALSE) &gt;= ('20Trips'!$B$24+VLOOKUP(VLOOKUP($B43,'20Trips'!$A$2:$I$22,4,FALSE),'20Trips'!$AB$46:$AH$50,4,FALSE))/1440),1,0)</f>
        <v>#N/A</v>
      </c>
      <c r="K43" s="2" t="e">
        <f>IF(AND(VLOOKUP(K$1,'20Trips'!$A$3:$F$22,5,FALSE) - VLOOKUP($B43,'20Trips'!$A$3:$G$22,6,FALSE) &gt;= ('20Trips'!$B$24+VLOOKUP(VLOOKUP($B43,'20Trips'!$A$2:$I$22,4,FALSE),'20Trips'!$AB$46:$AH$50,4,FALSE))/1440),1,0)</f>
        <v>#N/A</v>
      </c>
      <c r="L43" s="2">
        <f>IF(AND(VLOOKUP(L$1,'20Trips'!$A$3:$F$22,5,FALSE) - VLOOKUP($B43,'20Trips'!$A$3:$G$22,6,FALSE) &gt;= ('20Trips'!$B$24+VLOOKUP(VLOOKUP($B43,'20Trips'!$A$2:$I$22,4,FALSE),'20Trips'!$AB$46:$AH$50,4,FALSE))/1440),1,0)</f>
        <v>0</v>
      </c>
      <c r="M43" s="2">
        <f>IF(AND(VLOOKUP(M$1,'20Trips'!$A$3:$F$22,5,FALSE) - VLOOKUP($B43,'20Trips'!$A$3:$G$22,6,FALSE) &gt;= ('20Trips'!$B$24+VLOOKUP(VLOOKUP($B43,'20Trips'!$A$2:$I$22,4,FALSE),'20Trips'!$AB$46:$AH$50,4,FALSE))/1440),1,0)</f>
        <v>0</v>
      </c>
      <c r="N43" s="2">
        <f>IF(AND(VLOOKUP(N$1,'20Trips'!$A$3:$F$22,5,FALSE) - VLOOKUP($B43,'20Trips'!$A$3:$G$22,6,FALSE) &gt;= ('20Trips'!$B$24+VLOOKUP(VLOOKUP($B43,'20Trips'!$A$2:$I$22,4,FALSE),'20Trips'!$AB$46:$AH$50,4,FALSE))/1440),1,0)</f>
        <v>0</v>
      </c>
      <c r="O43" s="2">
        <f>IF(AND(VLOOKUP(O$1,'20Trips'!$A$3:$F$22,5,FALSE) - VLOOKUP($B43,'20Trips'!$A$3:$G$22,6,FALSE) &gt;= ('20Trips'!$B$24+VLOOKUP(VLOOKUP($B43,'20Trips'!$A$2:$I$22,4,FALSE),'20Trips'!$AB$46:$AH$50,4,FALSE))/1440),1,0)</f>
        <v>1</v>
      </c>
      <c r="P43" s="2">
        <f>IF(AND(VLOOKUP(P$1,'20Trips'!$A$3:$F$22,5,FALSE) - VLOOKUP($B43,'20Trips'!$A$3:$G$22,6,FALSE) &gt;= ('20Trips'!$B$24+VLOOKUP(VLOOKUP($B43,'20Trips'!$A$2:$I$22,4,FALSE),'20Trips'!$AB$46:$AH$50,4,FALSE))/1440),1,0)</f>
        <v>1</v>
      </c>
      <c r="Q43" s="2" t="e">
        <f>IF(AND(VLOOKUP(Q$1,'20Trips'!$A$3:$F$22,5,FALSE) - VLOOKUP($B43,'20Trips'!$A$3:$G$22,6,FALSE) &gt;= ('20Trips'!$B$24+VLOOKUP(VLOOKUP($B43,'20Trips'!$A$2:$I$22,4,FALSE),'20Trips'!$AB$46:$AH$50,4,FALSE))/1440),1,0)</f>
        <v>#N/A</v>
      </c>
      <c r="R43" s="2">
        <f>IF(AND(VLOOKUP(R$1,'20Trips'!$A$3:$F$22,5,FALSE) - VLOOKUP($B43,'20Trips'!$A$3:$G$22,6,FALSE) &gt;= ('20Trips'!$B$24+VLOOKUP(VLOOKUP($B43,'20Trips'!$A$2:$I$22,4,FALSE),'20Trips'!$AB$46:$AH$50,4,FALSE))/1440),1,0)</f>
        <v>0</v>
      </c>
      <c r="S43" s="2">
        <f>IF(AND(VLOOKUP(S$1,'20Trips'!$A$3:$F$22,5,FALSE) - VLOOKUP($B43,'20Trips'!$A$3:$G$22,6,FALSE) &gt;= ('20Trips'!$B$24+VLOOKUP(VLOOKUP($B43,'20Trips'!$A$2:$I$22,4,FALSE),'20Trips'!$AB$46:$AH$50,4,FALSE))/1440),1,0)</f>
        <v>0</v>
      </c>
      <c r="T43" s="2">
        <f>IF(AND(VLOOKUP(T$1,'20Trips'!$A$3:$F$22,5,FALSE) - VLOOKUP($B43,'20Trips'!$A$3:$G$22,6,FALSE) &gt;= ('20Trips'!$B$24+VLOOKUP(VLOOKUP($B43,'20Trips'!$A$2:$I$22,4,FALSE),'20Trips'!$AB$46:$AH$50,4,FALSE))/1440),1,0)</f>
        <v>0</v>
      </c>
      <c r="U43" s="2">
        <f>IF(AND(VLOOKUP(U$1,'20Trips'!$A$3:$F$22,5,FALSE) - VLOOKUP($B43,'20Trips'!$A$3:$G$22,6,FALSE) &gt;= ('20Trips'!$B$24+VLOOKUP(VLOOKUP($B43,'20Trips'!$A$2:$I$22,4,FALSE),'20Trips'!$AB$46:$AH$50,4,FALSE))/1440),1,0)</f>
        <v>0</v>
      </c>
      <c r="V43" s="2">
        <f>IF(AND(VLOOKUP(V$1,'20Trips'!$A$3:$F$22,5,FALSE) - VLOOKUP($B43,'20Trips'!$A$3:$G$22,6,FALSE) &gt;= ('20Trips'!$B$24+VLOOKUP(VLOOKUP($B43,'20Trips'!$A$2:$I$22,4,FALSE),'20Trips'!$AB$46:$AH$50,4,FALSE))/1440),1,0)</f>
        <v>0</v>
      </c>
      <c r="W43" s="2" t="e">
        <f>IF(AND(VLOOKUP(W$1,'20Trips'!$A$3:$F$22,5,FALSE) - VLOOKUP($B43,'20Trips'!$A$3:$G$22,6,FALSE) &gt;= ('20Trips'!$B$24+VLOOKUP(VLOOKUP($B43,'20Trips'!$A$2:$I$22,4,FALSE),'20Trips'!$AB$46:$AH$50,4,FALSE))/1440),1,0)</f>
        <v>#N/A</v>
      </c>
      <c r="X43" s="2" t="e">
        <f>IF(AND(VLOOKUP(X$1,'20Trips'!$A$3:$F$22,5,FALSE) - VLOOKUP($B43,'20Trips'!$A$3:$G$22,6,FALSE) &gt;= ('20Trips'!$B$24+VLOOKUP(VLOOKUP($B43,'20Trips'!$A$2:$I$22,4,FALSE),'20Trips'!$AB$46:$AH$50,4,FALSE))/1440),1,0)</f>
        <v>#N/A</v>
      </c>
      <c r="Y43" s="2" t="e">
        <f>IF(AND(VLOOKUP(Y$1,'20Trips'!$A$3:$F$22,5,FALSE) - VLOOKUP($B43,'20Trips'!$A$3:$G$22,6,FALSE) &gt;= ('20Trips'!$B$24+VLOOKUP(VLOOKUP($B43,'20Trips'!$A$2:$I$22,4,FALSE),'20Trips'!$AB$46:$AH$50,4,FALSE))/1440),1,0)</f>
        <v>#N/A</v>
      </c>
      <c r="Z43" s="2">
        <f>IF(AND(VLOOKUP(Z$1,'20Trips'!$A$3:$F$22,5,FALSE) - VLOOKUP($B43,'20Trips'!$A$3:$G$22,6,FALSE) &gt;= ('20Trips'!$B$24+VLOOKUP(VLOOKUP($B43,'20Trips'!$A$2:$I$22,4,FALSE),'20Trips'!$AB$46:$AH$50,4,FALSE))/1440),1,0)</f>
        <v>0</v>
      </c>
      <c r="AA43" s="2">
        <f>IF(AND(VLOOKUP(AA$1,'20Trips'!$A$3:$F$22,5,FALSE) - VLOOKUP($B43,'20Trips'!$A$3:$G$22,6,FALSE) &gt;= ('20Trips'!$B$24+VLOOKUP(VLOOKUP($B43,'20Trips'!$A$2:$I$22,4,FALSE),'20Trips'!$AB$46:$AH$50,4,FALSE))/1440),1,0)</f>
        <v>0</v>
      </c>
      <c r="AB43" s="2">
        <f>IF(AND(VLOOKUP(AB$1,'20Trips'!$A$3:$F$22,5,FALSE) - VLOOKUP($B43,'20Trips'!$A$3:$G$22,6,FALSE) &gt;= ('20Trips'!$B$24+VLOOKUP(VLOOKUP($B43,'20Trips'!$A$2:$I$22,4,FALSE),'20Trips'!$AB$46:$AH$50,4,FALSE))/1440),1,0)</f>
        <v>0</v>
      </c>
      <c r="AC43" s="2">
        <f>IF(AND(VLOOKUP(AC$1,'20Trips'!$A$3:$F$22,5,FALSE) - VLOOKUP($B43,'20Trips'!$A$3:$G$22,6,FALSE) &gt;= ('20Trips'!$B$24+VLOOKUP(VLOOKUP($B43,'20Trips'!$A$2:$I$22,4,FALSE),'20Trips'!$AB$46:$AH$50,4,FALSE))/1440),1,0)</f>
        <v>0</v>
      </c>
      <c r="AD43" s="2">
        <f>IF(AND(VLOOKUP(AD$1,'20Trips'!$A$3:$F$22,5,FALSE) - VLOOKUP($B43,'20Trips'!$A$3:$G$22,6,FALSE) &gt;= ('20Trips'!$B$24+VLOOKUP(VLOOKUP($B43,'20Trips'!$A$2:$I$22,4,FALSE),'20Trips'!$AB$46:$AH$50,4,FALSE))/1440),1,0)</f>
        <v>1</v>
      </c>
      <c r="AE43" s="2" t="e">
        <f>IF(AND(VLOOKUP(AE$1,'20Trips'!$A$3:$F$22,5,FALSE) - VLOOKUP($B43,'20Trips'!$A$3:$G$22,6,FALSE) &gt;= ('20Trips'!$B$24+VLOOKUP(VLOOKUP($B43,'20Trips'!$A$2:$I$22,4,FALSE),'20Trips'!$AB$46:$AH$50,4,FALSE))/1440),1,0)</f>
        <v>#N/A</v>
      </c>
      <c r="AF43" s="2" t="e">
        <f>IF(AND(VLOOKUP(AF$1,'20Trips'!$A$3:$F$22,5,FALSE) - VLOOKUP($B43,'20Trips'!$A$3:$G$22,6,FALSE) &gt;= ('20Trips'!$B$24+VLOOKUP(VLOOKUP($B43,'20Trips'!$A$2:$I$22,4,FALSE),'20Trips'!$AB$46:$AH$50,4,FALSE))/1440),1,0)</f>
        <v>#N/A</v>
      </c>
      <c r="AG43" s="2" t="e">
        <f>IF(AND(VLOOKUP(AG$1,'20Trips'!$A$3:$F$22,5,FALSE) - VLOOKUP($B43,'20Trips'!$A$3:$G$22,6,FALSE) &gt;= ('20Trips'!$B$24+VLOOKUP(VLOOKUP($B43,'20Trips'!$A$2:$I$22,4,FALSE),'20Trips'!$AB$46:$AH$50,4,FALSE))/1440),1,0)</f>
        <v>#N/A</v>
      </c>
    </row>
    <row r="44" spans="1:33" x14ac:dyDescent="0.25">
      <c r="A44" t="s">
        <v>62</v>
      </c>
      <c r="B44" t="s">
        <v>21</v>
      </c>
      <c r="C44">
        <v>0</v>
      </c>
      <c r="D44" s="2">
        <f>IF(AND(VLOOKUP(D$1,'20Trips'!$A$3:$F$22,5,FALSE) - VLOOKUP($B44,'20Trips'!$A$3:$G$22,6,FALSE) &gt;= ('20Trips'!$B$24+VLOOKUP(VLOOKUP($B44,'20Trips'!$A$2:$I$22,4,FALSE),'20Trips'!$AB$46:$AH$50,4,FALSE))/1440),1,0)</f>
        <v>0</v>
      </c>
      <c r="E44" s="2">
        <f>IF(AND(VLOOKUP(E$1,'20Trips'!$A$3:$F$22,5,FALSE) - VLOOKUP($B44,'20Trips'!$A$3:$G$22,6,FALSE) &gt;= ('20Trips'!$B$24+VLOOKUP(VLOOKUP($B44,'20Trips'!$A$2:$I$22,4,FALSE),'20Trips'!$AB$46:$AH$50,4,FALSE))/1440),1,0)</f>
        <v>0</v>
      </c>
      <c r="F44" s="2">
        <f>IF(AND(VLOOKUP(F$1,'20Trips'!$A$3:$F$22,5,FALSE) - VLOOKUP($B44,'20Trips'!$A$3:$G$22,6,FALSE) &gt;= ('20Trips'!$B$24+VLOOKUP(VLOOKUP($B44,'20Trips'!$A$2:$I$22,4,FALSE),'20Trips'!$AB$46:$AH$50,4,FALSE))/1440),1,0)</f>
        <v>0</v>
      </c>
      <c r="G44" s="2">
        <f>IF(AND(VLOOKUP(G$1,'20Trips'!$A$3:$F$22,5,FALSE) - VLOOKUP($B44,'20Trips'!$A$3:$G$22,6,FALSE) &gt;= ('20Trips'!$B$24+VLOOKUP(VLOOKUP($B44,'20Trips'!$A$2:$I$22,4,FALSE),'20Trips'!$AB$46:$AH$50,4,FALSE))/1440),1,0)</f>
        <v>0</v>
      </c>
      <c r="H44" s="2">
        <f>IF(AND(VLOOKUP(H$1,'20Trips'!$A$3:$F$22,5,FALSE) - VLOOKUP($B44,'20Trips'!$A$3:$G$22,6,FALSE) &gt;= ('20Trips'!$B$24+VLOOKUP(VLOOKUP($B44,'20Trips'!$A$2:$I$22,4,FALSE),'20Trips'!$AB$46:$AH$50,4,FALSE))/1440),1,0)</f>
        <v>0</v>
      </c>
      <c r="I44" s="2" t="e">
        <f>IF(AND(VLOOKUP(I$1,'20Trips'!$A$3:$F$22,5,FALSE) - VLOOKUP($B44,'20Trips'!$A$3:$G$22,6,FALSE) &gt;= ('20Trips'!$B$24+VLOOKUP(VLOOKUP($B44,'20Trips'!$A$2:$I$22,4,FALSE),'20Trips'!$AB$46:$AH$50,4,FALSE))/1440),1,0)</f>
        <v>#N/A</v>
      </c>
      <c r="J44" s="2" t="e">
        <f>IF(AND(VLOOKUP(J$1,'20Trips'!$A$3:$F$22,5,FALSE) - VLOOKUP($B44,'20Trips'!$A$3:$G$22,6,FALSE) &gt;= ('20Trips'!$B$24+VLOOKUP(VLOOKUP($B44,'20Trips'!$A$2:$I$22,4,FALSE),'20Trips'!$AB$46:$AH$50,4,FALSE))/1440),1,0)</f>
        <v>#N/A</v>
      </c>
      <c r="K44" s="2" t="e">
        <f>IF(AND(VLOOKUP(K$1,'20Trips'!$A$3:$F$22,5,FALSE) - VLOOKUP($B44,'20Trips'!$A$3:$G$22,6,FALSE) &gt;= ('20Trips'!$B$24+VLOOKUP(VLOOKUP($B44,'20Trips'!$A$2:$I$22,4,FALSE),'20Trips'!$AB$46:$AH$50,4,FALSE))/1440),1,0)</f>
        <v>#N/A</v>
      </c>
      <c r="L44" s="2">
        <f>IF(AND(VLOOKUP(L$1,'20Trips'!$A$3:$F$22,5,FALSE) - VLOOKUP($B44,'20Trips'!$A$3:$G$22,6,FALSE) &gt;= ('20Trips'!$B$24+VLOOKUP(VLOOKUP($B44,'20Trips'!$A$2:$I$22,4,FALSE),'20Trips'!$AB$46:$AH$50,4,FALSE))/1440),1,0)</f>
        <v>0</v>
      </c>
      <c r="M44" s="2">
        <f>IF(AND(VLOOKUP(M$1,'20Trips'!$A$3:$F$22,5,FALSE) - VLOOKUP($B44,'20Trips'!$A$3:$G$22,6,FALSE) &gt;= ('20Trips'!$B$24+VLOOKUP(VLOOKUP($B44,'20Trips'!$A$2:$I$22,4,FALSE),'20Trips'!$AB$46:$AH$50,4,FALSE))/1440),1,0)</f>
        <v>0</v>
      </c>
      <c r="N44" s="2">
        <f>IF(AND(VLOOKUP(N$1,'20Trips'!$A$3:$F$22,5,FALSE) - VLOOKUP($B44,'20Trips'!$A$3:$G$22,6,FALSE) &gt;= ('20Trips'!$B$24+VLOOKUP(VLOOKUP($B44,'20Trips'!$A$2:$I$22,4,FALSE),'20Trips'!$AB$46:$AH$50,4,FALSE))/1440),1,0)</f>
        <v>0</v>
      </c>
      <c r="O44" s="2">
        <f>IF(AND(VLOOKUP(O$1,'20Trips'!$A$3:$F$22,5,FALSE) - VLOOKUP($B44,'20Trips'!$A$3:$G$22,6,FALSE) &gt;= ('20Trips'!$B$24+VLOOKUP(VLOOKUP($B44,'20Trips'!$A$2:$I$22,4,FALSE),'20Trips'!$AB$46:$AH$50,4,FALSE))/1440),1,0)</f>
        <v>1</v>
      </c>
      <c r="P44" s="2">
        <f>IF(AND(VLOOKUP(P$1,'20Trips'!$A$3:$F$22,5,FALSE) - VLOOKUP($B44,'20Trips'!$A$3:$G$22,6,FALSE) &gt;= ('20Trips'!$B$24+VLOOKUP(VLOOKUP($B44,'20Trips'!$A$2:$I$22,4,FALSE),'20Trips'!$AB$46:$AH$50,4,FALSE))/1440),1,0)</f>
        <v>1</v>
      </c>
      <c r="Q44" s="2" t="e">
        <f>IF(AND(VLOOKUP(Q$1,'20Trips'!$A$3:$F$22,5,FALSE) - VLOOKUP($B44,'20Trips'!$A$3:$G$22,6,FALSE) &gt;= ('20Trips'!$B$24+VLOOKUP(VLOOKUP($B44,'20Trips'!$A$2:$I$22,4,FALSE),'20Trips'!$AB$46:$AH$50,4,FALSE))/1440),1,0)</f>
        <v>#N/A</v>
      </c>
      <c r="R44" s="2">
        <f>IF(AND(VLOOKUP(R$1,'20Trips'!$A$3:$F$22,5,FALSE) - VLOOKUP($B44,'20Trips'!$A$3:$G$22,6,FALSE) &gt;= ('20Trips'!$B$24+VLOOKUP(VLOOKUP($B44,'20Trips'!$A$2:$I$22,4,FALSE),'20Trips'!$AB$46:$AH$50,4,FALSE))/1440),1,0)</f>
        <v>0</v>
      </c>
      <c r="S44" s="2">
        <f>IF(AND(VLOOKUP(S$1,'20Trips'!$A$3:$F$22,5,FALSE) - VLOOKUP($B44,'20Trips'!$A$3:$G$22,6,FALSE) &gt;= ('20Trips'!$B$24+VLOOKUP(VLOOKUP($B44,'20Trips'!$A$2:$I$22,4,FALSE),'20Trips'!$AB$46:$AH$50,4,FALSE))/1440),1,0)</f>
        <v>0</v>
      </c>
      <c r="T44" s="2">
        <f>IF(AND(VLOOKUP(T$1,'20Trips'!$A$3:$F$22,5,FALSE) - VLOOKUP($B44,'20Trips'!$A$3:$G$22,6,FALSE) &gt;= ('20Trips'!$B$24+VLOOKUP(VLOOKUP($B44,'20Trips'!$A$2:$I$22,4,FALSE),'20Trips'!$AB$46:$AH$50,4,FALSE))/1440),1,0)</f>
        <v>0</v>
      </c>
      <c r="U44" s="2">
        <f>IF(AND(VLOOKUP(U$1,'20Trips'!$A$3:$F$22,5,FALSE) - VLOOKUP($B44,'20Trips'!$A$3:$G$22,6,FALSE) &gt;= ('20Trips'!$B$24+VLOOKUP(VLOOKUP($B44,'20Trips'!$A$2:$I$22,4,FALSE),'20Trips'!$AB$46:$AH$50,4,FALSE))/1440),1,0)</f>
        <v>0</v>
      </c>
      <c r="V44" s="2">
        <f>IF(AND(VLOOKUP(V$1,'20Trips'!$A$3:$F$22,5,FALSE) - VLOOKUP($B44,'20Trips'!$A$3:$G$22,6,FALSE) &gt;= ('20Trips'!$B$24+VLOOKUP(VLOOKUP($B44,'20Trips'!$A$2:$I$22,4,FALSE),'20Trips'!$AB$46:$AH$50,4,FALSE))/1440),1,0)</f>
        <v>0</v>
      </c>
      <c r="W44" s="2" t="e">
        <f>IF(AND(VLOOKUP(W$1,'20Trips'!$A$3:$F$22,5,FALSE) - VLOOKUP($B44,'20Trips'!$A$3:$G$22,6,FALSE) &gt;= ('20Trips'!$B$24+VLOOKUP(VLOOKUP($B44,'20Trips'!$A$2:$I$22,4,FALSE),'20Trips'!$AB$46:$AH$50,4,FALSE))/1440),1,0)</f>
        <v>#N/A</v>
      </c>
      <c r="X44" s="2" t="e">
        <f>IF(AND(VLOOKUP(X$1,'20Trips'!$A$3:$F$22,5,FALSE) - VLOOKUP($B44,'20Trips'!$A$3:$G$22,6,FALSE) &gt;= ('20Trips'!$B$24+VLOOKUP(VLOOKUP($B44,'20Trips'!$A$2:$I$22,4,FALSE),'20Trips'!$AB$46:$AH$50,4,FALSE))/1440),1,0)</f>
        <v>#N/A</v>
      </c>
      <c r="Y44" s="2" t="e">
        <f>IF(AND(VLOOKUP(Y$1,'20Trips'!$A$3:$F$22,5,FALSE) - VLOOKUP($B44,'20Trips'!$A$3:$G$22,6,FALSE) &gt;= ('20Trips'!$B$24+VLOOKUP(VLOOKUP($B44,'20Trips'!$A$2:$I$22,4,FALSE),'20Trips'!$AB$46:$AH$50,4,FALSE))/1440),1,0)</f>
        <v>#N/A</v>
      </c>
      <c r="Z44" s="2">
        <f>IF(AND(VLOOKUP(Z$1,'20Trips'!$A$3:$F$22,5,FALSE) - VLOOKUP($B44,'20Trips'!$A$3:$G$22,6,FALSE) &gt;= ('20Trips'!$B$24+VLOOKUP(VLOOKUP($B44,'20Trips'!$A$2:$I$22,4,FALSE),'20Trips'!$AB$46:$AH$50,4,FALSE))/1440),1,0)</f>
        <v>0</v>
      </c>
      <c r="AA44" s="2">
        <f>IF(AND(VLOOKUP(AA$1,'20Trips'!$A$3:$F$22,5,FALSE) - VLOOKUP($B44,'20Trips'!$A$3:$G$22,6,FALSE) &gt;= ('20Trips'!$B$24+VLOOKUP(VLOOKUP($B44,'20Trips'!$A$2:$I$22,4,FALSE),'20Trips'!$AB$46:$AH$50,4,FALSE))/1440),1,0)</f>
        <v>0</v>
      </c>
      <c r="AB44" s="2">
        <f>IF(AND(VLOOKUP(AB$1,'20Trips'!$A$3:$F$22,5,FALSE) - VLOOKUP($B44,'20Trips'!$A$3:$G$22,6,FALSE) &gt;= ('20Trips'!$B$24+VLOOKUP(VLOOKUP($B44,'20Trips'!$A$2:$I$22,4,FALSE),'20Trips'!$AB$46:$AH$50,4,FALSE))/1440),1,0)</f>
        <v>0</v>
      </c>
      <c r="AC44" s="2">
        <f>IF(AND(VLOOKUP(AC$1,'20Trips'!$A$3:$F$22,5,FALSE) - VLOOKUP($B44,'20Trips'!$A$3:$G$22,6,FALSE) &gt;= ('20Trips'!$B$24+VLOOKUP(VLOOKUP($B44,'20Trips'!$A$2:$I$22,4,FALSE),'20Trips'!$AB$46:$AH$50,4,FALSE))/1440),1,0)</f>
        <v>0</v>
      </c>
      <c r="AD44" s="2">
        <f>IF(AND(VLOOKUP(AD$1,'20Trips'!$A$3:$F$22,5,FALSE) - VLOOKUP($B44,'20Trips'!$A$3:$G$22,6,FALSE) &gt;= ('20Trips'!$B$24+VLOOKUP(VLOOKUP($B44,'20Trips'!$A$2:$I$22,4,FALSE),'20Trips'!$AB$46:$AH$50,4,FALSE))/1440),1,0)</f>
        <v>0</v>
      </c>
      <c r="AE44" s="2" t="e">
        <f>IF(AND(VLOOKUP(AE$1,'20Trips'!$A$3:$F$22,5,FALSE) - VLOOKUP($B44,'20Trips'!$A$3:$G$22,6,FALSE) &gt;= ('20Trips'!$B$24+VLOOKUP(VLOOKUP($B44,'20Trips'!$A$2:$I$22,4,FALSE),'20Trips'!$AB$46:$AH$50,4,FALSE))/1440),1,0)</f>
        <v>#N/A</v>
      </c>
      <c r="AF44" s="2" t="e">
        <f>IF(AND(VLOOKUP(AF$1,'20Trips'!$A$3:$F$22,5,FALSE) - VLOOKUP($B44,'20Trips'!$A$3:$G$22,6,FALSE) &gt;= ('20Trips'!$B$24+VLOOKUP(VLOOKUP($B44,'20Trips'!$A$2:$I$22,4,FALSE),'20Trips'!$AB$46:$AH$50,4,FALSE))/1440),1,0)</f>
        <v>#N/A</v>
      </c>
      <c r="AG44" s="2" t="e">
        <f>IF(AND(VLOOKUP(AG$1,'20Trips'!$A$3:$F$22,5,FALSE) - VLOOKUP($B44,'20Trips'!$A$3:$G$22,6,FALSE) &gt;= ('20Trips'!$B$24+VLOOKUP(VLOOKUP($B44,'20Trips'!$A$2:$I$22,4,FALSE),'20Trips'!$AB$46:$AH$50,4,FALSE))/1440),1,0)</f>
        <v>#N/A</v>
      </c>
    </row>
    <row r="45" spans="1:33" x14ac:dyDescent="0.25">
      <c r="A45" t="s">
        <v>62</v>
      </c>
      <c r="B45" t="s">
        <v>22</v>
      </c>
      <c r="C45">
        <v>0</v>
      </c>
      <c r="D45" s="2">
        <f>IF(AND(VLOOKUP(D$1,'20Trips'!$A$3:$F$22,5,FALSE) - VLOOKUP($B45,'20Trips'!$A$3:$G$22,6,FALSE) &gt;= ('20Trips'!$B$24+VLOOKUP(VLOOKUP($B45,'20Trips'!$A$2:$I$22,4,FALSE),'20Trips'!$AB$46:$AH$50,4,FALSE))/1440),1,0)</f>
        <v>0</v>
      </c>
      <c r="E45" s="2">
        <f>IF(AND(VLOOKUP(E$1,'20Trips'!$A$3:$F$22,5,FALSE) - VLOOKUP($B45,'20Trips'!$A$3:$G$22,6,FALSE) &gt;= ('20Trips'!$B$24+VLOOKUP(VLOOKUP($B45,'20Trips'!$A$2:$I$22,4,FALSE),'20Trips'!$AB$46:$AH$50,4,FALSE))/1440),1,0)</f>
        <v>0</v>
      </c>
      <c r="F45" s="2">
        <f>IF(AND(VLOOKUP(F$1,'20Trips'!$A$3:$F$22,5,FALSE) - VLOOKUP($B45,'20Trips'!$A$3:$G$22,6,FALSE) &gt;= ('20Trips'!$B$24+VLOOKUP(VLOOKUP($B45,'20Trips'!$A$2:$I$22,4,FALSE),'20Trips'!$AB$46:$AH$50,4,FALSE))/1440),1,0)</f>
        <v>0</v>
      </c>
      <c r="G45" s="2">
        <f>IF(AND(VLOOKUP(G$1,'20Trips'!$A$3:$F$22,5,FALSE) - VLOOKUP($B45,'20Trips'!$A$3:$G$22,6,FALSE) &gt;= ('20Trips'!$B$24+VLOOKUP(VLOOKUP($B45,'20Trips'!$A$2:$I$22,4,FALSE),'20Trips'!$AB$46:$AH$50,4,FALSE))/1440),1,0)</f>
        <v>0</v>
      </c>
      <c r="H45" s="2">
        <f>IF(AND(VLOOKUP(H$1,'20Trips'!$A$3:$F$22,5,FALSE) - VLOOKUP($B45,'20Trips'!$A$3:$G$22,6,FALSE) &gt;= ('20Trips'!$B$24+VLOOKUP(VLOOKUP($B45,'20Trips'!$A$2:$I$22,4,FALSE),'20Trips'!$AB$46:$AH$50,4,FALSE))/1440),1,0)</f>
        <v>0</v>
      </c>
      <c r="I45" s="2" t="e">
        <f>IF(AND(VLOOKUP(I$1,'20Trips'!$A$3:$F$22,5,FALSE) - VLOOKUP($B45,'20Trips'!$A$3:$G$22,6,FALSE) &gt;= ('20Trips'!$B$24+VLOOKUP(VLOOKUP($B45,'20Trips'!$A$2:$I$22,4,FALSE),'20Trips'!$AB$46:$AH$50,4,FALSE))/1440),1,0)</f>
        <v>#N/A</v>
      </c>
      <c r="J45" s="2" t="e">
        <f>IF(AND(VLOOKUP(J$1,'20Trips'!$A$3:$F$22,5,FALSE) - VLOOKUP($B45,'20Trips'!$A$3:$G$22,6,FALSE) &gt;= ('20Trips'!$B$24+VLOOKUP(VLOOKUP($B45,'20Trips'!$A$2:$I$22,4,FALSE),'20Trips'!$AB$46:$AH$50,4,FALSE))/1440),1,0)</f>
        <v>#N/A</v>
      </c>
      <c r="K45" s="2" t="e">
        <f>IF(AND(VLOOKUP(K$1,'20Trips'!$A$3:$F$22,5,FALSE) - VLOOKUP($B45,'20Trips'!$A$3:$G$22,6,FALSE) &gt;= ('20Trips'!$B$24+VLOOKUP(VLOOKUP($B45,'20Trips'!$A$2:$I$22,4,FALSE),'20Trips'!$AB$46:$AH$50,4,FALSE))/1440),1,0)</f>
        <v>#N/A</v>
      </c>
      <c r="L45" s="2">
        <f>IF(AND(VLOOKUP(L$1,'20Trips'!$A$3:$F$22,5,FALSE) - VLOOKUP($B45,'20Trips'!$A$3:$G$22,6,FALSE) &gt;= ('20Trips'!$B$24+VLOOKUP(VLOOKUP($B45,'20Trips'!$A$2:$I$22,4,FALSE),'20Trips'!$AB$46:$AH$50,4,FALSE))/1440),1,0)</f>
        <v>0</v>
      </c>
      <c r="M45" s="2">
        <f>IF(AND(VLOOKUP(M$1,'20Trips'!$A$3:$F$22,5,FALSE) - VLOOKUP($B45,'20Trips'!$A$3:$G$22,6,FALSE) &gt;= ('20Trips'!$B$24+VLOOKUP(VLOOKUP($B45,'20Trips'!$A$2:$I$22,4,FALSE),'20Trips'!$AB$46:$AH$50,4,FALSE))/1440),1,0)</f>
        <v>0</v>
      </c>
      <c r="N45" s="2">
        <f>IF(AND(VLOOKUP(N$1,'20Trips'!$A$3:$F$22,5,FALSE) - VLOOKUP($B45,'20Trips'!$A$3:$G$22,6,FALSE) &gt;= ('20Trips'!$B$24+VLOOKUP(VLOOKUP($B45,'20Trips'!$A$2:$I$22,4,FALSE),'20Trips'!$AB$46:$AH$50,4,FALSE))/1440),1,0)</f>
        <v>0</v>
      </c>
      <c r="O45" s="2">
        <f>IF(AND(VLOOKUP(O$1,'20Trips'!$A$3:$F$22,5,FALSE) - VLOOKUP($B45,'20Trips'!$A$3:$G$22,6,FALSE) &gt;= ('20Trips'!$B$24+VLOOKUP(VLOOKUP($B45,'20Trips'!$A$2:$I$22,4,FALSE),'20Trips'!$AB$46:$AH$50,4,FALSE))/1440),1,0)</f>
        <v>0</v>
      </c>
      <c r="P45" s="2">
        <f>IF(AND(VLOOKUP(P$1,'20Trips'!$A$3:$F$22,5,FALSE) - VLOOKUP($B45,'20Trips'!$A$3:$G$22,6,FALSE) &gt;= ('20Trips'!$B$24+VLOOKUP(VLOOKUP($B45,'20Trips'!$A$2:$I$22,4,FALSE),'20Trips'!$AB$46:$AH$50,4,FALSE))/1440),1,0)</f>
        <v>0</v>
      </c>
      <c r="Q45" s="2" t="e">
        <f>IF(AND(VLOOKUP(Q$1,'20Trips'!$A$3:$F$22,5,FALSE) - VLOOKUP($B45,'20Trips'!$A$3:$G$22,6,FALSE) &gt;= ('20Trips'!$B$24+VLOOKUP(VLOOKUP($B45,'20Trips'!$A$2:$I$22,4,FALSE),'20Trips'!$AB$46:$AH$50,4,FALSE))/1440),1,0)</f>
        <v>#N/A</v>
      </c>
      <c r="R45" s="2">
        <f>IF(AND(VLOOKUP(R$1,'20Trips'!$A$3:$F$22,5,FALSE) - VLOOKUP($B45,'20Trips'!$A$3:$G$22,6,FALSE) &gt;= ('20Trips'!$B$24+VLOOKUP(VLOOKUP($B45,'20Trips'!$A$2:$I$22,4,FALSE),'20Trips'!$AB$46:$AH$50,4,FALSE))/1440),1,0)</f>
        <v>0</v>
      </c>
      <c r="S45" s="2">
        <f>IF(AND(VLOOKUP(S$1,'20Trips'!$A$3:$F$22,5,FALSE) - VLOOKUP($B45,'20Trips'!$A$3:$G$22,6,FALSE) &gt;= ('20Trips'!$B$24+VLOOKUP(VLOOKUP($B45,'20Trips'!$A$2:$I$22,4,FALSE),'20Trips'!$AB$46:$AH$50,4,FALSE))/1440),1,0)</f>
        <v>0</v>
      </c>
      <c r="T45" s="2">
        <f>IF(AND(VLOOKUP(T$1,'20Trips'!$A$3:$F$22,5,FALSE) - VLOOKUP($B45,'20Trips'!$A$3:$G$22,6,FALSE) &gt;= ('20Trips'!$B$24+VLOOKUP(VLOOKUP($B45,'20Trips'!$A$2:$I$22,4,FALSE),'20Trips'!$AB$46:$AH$50,4,FALSE))/1440),1,0)</f>
        <v>0</v>
      </c>
      <c r="U45" s="2">
        <f>IF(AND(VLOOKUP(U$1,'20Trips'!$A$3:$F$22,5,FALSE) - VLOOKUP($B45,'20Trips'!$A$3:$G$22,6,FALSE) &gt;= ('20Trips'!$B$24+VLOOKUP(VLOOKUP($B45,'20Trips'!$A$2:$I$22,4,FALSE),'20Trips'!$AB$46:$AH$50,4,FALSE))/1440),1,0)</f>
        <v>0</v>
      </c>
      <c r="V45" s="2">
        <f>IF(AND(VLOOKUP(V$1,'20Trips'!$A$3:$F$22,5,FALSE) - VLOOKUP($B45,'20Trips'!$A$3:$G$22,6,FALSE) &gt;= ('20Trips'!$B$24+VLOOKUP(VLOOKUP($B45,'20Trips'!$A$2:$I$22,4,FALSE),'20Trips'!$AB$46:$AH$50,4,FALSE))/1440),1,0)</f>
        <v>0</v>
      </c>
      <c r="W45" s="2" t="e">
        <f>IF(AND(VLOOKUP(W$1,'20Trips'!$A$3:$F$22,5,FALSE) - VLOOKUP($B45,'20Trips'!$A$3:$G$22,6,FALSE) &gt;= ('20Trips'!$B$24+VLOOKUP(VLOOKUP($B45,'20Trips'!$A$2:$I$22,4,FALSE),'20Trips'!$AB$46:$AH$50,4,FALSE))/1440),1,0)</f>
        <v>#N/A</v>
      </c>
      <c r="X45" s="2" t="e">
        <f>IF(AND(VLOOKUP(X$1,'20Trips'!$A$3:$F$22,5,FALSE) - VLOOKUP($B45,'20Trips'!$A$3:$G$22,6,FALSE) &gt;= ('20Trips'!$B$24+VLOOKUP(VLOOKUP($B45,'20Trips'!$A$2:$I$22,4,FALSE),'20Trips'!$AB$46:$AH$50,4,FALSE))/1440),1,0)</f>
        <v>#N/A</v>
      </c>
      <c r="Y45" s="2" t="e">
        <f>IF(AND(VLOOKUP(Y$1,'20Trips'!$A$3:$F$22,5,FALSE) - VLOOKUP($B45,'20Trips'!$A$3:$G$22,6,FALSE) &gt;= ('20Trips'!$B$24+VLOOKUP(VLOOKUP($B45,'20Trips'!$A$2:$I$22,4,FALSE),'20Trips'!$AB$46:$AH$50,4,FALSE))/1440),1,0)</f>
        <v>#N/A</v>
      </c>
      <c r="Z45" s="2">
        <f>IF(AND(VLOOKUP(Z$1,'20Trips'!$A$3:$F$22,5,FALSE) - VLOOKUP($B45,'20Trips'!$A$3:$G$22,6,FALSE) &gt;= ('20Trips'!$B$24+VLOOKUP(VLOOKUP($B45,'20Trips'!$A$2:$I$22,4,FALSE),'20Trips'!$AB$46:$AH$50,4,FALSE))/1440),1,0)</f>
        <v>0</v>
      </c>
      <c r="AA45" s="2">
        <f>IF(AND(VLOOKUP(AA$1,'20Trips'!$A$3:$F$22,5,FALSE) - VLOOKUP($B45,'20Trips'!$A$3:$G$22,6,FALSE) &gt;= ('20Trips'!$B$24+VLOOKUP(VLOOKUP($B45,'20Trips'!$A$2:$I$22,4,FALSE),'20Trips'!$AB$46:$AH$50,4,FALSE))/1440),1,0)</f>
        <v>0</v>
      </c>
      <c r="AB45" s="2">
        <f>IF(AND(VLOOKUP(AB$1,'20Trips'!$A$3:$F$22,5,FALSE) - VLOOKUP($B45,'20Trips'!$A$3:$G$22,6,FALSE) &gt;= ('20Trips'!$B$24+VLOOKUP(VLOOKUP($B45,'20Trips'!$A$2:$I$22,4,FALSE),'20Trips'!$AB$46:$AH$50,4,FALSE))/1440),1,0)</f>
        <v>0</v>
      </c>
      <c r="AC45" s="2">
        <f>IF(AND(VLOOKUP(AC$1,'20Trips'!$A$3:$F$22,5,FALSE) - VLOOKUP($B45,'20Trips'!$A$3:$G$22,6,FALSE) &gt;= ('20Trips'!$B$24+VLOOKUP(VLOOKUP($B45,'20Trips'!$A$2:$I$22,4,FALSE),'20Trips'!$AB$46:$AH$50,4,FALSE))/1440),1,0)</f>
        <v>0</v>
      </c>
      <c r="AD45" s="2">
        <f>IF(AND(VLOOKUP(AD$1,'20Trips'!$A$3:$F$22,5,FALSE) - VLOOKUP($B45,'20Trips'!$A$3:$G$22,6,FALSE) &gt;= ('20Trips'!$B$24+VLOOKUP(VLOOKUP($B45,'20Trips'!$A$2:$I$22,4,FALSE),'20Trips'!$AB$46:$AH$50,4,FALSE))/1440),1,0)</f>
        <v>0</v>
      </c>
      <c r="AE45" s="2" t="e">
        <f>IF(AND(VLOOKUP(AE$1,'20Trips'!$A$3:$F$22,5,FALSE) - VLOOKUP($B45,'20Trips'!$A$3:$G$22,6,FALSE) &gt;= ('20Trips'!$B$24+VLOOKUP(VLOOKUP($B45,'20Trips'!$A$2:$I$22,4,FALSE),'20Trips'!$AB$46:$AH$50,4,FALSE))/1440),1,0)</f>
        <v>#N/A</v>
      </c>
      <c r="AF45" s="2" t="e">
        <f>IF(AND(VLOOKUP(AF$1,'20Trips'!$A$3:$F$22,5,FALSE) - VLOOKUP($B45,'20Trips'!$A$3:$G$22,6,FALSE) &gt;= ('20Trips'!$B$24+VLOOKUP(VLOOKUP($B45,'20Trips'!$A$2:$I$22,4,FALSE),'20Trips'!$AB$46:$AH$50,4,FALSE))/1440),1,0)</f>
        <v>#N/A</v>
      </c>
      <c r="AG45" s="2" t="e">
        <f>IF(AND(VLOOKUP(AG$1,'20Trips'!$A$3:$F$22,5,FALSE) - VLOOKUP($B45,'20Trips'!$A$3:$G$22,6,FALSE) &gt;= ('20Trips'!$B$24+VLOOKUP(VLOOKUP($B45,'20Trips'!$A$2:$I$22,4,FALSE),'20Trips'!$AB$46:$AH$50,4,FALSE))/1440),1,0)</f>
        <v>#N/A</v>
      </c>
    </row>
    <row r="46" spans="1:33" x14ac:dyDescent="0.25">
      <c r="A46" t="s">
        <v>62</v>
      </c>
      <c r="B46" t="s">
        <v>23</v>
      </c>
      <c r="C46">
        <v>0</v>
      </c>
      <c r="D46" s="2">
        <f>IF(AND(VLOOKUP(D$1,'20Trips'!$A$3:$F$22,5,FALSE) - VLOOKUP($B46,'20Trips'!$A$3:$G$22,6,FALSE) &gt;= ('20Trips'!$B$24+VLOOKUP(VLOOKUP($B46,'20Trips'!$A$2:$I$22,4,FALSE),'20Trips'!$AB$46:$AH$50,4,FALSE))/1440),1,0)</f>
        <v>0</v>
      </c>
      <c r="E46" s="2">
        <f>IF(AND(VLOOKUP(E$1,'20Trips'!$A$3:$F$22,5,FALSE) - VLOOKUP($B46,'20Trips'!$A$3:$G$22,6,FALSE) &gt;= ('20Trips'!$B$24+VLOOKUP(VLOOKUP($B46,'20Trips'!$A$2:$I$22,4,FALSE),'20Trips'!$AB$46:$AH$50,4,FALSE))/1440),1,0)</f>
        <v>0</v>
      </c>
      <c r="F46" s="2">
        <f>IF(AND(VLOOKUP(F$1,'20Trips'!$A$3:$F$22,5,FALSE) - VLOOKUP($B46,'20Trips'!$A$3:$G$22,6,FALSE) &gt;= ('20Trips'!$B$24+VLOOKUP(VLOOKUP($B46,'20Trips'!$A$2:$I$22,4,FALSE),'20Trips'!$AB$46:$AH$50,4,FALSE))/1440),1,0)</f>
        <v>0</v>
      </c>
      <c r="G46" s="2">
        <f>IF(AND(VLOOKUP(G$1,'20Trips'!$A$3:$F$22,5,FALSE) - VLOOKUP($B46,'20Trips'!$A$3:$G$22,6,FALSE) &gt;= ('20Trips'!$B$24+VLOOKUP(VLOOKUP($B46,'20Trips'!$A$2:$I$22,4,FALSE),'20Trips'!$AB$46:$AH$50,4,FALSE))/1440),1,0)</f>
        <v>0</v>
      </c>
      <c r="H46" s="2">
        <f>IF(AND(VLOOKUP(H$1,'20Trips'!$A$3:$F$22,5,FALSE) - VLOOKUP($B46,'20Trips'!$A$3:$G$22,6,FALSE) &gt;= ('20Trips'!$B$24+VLOOKUP(VLOOKUP($B46,'20Trips'!$A$2:$I$22,4,FALSE),'20Trips'!$AB$46:$AH$50,4,FALSE))/1440),1,0)</f>
        <v>0</v>
      </c>
      <c r="I46" s="2" t="e">
        <f>IF(AND(VLOOKUP(I$1,'20Trips'!$A$3:$F$22,5,FALSE) - VLOOKUP($B46,'20Trips'!$A$3:$G$22,6,FALSE) &gt;= ('20Trips'!$B$24+VLOOKUP(VLOOKUP($B46,'20Trips'!$A$2:$I$22,4,FALSE),'20Trips'!$AB$46:$AH$50,4,FALSE))/1440),1,0)</f>
        <v>#N/A</v>
      </c>
      <c r="J46" s="2" t="e">
        <f>IF(AND(VLOOKUP(J$1,'20Trips'!$A$3:$F$22,5,FALSE) - VLOOKUP($B46,'20Trips'!$A$3:$G$22,6,FALSE) &gt;= ('20Trips'!$B$24+VLOOKUP(VLOOKUP($B46,'20Trips'!$A$2:$I$22,4,FALSE),'20Trips'!$AB$46:$AH$50,4,FALSE))/1440),1,0)</f>
        <v>#N/A</v>
      </c>
      <c r="K46" s="2" t="e">
        <f>IF(AND(VLOOKUP(K$1,'20Trips'!$A$3:$F$22,5,FALSE) - VLOOKUP($B46,'20Trips'!$A$3:$G$22,6,FALSE) &gt;= ('20Trips'!$B$24+VLOOKUP(VLOOKUP($B46,'20Trips'!$A$2:$I$22,4,FALSE),'20Trips'!$AB$46:$AH$50,4,FALSE))/1440),1,0)</f>
        <v>#N/A</v>
      </c>
      <c r="L46" s="2">
        <f>IF(AND(VLOOKUP(L$1,'20Trips'!$A$3:$F$22,5,FALSE) - VLOOKUP($B46,'20Trips'!$A$3:$G$22,6,FALSE) &gt;= ('20Trips'!$B$24+VLOOKUP(VLOOKUP($B46,'20Trips'!$A$2:$I$22,4,FALSE),'20Trips'!$AB$46:$AH$50,4,FALSE))/1440),1,0)</f>
        <v>0</v>
      </c>
      <c r="M46" s="2">
        <f>IF(AND(VLOOKUP(M$1,'20Trips'!$A$3:$F$22,5,FALSE) - VLOOKUP($B46,'20Trips'!$A$3:$G$22,6,FALSE) &gt;= ('20Trips'!$B$24+VLOOKUP(VLOOKUP($B46,'20Trips'!$A$2:$I$22,4,FALSE),'20Trips'!$AB$46:$AH$50,4,FALSE))/1440),1,0)</f>
        <v>0</v>
      </c>
      <c r="N46" s="2">
        <f>IF(AND(VLOOKUP(N$1,'20Trips'!$A$3:$F$22,5,FALSE) - VLOOKUP($B46,'20Trips'!$A$3:$G$22,6,FALSE) &gt;= ('20Trips'!$B$24+VLOOKUP(VLOOKUP($B46,'20Trips'!$A$2:$I$22,4,FALSE),'20Trips'!$AB$46:$AH$50,4,FALSE))/1440),1,0)</f>
        <v>0</v>
      </c>
      <c r="O46" s="2">
        <f>IF(AND(VLOOKUP(O$1,'20Trips'!$A$3:$F$22,5,FALSE) - VLOOKUP($B46,'20Trips'!$A$3:$G$22,6,FALSE) &gt;= ('20Trips'!$B$24+VLOOKUP(VLOOKUP($B46,'20Trips'!$A$2:$I$22,4,FALSE),'20Trips'!$AB$46:$AH$50,4,FALSE))/1440),1,0)</f>
        <v>0</v>
      </c>
      <c r="P46" s="2">
        <f>IF(AND(VLOOKUP(P$1,'20Trips'!$A$3:$F$22,5,FALSE) - VLOOKUP($B46,'20Trips'!$A$3:$G$22,6,FALSE) &gt;= ('20Trips'!$B$24+VLOOKUP(VLOOKUP($B46,'20Trips'!$A$2:$I$22,4,FALSE),'20Trips'!$AB$46:$AH$50,4,FALSE))/1440),1,0)</f>
        <v>0</v>
      </c>
      <c r="Q46" s="2" t="e">
        <f>IF(AND(VLOOKUP(Q$1,'20Trips'!$A$3:$F$22,5,FALSE) - VLOOKUP($B46,'20Trips'!$A$3:$G$22,6,FALSE) &gt;= ('20Trips'!$B$24+VLOOKUP(VLOOKUP($B46,'20Trips'!$A$2:$I$22,4,FALSE),'20Trips'!$AB$46:$AH$50,4,FALSE))/1440),1,0)</f>
        <v>#N/A</v>
      </c>
      <c r="R46" s="2">
        <f>IF(AND(VLOOKUP(R$1,'20Trips'!$A$3:$F$22,5,FALSE) - VLOOKUP($B46,'20Trips'!$A$3:$G$22,6,FALSE) &gt;= ('20Trips'!$B$24+VLOOKUP(VLOOKUP($B46,'20Trips'!$A$2:$I$22,4,FALSE),'20Trips'!$AB$46:$AH$50,4,FALSE))/1440),1,0)</f>
        <v>0</v>
      </c>
      <c r="S46" s="2">
        <f>IF(AND(VLOOKUP(S$1,'20Trips'!$A$3:$F$22,5,FALSE) - VLOOKUP($B46,'20Trips'!$A$3:$G$22,6,FALSE) &gt;= ('20Trips'!$B$24+VLOOKUP(VLOOKUP($B46,'20Trips'!$A$2:$I$22,4,FALSE),'20Trips'!$AB$46:$AH$50,4,FALSE))/1440),1,0)</f>
        <v>0</v>
      </c>
      <c r="T46" s="2">
        <f>IF(AND(VLOOKUP(T$1,'20Trips'!$A$3:$F$22,5,FALSE) - VLOOKUP($B46,'20Trips'!$A$3:$G$22,6,FALSE) &gt;= ('20Trips'!$B$24+VLOOKUP(VLOOKUP($B46,'20Trips'!$A$2:$I$22,4,FALSE),'20Trips'!$AB$46:$AH$50,4,FALSE))/1440),1,0)</f>
        <v>0</v>
      </c>
      <c r="U46" s="2">
        <f>IF(AND(VLOOKUP(U$1,'20Trips'!$A$3:$F$22,5,FALSE) - VLOOKUP($B46,'20Trips'!$A$3:$G$22,6,FALSE) &gt;= ('20Trips'!$B$24+VLOOKUP(VLOOKUP($B46,'20Trips'!$A$2:$I$22,4,FALSE),'20Trips'!$AB$46:$AH$50,4,FALSE))/1440),1,0)</f>
        <v>0</v>
      </c>
      <c r="V46" s="2">
        <f>IF(AND(VLOOKUP(V$1,'20Trips'!$A$3:$F$22,5,FALSE) - VLOOKUP($B46,'20Trips'!$A$3:$G$22,6,FALSE) &gt;= ('20Trips'!$B$24+VLOOKUP(VLOOKUP($B46,'20Trips'!$A$2:$I$22,4,FALSE),'20Trips'!$AB$46:$AH$50,4,FALSE))/1440),1,0)</f>
        <v>0</v>
      </c>
      <c r="W46" s="2" t="e">
        <f>IF(AND(VLOOKUP(W$1,'20Trips'!$A$3:$F$22,5,FALSE) - VLOOKUP($B46,'20Trips'!$A$3:$G$22,6,FALSE) &gt;= ('20Trips'!$B$24+VLOOKUP(VLOOKUP($B46,'20Trips'!$A$2:$I$22,4,FALSE),'20Trips'!$AB$46:$AH$50,4,FALSE))/1440),1,0)</f>
        <v>#N/A</v>
      </c>
      <c r="X46" s="2" t="e">
        <f>IF(AND(VLOOKUP(X$1,'20Trips'!$A$3:$F$22,5,FALSE) - VLOOKUP($B46,'20Trips'!$A$3:$G$22,6,FALSE) &gt;= ('20Trips'!$B$24+VLOOKUP(VLOOKUP($B46,'20Trips'!$A$2:$I$22,4,FALSE),'20Trips'!$AB$46:$AH$50,4,FALSE))/1440),1,0)</f>
        <v>#N/A</v>
      </c>
      <c r="Y46" s="2" t="e">
        <f>IF(AND(VLOOKUP(Y$1,'20Trips'!$A$3:$F$22,5,FALSE) - VLOOKUP($B46,'20Trips'!$A$3:$G$22,6,FALSE) &gt;= ('20Trips'!$B$24+VLOOKUP(VLOOKUP($B46,'20Trips'!$A$2:$I$22,4,FALSE),'20Trips'!$AB$46:$AH$50,4,FALSE))/1440),1,0)</f>
        <v>#N/A</v>
      </c>
      <c r="Z46" s="2">
        <f>IF(AND(VLOOKUP(Z$1,'20Trips'!$A$3:$F$22,5,FALSE) - VLOOKUP($B46,'20Trips'!$A$3:$G$22,6,FALSE) &gt;= ('20Trips'!$B$24+VLOOKUP(VLOOKUP($B46,'20Trips'!$A$2:$I$22,4,FALSE),'20Trips'!$AB$46:$AH$50,4,FALSE))/1440),1,0)</f>
        <v>0</v>
      </c>
      <c r="AA46" s="2">
        <f>IF(AND(VLOOKUP(AA$1,'20Trips'!$A$3:$F$22,5,FALSE) - VLOOKUP($B46,'20Trips'!$A$3:$G$22,6,FALSE) &gt;= ('20Trips'!$B$24+VLOOKUP(VLOOKUP($B46,'20Trips'!$A$2:$I$22,4,FALSE),'20Trips'!$AB$46:$AH$50,4,FALSE))/1440),1,0)</f>
        <v>0</v>
      </c>
      <c r="AB46" s="2">
        <f>IF(AND(VLOOKUP(AB$1,'20Trips'!$A$3:$F$22,5,FALSE) - VLOOKUP($B46,'20Trips'!$A$3:$G$22,6,FALSE) &gt;= ('20Trips'!$B$24+VLOOKUP(VLOOKUP($B46,'20Trips'!$A$2:$I$22,4,FALSE),'20Trips'!$AB$46:$AH$50,4,FALSE))/1440),1,0)</f>
        <v>0</v>
      </c>
      <c r="AC46" s="2">
        <f>IF(AND(VLOOKUP(AC$1,'20Trips'!$A$3:$F$22,5,FALSE) - VLOOKUP($B46,'20Trips'!$A$3:$G$22,6,FALSE) &gt;= ('20Trips'!$B$24+VLOOKUP(VLOOKUP($B46,'20Trips'!$A$2:$I$22,4,FALSE),'20Trips'!$AB$46:$AH$50,4,FALSE))/1440),1,0)</f>
        <v>0</v>
      </c>
      <c r="AD46" s="2">
        <f>IF(AND(VLOOKUP(AD$1,'20Trips'!$A$3:$F$22,5,FALSE) - VLOOKUP($B46,'20Trips'!$A$3:$G$22,6,FALSE) &gt;= ('20Trips'!$B$24+VLOOKUP(VLOOKUP($B46,'20Trips'!$A$2:$I$22,4,FALSE),'20Trips'!$AB$46:$AH$50,4,FALSE))/1440),1,0)</f>
        <v>0</v>
      </c>
      <c r="AE46" s="2" t="e">
        <f>IF(AND(VLOOKUP(AE$1,'20Trips'!$A$3:$F$22,5,FALSE) - VLOOKUP($B46,'20Trips'!$A$3:$G$22,6,FALSE) &gt;= ('20Trips'!$B$24+VLOOKUP(VLOOKUP($B46,'20Trips'!$A$2:$I$22,4,FALSE),'20Trips'!$AB$46:$AH$50,4,FALSE))/1440),1,0)</f>
        <v>#N/A</v>
      </c>
      <c r="AF46" s="2" t="e">
        <f>IF(AND(VLOOKUP(AF$1,'20Trips'!$A$3:$F$22,5,FALSE) - VLOOKUP($B46,'20Trips'!$A$3:$G$22,6,FALSE) &gt;= ('20Trips'!$B$24+VLOOKUP(VLOOKUP($B46,'20Trips'!$A$2:$I$22,4,FALSE),'20Trips'!$AB$46:$AH$50,4,FALSE))/1440),1,0)</f>
        <v>#N/A</v>
      </c>
      <c r="AG46" s="2" t="e">
        <f>IF(AND(VLOOKUP(AG$1,'20Trips'!$A$3:$F$22,5,FALSE) - VLOOKUP($B46,'20Trips'!$A$3:$G$22,6,FALSE) &gt;= ('20Trips'!$B$24+VLOOKUP(VLOOKUP($B46,'20Trips'!$A$2:$I$22,4,FALSE),'20Trips'!$AB$46:$AH$50,4,FALSE))/1440),1,0)</f>
        <v>#N/A</v>
      </c>
    </row>
    <row r="47" spans="1:33" x14ac:dyDescent="0.25">
      <c r="A47" t="s">
        <v>62</v>
      </c>
      <c r="B47" t="s">
        <v>24</v>
      </c>
      <c r="C47">
        <v>0</v>
      </c>
      <c r="D47" s="2" t="e">
        <f>IF(AND(VLOOKUP(D$1,'20Trips'!$A$3:$F$22,5,FALSE) - VLOOKUP($B47,'20Trips'!$A$3:$G$22,6,FALSE) &gt;= ('20Trips'!$B$24+VLOOKUP(VLOOKUP($B47,'20Trips'!$A$2:$I$22,4,FALSE),'20Trips'!$AB$46:$AH$50,4,FALSE))/1440),1,0)</f>
        <v>#N/A</v>
      </c>
      <c r="E47" s="2" t="e">
        <f>IF(AND(VLOOKUP(E$1,'20Trips'!$A$3:$F$22,5,FALSE) - VLOOKUP($B47,'20Trips'!$A$3:$G$22,6,FALSE) &gt;= ('20Trips'!$B$24+VLOOKUP(VLOOKUP($B47,'20Trips'!$A$2:$I$22,4,FALSE),'20Trips'!$AB$46:$AH$50,4,FALSE))/1440),1,0)</f>
        <v>#N/A</v>
      </c>
      <c r="F47" s="2" t="e">
        <f>IF(AND(VLOOKUP(F$1,'20Trips'!$A$3:$F$22,5,FALSE) - VLOOKUP($B47,'20Trips'!$A$3:$G$22,6,FALSE) &gt;= ('20Trips'!$B$24+VLOOKUP(VLOOKUP($B47,'20Trips'!$A$2:$I$22,4,FALSE),'20Trips'!$AB$46:$AH$50,4,FALSE))/1440),1,0)</f>
        <v>#N/A</v>
      </c>
      <c r="G47" s="2" t="e">
        <f>IF(AND(VLOOKUP(G$1,'20Trips'!$A$3:$F$22,5,FALSE) - VLOOKUP($B47,'20Trips'!$A$3:$G$22,6,FALSE) &gt;= ('20Trips'!$B$24+VLOOKUP(VLOOKUP($B47,'20Trips'!$A$2:$I$22,4,FALSE),'20Trips'!$AB$46:$AH$50,4,FALSE))/1440),1,0)</f>
        <v>#N/A</v>
      </c>
      <c r="H47" s="2" t="e">
        <f>IF(AND(VLOOKUP(H$1,'20Trips'!$A$3:$F$22,5,FALSE) - VLOOKUP($B47,'20Trips'!$A$3:$G$22,6,FALSE) &gt;= ('20Trips'!$B$24+VLOOKUP(VLOOKUP($B47,'20Trips'!$A$2:$I$22,4,FALSE),'20Trips'!$AB$46:$AH$50,4,FALSE))/1440),1,0)</f>
        <v>#N/A</v>
      </c>
      <c r="I47" s="2" t="e">
        <f>IF(AND(VLOOKUP(I$1,'20Trips'!$A$3:$F$22,5,FALSE) - VLOOKUP($B47,'20Trips'!$A$3:$G$22,6,FALSE) &gt;= ('20Trips'!$B$24+VLOOKUP(VLOOKUP($B47,'20Trips'!$A$2:$I$22,4,FALSE),'20Trips'!$AB$46:$AH$50,4,FALSE))/1440),1,0)</f>
        <v>#N/A</v>
      </c>
      <c r="J47" s="2" t="e">
        <f>IF(AND(VLOOKUP(J$1,'20Trips'!$A$3:$F$22,5,FALSE) - VLOOKUP($B47,'20Trips'!$A$3:$G$22,6,FALSE) &gt;= ('20Trips'!$B$24+VLOOKUP(VLOOKUP($B47,'20Trips'!$A$2:$I$22,4,FALSE),'20Trips'!$AB$46:$AH$50,4,FALSE))/1440),1,0)</f>
        <v>#N/A</v>
      </c>
      <c r="K47" s="2" t="e">
        <f>IF(AND(VLOOKUP(K$1,'20Trips'!$A$3:$F$22,5,FALSE) - VLOOKUP($B47,'20Trips'!$A$3:$G$22,6,FALSE) &gt;= ('20Trips'!$B$24+VLOOKUP(VLOOKUP($B47,'20Trips'!$A$2:$I$22,4,FALSE),'20Trips'!$AB$46:$AH$50,4,FALSE))/1440),1,0)</f>
        <v>#N/A</v>
      </c>
      <c r="L47" s="2" t="e">
        <f>IF(AND(VLOOKUP(L$1,'20Trips'!$A$3:$F$22,5,FALSE) - VLOOKUP($B47,'20Trips'!$A$3:$G$22,6,FALSE) &gt;= ('20Trips'!$B$24+VLOOKUP(VLOOKUP($B47,'20Trips'!$A$2:$I$22,4,FALSE),'20Trips'!$AB$46:$AH$50,4,FALSE))/1440),1,0)</f>
        <v>#N/A</v>
      </c>
      <c r="M47" s="2" t="e">
        <f>IF(AND(VLOOKUP(M$1,'20Trips'!$A$3:$F$22,5,FALSE) - VLOOKUP($B47,'20Trips'!$A$3:$G$22,6,FALSE) &gt;= ('20Trips'!$B$24+VLOOKUP(VLOOKUP($B47,'20Trips'!$A$2:$I$22,4,FALSE),'20Trips'!$AB$46:$AH$50,4,FALSE))/1440),1,0)</f>
        <v>#N/A</v>
      </c>
      <c r="N47" s="2" t="e">
        <f>IF(AND(VLOOKUP(N$1,'20Trips'!$A$3:$F$22,5,FALSE) - VLOOKUP($B47,'20Trips'!$A$3:$G$22,6,FALSE) &gt;= ('20Trips'!$B$24+VLOOKUP(VLOOKUP($B47,'20Trips'!$A$2:$I$22,4,FALSE),'20Trips'!$AB$46:$AH$50,4,FALSE))/1440),1,0)</f>
        <v>#N/A</v>
      </c>
      <c r="O47" s="2" t="e">
        <f>IF(AND(VLOOKUP(O$1,'20Trips'!$A$3:$F$22,5,FALSE) - VLOOKUP($B47,'20Trips'!$A$3:$G$22,6,FALSE) &gt;= ('20Trips'!$B$24+VLOOKUP(VLOOKUP($B47,'20Trips'!$A$2:$I$22,4,FALSE),'20Trips'!$AB$46:$AH$50,4,FALSE))/1440),1,0)</f>
        <v>#N/A</v>
      </c>
      <c r="P47" s="2" t="e">
        <f>IF(AND(VLOOKUP(P$1,'20Trips'!$A$3:$F$22,5,FALSE) - VLOOKUP($B47,'20Trips'!$A$3:$G$22,6,FALSE) &gt;= ('20Trips'!$B$24+VLOOKUP(VLOOKUP($B47,'20Trips'!$A$2:$I$22,4,FALSE),'20Trips'!$AB$46:$AH$50,4,FALSE))/1440),1,0)</f>
        <v>#N/A</v>
      </c>
      <c r="Q47" s="2" t="e">
        <f>IF(AND(VLOOKUP(Q$1,'20Trips'!$A$3:$F$22,5,FALSE) - VLOOKUP($B47,'20Trips'!$A$3:$G$22,6,FALSE) &gt;= ('20Trips'!$B$24+VLOOKUP(VLOOKUP($B47,'20Trips'!$A$2:$I$22,4,FALSE),'20Trips'!$AB$46:$AH$50,4,FALSE))/1440),1,0)</f>
        <v>#N/A</v>
      </c>
      <c r="R47" s="2" t="e">
        <f>IF(AND(VLOOKUP(R$1,'20Trips'!$A$3:$F$22,5,FALSE) - VLOOKUP($B47,'20Trips'!$A$3:$G$22,6,FALSE) &gt;= ('20Trips'!$B$24+VLOOKUP(VLOOKUP($B47,'20Trips'!$A$2:$I$22,4,FALSE),'20Trips'!$AB$46:$AH$50,4,FALSE))/1440),1,0)</f>
        <v>#N/A</v>
      </c>
      <c r="S47" s="2" t="e">
        <f>IF(AND(VLOOKUP(S$1,'20Trips'!$A$3:$F$22,5,FALSE) - VLOOKUP($B47,'20Trips'!$A$3:$G$22,6,FALSE) &gt;= ('20Trips'!$B$24+VLOOKUP(VLOOKUP($B47,'20Trips'!$A$2:$I$22,4,FALSE),'20Trips'!$AB$46:$AH$50,4,FALSE))/1440),1,0)</f>
        <v>#N/A</v>
      </c>
      <c r="T47" s="2" t="e">
        <f>IF(AND(VLOOKUP(T$1,'20Trips'!$A$3:$F$22,5,FALSE) - VLOOKUP($B47,'20Trips'!$A$3:$G$22,6,FALSE) &gt;= ('20Trips'!$B$24+VLOOKUP(VLOOKUP($B47,'20Trips'!$A$2:$I$22,4,FALSE),'20Trips'!$AB$46:$AH$50,4,FALSE))/1440),1,0)</f>
        <v>#N/A</v>
      </c>
      <c r="U47" s="2" t="e">
        <f>IF(AND(VLOOKUP(U$1,'20Trips'!$A$3:$F$22,5,FALSE) - VLOOKUP($B47,'20Trips'!$A$3:$G$22,6,FALSE) &gt;= ('20Trips'!$B$24+VLOOKUP(VLOOKUP($B47,'20Trips'!$A$2:$I$22,4,FALSE),'20Trips'!$AB$46:$AH$50,4,FALSE))/1440),1,0)</f>
        <v>#N/A</v>
      </c>
      <c r="V47" s="2" t="e">
        <f>IF(AND(VLOOKUP(V$1,'20Trips'!$A$3:$F$22,5,FALSE) - VLOOKUP($B47,'20Trips'!$A$3:$G$22,6,FALSE) &gt;= ('20Trips'!$B$24+VLOOKUP(VLOOKUP($B47,'20Trips'!$A$2:$I$22,4,FALSE),'20Trips'!$AB$46:$AH$50,4,FALSE))/1440),1,0)</f>
        <v>#N/A</v>
      </c>
      <c r="W47" s="2" t="e">
        <f>IF(AND(VLOOKUP(W$1,'20Trips'!$A$3:$F$22,5,FALSE) - VLOOKUP($B47,'20Trips'!$A$3:$G$22,6,FALSE) &gt;= ('20Trips'!$B$24+VLOOKUP(VLOOKUP($B47,'20Trips'!$A$2:$I$22,4,FALSE),'20Trips'!$AB$46:$AH$50,4,FALSE))/1440),1,0)</f>
        <v>#N/A</v>
      </c>
      <c r="X47" s="2" t="e">
        <f>IF(AND(VLOOKUP(X$1,'20Trips'!$A$3:$F$22,5,FALSE) - VLOOKUP($B47,'20Trips'!$A$3:$G$22,6,FALSE) &gt;= ('20Trips'!$B$24+VLOOKUP(VLOOKUP($B47,'20Trips'!$A$2:$I$22,4,FALSE),'20Trips'!$AB$46:$AH$50,4,FALSE))/1440),1,0)</f>
        <v>#N/A</v>
      </c>
      <c r="Y47" s="2" t="e">
        <f>IF(AND(VLOOKUP(Y$1,'20Trips'!$A$3:$F$22,5,FALSE) - VLOOKUP($B47,'20Trips'!$A$3:$G$22,6,FALSE) &gt;= ('20Trips'!$B$24+VLOOKUP(VLOOKUP($B47,'20Trips'!$A$2:$I$22,4,FALSE),'20Trips'!$AB$46:$AH$50,4,FALSE))/1440),1,0)</f>
        <v>#N/A</v>
      </c>
      <c r="Z47" s="2" t="e">
        <f>IF(AND(VLOOKUP(Z$1,'20Trips'!$A$3:$F$22,5,FALSE) - VLOOKUP($B47,'20Trips'!$A$3:$G$22,6,FALSE) &gt;= ('20Trips'!$B$24+VLOOKUP(VLOOKUP($B47,'20Trips'!$A$2:$I$22,4,FALSE),'20Trips'!$AB$46:$AH$50,4,FALSE))/1440),1,0)</f>
        <v>#N/A</v>
      </c>
      <c r="AA47" s="2" t="e">
        <f>IF(AND(VLOOKUP(AA$1,'20Trips'!$A$3:$F$22,5,FALSE) - VLOOKUP($B47,'20Trips'!$A$3:$G$22,6,FALSE) &gt;= ('20Trips'!$B$24+VLOOKUP(VLOOKUP($B47,'20Trips'!$A$2:$I$22,4,FALSE),'20Trips'!$AB$46:$AH$50,4,FALSE))/1440),1,0)</f>
        <v>#N/A</v>
      </c>
      <c r="AB47" s="2" t="e">
        <f>IF(AND(VLOOKUP(AB$1,'20Trips'!$A$3:$F$22,5,FALSE) - VLOOKUP($B47,'20Trips'!$A$3:$G$22,6,FALSE) &gt;= ('20Trips'!$B$24+VLOOKUP(VLOOKUP($B47,'20Trips'!$A$2:$I$22,4,FALSE),'20Trips'!$AB$46:$AH$50,4,FALSE))/1440),1,0)</f>
        <v>#N/A</v>
      </c>
      <c r="AC47" s="2" t="e">
        <f>IF(AND(VLOOKUP(AC$1,'20Trips'!$A$3:$F$22,5,FALSE) - VLOOKUP($B47,'20Trips'!$A$3:$G$22,6,FALSE) &gt;= ('20Trips'!$B$24+VLOOKUP(VLOOKUP($B47,'20Trips'!$A$2:$I$22,4,FALSE),'20Trips'!$AB$46:$AH$50,4,FALSE))/1440),1,0)</f>
        <v>#N/A</v>
      </c>
      <c r="AD47" s="2" t="e">
        <f>IF(AND(VLOOKUP(AD$1,'20Trips'!$A$3:$F$22,5,FALSE) - VLOOKUP($B47,'20Trips'!$A$3:$G$22,6,FALSE) &gt;= ('20Trips'!$B$24+VLOOKUP(VLOOKUP($B47,'20Trips'!$A$2:$I$22,4,FALSE),'20Trips'!$AB$46:$AH$50,4,FALSE))/1440),1,0)</f>
        <v>#N/A</v>
      </c>
      <c r="AE47" s="2" t="e">
        <f>IF(AND(VLOOKUP(AE$1,'20Trips'!$A$3:$F$22,5,FALSE) - VLOOKUP($B47,'20Trips'!$A$3:$G$22,6,FALSE) &gt;= ('20Trips'!$B$24+VLOOKUP(VLOOKUP($B47,'20Trips'!$A$2:$I$22,4,FALSE),'20Trips'!$AB$46:$AH$50,4,FALSE))/1440),1,0)</f>
        <v>#N/A</v>
      </c>
      <c r="AF47" s="2" t="e">
        <f>IF(AND(VLOOKUP(AF$1,'20Trips'!$A$3:$F$22,5,FALSE) - VLOOKUP($B47,'20Trips'!$A$3:$G$22,6,FALSE) &gt;= ('20Trips'!$B$24+VLOOKUP(VLOOKUP($B47,'20Trips'!$A$2:$I$22,4,FALSE),'20Trips'!$AB$46:$AH$50,4,FALSE))/1440),1,0)</f>
        <v>#N/A</v>
      </c>
      <c r="AG47" s="2" t="e">
        <f>IF(AND(VLOOKUP(AG$1,'20Trips'!$A$3:$F$22,5,FALSE) - VLOOKUP($B47,'20Trips'!$A$3:$G$22,6,FALSE) &gt;= ('20Trips'!$B$24+VLOOKUP(VLOOKUP($B47,'20Trips'!$A$2:$I$22,4,FALSE),'20Trips'!$AB$46:$AH$50,4,FALSE))/1440),1,0)</f>
        <v>#N/A</v>
      </c>
    </row>
    <row r="48" spans="1:33" x14ac:dyDescent="0.25">
      <c r="A48" t="s">
        <v>62</v>
      </c>
      <c r="B48" t="s">
        <v>26</v>
      </c>
      <c r="C48">
        <v>0</v>
      </c>
      <c r="D48" s="2">
        <f>IF(AND(VLOOKUP(D$1,'20Trips'!$A$3:$F$22,5,FALSE) - VLOOKUP($B48,'20Trips'!$A$3:$G$22,6,FALSE) &gt;= ('20Trips'!$B$24+VLOOKUP(VLOOKUP($B48,'20Trips'!$A$2:$I$22,4,FALSE),'20Trips'!$AB$46:$AH$50,4,FALSE))/1440),1,0)</f>
        <v>0</v>
      </c>
      <c r="E48" s="2">
        <f>IF(AND(VLOOKUP(E$1,'20Trips'!$A$3:$F$22,5,FALSE) - VLOOKUP($B48,'20Trips'!$A$3:$G$22,6,FALSE) &gt;= ('20Trips'!$B$24+VLOOKUP(VLOOKUP($B48,'20Trips'!$A$2:$I$22,4,FALSE),'20Trips'!$AB$46:$AH$50,4,FALSE))/1440),1,0)</f>
        <v>1</v>
      </c>
      <c r="F48" s="2">
        <f>IF(AND(VLOOKUP(F$1,'20Trips'!$A$3:$F$22,5,FALSE) - VLOOKUP($B48,'20Trips'!$A$3:$G$22,6,FALSE) &gt;= ('20Trips'!$B$24+VLOOKUP(VLOOKUP($B48,'20Trips'!$A$2:$I$22,4,FALSE),'20Trips'!$AB$46:$AH$50,4,FALSE))/1440),1,0)</f>
        <v>1</v>
      </c>
      <c r="G48" s="2">
        <f>IF(AND(VLOOKUP(G$1,'20Trips'!$A$3:$F$22,5,FALSE) - VLOOKUP($B48,'20Trips'!$A$3:$G$22,6,FALSE) &gt;= ('20Trips'!$B$24+VLOOKUP(VLOOKUP($B48,'20Trips'!$A$2:$I$22,4,FALSE),'20Trips'!$AB$46:$AH$50,4,FALSE))/1440),1,0)</f>
        <v>1</v>
      </c>
      <c r="H48" s="2">
        <f>IF(AND(VLOOKUP(H$1,'20Trips'!$A$3:$F$22,5,FALSE) - VLOOKUP($B48,'20Trips'!$A$3:$G$22,6,FALSE) &gt;= ('20Trips'!$B$24+VLOOKUP(VLOOKUP($B48,'20Trips'!$A$2:$I$22,4,FALSE),'20Trips'!$AB$46:$AH$50,4,FALSE))/1440),1,0)</f>
        <v>1</v>
      </c>
      <c r="I48" s="2" t="e">
        <f>IF(AND(VLOOKUP(I$1,'20Trips'!$A$3:$F$22,5,FALSE) - VLOOKUP($B48,'20Trips'!$A$3:$G$22,6,FALSE) &gt;= ('20Trips'!$B$24+VLOOKUP(VLOOKUP($B48,'20Trips'!$A$2:$I$22,4,FALSE),'20Trips'!$AB$46:$AH$50,4,FALSE))/1440),1,0)</f>
        <v>#N/A</v>
      </c>
      <c r="J48" s="2" t="e">
        <f>IF(AND(VLOOKUP(J$1,'20Trips'!$A$3:$F$22,5,FALSE) - VLOOKUP($B48,'20Trips'!$A$3:$G$22,6,FALSE) &gt;= ('20Trips'!$B$24+VLOOKUP(VLOOKUP($B48,'20Trips'!$A$2:$I$22,4,FALSE),'20Trips'!$AB$46:$AH$50,4,FALSE))/1440),1,0)</f>
        <v>#N/A</v>
      </c>
      <c r="K48" s="2" t="e">
        <f>IF(AND(VLOOKUP(K$1,'20Trips'!$A$3:$F$22,5,FALSE) - VLOOKUP($B48,'20Trips'!$A$3:$G$22,6,FALSE) &gt;= ('20Trips'!$B$24+VLOOKUP(VLOOKUP($B48,'20Trips'!$A$2:$I$22,4,FALSE),'20Trips'!$AB$46:$AH$50,4,FALSE))/1440),1,0)</f>
        <v>#N/A</v>
      </c>
      <c r="L48" s="2">
        <f>IF(AND(VLOOKUP(L$1,'20Trips'!$A$3:$F$22,5,FALSE) - VLOOKUP($B48,'20Trips'!$A$3:$G$22,6,FALSE) &gt;= ('20Trips'!$B$24+VLOOKUP(VLOOKUP($B48,'20Trips'!$A$2:$I$22,4,FALSE),'20Trips'!$AB$46:$AH$50,4,FALSE))/1440),1,0)</f>
        <v>0</v>
      </c>
      <c r="M48" s="2">
        <f>IF(AND(VLOOKUP(M$1,'20Trips'!$A$3:$F$22,5,FALSE) - VLOOKUP($B48,'20Trips'!$A$3:$G$22,6,FALSE) &gt;= ('20Trips'!$B$24+VLOOKUP(VLOOKUP($B48,'20Trips'!$A$2:$I$22,4,FALSE),'20Trips'!$AB$46:$AH$50,4,FALSE))/1440),1,0)</f>
        <v>0</v>
      </c>
      <c r="N48" s="2">
        <f>IF(AND(VLOOKUP(N$1,'20Trips'!$A$3:$F$22,5,FALSE) - VLOOKUP($B48,'20Trips'!$A$3:$G$22,6,FALSE) &gt;= ('20Trips'!$B$24+VLOOKUP(VLOOKUP($B48,'20Trips'!$A$2:$I$22,4,FALSE),'20Trips'!$AB$46:$AH$50,4,FALSE))/1440),1,0)</f>
        <v>1</v>
      </c>
      <c r="O48" s="2">
        <f>IF(AND(VLOOKUP(O$1,'20Trips'!$A$3:$F$22,5,FALSE) - VLOOKUP($B48,'20Trips'!$A$3:$G$22,6,FALSE) &gt;= ('20Trips'!$B$24+VLOOKUP(VLOOKUP($B48,'20Trips'!$A$2:$I$22,4,FALSE),'20Trips'!$AB$46:$AH$50,4,FALSE))/1440),1,0)</f>
        <v>1</v>
      </c>
      <c r="P48" s="2">
        <f>IF(AND(VLOOKUP(P$1,'20Trips'!$A$3:$F$22,5,FALSE) - VLOOKUP($B48,'20Trips'!$A$3:$G$22,6,FALSE) &gt;= ('20Trips'!$B$24+VLOOKUP(VLOOKUP($B48,'20Trips'!$A$2:$I$22,4,FALSE),'20Trips'!$AB$46:$AH$50,4,FALSE))/1440),1,0)</f>
        <v>1</v>
      </c>
      <c r="Q48" s="2" t="e">
        <f>IF(AND(VLOOKUP(Q$1,'20Trips'!$A$3:$F$22,5,FALSE) - VLOOKUP($B48,'20Trips'!$A$3:$G$22,6,FALSE) &gt;= ('20Trips'!$B$24+VLOOKUP(VLOOKUP($B48,'20Trips'!$A$2:$I$22,4,FALSE),'20Trips'!$AB$46:$AH$50,4,FALSE))/1440),1,0)</f>
        <v>#N/A</v>
      </c>
      <c r="R48" s="2">
        <f>IF(AND(VLOOKUP(R$1,'20Trips'!$A$3:$F$22,5,FALSE) - VLOOKUP($B48,'20Trips'!$A$3:$G$22,6,FALSE) &gt;= ('20Trips'!$B$24+VLOOKUP(VLOOKUP($B48,'20Trips'!$A$2:$I$22,4,FALSE),'20Trips'!$AB$46:$AH$50,4,FALSE))/1440),1,0)</f>
        <v>0</v>
      </c>
      <c r="S48" s="2">
        <f>IF(AND(VLOOKUP(S$1,'20Trips'!$A$3:$F$22,5,FALSE) - VLOOKUP($B48,'20Trips'!$A$3:$G$22,6,FALSE) &gt;= ('20Trips'!$B$24+VLOOKUP(VLOOKUP($B48,'20Trips'!$A$2:$I$22,4,FALSE),'20Trips'!$AB$46:$AH$50,4,FALSE))/1440),1,0)</f>
        <v>0</v>
      </c>
      <c r="T48" s="2">
        <f>IF(AND(VLOOKUP(T$1,'20Trips'!$A$3:$F$22,5,FALSE) - VLOOKUP($B48,'20Trips'!$A$3:$G$22,6,FALSE) &gt;= ('20Trips'!$B$24+VLOOKUP(VLOOKUP($B48,'20Trips'!$A$2:$I$22,4,FALSE),'20Trips'!$AB$46:$AH$50,4,FALSE))/1440),1,0)</f>
        <v>0</v>
      </c>
      <c r="U48" s="2">
        <f>IF(AND(VLOOKUP(U$1,'20Trips'!$A$3:$F$22,5,FALSE) - VLOOKUP($B48,'20Trips'!$A$3:$G$22,6,FALSE) &gt;= ('20Trips'!$B$24+VLOOKUP(VLOOKUP($B48,'20Trips'!$A$2:$I$22,4,FALSE),'20Trips'!$AB$46:$AH$50,4,FALSE))/1440),1,0)</f>
        <v>1</v>
      </c>
      <c r="V48" s="2">
        <f>IF(AND(VLOOKUP(V$1,'20Trips'!$A$3:$F$22,5,FALSE) - VLOOKUP($B48,'20Trips'!$A$3:$G$22,6,FALSE) &gt;= ('20Trips'!$B$24+VLOOKUP(VLOOKUP($B48,'20Trips'!$A$2:$I$22,4,FALSE),'20Trips'!$AB$46:$AH$50,4,FALSE))/1440),1,0)</f>
        <v>1</v>
      </c>
      <c r="W48" s="2" t="e">
        <f>IF(AND(VLOOKUP(W$1,'20Trips'!$A$3:$F$22,5,FALSE) - VLOOKUP($B48,'20Trips'!$A$3:$G$22,6,FALSE) &gt;= ('20Trips'!$B$24+VLOOKUP(VLOOKUP($B48,'20Trips'!$A$2:$I$22,4,FALSE),'20Trips'!$AB$46:$AH$50,4,FALSE))/1440),1,0)</f>
        <v>#N/A</v>
      </c>
      <c r="X48" s="2" t="e">
        <f>IF(AND(VLOOKUP(X$1,'20Trips'!$A$3:$F$22,5,FALSE) - VLOOKUP($B48,'20Trips'!$A$3:$G$22,6,FALSE) &gt;= ('20Trips'!$B$24+VLOOKUP(VLOOKUP($B48,'20Trips'!$A$2:$I$22,4,FALSE),'20Trips'!$AB$46:$AH$50,4,FALSE))/1440),1,0)</f>
        <v>#N/A</v>
      </c>
      <c r="Y48" s="2" t="e">
        <f>IF(AND(VLOOKUP(Y$1,'20Trips'!$A$3:$F$22,5,FALSE) - VLOOKUP($B48,'20Trips'!$A$3:$G$22,6,FALSE) &gt;= ('20Trips'!$B$24+VLOOKUP(VLOOKUP($B48,'20Trips'!$A$2:$I$22,4,FALSE),'20Trips'!$AB$46:$AH$50,4,FALSE))/1440),1,0)</f>
        <v>#N/A</v>
      </c>
      <c r="Z48" s="2">
        <f>IF(AND(VLOOKUP(Z$1,'20Trips'!$A$3:$F$22,5,FALSE) - VLOOKUP($B48,'20Trips'!$A$3:$G$22,6,FALSE) &gt;= ('20Trips'!$B$24+VLOOKUP(VLOOKUP($B48,'20Trips'!$A$2:$I$22,4,FALSE),'20Trips'!$AB$46:$AH$50,4,FALSE))/1440),1,0)</f>
        <v>0</v>
      </c>
      <c r="AA48" s="2">
        <f>IF(AND(VLOOKUP(AA$1,'20Trips'!$A$3:$F$22,5,FALSE) - VLOOKUP($B48,'20Trips'!$A$3:$G$22,6,FALSE) &gt;= ('20Trips'!$B$24+VLOOKUP(VLOOKUP($B48,'20Trips'!$A$2:$I$22,4,FALSE),'20Trips'!$AB$46:$AH$50,4,FALSE))/1440),1,0)</f>
        <v>1</v>
      </c>
      <c r="AB48" s="2">
        <f>IF(AND(VLOOKUP(AB$1,'20Trips'!$A$3:$F$22,5,FALSE) - VLOOKUP($B48,'20Trips'!$A$3:$G$22,6,FALSE) &gt;= ('20Trips'!$B$24+VLOOKUP(VLOOKUP($B48,'20Trips'!$A$2:$I$22,4,FALSE),'20Trips'!$AB$46:$AH$50,4,FALSE))/1440),1,0)</f>
        <v>1</v>
      </c>
      <c r="AC48" s="2">
        <f>IF(AND(VLOOKUP(AC$1,'20Trips'!$A$3:$F$22,5,FALSE) - VLOOKUP($B48,'20Trips'!$A$3:$G$22,6,FALSE) &gt;= ('20Trips'!$B$24+VLOOKUP(VLOOKUP($B48,'20Trips'!$A$2:$I$22,4,FALSE),'20Trips'!$AB$46:$AH$50,4,FALSE))/1440),1,0)</f>
        <v>1</v>
      </c>
      <c r="AD48" s="2">
        <f>IF(AND(VLOOKUP(AD$1,'20Trips'!$A$3:$F$22,5,FALSE) - VLOOKUP($B48,'20Trips'!$A$3:$G$22,6,FALSE) &gt;= ('20Trips'!$B$24+VLOOKUP(VLOOKUP($B48,'20Trips'!$A$2:$I$22,4,FALSE),'20Trips'!$AB$46:$AH$50,4,FALSE))/1440),1,0)</f>
        <v>1</v>
      </c>
      <c r="AE48" s="2" t="e">
        <f>IF(AND(VLOOKUP(AE$1,'20Trips'!$A$3:$F$22,5,FALSE) - VLOOKUP($B48,'20Trips'!$A$3:$G$22,6,FALSE) &gt;= ('20Trips'!$B$24+VLOOKUP(VLOOKUP($B48,'20Trips'!$A$2:$I$22,4,FALSE),'20Trips'!$AB$46:$AH$50,4,FALSE))/1440),1,0)</f>
        <v>#N/A</v>
      </c>
      <c r="AF48" s="2" t="e">
        <f>IF(AND(VLOOKUP(AF$1,'20Trips'!$A$3:$F$22,5,FALSE) - VLOOKUP($B48,'20Trips'!$A$3:$G$22,6,FALSE) &gt;= ('20Trips'!$B$24+VLOOKUP(VLOOKUP($B48,'20Trips'!$A$2:$I$22,4,FALSE),'20Trips'!$AB$46:$AH$50,4,FALSE))/1440),1,0)</f>
        <v>#N/A</v>
      </c>
      <c r="AG48" s="2" t="e">
        <f>IF(AND(VLOOKUP(AG$1,'20Trips'!$A$3:$F$22,5,FALSE) - VLOOKUP($B48,'20Trips'!$A$3:$G$22,6,FALSE) &gt;= ('20Trips'!$B$24+VLOOKUP(VLOOKUP($B48,'20Trips'!$A$2:$I$22,4,FALSE),'20Trips'!$AB$46:$AH$50,4,FALSE))/1440),1,0)</f>
        <v>#N/A</v>
      </c>
    </row>
    <row r="49" spans="1:33" x14ac:dyDescent="0.25">
      <c r="A49" t="s">
        <v>62</v>
      </c>
      <c r="B49" t="s">
        <v>27</v>
      </c>
      <c r="C49">
        <v>0</v>
      </c>
      <c r="D49" s="2">
        <f>IF(AND(VLOOKUP(D$1,'20Trips'!$A$3:$F$22,5,FALSE) - VLOOKUP($B49,'20Trips'!$A$3:$G$22,6,FALSE) &gt;= ('20Trips'!$B$24+VLOOKUP(VLOOKUP($B49,'20Trips'!$A$2:$I$22,4,FALSE),'20Trips'!$AB$46:$AH$50,4,FALSE))/1440),1,0)</f>
        <v>0</v>
      </c>
      <c r="E49" s="2">
        <f>IF(AND(VLOOKUP(E$1,'20Trips'!$A$3:$F$22,5,FALSE) - VLOOKUP($B49,'20Trips'!$A$3:$G$22,6,FALSE) &gt;= ('20Trips'!$B$24+VLOOKUP(VLOOKUP($B49,'20Trips'!$A$2:$I$22,4,FALSE),'20Trips'!$AB$46:$AH$50,4,FALSE))/1440),1,0)</f>
        <v>0</v>
      </c>
      <c r="F49" s="2">
        <f>IF(AND(VLOOKUP(F$1,'20Trips'!$A$3:$F$22,5,FALSE) - VLOOKUP($B49,'20Trips'!$A$3:$G$22,6,FALSE) &gt;= ('20Trips'!$B$24+VLOOKUP(VLOOKUP($B49,'20Trips'!$A$2:$I$22,4,FALSE),'20Trips'!$AB$46:$AH$50,4,FALSE))/1440),1,0)</f>
        <v>1</v>
      </c>
      <c r="G49" s="2">
        <f>IF(AND(VLOOKUP(G$1,'20Trips'!$A$3:$F$22,5,FALSE) - VLOOKUP($B49,'20Trips'!$A$3:$G$22,6,FALSE) &gt;= ('20Trips'!$B$24+VLOOKUP(VLOOKUP($B49,'20Trips'!$A$2:$I$22,4,FALSE),'20Trips'!$AB$46:$AH$50,4,FALSE))/1440),1,0)</f>
        <v>1</v>
      </c>
      <c r="H49" s="2">
        <f>IF(AND(VLOOKUP(H$1,'20Trips'!$A$3:$F$22,5,FALSE) - VLOOKUP($B49,'20Trips'!$A$3:$G$22,6,FALSE) &gt;= ('20Trips'!$B$24+VLOOKUP(VLOOKUP($B49,'20Trips'!$A$2:$I$22,4,FALSE),'20Trips'!$AB$46:$AH$50,4,FALSE))/1440),1,0)</f>
        <v>1</v>
      </c>
      <c r="I49" s="2" t="e">
        <f>IF(AND(VLOOKUP(I$1,'20Trips'!$A$3:$F$22,5,FALSE) - VLOOKUP($B49,'20Trips'!$A$3:$G$22,6,FALSE) &gt;= ('20Trips'!$B$24+VLOOKUP(VLOOKUP($B49,'20Trips'!$A$2:$I$22,4,FALSE),'20Trips'!$AB$46:$AH$50,4,FALSE))/1440),1,0)</f>
        <v>#N/A</v>
      </c>
      <c r="J49" s="2" t="e">
        <f>IF(AND(VLOOKUP(J$1,'20Trips'!$A$3:$F$22,5,FALSE) - VLOOKUP($B49,'20Trips'!$A$3:$G$22,6,FALSE) &gt;= ('20Trips'!$B$24+VLOOKUP(VLOOKUP($B49,'20Trips'!$A$2:$I$22,4,FALSE),'20Trips'!$AB$46:$AH$50,4,FALSE))/1440),1,0)</f>
        <v>#N/A</v>
      </c>
      <c r="K49" s="2" t="e">
        <f>IF(AND(VLOOKUP(K$1,'20Trips'!$A$3:$F$22,5,FALSE) - VLOOKUP($B49,'20Trips'!$A$3:$G$22,6,FALSE) &gt;= ('20Trips'!$B$24+VLOOKUP(VLOOKUP($B49,'20Trips'!$A$2:$I$22,4,FALSE),'20Trips'!$AB$46:$AH$50,4,FALSE))/1440),1,0)</f>
        <v>#N/A</v>
      </c>
      <c r="L49" s="2">
        <f>IF(AND(VLOOKUP(L$1,'20Trips'!$A$3:$F$22,5,FALSE) - VLOOKUP($B49,'20Trips'!$A$3:$G$22,6,FALSE) &gt;= ('20Trips'!$B$24+VLOOKUP(VLOOKUP($B49,'20Trips'!$A$2:$I$22,4,FALSE),'20Trips'!$AB$46:$AH$50,4,FALSE))/1440),1,0)</f>
        <v>0</v>
      </c>
      <c r="M49" s="2">
        <f>IF(AND(VLOOKUP(M$1,'20Trips'!$A$3:$F$22,5,FALSE) - VLOOKUP($B49,'20Trips'!$A$3:$G$22,6,FALSE) &gt;= ('20Trips'!$B$24+VLOOKUP(VLOOKUP($B49,'20Trips'!$A$2:$I$22,4,FALSE),'20Trips'!$AB$46:$AH$50,4,FALSE))/1440),1,0)</f>
        <v>0</v>
      </c>
      <c r="N49" s="2">
        <f>IF(AND(VLOOKUP(N$1,'20Trips'!$A$3:$F$22,5,FALSE) - VLOOKUP($B49,'20Trips'!$A$3:$G$22,6,FALSE) &gt;= ('20Trips'!$B$24+VLOOKUP(VLOOKUP($B49,'20Trips'!$A$2:$I$22,4,FALSE),'20Trips'!$AB$46:$AH$50,4,FALSE))/1440),1,0)</f>
        <v>0</v>
      </c>
      <c r="O49" s="2">
        <f>IF(AND(VLOOKUP(O$1,'20Trips'!$A$3:$F$22,5,FALSE) - VLOOKUP($B49,'20Trips'!$A$3:$G$22,6,FALSE) &gt;= ('20Trips'!$B$24+VLOOKUP(VLOOKUP($B49,'20Trips'!$A$2:$I$22,4,FALSE),'20Trips'!$AB$46:$AH$50,4,FALSE))/1440),1,0)</f>
        <v>1</v>
      </c>
      <c r="P49" s="2">
        <f>IF(AND(VLOOKUP(P$1,'20Trips'!$A$3:$F$22,5,FALSE) - VLOOKUP($B49,'20Trips'!$A$3:$G$22,6,FALSE) &gt;= ('20Trips'!$B$24+VLOOKUP(VLOOKUP($B49,'20Trips'!$A$2:$I$22,4,FALSE),'20Trips'!$AB$46:$AH$50,4,FALSE))/1440),1,0)</f>
        <v>1</v>
      </c>
      <c r="Q49" s="2" t="e">
        <f>IF(AND(VLOOKUP(Q$1,'20Trips'!$A$3:$F$22,5,FALSE) - VLOOKUP($B49,'20Trips'!$A$3:$G$22,6,FALSE) &gt;= ('20Trips'!$B$24+VLOOKUP(VLOOKUP($B49,'20Trips'!$A$2:$I$22,4,FALSE),'20Trips'!$AB$46:$AH$50,4,FALSE))/1440),1,0)</f>
        <v>#N/A</v>
      </c>
      <c r="R49" s="2">
        <f>IF(AND(VLOOKUP(R$1,'20Trips'!$A$3:$F$22,5,FALSE) - VLOOKUP($B49,'20Trips'!$A$3:$G$22,6,FALSE) &gt;= ('20Trips'!$B$24+VLOOKUP(VLOOKUP($B49,'20Trips'!$A$2:$I$22,4,FALSE),'20Trips'!$AB$46:$AH$50,4,FALSE))/1440),1,0)</f>
        <v>0</v>
      </c>
      <c r="S49" s="2">
        <f>IF(AND(VLOOKUP(S$1,'20Trips'!$A$3:$F$22,5,FALSE) - VLOOKUP($B49,'20Trips'!$A$3:$G$22,6,FALSE) &gt;= ('20Trips'!$B$24+VLOOKUP(VLOOKUP($B49,'20Trips'!$A$2:$I$22,4,FALSE),'20Trips'!$AB$46:$AH$50,4,FALSE))/1440),1,0)</f>
        <v>0</v>
      </c>
      <c r="T49" s="2">
        <f>IF(AND(VLOOKUP(T$1,'20Trips'!$A$3:$F$22,5,FALSE) - VLOOKUP($B49,'20Trips'!$A$3:$G$22,6,FALSE) &gt;= ('20Trips'!$B$24+VLOOKUP(VLOOKUP($B49,'20Trips'!$A$2:$I$22,4,FALSE),'20Trips'!$AB$46:$AH$50,4,FALSE))/1440),1,0)</f>
        <v>0</v>
      </c>
      <c r="U49" s="2">
        <f>IF(AND(VLOOKUP(U$1,'20Trips'!$A$3:$F$22,5,FALSE) - VLOOKUP($B49,'20Trips'!$A$3:$G$22,6,FALSE) &gt;= ('20Trips'!$B$24+VLOOKUP(VLOOKUP($B49,'20Trips'!$A$2:$I$22,4,FALSE),'20Trips'!$AB$46:$AH$50,4,FALSE))/1440),1,0)</f>
        <v>0</v>
      </c>
      <c r="V49" s="2">
        <f>IF(AND(VLOOKUP(V$1,'20Trips'!$A$3:$F$22,5,FALSE) - VLOOKUP($B49,'20Trips'!$A$3:$G$22,6,FALSE) &gt;= ('20Trips'!$B$24+VLOOKUP(VLOOKUP($B49,'20Trips'!$A$2:$I$22,4,FALSE),'20Trips'!$AB$46:$AH$50,4,FALSE))/1440),1,0)</f>
        <v>1</v>
      </c>
      <c r="W49" s="2" t="e">
        <f>IF(AND(VLOOKUP(W$1,'20Trips'!$A$3:$F$22,5,FALSE) - VLOOKUP($B49,'20Trips'!$A$3:$G$22,6,FALSE) &gt;= ('20Trips'!$B$24+VLOOKUP(VLOOKUP($B49,'20Trips'!$A$2:$I$22,4,FALSE),'20Trips'!$AB$46:$AH$50,4,FALSE))/1440),1,0)</f>
        <v>#N/A</v>
      </c>
      <c r="X49" s="2" t="e">
        <f>IF(AND(VLOOKUP(X$1,'20Trips'!$A$3:$F$22,5,FALSE) - VLOOKUP($B49,'20Trips'!$A$3:$G$22,6,FALSE) &gt;= ('20Trips'!$B$24+VLOOKUP(VLOOKUP($B49,'20Trips'!$A$2:$I$22,4,FALSE),'20Trips'!$AB$46:$AH$50,4,FALSE))/1440),1,0)</f>
        <v>#N/A</v>
      </c>
      <c r="Y49" s="2" t="e">
        <f>IF(AND(VLOOKUP(Y$1,'20Trips'!$A$3:$F$22,5,FALSE) - VLOOKUP($B49,'20Trips'!$A$3:$G$22,6,FALSE) &gt;= ('20Trips'!$B$24+VLOOKUP(VLOOKUP($B49,'20Trips'!$A$2:$I$22,4,FALSE),'20Trips'!$AB$46:$AH$50,4,FALSE))/1440),1,0)</f>
        <v>#N/A</v>
      </c>
      <c r="Z49" s="2">
        <f>IF(AND(VLOOKUP(Z$1,'20Trips'!$A$3:$F$22,5,FALSE) - VLOOKUP($B49,'20Trips'!$A$3:$G$22,6,FALSE) &gt;= ('20Trips'!$B$24+VLOOKUP(VLOOKUP($B49,'20Trips'!$A$2:$I$22,4,FALSE),'20Trips'!$AB$46:$AH$50,4,FALSE))/1440),1,0)</f>
        <v>0</v>
      </c>
      <c r="AA49" s="2">
        <f>IF(AND(VLOOKUP(AA$1,'20Trips'!$A$3:$F$22,5,FALSE) - VLOOKUP($B49,'20Trips'!$A$3:$G$22,6,FALSE) &gt;= ('20Trips'!$B$24+VLOOKUP(VLOOKUP($B49,'20Trips'!$A$2:$I$22,4,FALSE),'20Trips'!$AB$46:$AH$50,4,FALSE))/1440),1,0)</f>
        <v>0</v>
      </c>
      <c r="AB49" s="2">
        <f>IF(AND(VLOOKUP(AB$1,'20Trips'!$A$3:$F$22,5,FALSE) - VLOOKUP($B49,'20Trips'!$A$3:$G$22,6,FALSE) &gt;= ('20Trips'!$B$24+VLOOKUP(VLOOKUP($B49,'20Trips'!$A$2:$I$22,4,FALSE),'20Trips'!$AB$46:$AH$50,4,FALSE))/1440),1,0)</f>
        <v>1</v>
      </c>
      <c r="AC49" s="2">
        <f>IF(AND(VLOOKUP(AC$1,'20Trips'!$A$3:$F$22,5,FALSE) - VLOOKUP($B49,'20Trips'!$A$3:$G$22,6,FALSE) &gt;= ('20Trips'!$B$24+VLOOKUP(VLOOKUP($B49,'20Trips'!$A$2:$I$22,4,FALSE),'20Trips'!$AB$46:$AH$50,4,FALSE))/1440),1,0)</f>
        <v>1</v>
      </c>
      <c r="AD49" s="2">
        <f>IF(AND(VLOOKUP(AD$1,'20Trips'!$A$3:$F$22,5,FALSE) - VLOOKUP($B49,'20Trips'!$A$3:$G$22,6,FALSE) &gt;= ('20Trips'!$B$24+VLOOKUP(VLOOKUP($B49,'20Trips'!$A$2:$I$22,4,FALSE),'20Trips'!$AB$46:$AH$50,4,FALSE))/1440),1,0)</f>
        <v>1</v>
      </c>
      <c r="AE49" s="2" t="e">
        <f>IF(AND(VLOOKUP(AE$1,'20Trips'!$A$3:$F$22,5,FALSE) - VLOOKUP($B49,'20Trips'!$A$3:$G$22,6,FALSE) &gt;= ('20Trips'!$B$24+VLOOKUP(VLOOKUP($B49,'20Trips'!$A$2:$I$22,4,FALSE),'20Trips'!$AB$46:$AH$50,4,FALSE))/1440),1,0)</f>
        <v>#N/A</v>
      </c>
      <c r="AF49" s="2" t="e">
        <f>IF(AND(VLOOKUP(AF$1,'20Trips'!$A$3:$F$22,5,FALSE) - VLOOKUP($B49,'20Trips'!$A$3:$G$22,6,FALSE) &gt;= ('20Trips'!$B$24+VLOOKUP(VLOOKUP($B49,'20Trips'!$A$2:$I$22,4,FALSE),'20Trips'!$AB$46:$AH$50,4,FALSE))/1440),1,0)</f>
        <v>#N/A</v>
      </c>
      <c r="AG49" s="2" t="e">
        <f>IF(AND(VLOOKUP(AG$1,'20Trips'!$A$3:$F$22,5,FALSE) - VLOOKUP($B49,'20Trips'!$A$3:$G$22,6,FALSE) &gt;= ('20Trips'!$B$24+VLOOKUP(VLOOKUP($B49,'20Trips'!$A$2:$I$22,4,FALSE),'20Trips'!$AB$46:$AH$50,4,FALSE))/1440),1,0)</f>
        <v>#N/A</v>
      </c>
    </row>
    <row r="50" spans="1:33" x14ac:dyDescent="0.25">
      <c r="A50" t="s">
        <v>62</v>
      </c>
      <c r="B50" t="s">
        <v>28</v>
      </c>
      <c r="C50">
        <v>0</v>
      </c>
      <c r="D50" s="2">
        <f>IF(AND(VLOOKUP(D$1,'20Trips'!$A$3:$F$22,5,FALSE) - VLOOKUP($B50,'20Trips'!$A$3:$G$22,6,FALSE) &gt;= ('20Trips'!$B$24+VLOOKUP(VLOOKUP($B50,'20Trips'!$A$2:$I$22,4,FALSE),'20Trips'!$AB$46:$AH$50,4,FALSE))/1440),1,0)</f>
        <v>0</v>
      </c>
      <c r="E50" s="2">
        <f>IF(AND(VLOOKUP(E$1,'20Trips'!$A$3:$F$22,5,FALSE) - VLOOKUP($B50,'20Trips'!$A$3:$G$22,6,FALSE) &gt;= ('20Trips'!$B$24+VLOOKUP(VLOOKUP($B50,'20Trips'!$A$2:$I$22,4,FALSE),'20Trips'!$AB$46:$AH$50,4,FALSE))/1440),1,0)</f>
        <v>0</v>
      </c>
      <c r="F50" s="2">
        <f>IF(AND(VLOOKUP(F$1,'20Trips'!$A$3:$F$22,5,FALSE) - VLOOKUP($B50,'20Trips'!$A$3:$G$22,6,FALSE) &gt;= ('20Trips'!$B$24+VLOOKUP(VLOOKUP($B50,'20Trips'!$A$2:$I$22,4,FALSE),'20Trips'!$AB$46:$AH$50,4,FALSE))/1440),1,0)</f>
        <v>0</v>
      </c>
      <c r="G50" s="2">
        <f>IF(AND(VLOOKUP(G$1,'20Trips'!$A$3:$F$22,5,FALSE) - VLOOKUP($B50,'20Trips'!$A$3:$G$22,6,FALSE) &gt;= ('20Trips'!$B$24+VLOOKUP(VLOOKUP($B50,'20Trips'!$A$2:$I$22,4,FALSE),'20Trips'!$AB$46:$AH$50,4,FALSE))/1440),1,0)</f>
        <v>1</v>
      </c>
      <c r="H50" s="2">
        <f>IF(AND(VLOOKUP(H$1,'20Trips'!$A$3:$F$22,5,FALSE) - VLOOKUP($B50,'20Trips'!$A$3:$G$22,6,FALSE) &gt;= ('20Trips'!$B$24+VLOOKUP(VLOOKUP($B50,'20Trips'!$A$2:$I$22,4,FALSE),'20Trips'!$AB$46:$AH$50,4,FALSE))/1440),1,0)</f>
        <v>1</v>
      </c>
      <c r="I50" s="2" t="e">
        <f>IF(AND(VLOOKUP(I$1,'20Trips'!$A$3:$F$22,5,FALSE) - VLOOKUP($B50,'20Trips'!$A$3:$G$22,6,FALSE) &gt;= ('20Trips'!$B$24+VLOOKUP(VLOOKUP($B50,'20Trips'!$A$2:$I$22,4,FALSE),'20Trips'!$AB$46:$AH$50,4,FALSE))/1440),1,0)</f>
        <v>#N/A</v>
      </c>
      <c r="J50" s="2" t="e">
        <f>IF(AND(VLOOKUP(J$1,'20Trips'!$A$3:$F$22,5,FALSE) - VLOOKUP($B50,'20Trips'!$A$3:$G$22,6,FALSE) &gt;= ('20Trips'!$B$24+VLOOKUP(VLOOKUP($B50,'20Trips'!$A$2:$I$22,4,FALSE),'20Trips'!$AB$46:$AH$50,4,FALSE))/1440),1,0)</f>
        <v>#N/A</v>
      </c>
      <c r="K50" s="2" t="e">
        <f>IF(AND(VLOOKUP(K$1,'20Trips'!$A$3:$F$22,5,FALSE) - VLOOKUP($B50,'20Trips'!$A$3:$G$22,6,FALSE) &gt;= ('20Trips'!$B$24+VLOOKUP(VLOOKUP($B50,'20Trips'!$A$2:$I$22,4,FALSE),'20Trips'!$AB$46:$AH$50,4,FALSE))/1440),1,0)</f>
        <v>#N/A</v>
      </c>
      <c r="L50" s="2">
        <f>IF(AND(VLOOKUP(L$1,'20Trips'!$A$3:$F$22,5,FALSE) - VLOOKUP($B50,'20Trips'!$A$3:$G$22,6,FALSE) &gt;= ('20Trips'!$B$24+VLOOKUP(VLOOKUP($B50,'20Trips'!$A$2:$I$22,4,FALSE),'20Trips'!$AB$46:$AH$50,4,FALSE))/1440),1,0)</f>
        <v>0</v>
      </c>
      <c r="M50" s="2">
        <f>IF(AND(VLOOKUP(M$1,'20Trips'!$A$3:$F$22,5,FALSE) - VLOOKUP($B50,'20Trips'!$A$3:$G$22,6,FALSE) &gt;= ('20Trips'!$B$24+VLOOKUP(VLOOKUP($B50,'20Trips'!$A$2:$I$22,4,FALSE),'20Trips'!$AB$46:$AH$50,4,FALSE))/1440),1,0)</f>
        <v>0</v>
      </c>
      <c r="N50" s="2">
        <f>IF(AND(VLOOKUP(N$1,'20Trips'!$A$3:$F$22,5,FALSE) - VLOOKUP($B50,'20Trips'!$A$3:$G$22,6,FALSE) &gt;= ('20Trips'!$B$24+VLOOKUP(VLOOKUP($B50,'20Trips'!$A$2:$I$22,4,FALSE),'20Trips'!$AB$46:$AH$50,4,FALSE))/1440),1,0)</f>
        <v>0</v>
      </c>
      <c r="O50" s="2">
        <f>IF(AND(VLOOKUP(O$1,'20Trips'!$A$3:$F$22,5,FALSE) - VLOOKUP($B50,'20Trips'!$A$3:$G$22,6,FALSE) &gt;= ('20Trips'!$B$24+VLOOKUP(VLOOKUP($B50,'20Trips'!$A$2:$I$22,4,FALSE),'20Trips'!$AB$46:$AH$50,4,FALSE))/1440),1,0)</f>
        <v>1</v>
      </c>
      <c r="P50" s="2">
        <f>IF(AND(VLOOKUP(P$1,'20Trips'!$A$3:$F$22,5,FALSE) - VLOOKUP($B50,'20Trips'!$A$3:$G$22,6,FALSE) &gt;= ('20Trips'!$B$24+VLOOKUP(VLOOKUP($B50,'20Trips'!$A$2:$I$22,4,FALSE),'20Trips'!$AB$46:$AH$50,4,FALSE))/1440),1,0)</f>
        <v>1</v>
      </c>
      <c r="Q50" s="2" t="e">
        <f>IF(AND(VLOOKUP(Q$1,'20Trips'!$A$3:$F$22,5,FALSE) - VLOOKUP($B50,'20Trips'!$A$3:$G$22,6,FALSE) &gt;= ('20Trips'!$B$24+VLOOKUP(VLOOKUP($B50,'20Trips'!$A$2:$I$22,4,FALSE),'20Trips'!$AB$46:$AH$50,4,FALSE))/1440),1,0)</f>
        <v>#N/A</v>
      </c>
      <c r="R50" s="2">
        <f>IF(AND(VLOOKUP(R$1,'20Trips'!$A$3:$F$22,5,FALSE) - VLOOKUP($B50,'20Trips'!$A$3:$G$22,6,FALSE) &gt;= ('20Trips'!$B$24+VLOOKUP(VLOOKUP($B50,'20Trips'!$A$2:$I$22,4,FALSE),'20Trips'!$AB$46:$AH$50,4,FALSE))/1440),1,0)</f>
        <v>0</v>
      </c>
      <c r="S50" s="2">
        <f>IF(AND(VLOOKUP(S$1,'20Trips'!$A$3:$F$22,5,FALSE) - VLOOKUP($B50,'20Trips'!$A$3:$G$22,6,FALSE) &gt;= ('20Trips'!$B$24+VLOOKUP(VLOOKUP($B50,'20Trips'!$A$2:$I$22,4,FALSE),'20Trips'!$AB$46:$AH$50,4,FALSE))/1440),1,0)</f>
        <v>0</v>
      </c>
      <c r="T50" s="2">
        <f>IF(AND(VLOOKUP(T$1,'20Trips'!$A$3:$F$22,5,FALSE) - VLOOKUP($B50,'20Trips'!$A$3:$G$22,6,FALSE) &gt;= ('20Trips'!$B$24+VLOOKUP(VLOOKUP($B50,'20Trips'!$A$2:$I$22,4,FALSE),'20Trips'!$AB$46:$AH$50,4,FALSE))/1440),1,0)</f>
        <v>0</v>
      </c>
      <c r="U50" s="2">
        <f>IF(AND(VLOOKUP(U$1,'20Trips'!$A$3:$F$22,5,FALSE) - VLOOKUP($B50,'20Trips'!$A$3:$G$22,6,FALSE) &gt;= ('20Trips'!$B$24+VLOOKUP(VLOOKUP($B50,'20Trips'!$A$2:$I$22,4,FALSE),'20Trips'!$AB$46:$AH$50,4,FALSE))/1440),1,0)</f>
        <v>0</v>
      </c>
      <c r="V50" s="2">
        <f>IF(AND(VLOOKUP(V$1,'20Trips'!$A$3:$F$22,5,FALSE) - VLOOKUP($B50,'20Trips'!$A$3:$G$22,6,FALSE) &gt;= ('20Trips'!$B$24+VLOOKUP(VLOOKUP($B50,'20Trips'!$A$2:$I$22,4,FALSE),'20Trips'!$AB$46:$AH$50,4,FALSE))/1440),1,0)</f>
        <v>0</v>
      </c>
      <c r="W50" s="2" t="e">
        <f>IF(AND(VLOOKUP(W$1,'20Trips'!$A$3:$F$22,5,FALSE) - VLOOKUP($B50,'20Trips'!$A$3:$G$22,6,FALSE) &gt;= ('20Trips'!$B$24+VLOOKUP(VLOOKUP($B50,'20Trips'!$A$2:$I$22,4,FALSE),'20Trips'!$AB$46:$AH$50,4,FALSE))/1440),1,0)</f>
        <v>#N/A</v>
      </c>
      <c r="X50" s="2" t="e">
        <f>IF(AND(VLOOKUP(X$1,'20Trips'!$A$3:$F$22,5,FALSE) - VLOOKUP($B50,'20Trips'!$A$3:$G$22,6,FALSE) &gt;= ('20Trips'!$B$24+VLOOKUP(VLOOKUP($B50,'20Trips'!$A$2:$I$22,4,FALSE),'20Trips'!$AB$46:$AH$50,4,FALSE))/1440),1,0)</f>
        <v>#N/A</v>
      </c>
      <c r="Y50" s="2" t="e">
        <f>IF(AND(VLOOKUP(Y$1,'20Trips'!$A$3:$F$22,5,FALSE) - VLOOKUP($B50,'20Trips'!$A$3:$G$22,6,FALSE) &gt;= ('20Trips'!$B$24+VLOOKUP(VLOOKUP($B50,'20Trips'!$A$2:$I$22,4,FALSE),'20Trips'!$AB$46:$AH$50,4,FALSE))/1440),1,0)</f>
        <v>#N/A</v>
      </c>
      <c r="Z50" s="2">
        <f>IF(AND(VLOOKUP(Z$1,'20Trips'!$A$3:$F$22,5,FALSE) - VLOOKUP($B50,'20Trips'!$A$3:$G$22,6,FALSE) &gt;= ('20Trips'!$B$24+VLOOKUP(VLOOKUP($B50,'20Trips'!$A$2:$I$22,4,FALSE),'20Trips'!$AB$46:$AH$50,4,FALSE))/1440),1,0)</f>
        <v>0</v>
      </c>
      <c r="AA50" s="2">
        <f>IF(AND(VLOOKUP(AA$1,'20Trips'!$A$3:$F$22,5,FALSE) - VLOOKUP($B50,'20Trips'!$A$3:$G$22,6,FALSE) &gt;= ('20Trips'!$B$24+VLOOKUP(VLOOKUP($B50,'20Trips'!$A$2:$I$22,4,FALSE),'20Trips'!$AB$46:$AH$50,4,FALSE))/1440),1,0)</f>
        <v>0</v>
      </c>
      <c r="AB50" s="2">
        <f>IF(AND(VLOOKUP(AB$1,'20Trips'!$A$3:$F$22,5,FALSE) - VLOOKUP($B50,'20Trips'!$A$3:$G$22,6,FALSE) &gt;= ('20Trips'!$B$24+VLOOKUP(VLOOKUP($B50,'20Trips'!$A$2:$I$22,4,FALSE),'20Trips'!$AB$46:$AH$50,4,FALSE))/1440),1,0)</f>
        <v>0</v>
      </c>
      <c r="AC50" s="2">
        <f>IF(AND(VLOOKUP(AC$1,'20Trips'!$A$3:$F$22,5,FALSE) - VLOOKUP($B50,'20Trips'!$A$3:$G$22,6,FALSE) &gt;= ('20Trips'!$B$24+VLOOKUP(VLOOKUP($B50,'20Trips'!$A$2:$I$22,4,FALSE),'20Trips'!$AB$46:$AH$50,4,FALSE))/1440),1,0)</f>
        <v>1</v>
      </c>
      <c r="AD50" s="2">
        <f>IF(AND(VLOOKUP(AD$1,'20Trips'!$A$3:$F$22,5,FALSE) - VLOOKUP($B50,'20Trips'!$A$3:$G$22,6,FALSE) &gt;= ('20Trips'!$B$24+VLOOKUP(VLOOKUP($B50,'20Trips'!$A$2:$I$22,4,FALSE),'20Trips'!$AB$46:$AH$50,4,FALSE))/1440),1,0)</f>
        <v>1</v>
      </c>
      <c r="AE50" s="2" t="e">
        <f>IF(AND(VLOOKUP(AE$1,'20Trips'!$A$3:$F$22,5,FALSE) - VLOOKUP($B50,'20Trips'!$A$3:$G$22,6,FALSE) &gt;= ('20Trips'!$B$24+VLOOKUP(VLOOKUP($B50,'20Trips'!$A$2:$I$22,4,FALSE),'20Trips'!$AB$46:$AH$50,4,FALSE))/1440),1,0)</f>
        <v>#N/A</v>
      </c>
      <c r="AF50" s="2" t="e">
        <f>IF(AND(VLOOKUP(AF$1,'20Trips'!$A$3:$F$22,5,FALSE) - VLOOKUP($B50,'20Trips'!$A$3:$G$22,6,FALSE) &gt;= ('20Trips'!$B$24+VLOOKUP(VLOOKUP($B50,'20Trips'!$A$2:$I$22,4,FALSE),'20Trips'!$AB$46:$AH$50,4,FALSE))/1440),1,0)</f>
        <v>#N/A</v>
      </c>
      <c r="AG50" s="2" t="e">
        <f>IF(AND(VLOOKUP(AG$1,'20Trips'!$A$3:$F$22,5,FALSE) - VLOOKUP($B50,'20Trips'!$A$3:$G$22,6,FALSE) &gt;= ('20Trips'!$B$24+VLOOKUP(VLOOKUP($B50,'20Trips'!$A$2:$I$22,4,FALSE),'20Trips'!$AB$46:$AH$50,4,FALSE))/1440),1,0)</f>
        <v>#N/A</v>
      </c>
    </row>
    <row r="51" spans="1:33" x14ac:dyDescent="0.25">
      <c r="A51" t="s">
        <v>62</v>
      </c>
      <c r="B51" t="s">
        <v>29</v>
      </c>
      <c r="C51">
        <v>0</v>
      </c>
      <c r="D51" s="2">
        <f>IF(AND(VLOOKUP(D$1,'20Trips'!$A$3:$F$22,5,FALSE) - VLOOKUP($B51,'20Trips'!$A$3:$G$22,6,FALSE) &gt;= ('20Trips'!$B$24+VLOOKUP(VLOOKUP($B51,'20Trips'!$A$2:$I$22,4,FALSE),'20Trips'!$AB$46:$AH$50,4,FALSE))/1440),1,0)</f>
        <v>0</v>
      </c>
      <c r="E51" s="2">
        <f>IF(AND(VLOOKUP(E$1,'20Trips'!$A$3:$F$22,5,FALSE) - VLOOKUP($B51,'20Trips'!$A$3:$G$22,6,FALSE) &gt;= ('20Trips'!$B$24+VLOOKUP(VLOOKUP($B51,'20Trips'!$A$2:$I$22,4,FALSE),'20Trips'!$AB$46:$AH$50,4,FALSE))/1440),1,0)</f>
        <v>0</v>
      </c>
      <c r="F51" s="2">
        <f>IF(AND(VLOOKUP(F$1,'20Trips'!$A$3:$F$22,5,FALSE) - VLOOKUP($B51,'20Trips'!$A$3:$G$22,6,FALSE) &gt;= ('20Trips'!$B$24+VLOOKUP(VLOOKUP($B51,'20Trips'!$A$2:$I$22,4,FALSE),'20Trips'!$AB$46:$AH$50,4,FALSE))/1440),1,0)</f>
        <v>0</v>
      </c>
      <c r="G51" s="2">
        <f>IF(AND(VLOOKUP(G$1,'20Trips'!$A$3:$F$22,5,FALSE) - VLOOKUP($B51,'20Trips'!$A$3:$G$22,6,FALSE) &gt;= ('20Trips'!$B$24+VLOOKUP(VLOOKUP($B51,'20Trips'!$A$2:$I$22,4,FALSE),'20Trips'!$AB$46:$AH$50,4,FALSE))/1440),1,0)</f>
        <v>0</v>
      </c>
      <c r="H51" s="2">
        <f>IF(AND(VLOOKUP(H$1,'20Trips'!$A$3:$F$22,5,FALSE) - VLOOKUP($B51,'20Trips'!$A$3:$G$22,6,FALSE) &gt;= ('20Trips'!$B$24+VLOOKUP(VLOOKUP($B51,'20Trips'!$A$2:$I$22,4,FALSE),'20Trips'!$AB$46:$AH$50,4,FALSE))/1440),1,0)</f>
        <v>0</v>
      </c>
      <c r="I51" s="2" t="e">
        <f>IF(AND(VLOOKUP(I$1,'20Trips'!$A$3:$F$22,5,FALSE) - VLOOKUP($B51,'20Trips'!$A$3:$G$22,6,FALSE) &gt;= ('20Trips'!$B$24+VLOOKUP(VLOOKUP($B51,'20Trips'!$A$2:$I$22,4,FALSE),'20Trips'!$AB$46:$AH$50,4,FALSE))/1440),1,0)</f>
        <v>#N/A</v>
      </c>
      <c r="J51" s="2" t="e">
        <f>IF(AND(VLOOKUP(J$1,'20Trips'!$A$3:$F$22,5,FALSE) - VLOOKUP($B51,'20Trips'!$A$3:$G$22,6,FALSE) &gt;= ('20Trips'!$B$24+VLOOKUP(VLOOKUP($B51,'20Trips'!$A$2:$I$22,4,FALSE),'20Trips'!$AB$46:$AH$50,4,FALSE))/1440),1,0)</f>
        <v>#N/A</v>
      </c>
      <c r="K51" s="2" t="e">
        <f>IF(AND(VLOOKUP(K$1,'20Trips'!$A$3:$F$22,5,FALSE) - VLOOKUP($B51,'20Trips'!$A$3:$G$22,6,FALSE) &gt;= ('20Trips'!$B$24+VLOOKUP(VLOOKUP($B51,'20Trips'!$A$2:$I$22,4,FALSE),'20Trips'!$AB$46:$AH$50,4,FALSE))/1440),1,0)</f>
        <v>#N/A</v>
      </c>
      <c r="L51" s="2">
        <f>IF(AND(VLOOKUP(L$1,'20Trips'!$A$3:$F$22,5,FALSE) - VLOOKUP($B51,'20Trips'!$A$3:$G$22,6,FALSE) &gt;= ('20Trips'!$B$24+VLOOKUP(VLOOKUP($B51,'20Trips'!$A$2:$I$22,4,FALSE),'20Trips'!$AB$46:$AH$50,4,FALSE))/1440),1,0)</f>
        <v>0</v>
      </c>
      <c r="M51" s="2">
        <f>IF(AND(VLOOKUP(M$1,'20Trips'!$A$3:$F$22,5,FALSE) - VLOOKUP($B51,'20Trips'!$A$3:$G$22,6,FALSE) &gt;= ('20Trips'!$B$24+VLOOKUP(VLOOKUP($B51,'20Trips'!$A$2:$I$22,4,FALSE),'20Trips'!$AB$46:$AH$50,4,FALSE))/1440),1,0)</f>
        <v>0</v>
      </c>
      <c r="N51" s="2">
        <f>IF(AND(VLOOKUP(N$1,'20Trips'!$A$3:$F$22,5,FALSE) - VLOOKUP($B51,'20Trips'!$A$3:$G$22,6,FALSE) &gt;= ('20Trips'!$B$24+VLOOKUP(VLOOKUP($B51,'20Trips'!$A$2:$I$22,4,FALSE),'20Trips'!$AB$46:$AH$50,4,FALSE))/1440),1,0)</f>
        <v>0</v>
      </c>
      <c r="O51" s="2">
        <f>IF(AND(VLOOKUP(O$1,'20Trips'!$A$3:$F$22,5,FALSE) - VLOOKUP($B51,'20Trips'!$A$3:$G$22,6,FALSE) &gt;= ('20Trips'!$B$24+VLOOKUP(VLOOKUP($B51,'20Trips'!$A$2:$I$22,4,FALSE),'20Trips'!$AB$46:$AH$50,4,FALSE))/1440),1,0)</f>
        <v>1</v>
      </c>
      <c r="P51" s="2">
        <f>IF(AND(VLOOKUP(P$1,'20Trips'!$A$3:$F$22,5,FALSE) - VLOOKUP($B51,'20Trips'!$A$3:$G$22,6,FALSE) &gt;= ('20Trips'!$B$24+VLOOKUP(VLOOKUP($B51,'20Trips'!$A$2:$I$22,4,FALSE),'20Trips'!$AB$46:$AH$50,4,FALSE))/1440),1,0)</f>
        <v>1</v>
      </c>
      <c r="Q51" s="2" t="e">
        <f>IF(AND(VLOOKUP(Q$1,'20Trips'!$A$3:$F$22,5,FALSE) - VLOOKUP($B51,'20Trips'!$A$3:$G$22,6,FALSE) &gt;= ('20Trips'!$B$24+VLOOKUP(VLOOKUP($B51,'20Trips'!$A$2:$I$22,4,FALSE),'20Trips'!$AB$46:$AH$50,4,FALSE))/1440),1,0)</f>
        <v>#N/A</v>
      </c>
      <c r="R51" s="2">
        <f>IF(AND(VLOOKUP(R$1,'20Trips'!$A$3:$F$22,5,FALSE) - VLOOKUP($B51,'20Trips'!$A$3:$G$22,6,FALSE) &gt;= ('20Trips'!$B$24+VLOOKUP(VLOOKUP($B51,'20Trips'!$A$2:$I$22,4,FALSE),'20Trips'!$AB$46:$AH$50,4,FALSE))/1440),1,0)</f>
        <v>0</v>
      </c>
      <c r="S51" s="2">
        <f>IF(AND(VLOOKUP(S$1,'20Trips'!$A$3:$F$22,5,FALSE) - VLOOKUP($B51,'20Trips'!$A$3:$G$22,6,FALSE) &gt;= ('20Trips'!$B$24+VLOOKUP(VLOOKUP($B51,'20Trips'!$A$2:$I$22,4,FALSE),'20Trips'!$AB$46:$AH$50,4,FALSE))/1440),1,0)</f>
        <v>0</v>
      </c>
      <c r="T51" s="2">
        <f>IF(AND(VLOOKUP(T$1,'20Trips'!$A$3:$F$22,5,FALSE) - VLOOKUP($B51,'20Trips'!$A$3:$G$22,6,FALSE) &gt;= ('20Trips'!$B$24+VLOOKUP(VLOOKUP($B51,'20Trips'!$A$2:$I$22,4,FALSE),'20Trips'!$AB$46:$AH$50,4,FALSE))/1440),1,0)</f>
        <v>0</v>
      </c>
      <c r="U51" s="2">
        <f>IF(AND(VLOOKUP(U$1,'20Trips'!$A$3:$F$22,5,FALSE) - VLOOKUP($B51,'20Trips'!$A$3:$G$22,6,FALSE) &gt;= ('20Trips'!$B$24+VLOOKUP(VLOOKUP($B51,'20Trips'!$A$2:$I$22,4,FALSE),'20Trips'!$AB$46:$AH$50,4,FALSE))/1440),1,0)</f>
        <v>0</v>
      </c>
      <c r="V51" s="2">
        <f>IF(AND(VLOOKUP(V$1,'20Trips'!$A$3:$F$22,5,FALSE) - VLOOKUP($B51,'20Trips'!$A$3:$G$22,6,FALSE) &gt;= ('20Trips'!$B$24+VLOOKUP(VLOOKUP($B51,'20Trips'!$A$2:$I$22,4,FALSE),'20Trips'!$AB$46:$AH$50,4,FALSE))/1440),1,0)</f>
        <v>0</v>
      </c>
      <c r="W51" s="2" t="e">
        <f>IF(AND(VLOOKUP(W$1,'20Trips'!$A$3:$F$22,5,FALSE) - VLOOKUP($B51,'20Trips'!$A$3:$G$22,6,FALSE) &gt;= ('20Trips'!$B$24+VLOOKUP(VLOOKUP($B51,'20Trips'!$A$2:$I$22,4,FALSE),'20Trips'!$AB$46:$AH$50,4,FALSE))/1440),1,0)</f>
        <v>#N/A</v>
      </c>
      <c r="X51" s="2" t="e">
        <f>IF(AND(VLOOKUP(X$1,'20Trips'!$A$3:$F$22,5,FALSE) - VLOOKUP($B51,'20Trips'!$A$3:$G$22,6,FALSE) &gt;= ('20Trips'!$B$24+VLOOKUP(VLOOKUP($B51,'20Trips'!$A$2:$I$22,4,FALSE),'20Trips'!$AB$46:$AH$50,4,FALSE))/1440),1,0)</f>
        <v>#N/A</v>
      </c>
      <c r="Y51" s="2" t="e">
        <f>IF(AND(VLOOKUP(Y$1,'20Trips'!$A$3:$F$22,5,FALSE) - VLOOKUP($B51,'20Trips'!$A$3:$G$22,6,FALSE) &gt;= ('20Trips'!$B$24+VLOOKUP(VLOOKUP($B51,'20Trips'!$A$2:$I$22,4,FALSE),'20Trips'!$AB$46:$AH$50,4,FALSE))/1440),1,0)</f>
        <v>#N/A</v>
      </c>
      <c r="Z51" s="2">
        <f>IF(AND(VLOOKUP(Z$1,'20Trips'!$A$3:$F$22,5,FALSE) - VLOOKUP($B51,'20Trips'!$A$3:$G$22,6,FALSE) &gt;= ('20Trips'!$B$24+VLOOKUP(VLOOKUP($B51,'20Trips'!$A$2:$I$22,4,FALSE),'20Trips'!$AB$46:$AH$50,4,FALSE))/1440),1,0)</f>
        <v>0</v>
      </c>
      <c r="AA51" s="2">
        <f>IF(AND(VLOOKUP(AA$1,'20Trips'!$A$3:$F$22,5,FALSE) - VLOOKUP($B51,'20Trips'!$A$3:$G$22,6,FALSE) &gt;= ('20Trips'!$B$24+VLOOKUP(VLOOKUP($B51,'20Trips'!$A$2:$I$22,4,FALSE),'20Trips'!$AB$46:$AH$50,4,FALSE))/1440),1,0)</f>
        <v>0</v>
      </c>
      <c r="AB51" s="2">
        <f>IF(AND(VLOOKUP(AB$1,'20Trips'!$A$3:$F$22,5,FALSE) - VLOOKUP($B51,'20Trips'!$A$3:$G$22,6,FALSE) &gt;= ('20Trips'!$B$24+VLOOKUP(VLOOKUP($B51,'20Trips'!$A$2:$I$22,4,FALSE),'20Trips'!$AB$46:$AH$50,4,FALSE))/1440),1,0)</f>
        <v>0</v>
      </c>
      <c r="AC51" s="2">
        <f>IF(AND(VLOOKUP(AC$1,'20Trips'!$A$3:$F$22,5,FALSE) - VLOOKUP($B51,'20Trips'!$A$3:$G$22,6,FALSE) &gt;= ('20Trips'!$B$24+VLOOKUP(VLOOKUP($B51,'20Trips'!$A$2:$I$22,4,FALSE),'20Trips'!$AB$46:$AH$50,4,FALSE))/1440),1,0)</f>
        <v>0</v>
      </c>
      <c r="AD51" s="2">
        <f>IF(AND(VLOOKUP(AD$1,'20Trips'!$A$3:$F$22,5,FALSE) - VLOOKUP($B51,'20Trips'!$A$3:$G$22,6,FALSE) &gt;= ('20Trips'!$B$24+VLOOKUP(VLOOKUP($B51,'20Trips'!$A$2:$I$22,4,FALSE),'20Trips'!$AB$46:$AH$50,4,FALSE))/1440),1,0)</f>
        <v>1</v>
      </c>
      <c r="AE51" s="2" t="e">
        <f>IF(AND(VLOOKUP(AE$1,'20Trips'!$A$3:$F$22,5,FALSE) - VLOOKUP($B51,'20Trips'!$A$3:$G$22,6,FALSE) &gt;= ('20Trips'!$B$24+VLOOKUP(VLOOKUP($B51,'20Trips'!$A$2:$I$22,4,FALSE),'20Trips'!$AB$46:$AH$50,4,FALSE))/1440),1,0)</f>
        <v>#N/A</v>
      </c>
      <c r="AF51" s="2" t="e">
        <f>IF(AND(VLOOKUP(AF$1,'20Trips'!$A$3:$F$22,5,FALSE) - VLOOKUP($B51,'20Trips'!$A$3:$G$22,6,FALSE) &gt;= ('20Trips'!$B$24+VLOOKUP(VLOOKUP($B51,'20Trips'!$A$2:$I$22,4,FALSE),'20Trips'!$AB$46:$AH$50,4,FALSE))/1440),1,0)</f>
        <v>#N/A</v>
      </c>
      <c r="AG51" s="2" t="e">
        <f>IF(AND(VLOOKUP(AG$1,'20Trips'!$A$3:$F$22,5,FALSE) - VLOOKUP($B51,'20Trips'!$A$3:$G$22,6,FALSE) &gt;= ('20Trips'!$B$24+VLOOKUP(VLOOKUP($B51,'20Trips'!$A$2:$I$22,4,FALSE),'20Trips'!$AB$46:$AH$50,4,FALSE))/1440),1,0)</f>
        <v>#N/A</v>
      </c>
    </row>
    <row r="52" spans="1:33" x14ac:dyDescent="0.25">
      <c r="A52" t="s">
        <v>62</v>
      </c>
      <c r="B52" t="s">
        <v>30</v>
      </c>
      <c r="C52">
        <v>0</v>
      </c>
      <c r="D52" s="2">
        <f>IF(AND(VLOOKUP(D$1,'20Trips'!$A$3:$F$22,5,FALSE) - VLOOKUP($B52,'20Trips'!$A$3:$G$22,6,FALSE) &gt;= ('20Trips'!$B$24+VLOOKUP(VLOOKUP($B52,'20Trips'!$A$2:$I$22,4,FALSE),'20Trips'!$AB$46:$AH$50,4,FALSE))/1440),1,0)</f>
        <v>0</v>
      </c>
      <c r="E52" s="2">
        <f>IF(AND(VLOOKUP(E$1,'20Trips'!$A$3:$F$22,5,FALSE) - VLOOKUP($B52,'20Trips'!$A$3:$G$22,6,FALSE) &gt;= ('20Trips'!$B$24+VLOOKUP(VLOOKUP($B52,'20Trips'!$A$2:$I$22,4,FALSE),'20Trips'!$AB$46:$AH$50,4,FALSE))/1440),1,0)</f>
        <v>0</v>
      </c>
      <c r="F52" s="2">
        <f>IF(AND(VLOOKUP(F$1,'20Trips'!$A$3:$F$22,5,FALSE) - VLOOKUP($B52,'20Trips'!$A$3:$G$22,6,FALSE) &gt;= ('20Trips'!$B$24+VLOOKUP(VLOOKUP($B52,'20Trips'!$A$2:$I$22,4,FALSE),'20Trips'!$AB$46:$AH$50,4,FALSE))/1440),1,0)</f>
        <v>0</v>
      </c>
      <c r="G52" s="2">
        <f>IF(AND(VLOOKUP(G$1,'20Trips'!$A$3:$F$22,5,FALSE) - VLOOKUP($B52,'20Trips'!$A$3:$G$22,6,FALSE) &gt;= ('20Trips'!$B$24+VLOOKUP(VLOOKUP($B52,'20Trips'!$A$2:$I$22,4,FALSE),'20Trips'!$AB$46:$AH$50,4,FALSE))/1440),1,0)</f>
        <v>0</v>
      </c>
      <c r="H52" s="2">
        <f>IF(AND(VLOOKUP(H$1,'20Trips'!$A$3:$F$22,5,FALSE) - VLOOKUP($B52,'20Trips'!$A$3:$G$22,6,FALSE) &gt;= ('20Trips'!$B$24+VLOOKUP(VLOOKUP($B52,'20Trips'!$A$2:$I$22,4,FALSE),'20Trips'!$AB$46:$AH$50,4,FALSE))/1440),1,0)</f>
        <v>0</v>
      </c>
      <c r="I52" s="2" t="e">
        <f>IF(AND(VLOOKUP(I$1,'20Trips'!$A$3:$F$22,5,FALSE) - VLOOKUP($B52,'20Trips'!$A$3:$G$22,6,FALSE) &gt;= ('20Trips'!$B$24+VLOOKUP(VLOOKUP($B52,'20Trips'!$A$2:$I$22,4,FALSE),'20Trips'!$AB$46:$AH$50,4,FALSE))/1440),1,0)</f>
        <v>#N/A</v>
      </c>
      <c r="J52" s="2" t="e">
        <f>IF(AND(VLOOKUP(J$1,'20Trips'!$A$3:$F$22,5,FALSE) - VLOOKUP($B52,'20Trips'!$A$3:$G$22,6,FALSE) &gt;= ('20Trips'!$B$24+VLOOKUP(VLOOKUP($B52,'20Trips'!$A$2:$I$22,4,FALSE),'20Trips'!$AB$46:$AH$50,4,FALSE))/1440),1,0)</f>
        <v>#N/A</v>
      </c>
      <c r="K52" s="2" t="e">
        <f>IF(AND(VLOOKUP(K$1,'20Trips'!$A$3:$F$22,5,FALSE) - VLOOKUP($B52,'20Trips'!$A$3:$G$22,6,FALSE) &gt;= ('20Trips'!$B$24+VLOOKUP(VLOOKUP($B52,'20Trips'!$A$2:$I$22,4,FALSE),'20Trips'!$AB$46:$AH$50,4,FALSE))/1440),1,0)</f>
        <v>#N/A</v>
      </c>
      <c r="L52" s="2">
        <f>IF(AND(VLOOKUP(L$1,'20Trips'!$A$3:$F$22,5,FALSE) - VLOOKUP($B52,'20Trips'!$A$3:$G$22,6,FALSE) &gt;= ('20Trips'!$B$24+VLOOKUP(VLOOKUP($B52,'20Trips'!$A$2:$I$22,4,FALSE),'20Trips'!$AB$46:$AH$50,4,FALSE))/1440),1,0)</f>
        <v>0</v>
      </c>
      <c r="M52" s="2">
        <f>IF(AND(VLOOKUP(M$1,'20Trips'!$A$3:$F$22,5,FALSE) - VLOOKUP($B52,'20Trips'!$A$3:$G$22,6,FALSE) &gt;= ('20Trips'!$B$24+VLOOKUP(VLOOKUP($B52,'20Trips'!$A$2:$I$22,4,FALSE),'20Trips'!$AB$46:$AH$50,4,FALSE))/1440),1,0)</f>
        <v>0</v>
      </c>
      <c r="N52" s="2">
        <f>IF(AND(VLOOKUP(N$1,'20Trips'!$A$3:$F$22,5,FALSE) - VLOOKUP($B52,'20Trips'!$A$3:$G$22,6,FALSE) &gt;= ('20Trips'!$B$24+VLOOKUP(VLOOKUP($B52,'20Trips'!$A$2:$I$22,4,FALSE),'20Trips'!$AB$46:$AH$50,4,FALSE))/1440),1,0)</f>
        <v>0</v>
      </c>
      <c r="O52" s="2">
        <f>IF(AND(VLOOKUP(O$1,'20Trips'!$A$3:$F$22,5,FALSE) - VLOOKUP($B52,'20Trips'!$A$3:$G$22,6,FALSE) &gt;= ('20Trips'!$B$24+VLOOKUP(VLOOKUP($B52,'20Trips'!$A$2:$I$22,4,FALSE),'20Trips'!$AB$46:$AH$50,4,FALSE))/1440),1,0)</f>
        <v>1</v>
      </c>
      <c r="P52" s="2">
        <f>IF(AND(VLOOKUP(P$1,'20Trips'!$A$3:$F$22,5,FALSE) - VLOOKUP($B52,'20Trips'!$A$3:$G$22,6,FALSE) &gt;= ('20Trips'!$B$24+VLOOKUP(VLOOKUP($B52,'20Trips'!$A$2:$I$22,4,FALSE),'20Trips'!$AB$46:$AH$50,4,FALSE))/1440),1,0)</f>
        <v>1</v>
      </c>
      <c r="Q52" s="2" t="e">
        <f>IF(AND(VLOOKUP(Q$1,'20Trips'!$A$3:$F$22,5,FALSE) - VLOOKUP($B52,'20Trips'!$A$3:$G$22,6,FALSE) &gt;= ('20Trips'!$B$24+VLOOKUP(VLOOKUP($B52,'20Trips'!$A$2:$I$22,4,FALSE),'20Trips'!$AB$46:$AH$50,4,FALSE))/1440),1,0)</f>
        <v>#N/A</v>
      </c>
      <c r="R52" s="2">
        <f>IF(AND(VLOOKUP(R$1,'20Trips'!$A$3:$F$22,5,FALSE) - VLOOKUP($B52,'20Trips'!$A$3:$G$22,6,FALSE) &gt;= ('20Trips'!$B$24+VLOOKUP(VLOOKUP($B52,'20Trips'!$A$2:$I$22,4,FALSE),'20Trips'!$AB$46:$AH$50,4,FALSE))/1440),1,0)</f>
        <v>0</v>
      </c>
      <c r="S52" s="2">
        <f>IF(AND(VLOOKUP(S$1,'20Trips'!$A$3:$F$22,5,FALSE) - VLOOKUP($B52,'20Trips'!$A$3:$G$22,6,FALSE) &gt;= ('20Trips'!$B$24+VLOOKUP(VLOOKUP($B52,'20Trips'!$A$2:$I$22,4,FALSE),'20Trips'!$AB$46:$AH$50,4,FALSE))/1440),1,0)</f>
        <v>0</v>
      </c>
      <c r="T52" s="2">
        <f>IF(AND(VLOOKUP(T$1,'20Trips'!$A$3:$F$22,5,FALSE) - VLOOKUP($B52,'20Trips'!$A$3:$G$22,6,FALSE) &gt;= ('20Trips'!$B$24+VLOOKUP(VLOOKUP($B52,'20Trips'!$A$2:$I$22,4,FALSE),'20Trips'!$AB$46:$AH$50,4,FALSE))/1440),1,0)</f>
        <v>0</v>
      </c>
      <c r="U52" s="2">
        <f>IF(AND(VLOOKUP(U$1,'20Trips'!$A$3:$F$22,5,FALSE) - VLOOKUP($B52,'20Trips'!$A$3:$G$22,6,FALSE) &gt;= ('20Trips'!$B$24+VLOOKUP(VLOOKUP($B52,'20Trips'!$A$2:$I$22,4,FALSE),'20Trips'!$AB$46:$AH$50,4,FALSE))/1440),1,0)</f>
        <v>0</v>
      </c>
      <c r="V52" s="2">
        <f>IF(AND(VLOOKUP(V$1,'20Trips'!$A$3:$F$22,5,FALSE) - VLOOKUP($B52,'20Trips'!$A$3:$G$22,6,FALSE) &gt;= ('20Trips'!$B$24+VLOOKUP(VLOOKUP($B52,'20Trips'!$A$2:$I$22,4,FALSE),'20Trips'!$AB$46:$AH$50,4,FALSE))/1440),1,0)</f>
        <v>0</v>
      </c>
      <c r="W52" s="2" t="e">
        <f>IF(AND(VLOOKUP(W$1,'20Trips'!$A$3:$F$22,5,FALSE) - VLOOKUP($B52,'20Trips'!$A$3:$G$22,6,FALSE) &gt;= ('20Trips'!$B$24+VLOOKUP(VLOOKUP($B52,'20Trips'!$A$2:$I$22,4,FALSE),'20Trips'!$AB$46:$AH$50,4,FALSE))/1440),1,0)</f>
        <v>#N/A</v>
      </c>
      <c r="X52" s="2" t="e">
        <f>IF(AND(VLOOKUP(X$1,'20Trips'!$A$3:$F$22,5,FALSE) - VLOOKUP($B52,'20Trips'!$A$3:$G$22,6,FALSE) &gt;= ('20Trips'!$B$24+VLOOKUP(VLOOKUP($B52,'20Trips'!$A$2:$I$22,4,FALSE),'20Trips'!$AB$46:$AH$50,4,FALSE))/1440),1,0)</f>
        <v>#N/A</v>
      </c>
      <c r="Y52" s="2" t="e">
        <f>IF(AND(VLOOKUP(Y$1,'20Trips'!$A$3:$F$22,5,FALSE) - VLOOKUP($B52,'20Trips'!$A$3:$G$22,6,FALSE) &gt;= ('20Trips'!$B$24+VLOOKUP(VLOOKUP($B52,'20Trips'!$A$2:$I$22,4,FALSE),'20Trips'!$AB$46:$AH$50,4,FALSE))/1440),1,0)</f>
        <v>#N/A</v>
      </c>
      <c r="Z52" s="2">
        <f>IF(AND(VLOOKUP(Z$1,'20Trips'!$A$3:$F$22,5,FALSE) - VLOOKUP($B52,'20Trips'!$A$3:$G$22,6,FALSE) &gt;= ('20Trips'!$B$24+VLOOKUP(VLOOKUP($B52,'20Trips'!$A$2:$I$22,4,FALSE),'20Trips'!$AB$46:$AH$50,4,FALSE))/1440),1,0)</f>
        <v>0</v>
      </c>
      <c r="AA52" s="2">
        <f>IF(AND(VLOOKUP(AA$1,'20Trips'!$A$3:$F$22,5,FALSE) - VLOOKUP($B52,'20Trips'!$A$3:$G$22,6,FALSE) &gt;= ('20Trips'!$B$24+VLOOKUP(VLOOKUP($B52,'20Trips'!$A$2:$I$22,4,FALSE),'20Trips'!$AB$46:$AH$50,4,FALSE))/1440),1,0)</f>
        <v>0</v>
      </c>
      <c r="AB52" s="2">
        <f>IF(AND(VLOOKUP(AB$1,'20Trips'!$A$3:$F$22,5,FALSE) - VLOOKUP($B52,'20Trips'!$A$3:$G$22,6,FALSE) &gt;= ('20Trips'!$B$24+VLOOKUP(VLOOKUP($B52,'20Trips'!$A$2:$I$22,4,FALSE),'20Trips'!$AB$46:$AH$50,4,FALSE))/1440),1,0)</f>
        <v>0</v>
      </c>
      <c r="AC52" s="2">
        <f>IF(AND(VLOOKUP(AC$1,'20Trips'!$A$3:$F$22,5,FALSE) - VLOOKUP($B52,'20Trips'!$A$3:$G$22,6,FALSE) &gt;= ('20Trips'!$B$24+VLOOKUP(VLOOKUP($B52,'20Trips'!$A$2:$I$22,4,FALSE),'20Trips'!$AB$46:$AH$50,4,FALSE))/1440),1,0)</f>
        <v>0</v>
      </c>
      <c r="AD52" s="2">
        <f>IF(AND(VLOOKUP(AD$1,'20Trips'!$A$3:$F$22,5,FALSE) - VLOOKUP($B52,'20Trips'!$A$3:$G$22,6,FALSE) &gt;= ('20Trips'!$B$24+VLOOKUP(VLOOKUP($B52,'20Trips'!$A$2:$I$22,4,FALSE),'20Trips'!$AB$46:$AH$50,4,FALSE))/1440),1,0)</f>
        <v>0</v>
      </c>
      <c r="AE52" s="2" t="e">
        <f>IF(AND(VLOOKUP(AE$1,'20Trips'!$A$3:$F$22,5,FALSE) - VLOOKUP($B52,'20Trips'!$A$3:$G$22,6,FALSE) &gt;= ('20Trips'!$B$24+VLOOKUP(VLOOKUP($B52,'20Trips'!$A$2:$I$22,4,FALSE),'20Trips'!$AB$46:$AH$50,4,FALSE))/1440),1,0)</f>
        <v>#N/A</v>
      </c>
      <c r="AF52" s="2" t="e">
        <f>IF(AND(VLOOKUP(AF$1,'20Trips'!$A$3:$F$22,5,FALSE) - VLOOKUP($B52,'20Trips'!$A$3:$G$22,6,FALSE) &gt;= ('20Trips'!$B$24+VLOOKUP(VLOOKUP($B52,'20Trips'!$A$2:$I$22,4,FALSE),'20Trips'!$AB$46:$AH$50,4,FALSE))/1440),1,0)</f>
        <v>#N/A</v>
      </c>
      <c r="AG52" s="2" t="e">
        <f>IF(AND(VLOOKUP(AG$1,'20Trips'!$A$3:$F$22,5,FALSE) - VLOOKUP($B52,'20Trips'!$A$3:$G$22,6,FALSE) &gt;= ('20Trips'!$B$24+VLOOKUP(VLOOKUP($B52,'20Trips'!$A$2:$I$22,4,FALSE),'20Trips'!$AB$46:$AH$50,4,FALSE))/1440),1,0)</f>
        <v>#N/A</v>
      </c>
    </row>
    <row r="53" spans="1:33" x14ac:dyDescent="0.25">
      <c r="A53" t="s">
        <v>62</v>
      </c>
      <c r="B53" t="s">
        <v>31</v>
      </c>
      <c r="C53">
        <v>0</v>
      </c>
      <c r="D53" s="2" t="e">
        <f>IF(AND(VLOOKUP(D$1,'20Trips'!$A$3:$F$22,5,FALSE) - VLOOKUP($B53,'20Trips'!$A$3:$G$22,6,FALSE) &gt;= ('20Trips'!$B$24+VLOOKUP(VLOOKUP($B53,'20Trips'!$A$2:$I$22,4,FALSE),'20Trips'!$AB$46:$AH$50,4,FALSE))/1440),1,0)</f>
        <v>#N/A</v>
      </c>
      <c r="E53" s="2" t="e">
        <f>IF(AND(VLOOKUP(E$1,'20Trips'!$A$3:$F$22,5,FALSE) - VLOOKUP($B53,'20Trips'!$A$3:$G$22,6,FALSE) &gt;= ('20Trips'!$B$24+VLOOKUP(VLOOKUP($B53,'20Trips'!$A$2:$I$22,4,FALSE),'20Trips'!$AB$46:$AH$50,4,FALSE))/1440),1,0)</f>
        <v>#N/A</v>
      </c>
      <c r="F53" s="2" t="e">
        <f>IF(AND(VLOOKUP(F$1,'20Trips'!$A$3:$F$22,5,FALSE) - VLOOKUP($B53,'20Trips'!$A$3:$G$22,6,FALSE) &gt;= ('20Trips'!$B$24+VLOOKUP(VLOOKUP($B53,'20Trips'!$A$2:$I$22,4,FALSE),'20Trips'!$AB$46:$AH$50,4,FALSE))/1440),1,0)</f>
        <v>#N/A</v>
      </c>
      <c r="G53" s="2" t="e">
        <f>IF(AND(VLOOKUP(G$1,'20Trips'!$A$3:$F$22,5,FALSE) - VLOOKUP($B53,'20Trips'!$A$3:$G$22,6,FALSE) &gt;= ('20Trips'!$B$24+VLOOKUP(VLOOKUP($B53,'20Trips'!$A$2:$I$22,4,FALSE),'20Trips'!$AB$46:$AH$50,4,FALSE))/1440),1,0)</f>
        <v>#N/A</v>
      </c>
      <c r="H53" s="2" t="e">
        <f>IF(AND(VLOOKUP(H$1,'20Trips'!$A$3:$F$22,5,FALSE) - VLOOKUP($B53,'20Trips'!$A$3:$G$22,6,FALSE) &gt;= ('20Trips'!$B$24+VLOOKUP(VLOOKUP($B53,'20Trips'!$A$2:$I$22,4,FALSE),'20Trips'!$AB$46:$AH$50,4,FALSE))/1440),1,0)</f>
        <v>#N/A</v>
      </c>
      <c r="I53" s="2" t="e">
        <f>IF(AND(VLOOKUP(I$1,'20Trips'!$A$3:$F$22,5,FALSE) - VLOOKUP($B53,'20Trips'!$A$3:$G$22,6,FALSE) &gt;= ('20Trips'!$B$24+VLOOKUP(VLOOKUP($B53,'20Trips'!$A$2:$I$22,4,FALSE),'20Trips'!$AB$46:$AH$50,4,FALSE))/1440),1,0)</f>
        <v>#N/A</v>
      </c>
      <c r="J53" s="2" t="e">
        <f>IF(AND(VLOOKUP(J$1,'20Trips'!$A$3:$F$22,5,FALSE) - VLOOKUP($B53,'20Trips'!$A$3:$G$22,6,FALSE) &gt;= ('20Trips'!$B$24+VLOOKUP(VLOOKUP($B53,'20Trips'!$A$2:$I$22,4,FALSE),'20Trips'!$AB$46:$AH$50,4,FALSE))/1440),1,0)</f>
        <v>#N/A</v>
      </c>
      <c r="K53" s="2" t="e">
        <f>IF(AND(VLOOKUP(K$1,'20Trips'!$A$3:$F$22,5,FALSE) - VLOOKUP($B53,'20Trips'!$A$3:$G$22,6,FALSE) &gt;= ('20Trips'!$B$24+VLOOKUP(VLOOKUP($B53,'20Trips'!$A$2:$I$22,4,FALSE),'20Trips'!$AB$46:$AH$50,4,FALSE))/1440),1,0)</f>
        <v>#N/A</v>
      </c>
      <c r="L53" s="2" t="e">
        <f>IF(AND(VLOOKUP(L$1,'20Trips'!$A$3:$F$22,5,FALSE) - VLOOKUP($B53,'20Trips'!$A$3:$G$22,6,FALSE) &gt;= ('20Trips'!$B$24+VLOOKUP(VLOOKUP($B53,'20Trips'!$A$2:$I$22,4,FALSE),'20Trips'!$AB$46:$AH$50,4,FALSE))/1440),1,0)</f>
        <v>#N/A</v>
      </c>
      <c r="M53" s="2" t="e">
        <f>IF(AND(VLOOKUP(M$1,'20Trips'!$A$3:$F$22,5,FALSE) - VLOOKUP($B53,'20Trips'!$A$3:$G$22,6,FALSE) &gt;= ('20Trips'!$B$24+VLOOKUP(VLOOKUP($B53,'20Trips'!$A$2:$I$22,4,FALSE),'20Trips'!$AB$46:$AH$50,4,FALSE))/1440),1,0)</f>
        <v>#N/A</v>
      </c>
      <c r="N53" s="2" t="e">
        <f>IF(AND(VLOOKUP(N$1,'20Trips'!$A$3:$F$22,5,FALSE) - VLOOKUP($B53,'20Trips'!$A$3:$G$22,6,FALSE) &gt;= ('20Trips'!$B$24+VLOOKUP(VLOOKUP($B53,'20Trips'!$A$2:$I$22,4,FALSE),'20Trips'!$AB$46:$AH$50,4,FALSE))/1440),1,0)</f>
        <v>#N/A</v>
      </c>
      <c r="O53" s="2" t="e">
        <f>IF(AND(VLOOKUP(O$1,'20Trips'!$A$3:$F$22,5,FALSE) - VLOOKUP($B53,'20Trips'!$A$3:$G$22,6,FALSE) &gt;= ('20Trips'!$B$24+VLOOKUP(VLOOKUP($B53,'20Trips'!$A$2:$I$22,4,FALSE),'20Trips'!$AB$46:$AH$50,4,FALSE))/1440),1,0)</f>
        <v>#N/A</v>
      </c>
      <c r="P53" s="2" t="e">
        <f>IF(AND(VLOOKUP(P$1,'20Trips'!$A$3:$F$22,5,FALSE) - VLOOKUP($B53,'20Trips'!$A$3:$G$22,6,FALSE) &gt;= ('20Trips'!$B$24+VLOOKUP(VLOOKUP($B53,'20Trips'!$A$2:$I$22,4,FALSE),'20Trips'!$AB$46:$AH$50,4,FALSE))/1440),1,0)</f>
        <v>#N/A</v>
      </c>
      <c r="Q53" s="2" t="e">
        <f>IF(AND(VLOOKUP(Q$1,'20Trips'!$A$3:$F$22,5,FALSE) - VLOOKUP($B53,'20Trips'!$A$3:$G$22,6,FALSE) &gt;= ('20Trips'!$B$24+VLOOKUP(VLOOKUP($B53,'20Trips'!$A$2:$I$22,4,FALSE),'20Trips'!$AB$46:$AH$50,4,FALSE))/1440),1,0)</f>
        <v>#N/A</v>
      </c>
      <c r="R53" s="2" t="e">
        <f>IF(AND(VLOOKUP(R$1,'20Trips'!$A$3:$F$22,5,FALSE) - VLOOKUP($B53,'20Trips'!$A$3:$G$22,6,FALSE) &gt;= ('20Trips'!$B$24+VLOOKUP(VLOOKUP($B53,'20Trips'!$A$2:$I$22,4,FALSE),'20Trips'!$AB$46:$AH$50,4,FALSE))/1440),1,0)</f>
        <v>#N/A</v>
      </c>
      <c r="S53" s="2" t="e">
        <f>IF(AND(VLOOKUP(S$1,'20Trips'!$A$3:$F$22,5,FALSE) - VLOOKUP($B53,'20Trips'!$A$3:$G$22,6,FALSE) &gt;= ('20Trips'!$B$24+VLOOKUP(VLOOKUP($B53,'20Trips'!$A$2:$I$22,4,FALSE),'20Trips'!$AB$46:$AH$50,4,FALSE))/1440),1,0)</f>
        <v>#N/A</v>
      </c>
      <c r="T53" s="2" t="e">
        <f>IF(AND(VLOOKUP(T$1,'20Trips'!$A$3:$F$22,5,FALSE) - VLOOKUP($B53,'20Trips'!$A$3:$G$22,6,FALSE) &gt;= ('20Trips'!$B$24+VLOOKUP(VLOOKUP($B53,'20Trips'!$A$2:$I$22,4,FALSE),'20Trips'!$AB$46:$AH$50,4,FALSE))/1440),1,0)</f>
        <v>#N/A</v>
      </c>
      <c r="U53" s="2" t="e">
        <f>IF(AND(VLOOKUP(U$1,'20Trips'!$A$3:$F$22,5,FALSE) - VLOOKUP($B53,'20Trips'!$A$3:$G$22,6,FALSE) &gt;= ('20Trips'!$B$24+VLOOKUP(VLOOKUP($B53,'20Trips'!$A$2:$I$22,4,FALSE),'20Trips'!$AB$46:$AH$50,4,FALSE))/1440),1,0)</f>
        <v>#N/A</v>
      </c>
      <c r="V53" s="2" t="e">
        <f>IF(AND(VLOOKUP(V$1,'20Trips'!$A$3:$F$22,5,FALSE) - VLOOKUP($B53,'20Trips'!$A$3:$G$22,6,FALSE) &gt;= ('20Trips'!$B$24+VLOOKUP(VLOOKUP($B53,'20Trips'!$A$2:$I$22,4,FALSE),'20Trips'!$AB$46:$AH$50,4,FALSE))/1440),1,0)</f>
        <v>#N/A</v>
      </c>
      <c r="W53" s="2" t="e">
        <f>IF(AND(VLOOKUP(W$1,'20Trips'!$A$3:$F$22,5,FALSE) - VLOOKUP($B53,'20Trips'!$A$3:$G$22,6,FALSE) &gt;= ('20Trips'!$B$24+VLOOKUP(VLOOKUP($B53,'20Trips'!$A$2:$I$22,4,FALSE),'20Trips'!$AB$46:$AH$50,4,FALSE))/1440),1,0)</f>
        <v>#N/A</v>
      </c>
      <c r="X53" s="2" t="e">
        <f>IF(AND(VLOOKUP(X$1,'20Trips'!$A$3:$F$22,5,FALSE) - VLOOKUP($B53,'20Trips'!$A$3:$G$22,6,FALSE) &gt;= ('20Trips'!$B$24+VLOOKUP(VLOOKUP($B53,'20Trips'!$A$2:$I$22,4,FALSE),'20Trips'!$AB$46:$AH$50,4,FALSE))/1440),1,0)</f>
        <v>#N/A</v>
      </c>
      <c r="Y53" s="2" t="e">
        <f>IF(AND(VLOOKUP(Y$1,'20Trips'!$A$3:$F$22,5,FALSE) - VLOOKUP($B53,'20Trips'!$A$3:$G$22,6,FALSE) &gt;= ('20Trips'!$B$24+VLOOKUP(VLOOKUP($B53,'20Trips'!$A$2:$I$22,4,FALSE),'20Trips'!$AB$46:$AH$50,4,FALSE))/1440),1,0)</f>
        <v>#N/A</v>
      </c>
      <c r="Z53" s="2" t="e">
        <f>IF(AND(VLOOKUP(Z$1,'20Trips'!$A$3:$F$22,5,FALSE) - VLOOKUP($B53,'20Trips'!$A$3:$G$22,6,FALSE) &gt;= ('20Trips'!$B$24+VLOOKUP(VLOOKUP($B53,'20Trips'!$A$2:$I$22,4,FALSE),'20Trips'!$AB$46:$AH$50,4,FALSE))/1440),1,0)</f>
        <v>#N/A</v>
      </c>
      <c r="AA53" s="2" t="e">
        <f>IF(AND(VLOOKUP(AA$1,'20Trips'!$A$3:$F$22,5,FALSE) - VLOOKUP($B53,'20Trips'!$A$3:$G$22,6,FALSE) &gt;= ('20Trips'!$B$24+VLOOKUP(VLOOKUP($B53,'20Trips'!$A$2:$I$22,4,FALSE),'20Trips'!$AB$46:$AH$50,4,FALSE))/1440),1,0)</f>
        <v>#N/A</v>
      </c>
      <c r="AB53" s="2" t="e">
        <f>IF(AND(VLOOKUP(AB$1,'20Trips'!$A$3:$F$22,5,FALSE) - VLOOKUP($B53,'20Trips'!$A$3:$G$22,6,FALSE) &gt;= ('20Trips'!$B$24+VLOOKUP(VLOOKUP($B53,'20Trips'!$A$2:$I$22,4,FALSE),'20Trips'!$AB$46:$AH$50,4,FALSE))/1440),1,0)</f>
        <v>#N/A</v>
      </c>
      <c r="AC53" s="2" t="e">
        <f>IF(AND(VLOOKUP(AC$1,'20Trips'!$A$3:$F$22,5,FALSE) - VLOOKUP($B53,'20Trips'!$A$3:$G$22,6,FALSE) &gt;= ('20Trips'!$B$24+VLOOKUP(VLOOKUP($B53,'20Trips'!$A$2:$I$22,4,FALSE),'20Trips'!$AB$46:$AH$50,4,FALSE))/1440),1,0)</f>
        <v>#N/A</v>
      </c>
      <c r="AD53" s="2" t="e">
        <f>IF(AND(VLOOKUP(AD$1,'20Trips'!$A$3:$F$22,5,FALSE) - VLOOKUP($B53,'20Trips'!$A$3:$G$22,6,FALSE) &gt;= ('20Trips'!$B$24+VLOOKUP(VLOOKUP($B53,'20Trips'!$A$2:$I$22,4,FALSE),'20Trips'!$AB$46:$AH$50,4,FALSE))/1440),1,0)</f>
        <v>#N/A</v>
      </c>
      <c r="AE53" s="2" t="e">
        <f>IF(AND(VLOOKUP(AE$1,'20Trips'!$A$3:$F$22,5,FALSE) - VLOOKUP($B53,'20Trips'!$A$3:$G$22,6,FALSE) &gt;= ('20Trips'!$B$24+VLOOKUP(VLOOKUP($B53,'20Trips'!$A$2:$I$22,4,FALSE),'20Trips'!$AB$46:$AH$50,4,FALSE))/1440),1,0)</f>
        <v>#N/A</v>
      </c>
      <c r="AF53" s="2" t="e">
        <f>IF(AND(VLOOKUP(AF$1,'20Trips'!$A$3:$F$22,5,FALSE) - VLOOKUP($B53,'20Trips'!$A$3:$G$22,6,FALSE) &gt;= ('20Trips'!$B$24+VLOOKUP(VLOOKUP($B53,'20Trips'!$A$2:$I$22,4,FALSE),'20Trips'!$AB$46:$AH$50,4,FALSE))/1440),1,0)</f>
        <v>#N/A</v>
      </c>
      <c r="AG53" s="2" t="e">
        <f>IF(AND(VLOOKUP(AG$1,'20Trips'!$A$3:$F$22,5,FALSE) - VLOOKUP($B53,'20Trips'!$A$3:$G$22,6,FALSE) &gt;= ('20Trips'!$B$24+VLOOKUP(VLOOKUP($B53,'20Trips'!$A$2:$I$22,4,FALSE),'20Trips'!$AB$46:$AH$50,4,FALSE))/1440),1,0)</f>
        <v>#N/A</v>
      </c>
    </row>
    <row r="54" spans="1:33" x14ac:dyDescent="0.25">
      <c r="A54" t="s">
        <v>62</v>
      </c>
      <c r="B54" t="s">
        <v>32</v>
      </c>
      <c r="C54">
        <v>0</v>
      </c>
      <c r="D54" s="2" t="e">
        <f>IF(AND(VLOOKUP(D$1,'20Trips'!$A$3:$F$22,5,FALSE) - VLOOKUP($B54,'20Trips'!$A$3:$G$22,6,FALSE) &gt;= ('20Trips'!$B$24+VLOOKUP(VLOOKUP($B54,'20Trips'!$A$2:$I$22,4,FALSE),'20Trips'!$AB$46:$AH$50,4,FALSE))/1440),1,0)</f>
        <v>#N/A</v>
      </c>
      <c r="E54" s="2" t="e">
        <f>IF(AND(VLOOKUP(E$1,'20Trips'!$A$3:$F$22,5,FALSE) - VLOOKUP($B54,'20Trips'!$A$3:$G$22,6,FALSE) &gt;= ('20Trips'!$B$24+VLOOKUP(VLOOKUP($B54,'20Trips'!$A$2:$I$22,4,FALSE),'20Trips'!$AB$46:$AH$50,4,FALSE))/1440),1,0)</f>
        <v>#N/A</v>
      </c>
      <c r="F54" s="2" t="e">
        <f>IF(AND(VLOOKUP(F$1,'20Trips'!$A$3:$F$22,5,FALSE) - VLOOKUP($B54,'20Trips'!$A$3:$G$22,6,FALSE) &gt;= ('20Trips'!$B$24+VLOOKUP(VLOOKUP($B54,'20Trips'!$A$2:$I$22,4,FALSE),'20Trips'!$AB$46:$AH$50,4,FALSE))/1440),1,0)</f>
        <v>#N/A</v>
      </c>
      <c r="G54" s="2" t="e">
        <f>IF(AND(VLOOKUP(G$1,'20Trips'!$A$3:$F$22,5,FALSE) - VLOOKUP($B54,'20Trips'!$A$3:$G$22,6,FALSE) &gt;= ('20Trips'!$B$24+VLOOKUP(VLOOKUP($B54,'20Trips'!$A$2:$I$22,4,FALSE),'20Trips'!$AB$46:$AH$50,4,FALSE))/1440),1,0)</f>
        <v>#N/A</v>
      </c>
      <c r="H54" s="2" t="e">
        <f>IF(AND(VLOOKUP(H$1,'20Trips'!$A$3:$F$22,5,FALSE) - VLOOKUP($B54,'20Trips'!$A$3:$G$22,6,FALSE) &gt;= ('20Trips'!$B$24+VLOOKUP(VLOOKUP($B54,'20Trips'!$A$2:$I$22,4,FALSE),'20Trips'!$AB$46:$AH$50,4,FALSE))/1440),1,0)</f>
        <v>#N/A</v>
      </c>
      <c r="I54" s="2" t="e">
        <f>IF(AND(VLOOKUP(I$1,'20Trips'!$A$3:$F$22,5,FALSE) - VLOOKUP($B54,'20Trips'!$A$3:$G$22,6,FALSE) &gt;= ('20Trips'!$B$24+VLOOKUP(VLOOKUP($B54,'20Trips'!$A$2:$I$22,4,FALSE),'20Trips'!$AB$46:$AH$50,4,FALSE))/1440),1,0)</f>
        <v>#N/A</v>
      </c>
      <c r="J54" s="2" t="e">
        <f>IF(AND(VLOOKUP(J$1,'20Trips'!$A$3:$F$22,5,FALSE) - VLOOKUP($B54,'20Trips'!$A$3:$G$22,6,FALSE) &gt;= ('20Trips'!$B$24+VLOOKUP(VLOOKUP($B54,'20Trips'!$A$2:$I$22,4,FALSE),'20Trips'!$AB$46:$AH$50,4,FALSE))/1440),1,0)</f>
        <v>#N/A</v>
      </c>
      <c r="K54" s="2" t="e">
        <f>IF(AND(VLOOKUP(K$1,'20Trips'!$A$3:$F$22,5,FALSE) - VLOOKUP($B54,'20Trips'!$A$3:$G$22,6,FALSE) &gt;= ('20Trips'!$B$24+VLOOKUP(VLOOKUP($B54,'20Trips'!$A$2:$I$22,4,FALSE),'20Trips'!$AB$46:$AH$50,4,FALSE))/1440),1,0)</f>
        <v>#N/A</v>
      </c>
      <c r="L54" s="2" t="e">
        <f>IF(AND(VLOOKUP(L$1,'20Trips'!$A$3:$F$22,5,FALSE) - VLOOKUP($B54,'20Trips'!$A$3:$G$22,6,FALSE) &gt;= ('20Trips'!$B$24+VLOOKUP(VLOOKUP($B54,'20Trips'!$A$2:$I$22,4,FALSE),'20Trips'!$AB$46:$AH$50,4,FALSE))/1440),1,0)</f>
        <v>#N/A</v>
      </c>
      <c r="M54" s="2" t="e">
        <f>IF(AND(VLOOKUP(M$1,'20Trips'!$A$3:$F$22,5,FALSE) - VLOOKUP($B54,'20Trips'!$A$3:$G$22,6,FALSE) &gt;= ('20Trips'!$B$24+VLOOKUP(VLOOKUP($B54,'20Trips'!$A$2:$I$22,4,FALSE),'20Trips'!$AB$46:$AH$50,4,FALSE))/1440),1,0)</f>
        <v>#N/A</v>
      </c>
      <c r="N54" s="2" t="e">
        <f>IF(AND(VLOOKUP(N$1,'20Trips'!$A$3:$F$22,5,FALSE) - VLOOKUP($B54,'20Trips'!$A$3:$G$22,6,FALSE) &gt;= ('20Trips'!$B$24+VLOOKUP(VLOOKUP($B54,'20Trips'!$A$2:$I$22,4,FALSE),'20Trips'!$AB$46:$AH$50,4,FALSE))/1440),1,0)</f>
        <v>#N/A</v>
      </c>
      <c r="O54" s="2" t="e">
        <f>IF(AND(VLOOKUP(O$1,'20Trips'!$A$3:$F$22,5,FALSE) - VLOOKUP($B54,'20Trips'!$A$3:$G$22,6,FALSE) &gt;= ('20Trips'!$B$24+VLOOKUP(VLOOKUP($B54,'20Trips'!$A$2:$I$22,4,FALSE),'20Trips'!$AB$46:$AH$50,4,FALSE))/1440),1,0)</f>
        <v>#N/A</v>
      </c>
      <c r="P54" s="2" t="e">
        <f>IF(AND(VLOOKUP(P$1,'20Trips'!$A$3:$F$22,5,FALSE) - VLOOKUP($B54,'20Trips'!$A$3:$G$22,6,FALSE) &gt;= ('20Trips'!$B$24+VLOOKUP(VLOOKUP($B54,'20Trips'!$A$2:$I$22,4,FALSE),'20Trips'!$AB$46:$AH$50,4,FALSE))/1440),1,0)</f>
        <v>#N/A</v>
      </c>
      <c r="Q54" s="2" t="e">
        <f>IF(AND(VLOOKUP(Q$1,'20Trips'!$A$3:$F$22,5,FALSE) - VLOOKUP($B54,'20Trips'!$A$3:$G$22,6,FALSE) &gt;= ('20Trips'!$B$24+VLOOKUP(VLOOKUP($B54,'20Trips'!$A$2:$I$22,4,FALSE),'20Trips'!$AB$46:$AH$50,4,FALSE))/1440),1,0)</f>
        <v>#N/A</v>
      </c>
      <c r="R54" s="2" t="e">
        <f>IF(AND(VLOOKUP(R$1,'20Trips'!$A$3:$F$22,5,FALSE) - VLOOKUP($B54,'20Trips'!$A$3:$G$22,6,FALSE) &gt;= ('20Trips'!$B$24+VLOOKUP(VLOOKUP($B54,'20Trips'!$A$2:$I$22,4,FALSE),'20Trips'!$AB$46:$AH$50,4,FALSE))/1440),1,0)</f>
        <v>#N/A</v>
      </c>
      <c r="S54" s="2" t="e">
        <f>IF(AND(VLOOKUP(S$1,'20Trips'!$A$3:$F$22,5,FALSE) - VLOOKUP($B54,'20Trips'!$A$3:$G$22,6,FALSE) &gt;= ('20Trips'!$B$24+VLOOKUP(VLOOKUP($B54,'20Trips'!$A$2:$I$22,4,FALSE),'20Trips'!$AB$46:$AH$50,4,FALSE))/1440),1,0)</f>
        <v>#N/A</v>
      </c>
      <c r="T54" s="2" t="e">
        <f>IF(AND(VLOOKUP(T$1,'20Trips'!$A$3:$F$22,5,FALSE) - VLOOKUP($B54,'20Trips'!$A$3:$G$22,6,FALSE) &gt;= ('20Trips'!$B$24+VLOOKUP(VLOOKUP($B54,'20Trips'!$A$2:$I$22,4,FALSE),'20Trips'!$AB$46:$AH$50,4,FALSE))/1440),1,0)</f>
        <v>#N/A</v>
      </c>
      <c r="U54" s="2" t="e">
        <f>IF(AND(VLOOKUP(U$1,'20Trips'!$A$3:$F$22,5,FALSE) - VLOOKUP($B54,'20Trips'!$A$3:$G$22,6,FALSE) &gt;= ('20Trips'!$B$24+VLOOKUP(VLOOKUP($B54,'20Trips'!$A$2:$I$22,4,FALSE),'20Trips'!$AB$46:$AH$50,4,FALSE))/1440),1,0)</f>
        <v>#N/A</v>
      </c>
      <c r="V54" s="2" t="e">
        <f>IF(AND(VLOOKUP(V$1,'20Trips'!$A$3:$F$22,5,FALSE) - VLOOKUP($B54,'20Trips'!$A$3:$G$22,6,FALSE) &gt;= ('20Trips'!$B$24+VLOOKUP(VLOOKUP($B54,'20Trips'!$A$2:$I$22,4,FALSE),'20Trips'!$AB$46:$AH$50,4,FALSE))/1440),1,0)</f>
        <v>#N/A</v>
      </c>
      <c r="W54" s="2" t="e">
        <f>IF(AND(VLOOKUP(W$1,'20Trips'!$A$3:$F$22,5,FALSE) - VLOOKUP($B54,'20Trips'!$A$3:$G$22,6,FALSE) &gt;= ('20Trips'!$B$24+VLOOKUP(VLOOKUP($B54,'20Trips'!$A$2:$I$22,4,FALSE),'20Trips'!$AB$46:$AH$50,4,FALSE))/1440),1,0)</f>
        <v>#N/A</v>
      </c>
      <c r="X54" s="2" t="e">
        <f>IF(AND(VLOOKUP(X$1,'20Trips'!$A$3:$F$22,5,FALSE) - VLOOKUP($B54,'20Trips'!$A$3:$G$22,6,FALSE) &gt;= ('20Trips'!$B$24+VLOOKUP(VLOOKUP($B54,'20Trips'!$A$2:$I$22,4,FALSE),'20Trips'!$AB$46:$AH$50,4,FALSE))/1440),1,0)</f>
        <v>#N/A</v>
      </c>
      <c r="Y54" s="2" t="e">
        <f>IF(AND(VLOOKUP(Y$1,'20Trips'!$A$3:$F$22,5,FALSE) - VLOOKUP($B54,'20Trips'!$A$3:$G$22,6,FALSE) &gt;= ('20Trips'!$B$24+VLOOKUP(VLOOKUP($B54,'20Trips'!$A$2:$I$22,4,FALSE),'20Trips'!$AB$46:$AH$50,4,FALSE))/1440),1,0)</f>
        <v>#N/A</v>
      </c>
      <c r="Z54" s="2" t="e">
        <f>IF(AND(VLOOKUP(Z$1,'20Trips'!$A$3:$F$22,5,FALSE) - VLOOKUP($B54,'20Trips'!$A$3:$G$22,6,FALSE) &gt;= ('20Trips'!$B$24+VLOOKUP(VLOOKUP($B54,'20Trips'!$A$2:$I$22,4,FALSE),'20Trips'!$AB$46:$AH$50,4,FALSE))/1440),1,0)</f>
        <v>#N/A</v>
      </c>
      <c r="AA54" s="2" t="e">
        <f>IF(AND(VLOOKUP(AA$1,'20Trips'!$A$3:$F$22,5,FALSE) - VLOOKUP($B54,'20Trips'!$A$3:$G$22,6,FALSE) &gt;= ('20Trips'!$B$24+VLOOKUP(VLOOKUP($B54,'20Trips'!$A$2:$I$22,4,FALSE),'20Trips'!$AB$46:$AH$50,4,FALSE))/1440),1,0)</f>
        <v>#N/A</v>
      </c>
      <c r="AB54" s="2" t="e">
        <f>IF(AND(VLOOKUP(AB$1,'20Trips'!$A$3:$F$22,5,FALSE) - VLOOKUP($B54,'20Trips'!$A$3:$G$22,6,FALSE) &gt;= ('20Trips'!$B$24+VLOOKUP(VLOOKUP($B54,'20Trips'!$A$2:$I$22,4,FALSE),'20Trips'!$AB$46:$AH$50,4,FALSE))/1440),1,0)</f>
        <v>#N/A</v>
      </c>
      <c r="AC54" s="2" t="e">
        <f>IF(AND(VLOOKUP(AC$1,'20Trips'!$A$3:$F$22,5,FALSE) - VLOOKUP($B54,'20Trips'!$A$3:$G$22,6,FALSE) &gt;= ('20Trips'!$B$24+VLOOKUP(VLOOKUP($B54,'20Trips'!$A$2:$I$22,4,FALSE),'20Trips'!$AB$46:$AH$50,4,FALSE))/1440),1,0)</f>
        <v>#N/A</v>
      </c>
      <c r="AD54" s="2" t="e">
        <f>IF(AND(VLOOKUP(AD$1,'20Trips'!$A$3:$F$22,5,FALSE) - VLOOKUP($B54,'20Trips'!$A$3:$G$22,6,FALSE) &gt;= ('20Trips'!$B$24+VLOOKUP(VLOOKUP($B54,'20Trips'!$A$2:$I$22,4,FALSE),'20Trips'!$AB$46:$AH$50,4,FALSE))/1440),1,0)</f>
        <v>#N/A</v>
      </c>
      <c r="AE54" s="2" t="e">
        <f>IF(AND(VLOOKUP(AE$1,'20Trips'!$A$3:$F$22,5,FALSE) - VLOOKUP($B54,'20Trips'!$A$3:$G$22,6,FALSE) &gt;= ('20Trips'!$B$24+VLOOKUP(VLOOKUP($B54,'20Trips'!$A$2:$I$22,4,FALSE),'20Trips'!$AB$46:$AH$50,4,FALSE))/1440),1,0)</f>
        <v>#N/A</v>
      </c>
      <c r="AF54" s="2" t="e">
        <f>IF(AND(VLOOKUP(AF$1,'20Trips'!$A$3:$F$22,5,FALSE) - VLOOKUP($B54,'20Trips'!$A$3:$G$22,6,FALSE) &gt;= ('20Trips'!$B$24+VLOOKUP(VLOOKUP($B54,'20Trips'!$A$2:$I$22,4,FALSE),'20Trips'!$AB$46:$AH$50,4,FALSE))/1440),1,0)</f>
        <v>#N/A</v>
      </c>
      <c r="AG54" s="2" t="e">
        <f>IF(AND(VLOOKUP(AG$1,'20Trips'!$A$3:$F$22,5,FALSE) - VLOOKUP($B54,'20Trips'!$A$3:$G$22,6,FALSE) &gt;= ('20Trips'!$B$24+VLOOKUP(VLOOKUP($B54,'20Trips'!$A$2:$I$22,4,FALSE),'20Trips'!$AB$46:$AH$50,4,FALSE))/1440),1,0)</f>
        <v>#N/A</v>
      </c>
    </row>
    <row r="55" spans="1:33" x14ac:dyDescent="0.25">
      <c r="A55" t="s">
        <v>62</v>
      </c>
      <c r="B55" t="s">
        <v>33</v>
      </c>
      <c r="C55">
        <v>0</v>
      </c>
      <c r="D55" s="2" t="e">
        <f>IF(AND(VLOOKUP(D$1,'20Trips'!$A$3:$F$22,5,FALSE) - VLOOKUP($B55,'20Trips'!$A$3:$G$22,6,FALSE) &gt;= ('20Trips'!$B$24+VLOOKUP(VLOOKUP($B55,'20Trips'!$A$2:$I$22,4,FALSE),'20Trips'!$AB$46:$AH$50,4,FALSE))/1440),1,0)</f>
        <v>#N/A</v>
      </c>
      <c r="E55" s="2" t="e">
        <f>IF(AND(VLOOKUP(E$1,'20Trips'!$A$3:$F$22,5,FALSE) - VLOOKUP($B55,'20Trips'!$A$3:$G$22,6,FALSE) &gt;= ('20Trips'!$B$24+VLOOKUP(VLOOKUP($B55,'20Trips'!$A$2:$I$22,4,FALSE),'20Trips'!$AB$46:$AH$50,4,FALSE))/1440),1,0)</f>
        <v>#N/A</v>
      </c>
      <c r="F55" s="2" t="e">
        <f>IF(AND(VLOOKUP(F$1,'20Trips'!$A$3:$F$22,5,FALSE) - VLOOKUP($B55,'20Trips'!$A$3:$G$22,6,FALSE) &gt;= ('20Trips'!$B$24+VLOOKUP(VLOOKUP($B55,'20Trips'!$A$2:$I$22,4,FALSE),'20Trips'!$AB$46:$AH$50,4,FALSE))/1440),1,0)</f>
        <v>#N/A</v>
      </c>
      <c r="G55" s="2" t="e">
        <f>IF(AND(VLOOKUP(G$1,'20Trips'!$A$3:$F$22,5,FALSE) - VLOOKUP($B55,'20Trips'!$A$3:$G$22,6,FALSE) &gt;= ('20Trips'!$B$24+VLOOKUP(VLOOKUP($B55,'20Trips'!$A$2:$I$22,4,FALSE),'20Trips'!$AB$46:$AH$50,4,FALSE))/1440),1,0)</f>
        <v>#N/A</v>
      </c>
      <c r="H55" s="2" t="e">
        <f>IF(AND(VLOOKUP(H$1,'20Trips'!$A$3:$F$22,5,FALSE) - VLOOKUP($B55,'20Trips'!$A$3:$G$22,6,FALSE) &gt;= ('20Trips'!$B$24+VLOOKUP(VLOOKUP($B55,'20Trips'!$A$2:$I$22,4,FALSE),'20Trips'!$AB$46:$AH$50,4,FALSE))/1440),1,0)</f>
        <v>#N/A</v>
      </c>
      <c r="I55" s="2" t="e">
        <f>IF(AND(VLOOKUP(I$1,'20Trips'!$A$3:$F$22,5,FALSE) - VLOOKUP($B55,'20Trips'!$A$3:$G$22,6,FALSE) &gt;= ('20Trips'!$B$24+VLOOKUP(VLOOKUP($B55,'20Trips'!$A$2:$I$22,4,FALSE),'20Trips'!$AB$46:$AH$50,4,FALSE))/1440),1,0)</f>
        <v>#N/A</v>
      </c>
      <c r="J55" s="2" t="e">
        <f>IF(AND(VLOOKUP(J$1,'20Trips'!$A$3:$F$22,5,FALSE) - VLOOKUP($B55,'20Trips'!$A$3:$G$22,6,FALSE) &gt;= ('20Trips'!$B$24+VLOOKUP(VLOOKUP($B55,'20Trips'!$A$2:$I$22,4,FALSE),'20Trips'!$AB$46:$AH$50,4,FALSE))/1440),1,0)</f>
        <v>#N/A</v>
      </c>
      <c r="K55" s="2" t="e">
        <f>IF(AND(VLOOKUP(K$1,'20Trips'!$A$3:$F$22,5,FALSE) - VLOOKUP($B55,'20Trips'!$A$3:$G$22,6,FALSE) &gt;= ('20Trips'!$B$24+VLOOKUP(VLOOKUP($B55,'20Trips'!$A$2:$I$22,4,FALSE),'20Trips'!$AB$46:$AH$50,4,FALSE))/1440),1,0)</f>
        <v>#N/A</v>
      </c>
      <c r="L55" s="2" t="e">
        <f>IF(AND(VLOOKUP(L$1,'20Trips'!$A$3:$F$22,5,FALSE) - VLOOKUP($B55,'20Trips'!$A$3:$G$22,6,FALSE) &gt;= ('20Trips'!$B$24+VLOOKUP(VLOOKUP($B55,'20Trips'!$A$2:$I$22,4,FALSE),'20Trips'!$AB$46:$AH$50,4,FALSE))/1440),1,0)</f>
        <v>#N/A</v>
      </c>
      <c r="M55" s="2" t="e">
        <f>IF(AND(VLOOKUP(M$1,'20Trips'!$A$3:$F$22,5,FALSE) - VLOOKUP($B55,'20Trips'!$A$3:$G$22,6,FALSE) &gt;= ('20Trips'!$B$24+VLOOKUP(VLOOKUP($B55,'20Trips'!$A$2:$I$22,4,FALSE),'20Trips'!$AB$46:$AH$50,4,FALSE))/1440),1,0)</f>
        <v>#N/A</v>
      </c>
      <c r="N55" s="2" t="e">
        <f>IF(AND(VLOOKUP(N$1,'20Trips'!$A$3:$F$22,5,FALSE) - VLOOKUP($B55,'20Trips'!$A$3:$G$22,6,FALSE) &gt;= ('20Trips'!$B$24+VLOOKUP(VLOOKUP($B55,'20Trips'!$A$2:$I$22,4,FALSE),'20Trips'!$AB$46:$AH$50,4,FALSE))/1440),1,0)</f>
        <v>#N/A</v>
      </c>
      <c r="O55" s="2" t="e">
        <f>IF(AND(VLOOKUP(O$1,'20Trips'!$A$3:$F$22,5,FALSE) - VLOOKUP($B55,'20Trips'!$A$3:$G$22,6,FALSE) &gt;= ('20Trips'!$B$24+VLOOKUP(VLOOKUP($B55,'20Trips'!$A$2:$I$22,4,FALSE),'20Trips'!$AB$46:$AH$50,4,FALSE))/1440),1,0)</f>
        <v>#N/A</v>
      </c>
      <c r="P55" s="2" t="e">
        <f>IF(AND(VLOOKUP(P$1,'20Trips'!$A$3:$F$22,5,FALSE) - VLOOKUP($B55,'20Trips'!$A$3:$G$22,6,FALSE) &gt;= ('20Trips'!$B$24+VLOOKUP(VLOOKUP($B55,'20Trips'!$A$2:$I$22,4,FALSE),'20Trips'!$AB$46:$AH$50,4,FALSE))/1440),1,0)</f>
        <v>#N/A</v>
      </c>
      <c r="Q55" s="2" t="e">
        <f>IF(AND(VLOOKUP(Q$1,'20Trips'!$A$3:$F$22,5,FALSE) - VLOOKUP($B55,'20Trips'!$A$3:$G$22,6,FALSE) &gt;= ('20Trips'!$B$24+VLOOKUP(VLOOKUP($B55,'20Trips'!$A$2:$I$22,4,FALSE),'20Trips'!$AB$46:$AH$50,4,FALSE))/1440),1,0)</f>
        <v>#N/A</v>
      </c>
      <c r="R55" s="2" t="e">
        <f>IF(AND(VLOOKUP(R$1,'20Trips'!$A$3:$F$22,5,FALSE) - VLOOKUP($B55,'20Trips'!$A$3:$G$22,6,FALSE) &gt;= ('20Trips'!$B$24+VLOOKUP(VLOOKUP($B55,'20Trips'!$A$2:$I$22,4,FALSE),'20Trips'!$AB$46:$AH$50,4,FALSE))/1440),1,0)</f>
        <v>#N/A</v>
      </c>
      <c r="S55" s="2" t="e">
        <f>IF(AND(VLOOKUP(S$1,'20Trips'!$A$3:$F$22,5,FALSE) - VLOOKUP($B55,'20Trips'!$A$3:$G$22,6,FALSE) &gt;= ('20Trips'!$B$24+VLOOKUP(VLOOKUP($B55,'20Trips'!$A$2:$I$22,4,FALSE),'20Trips'!$AB$46:$AH$50,4,FALSE))/1440),1,0)</f>
        <v>#N/A</v>
      </c>
      <c r="T55" s="2" t="e">
        <f>IF(AND(VLOOKUP(T$1,'20Trips'!$A$3:$F$22,5,FALSE) - VLOOKUP($B55,'20Trips'!$A$3:$G$22,6,FALSE) &gt;= ('20Trips'!$B$24+VLOOKUP(VLOOKUP($B55,'20Trips'!$A$2:$I$22,4,FALSE),'20Trips'!$AB$46:$AH$50,4,FALSE))/1440),1,0)</f>
        <v>#N/A</v>
      </c>
      <c r="U55" s="2" t="e">
        <f>IF(AND(VLOOKUP(U$1,'20Trips'!$A$3:$F$22,5,FALSE) - VLOOKUP($B55,'20Trips'!$A$3:$G$22,6,FALSE) &gt;= ('20Trips'!$B$24+VLOOKUP(VLOOKUP($B55,'20Trips'!$A$2:$I$22,4,FALSE),'20Trips'!$AB$46:$AH$50,4,FALSE))/1440),1,0)</f>
        <v>#N/A</v>
      </c>
      <c r="V55" s="2" t="e">
        <f>IF(AND(VLOOKUP(V$1,'20Trips'!$A$3:$F$22,5,FALSE) - VLOOKUP($B55,'20Trips'!$A$3:$G$22,6,FALSE) &gt;= ('20Trips'!$B$24+VLOOKUP(VLOOKUP($B55,'20Trips'!$A$2:$I$22,4,FALSE),'20Trips'!$AB$46:$AH$50,4,FALSE))/1440),1,0)</f>
        <v>#N/A</v>
      </c>
      <c r="W55" s="2" t="e">
        <f>IF(AND(VLOOKUP(W$1,'20Trips'!$A$3:$F$22,5,FALSE) - VLOOKUP($B55,'20Trips'!$A$3:$G$22,6,FALSE) &gt;= ('20Trips'!$B$24+VLOOKUP(VLOOKUP($B55,'20Trips'!$A$2:$I$22,4,FALSE),'20Trips'!$AB$46:$AH$50,4,FALSE))/1440),1,0)</f>
        <v>#N/A</v>
      </c>
      <c r="X55" s="2" t="e">
        <f>IF(AND(VLOOKUP(X$1,'20Trips'!$A$3:$F$22,5,FALSE) - VLOOKUP($B55,'20Trips'!$A$3:$G$22,6,FALSE) &gt;= ('20Trips'!$B$24+VLOOKUP(VLOOKUP($B55,'20Trips'!$A$2:$I$22,4,FALSE),'20Trips'!$AB$46:$AH$50,4,FALSE))/1440),1,0)</f>
        <v>#N/A</v>
      </c>
      <c r="Y55" s="2" t="e">
        <f>IF(AND(VLOOKUP(Y$1,'20Trips'!$A$3:$F$22,5,FALSE) - VLOOKUP($B55,'20Trips'!$A$3:$G$22,6,FALSE) &gt;= ('20Trips'!$B$24+VLOOKUP(VLOOKUP($B55,'20Trips'!$A$2:$I$22,4,FALSE),'20Trips'!$AB$46:$AH$50,4,FALSE))/1440),1,0)</f>
        <v>#N/A</v>
      </c>
      <c r="Z55" s="2" t="e">
        <f>IF(AND(VLOOKUP(Z$1,'20Trips'!$A$3:$F$22,5,FALSE) - VLOOKUP($B55,'20Trips'!$A$3:$G$22,6,FALSE) &gt;= ('20Trips'!$B$24+VLOOKUP(VLOOKUP($B55,'20Trips'!$A$2:$I$22,4,FALSE),'20Trips'!$AB$46:$AH$50,4,FALSE))/1440),1,0)</f>
        <v>#N/A</v>
      </c>
      <c r="AA55" s="2" t="e">
        <f>IF(AND(VLOOKUP(AA$1,'20Trips'!$A$3:$F$22,5,FALSE) - VLOOKUP($B55,'20Trips'!$A$3:$G$22,6,FALSE) &gt;= ('20Trips'!$B$24+VLOOKUP(VLOOKUP($B55,'20Trips'!$A$2:$I$22,4,FALSE),'20Trips'!$AB$46:$AH$50,4,FALSE))/1440),1,0)</f>
        <v>#N/A</v>
      </c>
      <c r="AB55" s="2" t="e">
        <f>IF(AND(VLOOKUP(AB$1,'20Trips'!$A$3:$F$22,5,FALSE) - VLOOKUP($B55,'20Trips'!$A$3:$G$22,6,FALSE) &gt;= ('20Trips'!$B$24+VLOOKUP(VLOOKUP($B55,'20Trips'!$A$2:$I$22,4,FALSE),'20Trips'!$AB$46:$AH$50,4,FALSE))/1440),1,0)</f>
        <v>#N/A</v>
      </c>
      <c r="AC55" s="2" t="e">
        <f>IF(AND(VLOOKUP(AC$1,'20Trips'!$A$3:$F$22,5,FALSE) - VLOOKUP($B55,'20Trips'!$A$3:$G$22,6,FALSE) &gt;= ('20Trips'!$B$24+VLOOKUP(VLOOKUP($B55,'20Trips'!$A$2:$I$22,4,FALSE),'20Trips'!$AB$46:$AH$50,4,FALSE))/1440),1,0)</f>
        <v>#N/A</v>
      </c>
      <c r="AD55" s="2" t="e">
        <f>IF(AND(VLOOKUP(AD$1,'20Trips'!$A$3:$F$22,5,FALSE) - VLOOKUP($B55,'20Trips'!$A$3:$G$22,6,FALSE) &gt;= ('20Trips'!$B$24+VLOOKUP(VLOOKUP($B55,'20Trips'!$A$2:$I$22,4,FALSE),'20Trips'!$AB$46:$AH$50,4,FALSE))/1440),1,0)</f>
        <v>#N/A</v>
      </c>
      <c r="AE55" s="2" t="e">
        <f>IF(AND(VLOOKUP(AE$1,'20Trips'!$A$3:$F$22,5,FALSE) - VLOOKUP($B55,'20Trips'!$A$3:$G$22,6,FALSE) &gt;= ('20Trips'!$B$24+VLOOKUP(VLOOKUP($B55,'20Trips'!$A$2:$I$22,4,FALSE),'20Trips'!$AB$46:$AH$50,4,FALSE))/1440),1,0)</f>
        <v>#N/A</v>
      </c>
      <c r="AF55" s="2" t="e">
        <f>IF(AND(VLOOKUP(AF$1,'20Trips'!$A$3:$F$22,5,FALSE) - VLOOKUP($B55,'20Trips'!$A$3:$G$22,6,FALSE) &gt;= ('20Trips'!$B$24+VLOOKUP(VLOOKUP($B55,'20Trips'!$A$2:$I$22,4,FALSE),'20Trips'!$AB$46:$AH$50,4,FALSE))/1440),1,0)</f>
        <v>#N/A</v>
      </c>
      <c r="AG55" s="2" t="e">
        <f>IF(AND(VLOOKUP(AG$1,'20Trips'!$A$3:$F$22,5,FALSE) - VLOOKUP($B55,'20Trips'!$A$3:$G$22,6,FALSE) &gt;= ('20Trips'!$B$24+VLOOKUP(VLOOKUP($B55,'20Trips'!$A$2:$I$22,4,FALSE),'20Trips'!$AB$46:$AH$50,4,FALSE))/1440),1,0)</f>
        <v>#N/A</v>
      </c>
    </row>
    <row r="56" spans="1:33" x14ac:dyDescent="0.25">
      <c r="A56" t="s">
        <v>62</v>
      </c>
      <c r="B56" t="s">
        <v>34</v>
      </c>
      <c r="C56">
        <v>0</v>
      </c>
      <c r="D56" s="2">
        <f>IF(AND(VLOOKUP(D$1,'20Trips'!$A$3:$F$22,5,FALSE) - VLOOKUP($B56,'20Trips'!$A$3:$G$22,6,FALSE) &gt;= ('20Trips'!$B$24+VLOOKUP(VLOOKUP($B56,'20Trips'!$A$2:$I$22,4,FALSE),'20Trips'!$AB$46:$AH$50,4,FALSE))/1440),1,0)</f>
        <v>0</v>
      </c>
      <c r="E56" s="2">
        <f>IF(AND(VLOOKUP(E$1,'20Trips'!$A$3:$F$22,5,FALSE) - VLOOKUP($B56,'20Trips'!$A$3:$G$22,6,FALSE) &gt;= ('20Trips'!$B$24+VLOOKUP(VLOOKUP($B56,'20Trips'!$A$2:$I$22,4,FALSE),'20Trips'!$AB$46:$AH$50,4,FALSE))/1440),1,0)</f>
        <v>0</v>
      </c>
      <c r="F56" s="2">
        <f>IF(AND(VLOOKUP(F$1,'20Trips'!$A$3:$F$22,5,FALSE) - VLOOKUP($B56,'20Trips'!$A$3:$G$22,6,FALSE) &gt;= ('20Trips'!$B$24+VLOOKUP(VLOOKUP($B56,'20Trips'!$A$2:$I$22,4,FALSE),'20Trips'!$AB$46:$AH$50,4,FALSE))/1440),1,0)</f>
        <v>1</v>
      </c>
      <c r="G56" s="2">
        <f>IF(AND(VLOOKUP(G$1,'20Trips'!$A$3:$F$22,5,FALSE) - VLOOKUP($B56,'20Trips'!$A$3:$G$22,6,FALSE) &gt;= ('20Trips'!$B$24+VLOOKUP(VLOOKUP($B56,'20Trips'!$A$2:$I$22,4,FALSE),'20Trips'!$AB$46:$AH$50,4,FALSE))/1440),1,0)</f>
        <v>1</v>
      </c>
      <c r="H56" s="2">
        <f>IF(AND(VLOOKUP(H$1,'20Trips'!$A$3:$F$22,5,FALSE) - VLOOKUP($B56,'20Trips'!$A$3:$G$22,6,FALSE) &gt;= ('20Trips'!$B$24+VLOOKUP(VLOOKUP($B56,'20Trips'!$A$2:$I$22,4,FALSE),'20Trips'!$AB$46:$AH$50,4,FALSE))/1440),1,0)</f>
        <v>1</v>
      </c>
      <c r="I56" s="2" t="e">
        <f>IF(AND(VLOOKUP(I$1,'20Trips'!$A$3:$F$22,5,FALSE) - VLOOKUP($B56,'20Trips'!$A$3:$G$22,6,FALSE) &gt;= ('20Trips'!$B$24+VLOOKUP(VLOOKUP($B56,'20Trips'!$A$2:$I$22,4,FALSE),'20Trips'!$AB$46:$AH$50,4,FALSE))/1440),1,0)</f>
        <v>#N/A</v>
      </c>
      <c r="J56" s="2" t="e">
        <f>IF(AND(VLOOKUP(J$1,'20Trips'!$A$3:$F$22,5,FALSE) - VLOOKUP($B56,'20Trips'!$A$3:$G$22,6,FALSE) &gt;= ('20Trips'!$B$24+VLOOKUP(VLOOKUP($B56,'20Trips'!$A$2:$I$22,4,FALSE),'20Trips'!$AB$46:$AH$50,4,FALSE))/1440),1,0)</f>
        <v>#N/A</v>
      </c>
      <c r="K56" s="2" t="e">
        <f>IF(AND(VLOOKUP(K$1,'20Trips'!$A$3:$F$22,5,FALSE) - VLOOKUP($B56,'20Trips'!$A$3:$G$22,6,FALSE) &gt;= ('20Trips'!$B$24+VLOOKUP(VLOOKUP($B56,'20Trips'!$A$2:$I$22,4,FALSE),'20Trips'!$AB$46:$AH$50,4,FALSE))/1440),1,0)</f>
        <v>#N/A</v>
      </c>
      <c r="L56" s="2">
        <f>IF(AND(VLOOKUP(L$1,'20Trips'!$A$3:$F$22,5,FALSE) - VLOOKUP($B56,'20Trips'!$A$3:$G$22,6,FALSE) &gt;= ('20Trips'!$B$24+VLOOKUP(VLOOKUP($B56,'20Trips'!$A$2:$I$22,4,FALSE),'20Trips'!$AB$46:$AH$50,4,FALSE))/1440),1,0)</f>
        <v>0</v>
      </c>
      <c r="M56" s="2">
        <f>IF(AND(VLOOKUP(M$1,'20Trips'!$A$3:$F$22,5,FALSE) - VLOOKUP($B56,'20Trips'!$A$3:$G$22,6,FALSE) &gt;= ('20Trips'!$B$24+VLOOKUP(VLOOKUP($B56,'20Trips'!$A$2:$I$22,4,FALSE),'20Trips'!$AB$46:$AH$50,4,FALSE))/1440),1,0)</f>
        <v>0</v>
      </c>
      <c r="N56" s="2">
        <f>IF(AND(VLOOKUP(N$1,'20Trips'!$A$3:$F$22,5,FALSE) - VLOOKUP($B56,'20Trips'!$A$3:$G$22,6,FALSE) &gt;= ('20Trips'!$B$24+VLOOKUP(VLOOKUP($B56,'20Trips'!$A$2:$I$22,4,FALSE),'20Trips'!$AB$46:$AH$50,4,FALSE))/1440),1,0)</f>
        <v>1</v>
      </c>
      <c r="O56" s="2">
        <f>IF(AND(VLOOKUP(O$1,'20Trips'!$A$3:$F$22,5,FALSE) - VLOOKUP($B56,'20Trips'!$A$3:$G$22,6,FALSE) &gt;= ('20Trips'!$B$24+VLOOKUP(VLOOKUP($B56,'20Trips'!$A$2:$I$22,4,FALSE),'20Trips'!$AB$46:$AH$50,4,FALSE))/1440),1,0)</f>
        <v>1</v>
      </c>
      <c r="P56" s="2">
        <f>IF(AND(VLOOKUP(P$1,'20Trips'!$A$3:$F$22,5,FALSE) - VLOOKUP($B56,'20Trips'!$A$3:$G$22,6,FALSE) &gt;= ('20Trips'!$B$24+VLOOKUP(VLOOKUP($B56,'20Trips'!$A$2:$I$22,4,FALSE),'20Trips'!$AB$46:$AH$50,4,FALSE))/1440),1,0)</f>
        <v>1</v>
      </c>
      <c r="Q56" s="2" t="e">
        <f>IF(AND(VLOOKUP(Q$1,'20Trips'!$A$3:$F$22,5,FALSE) - VLOOKUP($B56,'20Trips'!$A$3:$G$22,6,FALSE) &gt;= ('20Trips'!$B$24+VLOOKUP(VLOOKUP($B56,'20Trips'!$A$2:$I$22,4,FALSE),'20Trips'!$AB$46:$AH$50,4,FALSE))/1440),1,0)</f>
        <v>#N/A</v>
      </c>
      <c r="R56" s="2">
        <f>IF(AND(VLOOKUP(R$1,'20Trips'!$A$3:$F$22,5,FALSE) - VLOOKUP($B56,'20Trips'!$A$3:$G$22,6,FALSE) &gt;= ('20Trips'!$B$24+VLOOKUP(VLOOKUP($B56,'20Trips'!$A$2:$I$22,4,FALSE),'20Trips'!$AB$46:$AH$50,4,FALSE))/1440),1,0)</f>
        <v>0</v>
      </c>
      <c r="S56" s="2">
        <f>IF(AND(VLOOKUP(S$1,'20Trips'!$A$3:$F$22,5,FALSE) - VLOOKUP($B56,'20Trips'!$A$3:$G$22,6,FALSE) &gt;= ('20Trips'!$B$24+VLOOKUP(VLOOKUP($B56,'20Trips'!$A$2:$I$22,4,FALSE),'20Trips'!$AB$46:$AH$50,4,FALSE))/1440),1,0)</f>
        <v>0</v>
      </c>
      <c r="T56" s="2">
        <f>IF(AND(VLOOKUP(T$1,'20Trips'!$A$3:$F$22,5,FALSE) - VLOOKUP($B56,'20Trips'!$A$3:$G$22,6,FALSE) &gt;= ('20Trips'!$B$24+VLOOKUP(VLOOKUP($B56,'20Trips'!$A$2:$I$22,4,FALSE),'20Trips'!$AB$46:$AH$50,4,FALSE))/1440),1,0)</f>
        <v>0</v>
      </c>
      <c r="U56" s="2">
        <f>IF(AND(VLOOKUP(U$1,'20Trips'!$A$3:$F$22,5,FALSE) - VLOOKUP($B56,'20Trips'!$A$3:$G$22,6,FALSE) &gt;= ('20Trips'!$B$24+VLOOKUP(VLOOKUP($B56,'20Trips'!$A$2:$I$22,4,FALSE),'20Trips'!$AB$46:$AH$50,4,FALSE))/1440),1,0)</f>
        <v>1</v>
      </c>
      <c r="V56" s="2">
        <f>IF(AND(VLOOKUP(V$1,'20Trips'!$A$3:$F$22,5,FALSE) - VLOOKUP($B56,'20Trips'!$A$3:$G$22,6,FALSE) &gt;= ('20Trips'!$B$24+VLOOKUP(VLOOKUP($B56,'20Trips'!$A$2:$I$22,4,FALSE),'20Trips'!$AB$46:$AH$50,4,FALSE))/1440),1,0)</f>
        <v>1</v>
      </c>
      <c r="W56" s="2" t="e">
        <f>IF(AND(VLOOKUP(W$1,'20Trips'!$A$3:$F$22,5,FALSE) - VLOOKUP($B56,'20Trips'!$A$3:$G$22,6,FALSE) &gt;= ('20Trips'!$B$24+VLOOKUP(VLOOKUP($B56,'20Trips'!$A$2:$I$22,4,FALSE),'20Trips'!$AB$46:$AH$50,4,FALSE))/1440),1,0)</f>
        <v>#N/A</v>
      </c>
      <c r="X56" s="2" t="e">
        <f>IF(AND(VLOOKUP(X$1,'20Trips'!$A$3:$F$22,5,FALSE) - VLOOKUP($B56,'20Trips'!$A$3:$G$22,6,FALSE) &gt;= ('20Trips'!$B$24+VLOOKUP(VLOOKUP($B56,'20Trips'!$A$2:$I$22,4,FALSE),'20Trips'!$AB$46:$AH$50,4,FALSE))/1440),1,0)</f>
        <v>#N/A</v>
      </c>
      <c r="Y56" s="2" t="e">
        <f>IF(AND(VLOOKUP(Y$1,'20Trips'!$A$3:$F$22,5,FALSE) - VLOOKUP($B56,'20Trips'!$A$3:$G$22,6,FALSE) &gt;= ('20Trips'!$B$24+VLOOKUP(VLOOKUP($B56,'20Trips'!$A$2:$I$22,4,FALSE),'20Trips'!$AB$46:$AH$50,4,FALSE))/1440),1,0)</f>
        <v>#N/A</v>
      </c>
      <c r="Z56" s="2">
        <f>IF(AND(VLOOKUP(Z$1,'20Trips'!$A$3:$F$22,5,FALSE) - VLOOKUP($B56,'20Trips'!$A$3:$G$22,6,FALSE) &gt;= ('20Trips'!$B$24+VLOOKUP(VLOOKUP($B56,'20Trips'!$A$2:$I$22,4,FALSE),'20Trips'!$AB$46:$AH$50,4,FALSE))/1440),1,0)</f>
        <v>0</v>
      </c>
      <c r="AA56" s="2">
        <f>IF(AND(VLOOKUP(AA$1,'20Trips'!$A$3:$F$22,5,FALSE) - VLOOKUP($B56,'20Trips'!$A$3:$G$22,6,FALSE) &gt;= ('20Trips'!$B$24+VLOOKUP(VLOOKUP($B56,'20Trips'!$A$2:$I$22,4,FALSE),'20Trips'!$AB$46:$AH$50,4,FALSE))/1440),1,0)</f>
        <v>0</v>
      </c>
      <c r="AB56" s="2">
        <f>IF(AND(VLOOKUP(AB$1,'20Trips'!$A$3:$F$22,5,FALSE) - VLOOKUP($B56,'20Trips'!$A$3:$G$22,6,FALSE) &gt;= ('20Trips'!$B$24+VLOOKUP(VLOOKUP($B56,'20Trips'!$A$2:$I$22,4,FALSE),'20Trips'!$AB$46:$AH$50,4,FALSE))/1440),1,0)</f>
        <v>1</v>
      </c>
      <c r="AC56" s="2">
        <f>IF(AND(VLOOKUP(AC$1,'20Trips'!$A$3:$F$22,5,FALSE) - VLOOKUP($B56,'20Trips'!$A$3:$G$22,6,FALSE) &gt;= ('20Trips'!$B$24+VLOOKUP(VLOOKUP($B56,'20Trips'!$A$2:$I$22,4,FALSE),'20Trips'!$AB$46:$AH$50,4,FALSE))/1440),1,0)</f>
        <v>1</v>
      </c>
      <c r="AD56" s="2">
        <f>IF(AND(VLOOKUP(AD$1,'20Trips'!$A$3:$F$22,5,FALSE) - VLOOKUP($B56,'20Trips'!$A$3:$G$22,6,FALSE) &gt;= ('20Trips'!$B$24+VLOOKUP(VLOOKUP($B56,'20Trips'!$A$2:$I$22,4,FALSE),'20Trips'!$AB$46:$AH$50,4,FALSE))/1440),1,0)</f>
        <v>1</v>
      </c>
      <c r="AE56" s="2" t="e">
        <f>IF(AND(VLOOKUP(AE$1,'20Trips'!$A$3:$F$22,5,FALSE) - VLOOKUP($B56,'20Trips'!$A$3:$G$22,6,FALSE) &gt;= ('20Trips'!$B$24+VLOOKUP(VLOOKUP($B56,'20Trips'!$A$2:$I$22,4,FALSE),'20Trips'!$AB$46:$AH$50,4,FALSE))/1440),1,0)</f>
        <v>#N/A</v>
      </c>
      <c r="AF56" s="2" t="e">
        <f>IF(AND(VLOOKUP(AF$1,'20Trips'!$A$3:$F$22,5,FALSE) - VLOOKUP($B56,'20Trips'!$A$3:$G$22,6,FALSE) &gt;= ('20Trips'!$B$24+VLOOKUP(VLOOKUP($B56,'20Trips'!$A$2:$I$22,4,FALSE),'20Trips'!$AB$46:$AH$50,4,FALSE))/1440),1,0)</f>
        <v>#N/A</v>
      </c>
      <c r="AG56" s="2" t="e">
        <f>IF(AND(VLOOKUP(AG$1,'20Trips'!$A$3:$F$22,5,FALSE) - VLOOKUP($B56,'20Trips'!$A$3:$G$22,6,FALSE) &gt;= ('20Trips'!$B$24+VLOOKUP(VLOOKUP($B56,'20Trips'!$A$2:$I$22,4,FALSE),'20Trips'!$AB$46:$AH$50,4,FALSE))/1440),1,0)</f>
        <v>#N/A</v>
      </c>
    </row>
    <row r="57" spans="1:33" x14ac:dyDescent="0.25">
      <c r="A57" t="s">
        <v>62</v>
      </c>
      <c r="B57" t="s">
        <v>35</v>
      </c>
      <c r="C57">
        <v>0</v>
      </c>
      <c r="D57" s="2">
        <f>IF(AND(VLOOKUP(D$1,'20Trips'!$A$3:$F$22,5,FALSE) - VLOOKUP($B57,'20Trips'!$A$3:$G$22,6,FALSE) &gt;= ('20Trips'!$B$24+VLOOKUP(VLOOKUP($B57,'20Trips'!$A$2:$I$22,4,FALSE),'20Trips'!$AB$46:$AH$50,4,FALSE))/1440),1,0)</f>
        <v>0</v>
      </c>
      <c r="E57" s="2">
        <f>IF(AND(VLOOKUP(E$1,'20Trips'!$A$3:$F$22,5,FALSE) - VLOOKUP($B57,'20Trips'!$A$3:$G$22,6,FALSE) &gt;= ('20Trips'!$B$24+VLOOKUP(VLOOKUP($B57,'20Trips'!$A$2:$I$22,4,FALSE),'20Trips'!$AB$46:$AH$50,4,FALSE))/1440),1,0)</f>
        <v>0</v>
      </c>
      <c r="F57" s="2">
        <f>IF(AND(VLOOKUP(F$1,'20Trips'!$A$3:$F$22,5,FALSE) - VLOOKUP($B57,'20Trips'!$A$3:$G$22,6,FALSE) &gt;= ('20Trips'!$B$24+VLOOKUP(VLOOKUP($B57,'20Trips'!$A$2:$I$22,4,FALSE),'20Trips'!$AB$46:$AH$50,4,FALSE))/1440),1,0)</f>
        <v>0</v>
      </c>
      <c r="G57" s="2">
        <f>IF(AND(VLOOKUP(G$1,'20Trips'!$A$3:$F$22,5,FALSE) - VLOOKUP($B57,'20Trips'!$A$3:$G$22,6,FALSE) &gt;= ('20Trips'!$B$24+VLOOKUP(VLOOKUP($B57,'20Trips'!$A$2:$I$22,4,FALSE),'20Trips'!$AB$46:$AH$50,4,FALSE))/1440),1,0)</f>
        <v>0</v>
      </c>
      <c r="H57" s="2">
        <f>IF(AND(VLOOKUP(H$1,'20Trips'!$A$3:$F$22,5,FALSE) - VLOOKUP($B57,'20Trips'!$A$3:$G$22,6,FALSE) &gt;= ('20Trips'!$B$24+VLOOKUP(VLOOKUP($B57,'20Trips'!$A$2:$I$22,4,FALSE),'20Trips'!$AB$46:$AH$50,4,FALSE))/1440),1,0)</f>
        <v>1</v>
      </c>
      <c r="I57" s="2" t="e">
        <f>IF(AND(VLOOKUP(I$1,'20Trips'!$A$3:$F$22,5,FALSE) - VLOOKUP($B57,'20Trips'!$A$3:$G$22,6,FALSE) &gt;= ('20Trips'!$B$24+VLOOKUP(VLOOKUP($B57,'20Trips'!$A$2:$I$22,4,FALSE),'20Trips'!$AB$46:$AH$50,4,FALSE))/1440),1,0)</f>
        <v>#N/A</v>
      </c>
      <c r="J57" s="2" t="e">
        <f>IF(AND(VLOOKUP(J$1,'20Trips'!$A$3:$F$22,5,FALSE) - VLOOKUP($B57,'20Trips'!$A$3:$G$22,6,FALSE) &gt;= ('20Trips'!$B$24+VLOOKUP(VLOOKUP($B57,'20Trips'!$A$2:$I$22,4,FALSE),'20Trips'!$AB$46:$AH$50,4,FALSE))/1440),1,0)</f>
        <v>#N/A</v>
      </c>
      <c r="K57" s="2" t="e">
        <f>IF(AND(VLOOKUP(K$1,'20Trips'!$A$3:$F$22,5,FALSE) - VLOOKUP($B57,'20Trips'!$A$3:$G$22,6,FALSE) &gt;= ('20Trips'!$B$24+VLOOKUP(VLOOKUP($B57,'20Trips'!$A$2:$I$22,4,FALSE),'20Trips'!$AB$46:$AH$50,4,FALSE))/1440),1,0)</f>
        <v>#N/A</v>
      </c>
      <c r="L57" s="2">
        <f>IF(AND(VLOOKUP(L$1,'20Trips'!$A$3:$F$22,5,FALSE) - VLOOKUP($B57,'20Trips'!$A$3:$G$22,6,FALSE) &gt;= ('20Trips'!$B$24+VLOOKUP(VLOOKUP($B57,'20Trips'!$A$2:$I$22,4,FALSE),'20Trips'!$AB$46:$AH$50,4,FALSE))/1440),1,0)</f>
        <v>0</v>
      </c>
      <c r="M57" s="2">
        <f>IF(AND(VLOOKUP(M$1,'20Trips'!$A$3:$F$22,5,FALSE) - VLOOKUP($B57,'20Trips'!$A$3:$G$22,6,FALSE) &gt;= ('20Trips'!$B$24+VLOOKUP(VLOOKUP($B57,'20Trips'!$A$2:$I$22,4,FALSE),'20Trips'!$AB$46:$AH$50,4,FALSE))/1440),1,0)</f>
        <v>0</v>
      </c>
      <c r="N57" s="2">
        <f>IF(AND(VLOOKUP(N$1,'20Trips'!$A$3:$F$22,5,FALSE) - VLOOKUP($B57,'20Trips'!$A$3:$G$22,6,FALSE) &gt;= ('20Trips'!$B$24+VLOOKUP(VLOOKUP($B57,'20Trips'!$A$2:$I$22,4,FALSE),'20Trips'!$AB$46:$AH$50,4,FALSE))/1440),1,0)</f>
        <v>0</v>
      </c>
      <c r="O57" s="2">
        <f>IF(AND(VLOOKUP(O$1,'20Trips'!$A$3:$F$22,5,FALSE) - VLOOKUP($B57,'20Trips'!$A$3:$G$22,6,FALSE) &gt;= ('20Trips'!$B$24+VLOOKUP(VLOOKUP($B57,'20Trips'!$A$2:$I$22,4,FALSE),'20Trips'!$AB$46:$AH$50,4,FALSE))/1440),1,0)</f>
        <v>1</v>
      </c>
      <c r="P57" s="2">
        <f>IF(AND(VLOOKUP(P$1,'20Trips'!$A$3:$F$22,5,FALSE) - VLOOKUP($B57,'20Trips'!$A$3:$G$22,6,FALSE) &gt;= ('20Trips'!$B$24+VLOOKUP(VLOOKUP($B57,'20Trips'!$A$2:$I$22,4,FALSE),'20Trips'!$AB$46:$AH$50,4,FALSE))/1440),1,0)</f>
        <v>1</v>
      </c>
      <c r="Q57" s="2" t="e">
        <f>IF(AND(VLOOKUP(Q$1,'20Trips'!$A$3:$F$22,5,FALSE) - VLOOKUP($B57,'20Trips'!$A$3:$G$22,6,FALSE) &gt;= ('20Trips'!$B$24+VLOOKUP(VLOOKUP($B57,'20Trips'!$A$2:$I$22,4,FALSE),'20Trips'!$AB$46:$AH$50,4,FALSE))/1440),1,0)</f>
        <v>#N/A</v>
      </c>
      <c r="R57" s="2">
        <f>IF(AND(VLOOKUP(R$1,'20Trips'!$A$3:$F$22,5,FALSE) - VLOOKUP($B57,'20Trips'!$A$3:$G$22,6,FALSE) &gt;= ('20Trips'!$B$24+VLOOKUP(VLOOKUP($B57,'20Trips'!$A$2:$I$22,4,FALSE),'20Trips'!$AB$46:$AH$50,4,FALSE))/1440),1,0)</f>
        <v>0</v>
      </c>
      <c r="S57" s="2">
        <f>IF(AND(VLOOKUP(S$1,'20Trips'!$A$3:$F$22,5,FALSE) - VLOOKUP($B57,'20Trips'!$A$3:$G$22,6,FALSE) &gt;= ('20Trips'!$B$24+VLOOKUP(VLOOKUP($B57,'20Trips'!$A$2:$I$22,4,FALSE),'20Trips'!$AB$46:$AH$50,4,FALSE))/1440),1,0)</f>
        <v>0</v>
      </c>
      <c r="T57" s="2">
        <f>IF(AND(VLOOKUP(T$1,'20Trips'!$A$3:$F$22,5,FALSE) - VLOOKUP($B57,'20Trips'!$A$3:$G$22,6,FALSE) &gt;= ('20Trips'!$B$24+VLOOKUP(VLOOKUP($B57,'20Trips'!$A$2:$I$22,4,FALSE),'20Trips'!$AB$46:$AH$50,4,FALSE))/1440),1,0)</f>
        <v>0</v>
      </c>
      <c r="U57" s="2">
        <f>IF(AND(VLOOKUP(U$1,'20Trips'!$A$3:$F$22,5,FALSE) - VLOOKUP($B57,'20Trips'!$A$3:$G$22,6,FALSE) &gt;= ('20Trips'!$B$24+VLOOKUP(VLOOKUP($B57,'20Trips'!$A$2:$I$22,4,FALSE),'20Trips'!$AB$46:$AH$50,4,FALSE))/1440),1,0)</f>
        <v>0</v>
      </c>
      <c r="V57" s="2">
        <f>IF(AND(VLOOKUP(V$1,'20Trips'!$A$3:$F$22,5,FALSE) - VLOOKUP($B57,'20Trips'!$A$3:$G$22,6,FALSE) &gt;= ('20Trips'!$B$24+VLOOKUP(VLOOKUP($B57,'20Trips'!$A$2:$I$22,4,FALSE),'20Trips'!$AB$46:$AH$50,4,FALSE))/1440),1,0)</f>
        <v>0</v>
      </c>
      <c r="W57" s="2" t="e">
        <f>IF(AND(VLOOKUP(W$1,'20Trips'!$A$3:$F$22,5,FALSE) - VLOOKUP($B57,'20Trips'!$A$3:$G$22,6,FALSE) &gt;= ('20Trips'!$B$24+VLOOKUP(VLOOKUP($B57,'20Trips'!$A$2:$I$22,4,FALSE),'20Trips'!$AB$46:$AH$50,4,FALSE))/1440),1,0)</f>
        <v>#N/A</v>
      </c>
      <c r="X57" s="2" t="e">
        <f>IF(AND(VLOOKUP(X$1,'20Trips'!$A$3:$F$22,5,FALSE) - VLOOKUP($B57,'20Trips'!$A$3:$G$22,6,FALSE) &gt;= ('20Trips'!$B$24+VLOOKUP(VLOOKUP($B57,'20Trips'!$A$2:$I$22,4,FALSE),'20Trips'!$AB$46:$AH$50,4,FALSE))/1440),1,0)</f>
        <v>#N/A</v>
      </c>
      <c r="Y57" s="2" t="e">
        <f>IF(AND(VLOOKUP(Y$1,'20Trips'!$A$3:$F$22,5,FALSE) - VLOOKUP($B57,'20Trips'!$A$3:$G$22,6,FALSE) &gt;= ('20Trips'!$B$24+VLOOKUP(VLOOKUP($B57,'20Trips'!$A$2:$I$22,4,FALSE),'20Trips'!$AB$46:$AH$50,4,FALSE))/1440),1,0)</f>
        <v>#N/A</v>
      </c>
      <c r="Z57" s="2">
        <f>IF(AND(VLOOKUP(Z$1,'20Trips'!$A$3:$F$22,5,FALSE) - VLOOKUP($B57,'20Trips'!$A$3:$G$22,6,FALSE) &gt;= ('20Trips'!$B$24+VLOOKUP(VLOOKUP($B57,'20Trips'!$A$2:$I$22,4,FALSE),'20Trips'!$AB$46:$AH$50,4,FALSE))/1440),1,0)</f>
        <v>0</v>
      </c>
      <c r="AA57" s="2">
        <f>IF(AND(VLOOKUP(AA$1,'20Trips'!$A$3:$F$22,5,FALSE) - VLOOKUP($B57,'20Trips'!$A$3:$G$22,6,FALSE) &gt;= ('20Trips'!$B$24+VLOOKUP(VLOOKUP($B57,'20Trips'!$A$2:$I$22,4,FALSE),'20Trips'!$AB$46:$AH$50,4,FALSE))/1440),1,0)</f>
        <v>0</v>
      </c>
      <c r="AB57" s="2">
        <f>IF(AND(VLOOKUP(AB$1,'20Trips'!$A$3:$F$22,5,FALSE) - VLOOKUP($B57,'20Trips'!$A$3:$G$22,6,FALSE) &gt;= ('20Trips'!$B$24+VLOOKUP(VLOOKUP($B57,'20Trips'!$A$2:$I$22,4,FALSE),'20Trips'!$AB$46:$AH$50,4,FALSE))/1440),1,0)</f>
        <v>0</v>
      </c>
      <c r="AC57" s="2">
        <f>IF(AND(VLOOKUP(AC$1,'20Trips'!$A$3:$F$22,5,FALSE) - VLOOKUP($B57,'20Trips'!$A$3:$G$22,6,FALSE) &gt;= ('20Trips'!$B$24+VLOOKUP(VLOOKUP($B57,'20Trips'!$A$2:$I$22,4,FALSE),'20Trips'!$AB$46:$AH$50,4,FALSE))/1440),1,0)</f>
        <v>0</v>
      </c>
      <c r="AD57" s="2">
        <f>IF(AND(VLOOKUP(AD$1,'20Trips'!$A$3:$F$22,5,FALSE) - VLOOKUP($B57,'20Trips'!$A$3:$G$22,6,FALSE) &gt;= ('20Trips'!$B$24+VLOOKUP(VLOOKUP($B57,'20Trips'!$A$2:$I$22,4,FALSE),'20Trips'!$AB$46:$AH$50,4,FALSE))/1440),1,0)</f>
        <v>1</v>
      </c>
      <c r="AE57" s="2" t="e">
        <f>IF(AND(VLOOKUP(AE$1,'20Trips'!$A$3:$F$22,5,FALSE) - VLOOKUP($B57,'20Trips'!$A$3:$G$22,6,FALSE) &gt;= ('20Trips'!$B$24+VLOOKUP(VLOOKUP($B57,'20Trips'!$A$2:$I$22,4,FALSE),'20Trips'!$AB$46:$AH$50,4,FALSE))/1440),1,0)</f>
        <v>#N/A</v>
      </c>
      <c r="AF57" s="2" t="e">
        <f>IF(AND(VLOOKUP(AF$1,'20Trips'!$A$3:$F$22,5,FALSE) - VLOOKUP($B57,'20Trips'!$A$3:$G$22,6,FALSE) &gt;= ('20Trips'!$B$24+VLOOKUP(VLOOKUP($B57,'20Trips'!$A$2:$I$22,4,FALSE),'20Trips'!$AB$46:$AH$50,4,FALSE))/1440),1,0)</f>
        <v>#N/A</v>
      </c>
      <c r="AG57" s="2" t="e">
        <f>IF(AND(VLOOKUP(AG$1,'20Trips'!$A$3:$F$22,5,FALSE) - VLOOKUP($B57,'20Trips'!$A$3:$G$22,6,FALSE) &gt;= ('20Trips'!$B$24+VLOOKUP(VLOOKUP($B57,'20Trips'!$A$2:$I$22,4,FALSE),'20Trips'!$AB$46:$AH$50,4,FALSE))/1440),1,0)</f>
        <v>#N/A</v>
      </c>
    </row>
    <row r="58" spans="1:33" x14ac:dyDescent="0.25">
      <c r="A58" t="s">
        <v>62</v>
      </c>
      <c r="B58" t="s">
        <v>36</v>
      </c>
      <c r="C58">
        <v>0</v>
      </c>
      <c r="D58" s="2">
        <f>IF(AND(VLOOKUP(D$1,'20Trips'!$A$3:$F$22,5,FALSE) - VLOOKUP($B58,'20Trips'!$A$3:$G$22,6,FALSE) &gt;= ('20Trips'!$B$24+VLOOKUP(VLOOKUP($B58,'20Trips'!$A$2:$I$22,4,FALSE),'20Trips'!$AB$46:$AH$50,4,FALSE))/1440),1,0)</f>
        <v>0</v>
      </c>
      <c r="E58" s="2">
        <f>IF(AND(VLOOKUP(E$1,'20Trips'!$A$3:$F$22,5,FALSE) - VLOOKUP($B58,'20Trips'!$A$3:$G$22,6,FALSE) &gt;= ('20Trips'!$B$24+VLOOKUP(VLOOKUP($B58,'20Trips'!$A$2:$I$22,4,FALSE),'20Trips'!$AB$46:$AH$50,4,FALSE))/1440),1,0)</f>
        <v>0</v>
      </c>
      <c r="F58" s="2">
        <f>IF(AND(VLOOKUP(F$1,'20Trips'!$A$3:$F$22,5,FALSE) - VLOOKUP($B58,'20Trips'!$A$3:$G$22,6,FALSE) &gt;= ('20Trips'!$B$24+VLOOKUP(VLOOKUP($B58,'20Trips'!$A$2:$I$22,4,FALSE),'20Trips'!$AB$46:$AH$50,4,FALSE))/1440),1,0)</f>
        <v>0</v>
      </c>
      <c r="G58" s="2">
        <f>IF(AND(VLOOKUP(G$1,'20Trips'!$A$3:$F$22,5,FALSE) - VLOOKUP($B58,'20Trips'!$A$3:$G$22,6,FALSE) &gt;= ('20Trips'!$B$24+VLOOKUP(VLOOKUP($B58,'20Trips'!$A$2:$I$22,4,FALSE),'20Trips'!$AB$46:$AH$50,4,FALSE))/1440),1,0)</f>
        <v>0</v>
      </c>
      <c r="H58" s="2">
        <f>IF(AND(VLOOKUP(H$1,'20Trips'!$A$3:$F$22,5,FALSE) - VLOOKUP($B58,'20Trips'!$A$3:$G$22,6,FALSE) &gt;= ('20Trips'!$B$24+VLOOKUP(VLOOKUP($B58,'20Trips'!$A$2:$I$22,4,FALSE),'20Trips'!$AB$46:$AH$50,4,FALSE))/1440),1,0)</f>
        <v>0</v>
      </c>
      <c r="I58" s="2" t="e">
        <f>IF(AND(VLOOKUP(I$1,'20Trips'!$A$3:$F$22,5,FALSE) - VLOOKUP($B58,'20Trips'!$A$3:$G$22,6,FALSE) &gt;= ('20Trips'!$B$24+VLOOKUP(VLOOKUP($B58,'20Trips'!$A$2:$I$22,4,FALSE),'20Trips'!$AB$46:$AH$50,4,FALSE))/1440),1,0)</f>
        <v>#N/A</v>
      </c>
      <c r="J58" s="2" t="e">
        <f>IF(AND(VLOOKUP(J$1,'20Trips'!$A$3:$F$22,5,FALSE) - VLOOKUP($B58,'20Trips'!$A$3:$G$22,6,FALSE) &gt;= ('20Trips'!$B$24+VLOOKUP(VLOOKUP($B58,'20Trips'!$A$2:$I$22,4,FALSE),'20Trips'!$AB$46:$AH$50,4,FALSE))/1440),1,0)</f>
        <v>#N/A</v>
      </c>
      <c r="K58" s="2" t="e">
        <f>IF(AND(VLOOKUP(K$1,'20Trips'!$A$3:$F$22,5,FALSE) - VLOOKUP($B58,'20Trips'!$A$3:$G$22,6,FALSE) &gt;= ('20Trips'!$B$24+VLOOKUP(VLOOKUP($B58,'20Trips'!$A$2:$I$22,4,FALSE),'20Trips'!$AB$46:$AH$50,4,FALSE))/1440),1,0)</f>
        <v>#N/A</v>
      </c>
      <c r="L58" s="2">
        <f>IF(AND(VLOOKUP(L$1,'20Trips'!$A$3:$F$22,5,FALSE) - VLOOKUP($B58,'20Trips'!$A$3:$G$22,6,FALSE) &gt;= ('20Trips'!$B$24+VLOOKUP(VLOOKUP($B58,'20Trips'!$A$2:$I$22,4,FALSE),'20Trips'!$AB$46:$AH$50,4,FALSE))/1440),1,0)</f>
        <v>0</v>
      </c>
      <c r="M58" s="2">
        <f>IF(AND(VLOOKUP(M$1,'20Trips'!$A$3:$F$22,5,FALSE) - VLOOKUP($B58,'20Trips'!$A$3:$G$22,6,FALSE) &gt;= ('20Trips'!$B$24+VLOOKUP(VLOOKUP($B58,'20Trips'!$A$2:$I$22,4,FALSE),'20Trips'!$AB$46:$AH$50,4,FALSE))/1440),1,0)</f>
        <v>0</v>
      </c>
      <c r="N58" s="2">
        <f>IF(AND(VLOOKUP(N$1,'20Trips'!$A$3:$F$22,5,FALSE) - VLOOKUP($B58,'20Trips'!$A$3:$G$22,6,FALSE) &gt;= ('20Trips'!$B$24+VLOOKUP(VLOOKUP($B58,'20Trips'!$A$2:$I$22,4,FALSE),'20Trips'!$AB$46:$AH$50,4,FALSE))/1440),1,0)</f>
        <v>0</v>
      </c>
      <c r="O58" s="2">
        <f>IF(AND(VLOOKUP(O$1,'20Trips'!$A$3:$F$22,5,FALSE) - VLOOKUP($B58,'20Trips'!$A$3:$G$22,6,FALSE) &gt;= ('20Trips'!$B$24+VLOOKUP(VLOOKUP($B58,'20Trips'!$A$2:$I$22,4,FALSE),'20Trips'!$AB$46:$AH$50,4,FALSE))/1440),1,0)</f>
        <v>1</v>
      </c>
      <c r="P58" s="2">
        <f>IF(AND(VLOOKUP(P$1,'20Trips'!$A$3:$F$22,5,FALSE) - VLOOKUP($B58,'20Trips'!$A$3:$G$22,6,FALSE) &gt;= ('20Trips'!$B$24+VLOOKUP(VLOOKUP($B58,'20Trips'!$A$2:$I$22,4,FALSE),'20Trips'!$AB$46:$AH$50,4,FALSE))/1440),1,0)</f>
        <v>1</v>
      </c>
      <c r="Q58" s="2" t="e">
        <f>IF(AND(VLOOKUP(Q$1,'20Trips'!$A$3:$F$22,5,FALSE) - VLOOKUP($B58,'20Trips'!$A$3:$G$22,6,FALSE) &gt;= ('20Trips'!$B$24+VLOOKUP(VLOOKUP($B58,'20Trips'!$A$2:$I$22,4,FALSE),'20Trips'!$AB$46:$AH$50,4,FALSE))/1440),1,0)</f>
        <v>#N/A</v>
      </c>
      <c r="R58" s="2">
        <f>IF(AND(VLOOKUP(R$1,'20Trips'!$A$3:$F$22,5,FALSE) - VLOOKUP($B58,'20Trips'!$A$3:$G$22,6,FALSE) &gt;= ('20Trips'!$B$24+VLOOKUP(VLOOKUP($B58,'20Trips'!$A$2:$I$22,4,FALSE),'20Trips'!$AB$46:$AH$50,4,FALSE))/1440),1,0)</f>
        <v>0</v>
      </c>
      <c r="S58" s="2">
        <f>IF(AND(VLOOKUP(S$1,'20Trips'!$A$3:$F$22,5,FALSE) - VLOOKUP($B58,'20Trips'!$A$3:$G$22,6,FALSE) &gt;= ('20Trips'!$B$24+VLOOKUP(VLOOKUP($B58,'20Trips'!$A$2:$I$22,4,FALSE),'20Trips'!$AB$46:$AH$50,4,FALSE))/1440),1,0)</f>
        <v>0</v>
      </c>
      <c r="T58" s="2">
        <f>IF(AND(VLOOKUP(T$1,'20Trips'!$A$3:$F$22,5,FALSE) - VLOOKUP($B58,'20Trips'!$A$3:$G$22,6,FALSE) &gt;= ('20Trips'!$B$24+VLOOKUP(VLOOKUP($B58,'20Trips'!$A$2:$I$22,4,FALSE),'20Trips'!$AB$46:$AH$50,4,FALSE))/1440),1,0)</f>
        <v>0</v>
      </c>
      <c r="U58" s="2">
        <f>IF(AND(VLOOKUP(U$1,'20Trips'!$A$3:$F$22,5,FALSE) - VLOOKUP($B58,'20Trips'!$A$3:$G$22,6,FALSE) &gt;= ('20Trips'!$B$24+VLOOKUP(VLOOKUP($B58,'20Trips'!$A$2:$I$22,4,FALSE),'20Trips'!$AB$46:$AH$50,4,FALSE))/1440),1,0)</f>
        <v>0</v>
      </c>
      <c r="V58" s="2">
        <f>IF(AND(VLOOKUP(V$1,'20Trips'!$A$3:$F$22,5,FALSE) - VLOOKUP($B58,'20Trips'!$A$3:$G$22,6,FALSE) &gt;= ('20Trips'!$B$24+VLOOKUP(VLOOKUP($B58,'20Trips'!$A$2:$I$22,4,FALSE),'20Trips'!$AB$46:$AH$50,4,FALSE))/1440),1,0)</f>
        <v>0</v>
      </c>
      <c r="W58" s="2" t="e">
        <f>IF(AND(VLOOKUP(W$1,'20Trips'!$A$3:$F$22,5,FALSE) - VLOOKUP($B58,'20Trips'!$A$3:$G$22,6,FALSE) &gt;= ('20Trips'!$B$24+VLOOKUP(VLOOKUP($B58,'20Trips'!$A$2:$I$22,4,FALSE),'20Trips'!$AB$46:$AH$50,4,FALSE))/1440),1,0)</f>
        <v>#N/A</v>
      </c>
      <c r="X58" s="2" t="e">
        <f>IF(AND(VLOOKUP(X$1,'20Trips'!$A$3:$F$22,5,FALSE) - VLOOKUP($B58,'20Trips'!$A$3:$G$22,6,FALSE) &gt;= ('20Trips'!$B$24+VLOOKUP(VLOOKUP($B58,'20Trips'!$A$2:$I$22,4,FALSE),'20Trips'!$AB$46:$AH$50,4,FALSE))/1440),1,0)</f>
        <v>#N/A</v>
      </c>
      <c r="Y58" s="2" t="e">
        <f>IF(AND(VLOOKUP(Y$1,'20Trips'!$A$3:$F$22,5,FALSE) - VLOOKUP($B58,'20Trips'!$A$3:$G$22,6,FALSE) &gt;= ('20Trips'!$B$24+VLOOKUP(VLOOKUP($B58,'20Trips'!$A$2:$I$22,4,FALSE),'20Trips'!$AB$46:$AH$50,4,FALSE))/1440),1,0)</f>
        <v>#N/A</v>
      </c>
      <c r="Z58" s="2">
        <f>IF(AND(VLOOKUP(Z$1,'20Trips'!$A$3:$F$22,5,FALSE) - VLOOKUP($B58,'20Trips'!$A$3:$G$22,6,FALSE) &gt;= ('20Trips'!$B$24+VLOOKUP(VLOOKUP($B58,'20Trips'!$A$2:$I$22,4,FALSE),'20Trips'!$AB$46:$AH$50,4,FALSE))/1440),1,0)</f>
        <v>0</v>
      </c>
      <c r="AA58" s="2">
        <f>IF(AND(VLOOKUP(AA$1,'20Trips'!$A$3:$F$22,5,FALSE) - VLOOKUP($B58,'20Trips'!$A$3:$G$22,6,FALSE) &gt;= ('20Trips'!$B$24+VLOOKUP(VLOOKUP($B58,'20Trips'!$A$2:$I$22,4,FALSE),'20Trips'!$AB$46:$AH$50,4,FALSE))/1440),1,0)</f>
        <v>0</v>
      </c>
      <c r="AB58" s="2">
        <f>IF(AND(VLOOKUP(AB$1,'20Trips'!$A$3:$F$22,5,FALSE) - VLOOKUP($B58,'20Trips'!$A$3:$G$22,6,FALSE) &gt;= ('20Trips'!$B$24+VLOOKUP(VLOOKUP($B58,'20Trips'!$A$2:$I$22,4,FALSE),'20Trips'!$AB$46:$AH$50,4,FALSE))/1440),1,0)</f>
        <v>0</v>
      </c>
      <c r="AC58" s="2">
        <f>IF(AND(VLOOKUP(AC$1,'20Trips'!$A$3:$F$22,5,FALSE) - VLOOKUP($B58,'20Trips'!$A$3:$G$22,6,FALSE) &gt;= ('20Trips'!$B$24+VLOOKUP(VLOOKUP($B58,'20Trips'!$A$2:$I$22,4,FALSE),'20Trips'!$AB$46:$AH$50,4,FALSE))/1440),1,0)</f>
        <v>0</v>
      </c>
      <c r="AD58" s="2">
        <f>IF(AND(VLOOKUP(AD$1,'20Trips'!$A$3:$F$22,5,FALSE) - VLOOKUP($B58,'20Trips'!$A$3:$G$22,6,FALSE) &gt;= ('20Trips'!$B$24+VLOOKUP(VLOOKUP($B58,'20Trips'!$A$2:$I$22,4,FALSE),'20Trips'!$AB$46:$AH$50,4,FALSE))/1440),1,0)</f>
        <v>0</v>
      </c>
      <c r="AE58" s="2" t="e">
        <f>IF(AND(VLOOKUP(AE$1,'20Trips'!$A$3:$F$22,5,FALSE) - VLOOKUP($B58,'20Trips'!$A$3:$G$22,6,FALSE) &gt;= ('20Trips'!$B$24+VLOOKUP(VLOOKUP($B58,'20Trips'!$A$2:$I$22,4,FALSE),'20Trips'!$AB$46:$AH$50,4,FALSE))/1440),1,0)</f>
        <v>#N/A</v>
      </c>
      <c r="AF58" s="2" t="e">
        <f>IF(AND(VLOOKUP(AF$1,'20Trips'!$A$3:$F$22,5,FALSE) - VLOOKUP($B58,'20Trips'!$A$3:$G$22,6,FALSE) &gt;= ('20Trips'!$B$24+VLOOKUP(VLOOKUP($B58,'20Trips'!$A$2:$I$22,4,FALSE),'20Trips'!$AB$46:$AH$50,4,FALSE))/1440),1,0)</f>
        <v>#N/A</v>
      </c>
      <c r="AG58" s="2" t="e">
        <f>IF(AND(VLOOKUP(AG$1,'20Trips'!$A$3:$F$22,5,FALSE) - VLOOKUP($B58,'20Trips'!$A$3:$G$22,6,FALSE) &gt;= ('20Trips'!$B$24+VLOOKUP(VLOOKUP($B58,'20Trips'!$A$2:$I$22,4,FALSE),'20Trips'!$AB$46:$AH$50,4,FALSE))/1440),1,0)</f>
        <v>#N/A</v>
      </c>
    </row>
    <row r="59" spans="1:33" x14ac:dyDescent="0.25">
      <c r="A59" t="s">
        <v>62</v>
      </c>
      <c r="B59" t="s">
        <v>37</v>
      </c>
      <c r="C59">
        <v>0</v>
      </c>
      <c r="D59" s="2">
        <f>IF(AND(VLOOKUP(D$1,'20Trips'!$A$3:$F$22,5,FALSE) - VLOOKUP($B59,'20Trips'!$A$3:$G$22,6,FALSE) &gt;= ('20Trips'!$B$24+VLOOKUP(VLOOKUP($B59,'20Trips'!$A$2:$I$22,4,FALSE),'20Trips'!$AB$46:$AH$50,4,FALSE))/1440),1,0)</f>
        <v>0</v>
      </c>
      <c r="E59" s="2">
        <f>IF(AND(VLOOKUP(E$1,'20Trips'!$A$3:$F$22,5,FALSE) - VLOOKUP($B59,'20Trips'!$A$3:$G$22,6,FALSE) &gt;= ('20Trips'!$B$24+VLOOKUP(VLOOKUP($B59,'20Trips'!$A$2:$I$22,4,FALSE),'20Trips'!$AB$46:$AH$50,4,FALSE))/1440),1,0)</f>
        <v>0</v>
      </c>
      <c r="F59" s="2">
        <f>IF(AND(VLOOKUP(F$1,'20Trips'!$A$3:$F$22,5,FALSE) - VLOOKUP($B59,'20Trips'!$A$3:$G$22,6,FALSE) &gt;= ('20Trips'!$B$24+VLOOKUP(VLOOKUP($B59,'20Trips'!$A$2:$I$22,4,FALSE),'20Trips'!$AB$46:$AH$50,4,FALSE))/1440),1,0)</f>
        <v>0</v>
      </c>
      <c r="G59" s="2">
        <f>IF(AND(VLOOKUP(G$1,'20Trips'!$A$3:$F$22,5,FALSE) - VLOOKUP($B59,'20Trips'!$A$3:$G$22,6,FALSE) &gt;= ('20Trips'!$B$24+VLOOKUP(VLOOKUP($B59,'20Trips'!$A$2:$I$22,4,FALSE),'20Trips'!$AB$46:$AH$50,4,FALSE))/1440),1,0)</f>
        <v>0</v>
      </c>
      <c r="H59" s="2">
        <f>IF(AND(VLOOKUP(H$1,'20Trips'!$A$3:$F$22,5,FALSE) - VLOOKUP($B59,'20Trips'!$A$3:$G$22,6,FALSE) &gt;= ('20Trips'!$B$24+VLOOKUP(VLOOKUP($B59,'20Trips'!$A$2:$I$22,4,FALSE),'20Trips'!$AB$46:$AH$50,4,FALSE))/1440),1,0)</f>
        <v>0</v>
      </c>
      <c r="I59" s="2" t="e">
        <f>IF(AND(VLOOKUP(I$1,'20Trips'!$A$3:$F$22,5,FALSE) - VLOOKUP($B59,'20Trips'!$A$3:$G$22,6,FALSE) &gt;= ('20Trips'!$B$24+VLOOKUP(VLOOKUP($B59,'20Trips'!$A$2:$I$22,4,FALSE),'20Trips'!$AB$46:$AH$50,4,FALSE))/1440),1,0)</f>
        <v>#N/A</v>
      </c>
      <c r="J59" s="2" t="e">
        <f>IF(AND(VLOOKUP(J$1,'20Trips'!$A$3:$F$22,5,FALSE) - VLOOKUP($B59,'20Trips'!$A$3:$G$22,6,FALSE) &gt;= ('20Trips'!$B$24+VLOOKUP(VLOOKUP($B59,'20Trips'!$A$2:$I$22,4,FALSE),'20Trips'!$AB$46:$AH$50,4,FALSE))/1440),1,0)</f>
        <v>#N/A</v>
      </c>
      <c r="K59" s="2" t="e">
        <f>IF(AND(VLOOKUP(K$1,'20Trips'!$A$3:$F$22,5,FALSE) - VLOOKUP($B59,'20Trips'!$A$3:$G$22,6,FALSE) &gt;= ('20Trips'!$B$24+VLOOKUP(VLOOKUP($B59,'20Trips'!$A$2:$I$22,4,FALSE),'20Trips'!$AB$46:$AH$50,4,FALSE))/1440),1,0)</f>
        <v>#N/A</v>
      </c>
      <c r="L59" s="2">
        <f>IF(AND(VLOOKUP(L$1,'20Trips'!$A$3:$F$22,5,FALSE) - VLOOKUP($B59,'20Trips'!$A$3:$G$22,6,FALSE) &gt;= ('20Trips'!$B$24+VLOOKUP(VLOOKUP($B59,'20Trips'!$A$2:$I$22,4,FALSE),'20Trips'!$AB$46:$AH$50,4,FALSE))/1440),1,0)</f>
        <v>0</v>
      </c>
      <c r="M59" s="2">
        <f>IF(AND(VLOOKUP(M$1,'20Trips'!$A$3:$F$22,5,FALSE) - VLOOKUP($B59,'20Trips'!$A$3:$G$22,6,FALSE) &gt;= ('20Trips'!$B$24+VLOOKUP(VLOOKUP($B59,'20Trips'!$A$2:$I$22,4,FALSE),'20Trips'!$AB$46:$AH$50,4,FALSE))/1440),1,0)</f>
        <v>0</v>
      </c>
      <c r="N59" s="2">
        <f>IF(AND(VLOOKUP(N$1,'20Trips'!$A$3:$F$22,5,FALSE) - VLOOKUP($B59,'20Trips'!$A$3:$G$22,6,FALSE) &gt;= ('20Trips'!$B$24+VLOOKUP(VLOOKUP($B59,'20Trips'!$A$2:$I$22,4,FALSE),'20Trips'!$AB$46:$AH$50,4,FALSE))/1440),1,0)</f>
        <v>0</v>
      </c>
      <c r="O59" s="2">
        <f>IF(AND(VLOOKUP(O$1,'20Trips'!$A$3:$F$22,5,FALSE) - VLOOKUP($B59,'20Trips'!$A$3:$G$22,6,FALSE) &gt;= ('20Trips'!$B$24+VLOOKUP(VLOOKUP($B59,'20Trips'!$A$2:$I$22,4,FALSE),'20Trips'!$AB$46:$AH$50,4,FALSE))/1440),1,0)</f>
        <v>1</v>
      </c>
      <c r="P59" s="2">
        <f>IF(AND(VLOOKUP(P$1,'20Trips'!$A$3:$F$22,5,FALSE) - VLOOKUP($B59,'20Trips'!$A$3:$G$22,6,FALSE) &gt;= ('20Trips'!$B$24+VLOOKUP(VLOOKUP($B59,'20Trips'!$A$2:$I$22,4,FALSE),'20Trips'!$AB$46:$AH$50,4,FALSE))/1440),1,0)</f>
        <v>1</v>
      </c>
      <c r="Q59" s="2" t="e">
        <f>IF(AND(VLOOKUP(Q$1,'20Trips'!$A$3:$F$22,5,FALSE) - VLOOKUP($B59,'20Trips'!$A$3:$G$22,6,FALSE) &gt;= ('20Trips'!$B$24+VLOOKUP(VLOOKUP($B59,'20Trips'!$A$2:$I$22,4,FALSE),'20Trips'!$AB$46:$AH$50,4,FALSE))/1440),1,0)</f>
        <v>#N/A</v>
      </c>
      <c r="R59" s="2">
        <f>IF(AND(VLOOKUP(R$1,'20Trips'!$A$3:$F$22,5,FALSE) - VLOOKUP($B59,'20Trips'!$A$3:$G$22,6,FALSE) &gt;= ('20Trips'!$B$24+VLOOKUP(VLOOKUP($B59,'20Trips'!$A$2:$I$22,4,FALSE),'20Trips'!$AB$46:$AH$50,4,FALSE))/1440),1,0)</f>
        <v>0</v>
      </c>
      <c r="S59" s="2">
        <f>IF(AND(VLOOKUP(S$1,'20Trips'!$A$3:$F$22,5,FALSE) - VLOOKUP($B59,'20Trips'!$A$3:$G$22,6,FALSE) &gt;= ('20Trips'!$B$24+VLOOKUP(VLOOKUP($B59,'20Trips'!$A$2:$I$22,4,FALSE),'20Trips'!$AB$46:$AH$50,4,FALSE))/1440),1,0)</f>
        <v>0</v>
      </c>
      <c r="T59" s="2">
        <f>IF(AND(VLOOKUP(T$1,'20Trips'!$A$3:$F$22,5,FALSE) - VLOOKUP($B59,'20Trips'!$A$3:$G$22,6,FALSE) &gt;= ('20Trips'!$B$24+VLOOKUP(VLOOKUP($B59,'20Trips'!$A$2:$I$22,4,FALSE),'20Trips'!$AB$46:$AH$50,4,FALSE))/1440),1,0)</f>
        <v>0</v>
      </c>
      <c r="U59" s="2">
        <f>IF(AND(VLOOKUP(U$1,'20Trips'!$A$3:$F$22,5,FALSE) - VLOOKUP($B59,'20Trips'!$A$3:$G$22,6,FALSE) &gt;= ('20Trips'!$B$24+VLOOKUP(VLOOKUP($B59,'20Trips'!$A$2:$I$22,4,FALSE),'20Trips'!$AB$46:$AH$50,4,FALSE))/1440),1,0)</f>
        <v>0</v>
      </c>
      <c r="V59" s="2">
        <f>IF(AND(VLOOKUP(V$1,'20Trips'!$A$3:$F$22,5,FALSE) - VLOOKUP($B59,'20Trips'!$A$3:$G$22,6,FALSE) &gt;= ('20Trips'!$B$24+VLOOKUP(VLOOKUP($B59,'20Trips'!$A$2:$I$22,4,FALSE),'20Trips'!$AB$46:$AH$50,4,FALSE))/1440),1,0)</f>
        <v>0</v>
      </c>
      <c r="W59" s="2" t="e">
        <f>IF(AND(VLOOKUP(W$1,'20Trips'!$A$3:$F$22,5,FALSE) - VLOOKUP($B59,'20Trips'!$A$3:$G$22,6,FALSE) &gt;= ('20Trips'!$B$24+VLOOKUP(VLOOKUP($B59,'20Trips'!$A$2:$I$22,4,FALSE),'20Trips'!$AB$46:$AH$50,4,FALSE))/1440),1,0)</f>
        <v>#N/A</v>
      </c>
      <c r="X59" s="2" t="e">
        <f>IF(AND(VLOOKUP(X$1,'20Trips'!$A$3:$F$22,5,FALSE) - VLOOKUP($B59,'20Trips'!$A$3:$G$22,6,FALSE) &gt;= ('20Trips'!$B$24+VLOOKUP(VLOOKUP($B59,'20Trips'!$A$2:$I$22,4,FALSE),'20Trips'!$AB$46:$AH$50,4,FALSE))/1440),1,0)</f>
        <v>#N/A</v>
      </c>
      <c r="Y59" s="2" t="e">
        <f>IF(AND(VLOOKUP(Y$1,'20Trips'!$A$3:$F$22,5,FALSE) - VLOOKUP($B59,'20Trips'!$A$3:$G$22,6,FALSE) &gt;= ('20Trips'!$B$24+VLOOKUP(VLOOKUP($B59,'20Trips'!$A$2:$I$22,4,FALSE),'20Trips'!$AB$46:$AH$50,4,FALSE))/1440),1,0)</f>
        <v>#N/A</v>
      </c>
      <c r="Z59" s="2">
        <f>IF(AND(VLOOKUP(Z$1,'20Trips'!$A$3:$F$22,5,FALSE) - VLOOKUP($B59,'20Trips'!$A$3:$G$22,6,FALSE) &gt;= ('20Trips'!$B$24+VLOOKUP(VLOOKUP($B59,'20Trips'!$A$2:$I$22,4,FALSE),'20Trips'!$AB$46:$AH$50,4,FALSE))/1440),1,0)</f>
        <v>0</v>
      </c>
      <c r="AA59" s="2">
        <f>IF(AND(VLOOKUP(AA$1,'20Trips'!$A$3:$F$22,5,FALSE) - VLOOKUP($B59,'20Trips'!$A$3:$G$22,6,FALSE) &gt;= ('20Trips'!$B$24+VLOOKUP(VLOOKUP($B59,'20Trips'!$A$2:$I$22,4,FALSE),'20Trips'!$AB$46:$AH$50,4,FALSE))/1440),1,0)</f>
        <v>0</v>
      </c>
      <c r="AB59" s="2">
        <f>IF(AND(VLOOKUP(AB$1,'20Trips'!$A$3:$F$22,5,FALSE) - VLOOKUP($B59,'20Trips'!$A$3:$G$22,6,FALSE) &gt;= ('20Trips'!$B$24+VLOOKUP(VLOOKUP($B59,'20Trips'!$A$2:$I$22,4,FALSE),'20Trips'!$AB$46:$AH$50,4,FALSE))/1440),1,0)</f>
        <v>0</v>
      </c>
      <c r="AC59" s="2">
        <f>IF(AND(VLOOKUP(AC$1,'20Trips'!$A$3:$F$22,5,FALSE) - VLOOKUP($B59,'20Trips'!$A$3:$G$22,6,FALSE) &gt;= ('20Trips'!$B$24+VLOOKUP(VLOOKUP($B59,'20Trips'!$A$2:$I$22,4,FALSE),'20Trips'!$AB$46:$AH$50,4,FALSE))/1440),1,0)</f>
        <v>0</v>
      </c>
      <c r="AD59" s="2">
        <f>IF(AND(VLOOKUP(AD$1,'20Trips'!$A$3:$F$22,5,FALSE) - VLOOKUP($B59,'20Trips'!$A$3:$G$22,6,FALSE) &gt;= ('20Trips'!$B$24+VLOOKUP(VLOOKUP($B59,'20Trips'!$A$2:$I$22,4,FALSE),'20Trips'!$AB$46:$AH$50,4,FALSE))/1440),1,0)</f>
        <v>0</v>
      </c>
      <c r="AE59" s="2" t="e">
        <f>IF(AND(VLOOKUP(AE$1,'20Trips'!$A$3:$F$22,5,FALSE) - VLOOKUP($B59,'20Trips'!$A$3:$G$22,6,FALSE) &gt;= ('20Trips'!$B$24+VLOOKUP(VLOOKUP($B59,'20Trips'!$A$2:$I$22,4,FALSE),'20Trips'!$AB$46:$AH$50,4,FALSE))/1440),1,0)</f>
        <v>#N/A</v>
      </c>
      <c r="AF59" s="2" t="e">
        <f>IF(AND(VLOOKUP(AF$1,'20Trips'!$A$3:$F$22,5,FALSE) - VLOOKUP($B59,'20Trips'!$A$3:$G$22,6,FALSE) &gt;= ('20Trips'!$B$24+VLOOKUP(VLOOKUP($B59,'20Trips'!$A$2:$I$22,4,FALSE),'20Trips'!$AB$46:$AH$50,4,FALSE))/1440),1,0)</f>
        <v>#N/A</v>
      </c>
      <c r="AG59" s="2" t="e">
        <f>IF(AND(VLOOKUP(AG$1,'20Trips'!$A$3:$F$22,5,FALSE) - VLOOKUP($B59,'20Trips'!$A$3:$G$22,6,FALSE) &gt;= ('20Trips'!$B$24+VLOOKUP(VLOOKUP($B59,'20Trips'!$A$2:$I$22,4,FALSE),'20Trips'!$AB$46:$AH$50,4,FALSE))/1440),1,0)</f>
        <v>#N/A</v>
      </c>
    </row>
    <row r="60" spans="1:33" x14ac:dyDescent="0.25">
      <c r="A60" t="s">
        <v>62</v>
      </c>
      <c r="B60" t="s">
        <v>38</v>
      </c>
      <c r="C60">
        <v>0</v>
      </c>
      <c r="D60" s="2">
        <f>IF(AND(VLOOKUP(D$1,'20Trips'!$A$3:$F$22,5,FALSE) - VLOOKUP($B60,'20Trips'!$A$3:$G$22,6,FALSE) &gt;= ('20Trips'!$B$24+VLOOKUP(VLOOKUP($B60,'20Trips'!$A$2:$I$22,4,FALSE),'20Trips'!$AB$46:$AH$50,4,FALSE))/1440),1,0)</f>
        <v>0</v>
      </c>
      <c r="E60" s="2">
        <f>IF(AND(VLOOKUP(E$1,'20Trips'!$A$3:$F$22,5,FALSE) - VLOOKUP($B60,'20Trips'!$A$3:$G$22,6,FALSE) &gt;= ('20Trips'!$B$24+VLOOKUP(VLOOKUP($B60,'20Trips'!$A$2:$I$22,4,FALSE),'20Trips'!$AB$46:$AH$50,4,FALSE))/1440),1,0)</f>
        <v>0</v>
      </c>
      <c r="F60" s="2">
        <f>IF(AND(VLOOKUP(F$1,'20Trips'!$A$3:$F$22,5,FALSE) - VLOOKUP($B60,'20Trips'!$A$3:$G$22,6,FALSE) &gt;= ('20Trips'!$B$24+VLOOKUP(VLOOKUP($B60,'20Trips'!$A$2:$I$22,4,FALSE),'20Trips'!$AB$46:$AH$50,4,FALSE))/1440),1,0)</f>
        <v>0</v>
      </c>
      <c r="G60" s="2">
        <f>IF(AND(VLOOKUP(G$1,'20Trips'!$A$3:$F$22,5,FALSE) - VLOOKUP($B60,'20Trips'!$A$3:$G$22,6,FALSE) &gt;= ('20Trips'!$B$24+VLOOKUP(VLOOKUP($B60,'20Trips'!$A$2:$I$22,4,FALSE),'20Trips'!$AB$46:$AH$50,4,FALSE))/1440),1,0)</f>
        <v>0</v>
      </c>
      <c r="H60" s="2">
        <f>IF(AND(VLOOKUP(H$1,'20Trips'!$A$3:$F$22,5,FALSE) - VLOOKUP($B60,'20Trips'!$A$3:$G$22,6,FALSE) &gt;= ('20Trips'!$B$24+VLOOKUP(VLOOKUP($B60,'20Trips'!$A$2:$I$22,4,FALSE),'20Trips'!$AB$46:$AH$50,4,FALSE))/1440),1,0)</f>
        <v>0</v>
      </c>
      <c r="I60" s="2" t="e">
        <f>IF(AND(VLOOKUP(I$1,'20Trips'!$A$3:$F$22,5,FALSE) - VLOOKUP($B60,'20Trips'!$A$3:$G$22,6,FALSE) &gt;= ('20Trips'!$B$24+VLOOKUP(VLOOKUP($B60,'20Trips'!$A$2:$I$22,4,FALSE),'20Trips'!$AB$46:$AH$50,4,FALSE))/1440),1,0)</f>
        <v>#N/A</v>
      </c>
      <c r="J60" s="2" t="e">
        <f>IF(AND(VLOOKUP(J$1,'20Trips'!$A$3:$F$22,5,FALSE) - VLOOKUP($B60,'20Trips'!$A$3:$G$22,6,FALSE) &gt;= ('20Trips'!$B$24+VLOOKUP(VLOOKUP($B60,'20Trips'!$A$2:$I$22,4,FALSE),'20Trips'!$AB$46:$AH$50,4,FALSE))/1440),1,0)</f>
        <v>#N/A</v>
      </c>
      <c r="K60" s="2" t="e">
        <f>IF(AND(VLOOKUP(K$1,'20Trips'!$A$3:$F$22,5,FALSE) - VLOOKUP($B60,'20Trips'!$A$3:$G$22,6,FALSE) &gt;= ('20Trips'!$B$24+VLOOKUP(VLOOKUP($B60,'20Trips'!$A$2:$I$22,4,FALSE),'20Trips'!$AB$46:$AH$50,4,FALSE))/1440),1,0)</f>
        <v>#N/A</v>
      </c>
      <c r="L60" s="2">
        <f>IF(AND(VLOOKUP(L$1,'20Trips'!$A$3:$F$22,5,FALSE) - VLOOKUP($B60,'20Trips'!$A$3:$G$22,6,FALSE) &gt;= ('20Trips'!$B$24+VLOOKUP(VLOOKUP($B60,'20Trips'!$A$2:$I$22,4,FALSE),'20Trips'!$AB$46:$AH$50,4,FALSE))/1440),1,0)</f>
        <v>0</v>
      </c>
      <c r="M60" s="2">
        <f>IF(AND(VLOOKUP(M$1,'20Trips'!$A$3:$F$22,5,FALSE) - VLOOKUP($B60,'20Trips'!$A$3:$G$22,6,FALSE) &gt;= ('20Trips'!$B$24+VLOOKUP(VLOOKUP($B60,'20Trips'!$A$2:$I$22,4,FALSE),'20Trips'!$AB$46:$AH$50,4,FALSE))/1440),1,0)</f>
        <v>0</v>
      </c>
      <c r="N60" s="2">
        <f>IF(AND(VLOOKUP(N$1,'20Trips'!$A$3:$F$22,5,FALSE) - VLOOKUP($B60,'20Trips'!$A$3:$G$22,6,FALSE) &gt;= ('20Trips'!$B$24+VLOOKUP(VLOOKUP($B60,'20Trips'!$A$2:$I$22,4,FALSE),'20Trips'!$AB$46:$AH$50,4,FALSE))/1440),1,0)</f>
        <v>0</v>
      </c>
      <c r="O60" s="2">
        <f>IF(AND(VLOOKUP(O$1,'20Trips'!$A$3:$F$22,5,FALSE) - VLOOKUP($B60,'20Trips'!$A$3:$G$22,6,FALSE) &gt;= ('20Trips'!$B$24+VLOOKUP(VLOOKUP($B60,'20Trips'!$A$2:$I$22,4,FALSE),'20Trips'!$AB$46:$AH$50,4,FALSE))/1440),1,0)</f>
        <v>0</v>
      </c>
      <c r="P60" s="2">
        <f>IF(AND(VLOOKUP(P$1,'20Trips'!$A$3:$F$22,5,FALSE) - VLOOKUP($B60,'20Trips'!$A$3:$G$22,6,FALSE) &gt;= ('20Trips'!$B$24+VLOOKUP(VLOOKUP($B60,'20Trips'!$A$2:$I$22,4,FALSE),'20Trips'!$AB$46:$AH$50,4,FALSE))/1440),1,0)</f>
        <v>0</v>
      </c>
      <c r="Q60" s="2" t="e">
        <f>IF(AND(VLOOKUP(Q$1,'20Trips'!$A$3:$F$22,5,FALSE) - VLOOKUP($B60,'20Trips'!$A$3:$G$22,6,FALSE) &gt;= ('20Trips'!$B$24+VLOOKUP(VLOOKUP($B60,'20Trips'!$A$2:$I$22,4,FALSE),'20Trips'!$AB$46:$AH$50,4,FALSE))/1440),1,0)</f>
        <v>#N/A</v>
      </c>
      <c r="R60" s="2">
        <f>IF(AND(VLOOKUP(R$1,'20Trips'!$A$3:$F$22,5,FALSE) - VLOOKUP($B60,'20Trips'!$A$3:$G$22,6,FALSE) &gt;= ('20Trips'!$B$24+VLOOKUP(VLOOKUP($B60,'20Trips'!$A$2:$I$22,4,FALSE),'20Trips'!$AB$46:$AH$50,4,FALSE))/1440),1,0)</f>
        <v>0</v>
      </c>
      <c r="S60" s="2">
        <f>IF(AND(VLOOKUP(S$1,'20Trips'!$A$3:$F$22,5,FALSE) - VLOOKUP($B60,'20Trips'!$A$3:$G$22,6,FALSE) &gt;= ('20Trips'!$B$24+VLOOKUP(VLOOKUP($B60,'20Trips'!$A$2:$I$22,4,FALSE),'20Trips'!$AB$46:$AH$50,4,FALSE))/1440),1,0)</f>
        <v>0</v>
      </c>
      <c r="T60" s="2">
        <f>IF(AND(VLOOKUP(T$1,'20Trips'!$A$3:$F$22,5,FALSE) - VLOOKUP($B60,'20Trips'!$A$3:$G$22,6,FALSE) &gt;= ('20Trips'!$B$24+VLOOKUP(VLOOKUP($B60,'20Trips'!$A$2:$I$22,4,FALSE),'20Trips'!$AB$46:$AH$50,4,FALSE))/1440),1,0)</f>
        <v>0</v>
      </c>
      <c r="U60" s="2">
        <f>IF(AND(VLOOKUP(U$1,'20Trips'!$A$3:$F$22,5,FALSE) - VLOOKUP($B60,'20Trips'!$A$3:$G$22,6,FALSE) &gt;= ('20Trips'!$B$24+VLOOKUP(VLOOKUP($B60,'20Trips'!$A$2:$I$22,4,FALSE),'20Trips'!$AB$46:$AH$50,4,FALSE))/1440),1,0)</f>
        <v>0</v>
      </c>
      <c r="V60" s="2">
        <f>IF(AND(VLOOKUP(V$1,'20Trips'!$A$3:$F$22,5,FALSE) - VLOOKUP($B60,'20Trips'!$A$3:$G$22,6,FALSE) &gt;= ('20Trips'!$B$24+VLOOKUP(VLOOKUP($B60,'20Trips'!$A$2:$I$22,4,FALSE),'20Trips'!$AB$46:$AH$50,4,FALSE))/1440),1,0)</f>
        <v>0</v>
      </c>
      <c r="W60" s="2" t="e">
        <f>IF(AND(VLOOKUP(W$1,'20Trips'!$A$3:$F$22,5,FALSE) - VLOOKUP($B60,'20Trips'!$A$3:$G$22,6,FALSE) &gt;= ('20Trips'!$B$24+VLOOKUP(VLOOKUP($B60,'20Trips'!$A$2:$I$22,4,FALSE),'20Trips'!$AB$46:$AH$50,4,FALSE))/1440),1,0)</f>
        <v>#N/A</v>
      </c>
      <c r="X60" s="2" t="e">
        <f>IF(AND(VLOOKUP(X$1,'20Trips'!$A$3:$F$22,5,FALSE) - VLOOKUP($B60,'20Trips'!$A$3:$G$22,6,FALSE) &gt;= ('20Trips'!$B$24+VLOOKUP(VLOOKUP($B60,'20Trips'!$A$2:$I$22,4,FALSE),'20Trips'!$AB$46:$AH$50,4,FALSE))/1440),1,0)</f>
        <v>#N/A</v>
      </c>
      <c r="Y60" s="2" t="e">
        <f>IF(AND(VLOOKUP(Y$1,'20Trips'!$A$3:$F$22,5,FALSE) - VLOOKUP($B60,'20Trips'!$A$3:$G$22,6,FALSE) &gt;= ('20Trips'!$B$24+VLOOKUP(VLOOKUP($B60,'20Trips'!$A$2:$I$22,4,FALSE),'20Trips'!$AB$46:$AH$50,4,FALSE))/1440),1,0)</f>
        <v>#N/A</v>
      </c>
      <c r="Z60" s="2">
        <f>IF(AND(VLOOKUP(Z$1,'20Trips'!$A$3:$F$22,5,FALSE) - VLOOKUP($B60,'20Trips'!$A$3:$G$22,6,FALSE) &gt;= ('20Trips'!$B$24+VLOOKUP(VLOOKUP($B60,'20Trips'!$A$2:$I$22,4,FALSE),'20Trips'!$AB$46:$AH$50,4,FALSE))/1440),1,0)</f>
        <v>0</v>
      </c>
      <c r="AA60" s="2">
        <f>IF(AND(VLOOKUP(AA$1,'20Trips'!$A$3:$F$22,5,FALSE) - VLOOKUP($B60,'20Trips'!$A$3:$G$22,6,FALSE) &gt;= ('20Trips'!$B$24+VLOOKUP(VLOOKUP($B60,'20Trips'!$A$2:$I$22,4,FALSE),'20Trips'!$AB$46:$AH$50,4,FALSE))/1440),1,0)</f>
        <v>0</v>
      </c>
      <c r="AB60" s="2">
        <f>IF(AND(VLOOKUP(AB$1,'20Trips'!$A$3:$F$22,5,FALSE) - VLOOKUP($B60,'20Trips'!$A$3:$G$22,6,FALSE) &gt;= ('20Trips'!$B$24+VLOOKUP(VLOOKUP($B60,'20Trips'!$A$2:$I$22,4,FALSE),'20Trips'!$AB$46:$AH$50,4,FALSE))/1440),1,0)</f>
        <v>0</v>
      </c>
      <c r="AC60" s="2">
        <f>IF(AND(VLOOKUP(AC$1,'20Trips'!$A$3:$F$22,5,FALSE) - VLOOKUP($B60,'20Trips'!$A$3:$G$22,6,FALSE) &gt;= ('20Trips'!$B$24+VLOOKUP(VLOOKUP($B60,'20Trips'!$A$2:$I$22,4,FALSE),'20Trips'!$AB$46:$AH$50,4,FALSE))/1440),1,0)</f>
        <v>0</v>
      </c>
      <c r="AD60" s="2">
        <f>IF(AND(VLOOKUP(AD$1,'20Trips'!$A$3:$F$22,5,FALSE) - VLOOKUP($B60,'20Trips'!$A$3:$G$22,6,FALSE) &gt;= ('20Trips'!$B$24+VLOOKUP(VLOOKUP($B60,'20Trips'!$A$2:$I$22,4,FALSE),'20Trips'!$AB$46:$AH$50,4,FALSE))/1440),1,0)</f>
        <v>0</v>
      </c>
      <c r="AE60" s="2" t="e">
        <f>IF(AND(VLOOKUP(AE$1,'20Trips'!$A$3:$F$22,5,FALSE) - VLOOKUP($B60,'20Trips'!$A$3:$G$22,6,FALSE) &gt;= ('20Trips'!$B$24+VLOOKUP(VLOOKUP($B60,'20Trips'!$A$2:$I$22,4,FALSE),'20Trips'!$AB$46:$AH$50,4,FALSE))/1440),1,0)</f>
        <v>#N/A</v>
      </c>
      <c r="AF60" s="2" t="e">
        <f>IF(AND(VLOOKUP(AF$1,'20Trips'!$A$3:$F$22,5,FALSE) - VLOOKUP($B60,'20Trips'!$A$3:$G$22,6,FALSE) &gt;= ('20Trips'!$B$24+VLOOKUP(VLOOKUP($B60,'20Trips'!$A$2:$I$22,4,FALSE),'20Trips'!$AB$46:$AH$50,4,FALSE))/1440),1,0)</f>
        <v>#N/A</v>
      </c>
      <c r="AG60" s="2" t="e">
        <f>IF(AND(VLOOKUP(AG$1,'20Trips'!$A$3:$F$22,5,FALSE) - VLOOKUP($B60,'20Trips'!$A$3:$G$22,6,FALSE) &gt;= ('20Trips'!$B$24+VLOOKUP(VLOOKUP($B60,'20Trips'!$A$2:$I$22,4,FALSE),'20Trips'!$AB$46:$AH$50,4,FALSE))/1440),1,0)</f>
        <v>#N/A</v>
      </c>
    </row>
    <row r="61" spans="1:33" x14ac:dyDescent="0.25">
      <c r="A61" t="s">
        <v>62</v>
      </c>
      <c r="B61" t="s">
        <v>39</v>
      </c>
      <c r="C61">
        <v>0</v>
      </c>
      <c r="D61" s="2" t="e">
        <f>IF(AND(VLOOKUP(D$1,'20Trips'!$A$3:$F$22,5,FALSE) - VLOOKUP($B61,'20Trips'!$A$3:$G$22,6,FALSE) &gt;= ('20Trips'!$B$24+VLOOKUP(VLOOKUP($B61,'20Trips'!$A$2:$I$22,4,FALSE),'20Trips'!$AB$46:$AH$50,4,FALSE))/1440),1,0)</f>
        <v>#N/A</v>
      </c>
      <c r="E61" s="2" t="e">
        <f>IF(AND(VLOOKUP(E$1,'20Trips'!$A$3:$F$22,5,FALSE) - VLOOKUP($B61,'20Trips'!$A$3:$G$22,6,FALSE) &gt;= ('20Trips'!$B$24+VLOOKUP(VLOOKUP($B61,'20Trips'!$A$2:$I$22,4,FALSE),'20Trips'!$AB$46:$AH$50,4,FALSE))/1440),1,0)</f>
        <v>#N/A</v>
      </c>
      <c r="F61" s="2" t="e">
        <f>IF(AND(VLOOKUP(F$1,'20Trips'!$A$3:$F$22,5,FALSE) - VLOOKUP($B61,'20Trips'!$A$3:$G$22,6,FALSE) &gt;= ('20Trips'!$B$24+VLOOKUP(VLOOKUP($B61,'20Trips'!$A$2:$I$22,4,FALSE),'20Trips'!$AB$46:$AH$50,4,FALSE))/1440),1,0)</f>
        <v>#N/A</v>
      </c>
      <c r="G61" s="2" t="e">
        <f>IF(AND(VLOOKUP(G$1,'20Trips'!$A$3:$F$22,5,FALSE) - VLOOKUP($B61,'20Trips'!$A$3:$G$22,6,FALSE) &gt;= ('20Trips'!$B$24+VLOOKUP(VLOOKUP($B61,'20Trips'!$A$2:$I$22,4,FALSE),'20Trips'!$AB$46:$AH$50,4,FALSE))/1440),1,0)</f>
        <v>#N/A</v>
      </c>
      <c r="H61" s="2" t="e">
        <f>IF(AND(VLOOKUP(H$1,'20Trips'!$A$3:$F$22,5,FALSE) - VLOOKUP($B61,'20Trips'!$A$3:$G$22,6,FALSE) &gt;= ('20Trips'!$B$24+VLOOKUP(VLOOKUP($B61,'20Trips'!$A$2:$I$22,4,FALSE),'20Trips'!$AB$46:$AH$50,4,FALSE))/1440),1,0)</f>
        <v>#N/A</v>
      </c>
      <c r="I61" s="2" t="e">
        <f>IF(AND(VLOOKUP(I$1,'20Trips'!$A$3:$F$22,5,FALSE) - VLOOKUP($B61,'20Trips'!$A$3:$G$22,6,FALSE) &gt;= ('20Trips'!$B$24+VLOOKUP(VLOOKUP($B61,'20Trips'!$A$2:$I$22,4,FALSE),'20Trips'!$AB$46:$AH$50,4,FALSE))/1440),1,0)</f>
        <v>#N/A</v>
      </c>
      <c r="J61" s="2" t="e">
        <f>IF(AND(VLOOKUP(J$1,'20Trips'!$A$3:$F$22,5,FALSE) - VLOOKUP($B61,'20Trips'!$A$3:$G$22,6,FALSE) &gt;= ('20Trips'!$B$24+VLOOKUP(VLOOKUP($B61,'20Trips'!$A$2:$I$22,4,FALSE),'20Trips'!$AB$46:$AH$50,4,FALSE))/1440),1,0)</f>
        <v>#N/A</v>
      </c>
      <c r="K61" s="2" t="e">
        <f>IF(AND(VLOOKUP(K$1,'20Trips'!$A$3:$F$22,5,FALSE) - VLOOKUP($B61,'20Trips'!$A$3:$G$22,6,FALSE) &gt;= ('20Trips'!$B$24+VLOOKUP(VLOOKUP($B61,'20Trips'!$A$2:$I$22,4,FALSE),'20Trips'!$AB$46:$AH$50,4,FALSE))/1440),1,0)</f>
        <v>#N/A</v>
      </c>
      <c r="L61" s="2" t="e">
        <f>IF(AND(VLOOKUP(L$1,'20Trips'!$A$3:$F$22,5,FALSE) - VLOOKUP($B61,'20Trips'!$A$3:$G$22,6,FALSE) &gt;= ('20Trips'!$B$24+VLOOKUP(VLOOKUP($B61,'20Trips'!$A$2:$I$22,4,FALSE),'20Trips'!$AB$46:$AH$50,4,FALSE))/1440),1,0)</f>
        <v>#N/A</v>
      </c>
      <c r="M61" s="2" t="e">
        <f>IF(AND(VLOOKUP(M$1,'20Trips'!$A$3:$F$22,5,FALSE) - VLOOKUP($B61,'20Trips'!$A$3:$G$22,6,FALSE) &gt;= ('20Trips'!$B$24+VLOOKUP(VLOOKUP($B61,'20Trips'!$A$2:$I$22,4,FALSE),'20Trips'!$AB$46:$AH$50,4,FALSE))/1440),1,0)</f>
        <v>#N/A</v>
      </c>
      <c r="N61" s="2" t="e">
        <f>IF(AND(VLOOKUP(N$1,'20Trips'!$A$3:$F$22,5,FALSE) - VLOOKUP($B61,'20Trips'!$A$3:$G$22,6,FALSE) &gt;= ('20Trips'!$B$24+VLOOKUP(VLOOKUP($B61,'20Trips'!$A$2:$I$22,4,FALSE),'20Trips'!$AB$46:$AH$50,4,FALSE))/1440),1,0)</f>
        <v>#N/A</v>
      </c>
      <c r="O61" s="2" t="e">
        <f>IF(AND(VLOOKUP(O$1,'20Trips'!$A$3:$F$22,5,FALSE) - VLOOKUP($B61,'20Trips'!$A$3:$G$22,6,FALSE) &gt;= ('20Trips'!$B$24+VLOOKUP(VLOOKUP($B61,'20Trips'!$A$2:$I$22,4,FALSE),'20Trips'!$AB$46:$AH$50,4,FALSE))/1440),1,0)</f>
        <v>#N/A</v>
      </c>
      <c r="P61" s="2" t="e">
        <f>IF(AND(VLOOKUP(P$1,'20Trips'!$A$3:$F$22,5,FALSE) - VLOOKUP($B61,'20Trips'!$A$3:$G$22,6,FALSE) &gt;= ('20Trips'!$B$24+VLOOKUP(VLOOKUP($B61,'20Trips'!$A$2:$I$22,4,FALSE),'20Trips'!$AB$46:$AH$50,4,FALSE))/1440),1,0)</f>
        <v>#N/A</v>
      </c>
      <c r="Q61" s="2" t="e">
        <f>IF(AND(VLOOKUP(Q$1,'20Trips'!$A$3:$F$22,5,FALSE) - VLOOKUP($B61,'20Trips'!$A$3:$G$22,6,FALSE) &gt;= ('20Trips'!$B$24+VLOOKUP(VLOOKUP($B61,'20Trips'!$A$2:$I$22,4,FALSE),'20Trips'!$AB$46:$AH$50,4,FALSE))/1440),1,0)</f>
        <v>#N/A</v>
      </c>
      <c r="R61" s="2" t="e">
        <f>IF(AND(VLOOKUP(R$1,'20Trips'!$A$3:$F$22,5,FALSE) - VLOOKUP($B61,'20Trips'!$A$3:$G$22,6,FALSE) &gt;= ('20Trips'!$B$24+VLOOKUP(VLOOKUP($B61,'20Trips'!$A$2:$I$22,4,FALSE),'20Trips'!$AB$46:$AH$50,4,FALSE))/1440),1,0)</f>
        <v>#N/A</v>
      </c>
      <c r="S61" s="2" t="e">
        <f>IF(AND(VLOOKUP(S$1,'20Trips'!$A$3:$F$22,5,FALSE) - VLOOKUP($B61,'20Trips'!$A$3:$G$22,6,FALSE) &gt;= ('20Trips'!$B$24+VLOOKUP(VLOOKUP($B61,'20Trips'!$A$2:$I$22,4,FALSE),'20Trips'!$AB$46:$AH$50,4,FALSE))/1440),1,0)</f>
        <v>#N/A</v>
      </c>
      <c r="T61" s="2" t="e">
        <f>IF(AND(VLOOKUP(T$1,'20Trips'!$A$3:$F$22,5,FALSE) - VLOOKUP($B61,'20Trips'!$A$3:$G$22,6,FALSE) &gt;= ('20Trips'!$B$24+VLOOKUP(VLOOKUP($B61,'20Trips'!$A$2:$I$22,4,FALSE),'20Trips'!$AB$46:$AH$50,4,FALSE))/1440),1,0)</f>
        <v>#N/A</v>
      </c>
      <c r="U61" s="2" t="e">
        <f>IF(AND(VLOOKUP(U$1,'20Trips'!$A$3:$F$22,5,FALSE) - VLOOKUP($B61,'20Trips'!$A$3:$G$22,6,FALSE) &gt;= ('20Trips'!$B$24+VLOOKUP(VLOOKUP($B61,'20Trips'!$A$2:$I$22,4,FALSE),'20Trips'!$AB$46:$AH$50,4,FALSE))/1440),1,0)</f>
        <v>#N/A</v>
      </c>
      <c r="V61" s="2" t="e">
        <f>IF(AND(VLOOKUP(V$1,'20Trips'!$A$3:$F$22,5,FALSE) - VLOOKUP($B61,'20Trips'!$A$3:$G$22,6,FALSE) &gt;= ('20Trips'!$B$24+VLOOKUP(VLOOKUP($B61,'20Trips'!$A$2:$I$22,4,FALSE),'20Trips'!$AB$46:$AH$50,4,FALSE))/1440),1,0)</f>
        <v>#N/A</v>
      </c>
      <c r="W61" s="2" t="e">
        <f>IF(AND(VLOOKUP(W$1,'20Trips'!$A$3:$F$22,5,FALSE) - VLOOKUP($B61,'20Trips'!$A$3:$G$22,6,FALSE) &gt;= ('20Trips'!$B$24+VLOOKUP(VLOOKUP($B61,'20Trips'!$A$2:$I$22,4,FALSE),'20Trips'!$AB$46:$AH$50,4,FALSE))/1440),1,0)</f>
        <v>#N/A</v>
      </c>
      <c r="X61" s="2" t="e">
        <f>IF(AND(VLOOKUP(X$1,'20Trips'!$A$3:$F$22,5,FALSE) - VLOOKUP($B61,'20Trips'!$A$3:$G$22,6,FALSE) &gt;= ('20Trips'!$B$24+VLOOKUP(VLOOKUP($B61,'20Trips'!$A$2:$I$22,4,FALSE),'20Trips'!$AB$46:$AH$50,4,FALSE))/1440),1,0)</f>
        <v>#N/A</v>
      </c>
      <c r="Y61" s="2" t="e">
        <f>IF(AND(VLOOKUP(Y$1,'20Trips'!$A$3:$F$22,5,FALSE) - VLOOKUP($B61,'20Trips'!$A$3:$G$22,6,FALSE) &gt;= ('20Trips'!$B$24+VLOOKUP(VLOOKUP($B61,'20Trips'!$A$2:$I$22,4,FALSE),'20Trips'!$AB$46:$AH$50,4,FALSE))/1440),1,0)</f>
        <v>#N/A</v>
      </c>
      <c r="Z61" s="2" t="e">
        <f>IF(AND(VLOOKUP(Z$1,'20Trips'!$A$3:$F$22,5,FALSE) - VLOOKUP($B61,'20Trips'!$A$3:$G$22,6,FALSE) &gt;= ('20Trips'!$B$24+VLOOKUP(VLOOKUP($B61,'20Trips'!$A$2:$I$22,4,FALSE),'20Trips'!$AB$46:$AH$50,4,FALSE))/1440),1,0)</f>
        <v>#N/A</v>
      </c>
      <c r="AA61" s="2" t="e">
        <f>IF(AND(VLOOKUP(AA$1,'20Trips'!$A$3:$F$22,5,FALSE) - VLOOKUP($B61,'20Trips'!$A$3:$G$22,6,FALSE) &gt;= ('20Trips'!$B$24+VLOOKUP(VLOOKUP($B61,'20Trips'!$A$2:$I$22,4,FALSE),'20Trips'!$AB$46:$AH$50,4,FALSE))/1440),1,0)</f>
        <v>#N/A</v>
      </c>
      <c r="AB61" s="2" t="e">
        <f>IF(AND(VLOOKUP(AB$1,'20Trips'!$A$3:$F$22,5,FALSE) - VLOOKUP($B61,'20Trips'!$A$3:$G$22,6,FALSE) &gt;= ('20Trips'!$B$24+VLOOKUP(VLOOKUP($B61,'20Trips'!$A$2:$I$22,4,FALSE),'20Trips'!$AB$46:$AH$50,4,FALSE))/1440),1,0)</f>
        <v>#N/A</v>
      </c>
      <c r="AC61" s="2" t="e">
        <f>IF(AND(VLOOKUP(AC$1,'20Trips'!$A$3:$F$22,5,FALSE) - VLOOKUP($B61,'20Trips'!$A$3:$G$22,6,FALSE) &gt;= ('20Trips'!$B$24+VLOOKUP(VLOOKUP($B61,'20Trips'!$A$2:$I$22,4,FALSE),'20Trips'!$AB$46:$AH$50,4,FALSE))/1440),1,0)</f>
        <v>#N/A</v>
      </c>
      <c r="AD61" s="2" t="e">
        <f>IF(AND(VLOOKUP(AD$1,'20Trips'!$A$3:$F$22,5,FALSE) - VLOOKUP($B61,'20Trips'!$A$3:$G$22,6,FALSE) &gt;= ('20Trips'!$B$24+VLOOKUP(VLOOKUP($B61,'20Trips'!$A$2:$I$22,4,FALSE),'20Trips'!$AB$46:$AH$50,4,FALSE))/1440),1,0)</f>
        <v>#N/A</v>
      </c>
      <c r="AE61" s="2" t="e">
        <f>IF(AND(VLOOKUP(AE$1,'20Trips'!$A$3:$F$22,5,FALSE) - VLOOKUP($B61,'20Trips'!$A$3:$G$22,6,FALSE) &gt;= ('20Trips'!$B$24+VLOOKUP(VLOOKUP($B61,'20Trips'!$A$2:$I$22,4,FALSE),'20Trips'!$AB$46:$AH$50,4,FALSE))/1440),1,0)</f>
        <v>#N/A</v>
      </c>
      <c r="AF61" s="2" t="e">
        <f>IF(AND(VLOOKUP(AF$1,'20Trips'!$A$3:$F$22,5,FALSE) - VLOOKUP($B61,'20Trips'!$A$3:$G$22,6,FALSE) &gt;= ('20Trips'!$B$24+VLOOKUP(VLOOKUP($B61,'20Trips'!$A$2:$I$22,4,FALSE),'20Trips'!$AB$46:$AH$50,4,FALSE))/1440),1,0)</f>
        <v>#N/A</v>
      </c>
      <c r="AG61" s="2" t="e">
        <f>IF(AND(VLOOKUP(AG$1,'20Trips'!$A$3:$F$22,5,FALSE) - VLOOKUP($B61,'20Trips'!$A$3:$G$22,6,FALSE) &gt;= ('20Trips'!$B$24+VLOOKUP(VLOOKUP($B61,'20Trips'!$A$2:$I$22,4,FALSE),'20Trips'!$AB$46:$AH$50,4,FALSE))/1440),1,0)</f>
        <v>#N/A</v>
      </c>
    </row>
    <row r="62" spans="1:33" x14ac:dyDescent="0.25">
      <c r="A62" t="s">
        <v>62</v>
      </c>
      <c r="B62" t="s">
        <v>40</v>
      </c>
      <c r="C62">
        <v>0</v>
      </c>
      <c r="D62" s="2" t="e">
        <f>IF(AND(VLOOKUP(D$1,'20Trips'!$A$3:$F$22,5,FALSE) - VLOOKUP($B62,'20Trips'!$A$3:$G$22,6,FALSE) &gt;= ('20Trips'!$B$24+VLOOKUP(VLOOKUP($B62,'20Trips'!$A$2:$I$22,4,FALSE),'20Trips'!$AB$46:$AH$50,4,FALSE))/1440),1,0)</f>
        <v>#N/A</v>
      </c>
      <c r="E62" s="2" t="e">
        <f>IF(AND(VLOOKUP(E$1,'20Trips'!$A$3:$F$22,5,FALSE) - VLOOKUP($B62,'20Trips'!$A$3:$G$22,6,FALSE) &gt;= ('20Trips'!$B$24+VLOOKUP(VLOOKUP($B62,'20Trips'!$A$2:$I$22,4,FALSE),'20Trips'!$AB$46:$AH$50,4,FALSE))/1440),1,0)</f>
        <v>#N/A</v>
      </c>
      <c r="F62" s="2" t="e">
        <f>IF(AND(VLOOKUP(F$1,'20Trips'!$A$3:$F$22,5,FALSE) - VLOOKUP($B62,'20Trips'!$A$3:$G$22,6,FALSE) &gt;= ('20Trips'!$B$24+VLOOKUP(VLOOKUP($B62,'20Trips'!$A$2:$I$22,4,FALSE),'20Trips'!$AB$46:$AH$50,4,FALSE))/1440),1,0)</f>
        <v>#N/A</v>
      </c>
      <c r="G62" s="2" t="e">
        <f>IF(AND(VLOOKUP(G$1,'20Trips'!$A$3:$F$22,5,FALSE) - VLOOKUP($B62,'20Trips'!$A$3:$G$22,6,FALSE) &gt;= ('20Trips'!$B$24+VLOOKUP(VLOOKUP($B62,'20Trips'!$A$2:$I$22,4,FALSE),'20Trips'!$AB$46:$AH$50,4,FALSE))/1440),1,0)</f>
        <v>#N/A</v>
      </c>
      <c r="H62" s="2" t="e">
        <f>IF(AND(VLOOKUP(H$1,'20Trips'!$A$3:$F$22,5,FALSE) - VLOOKUP($B62,'20Trips'!$A$3:$G$22,6,FALSE) &gt;= ('20Trips'!$B$24+VLOOKUP(VLOOKUP($B62,'20Trips'!$A$2:$I$22,4,FALSE),'20Trips'!$AB$46:$AH$50,4,FALSE))/1440),1,0)</f>
        <v>#N/A</v>
      </c>
      <c r="I62" s="2" t="e">
        <f>IF(AND(VLOOKUP(I$1,'20Trips'!$A$3:$F$22,5,FALSE) - VLOOKUP($B62,'20Trips'!$A$3:$G$22,6,FALSE) &gt;= ('20Trips'!$B$24+VLOOKUP(VLOOKUP($B62,'20Trips'!$A$2:$I$22,4,FALSE),'20Trips'!$AB$46:$AH$50,4,FALSE))/1440),1,0)</f>
        <v>#N/A</v>
      </c>
      <c r="J62" s="2" t="e">
        <f>IF(AND(VLOOKUP(J$1,'20Trips'!$A$3:$F$22,5,FALSE) - VLOOKUP($B62,'20Trips'!$A$3:$G$22,6,FALSE) &gt;= ('20Trips'!$B$24+VLOOKUP(VLOOKUP($B62,'20Trips'!$A$2:$I$22,4,FALSE),'20Trips'!$AB$46:$AH$50,4,FALSE))/1440),1,0)</f>
        <v>#N/A</v>
      </c>
      <c r="K62" s="2" t="e">
        <f>IF(AND(VLOOKUP(K$1,'20Trips'!$A$3:$F$22,5,FALSE) - VLOOKUP($B62,'20Trips'!$A$3:$G$22,6,FALSE) &gt;= ('20Trips'!$B$24+VLOOKUP(VLOOKUP($B62,'20Trips'!$A$2:$I$22,4,FALSE),'20Trips'!$AB$46:$AH$50,4,FALSE))/1440),1,0)</f>
        <v>#N/A</v>
      </c>
      <c r="L62" s="2" t="e">
        <f>IF(AND(VLOOKUP(L$1,'20Trips'!$A$3:$F$22,5,FALSE) - VLOOKUP($B62,'20Trips'!$A$3:$G$22,6,FALSE) &gt;= ('20Trips'!$B$24+VLOOKUP(VLOOKUP($B62,'20Trips'!$A$2:$I$22,4,FALSE),'20Trips'!$AB$46:$AH$50,4,FALSE))/1440),1,0)</f>
        <v>#N/A</v>
      </c>
      <c r="M62" s="2" t="e">
        <f>IF(AND(VLOOKUP(M$1,'20Trips'!$A$3:$F$22,5,FALSE) - VLOOKUP($B62,'20Trips'!$A$3:$G$22,6,FALSE) &gt;= ('20Trips'!$B$24+VLOOKUP(VLOOKUP($B62,'20Trips'!$A$2:$I$22,4,FALSE),'20Trips'!$AB$46:$AH$50,4,FALSE))/1440),1,0)</f>
        <v>#N/A</v>
      </c>
      <c r="N62" s="2" t="e">
        <f>IF(AND(VLOOKUP(N$1,'20Trips'!$A$3:$F$22,5,FALSE) - VLOOKUP($B62,'20Trips'!$A$3:$G$22,6,FALSE) &gt;= ('20Trips'!$B$24+VLOOKUP(VLOOKUP($B62,'20Trips'!$A$2:$I$22,4,FALSE),'20Trips'!$AB$46:$AH$50,4,FALSE))/1440),1,0)</f>
        <v>#N/A</v>
      </c>
      <c r="O62" s="2" t="e">
        <f>IF(AND(VLOOKUP(O$1,'20Trips'!$A$3:$F$22,5,FALSE) - VLOOKUP($B62,'20Trips'!$A$3:$G$22,6,FALSE) &gt;= ('20Trips'!$B$24+VLOOKUP(VLOOKUP($B62,'20Trips'!$A$2:$I$22,4,FALSE),'20Trips'!$AB$46:$AH$50,4,FALSE))/1440),1,0)</f>
        <v>#N/A</v>
      </c>
      <c r="P62" s="2" t="e">
        <f>IF(AND(VLOOKUP(P$1,'20Trips'!$A$3:$F$22,5,FALSE) - VLOOKUP($B62,'20Trips'!$A$3:$G$22,6,FALSE) &gt;= ('20Trips'!$B$24+VLOOKUP(VLOOKUP($B62,'20Trips'!$A$2:$I$22,4,FALSE),'20Trips'!$AB$46:$AH$50,4,FALSE))/1440),1,0)</f>
        <v>#N/A</v>
      </c>
      <c r="Q62" s="2" t="e">
        <f>IF(AND(VLOOKUP(Q$1,'20Trips'!$A$3:$F$22,5,FALSE) - VLOOKUP($B62,'20Trips'!$A$3:$G$22,6,FALSE) &gt;= ('20Trips'!$B$24+VLOOKUP(VLOOKUP($B62,'20Trips'!$A$2:$I$22,4,FALSE),'20Trips'!$AB$46:$AH$50,4,FALSE))/1440),1,0)</f>
        <v>#N/A</v>
      </c>
      <c r="R62" s="2" t="e">
        <f>IF(AND(VLOOKUP(R$1,'20Trips'!$A$3:$F$22,5,FALSE) - VLOOKUP($B62,'20Trips'!$A$3:$G$22,6,FALSE) &gt;= ('20Trips'!$B$24+VLOOKUP(VLOOKUP($B62,'20Trips'!$A$2:$I$22,4,FALSE),'20Trips'!$AB$46:$AH$50,4,FALSE))/1440),1,0)</f>
        <v>#N/A</v>
      </c>
      <c r="S62" s="2" t="e">
        <f>IF(AND(VLOOKUP(S$1,'20Trips'!$A$3:$F$22,5,FALSE) - VLOOKUP($B62,'20Trips'!$A$3:$G$22,6,FALSE) &gt;= ('20Trips'!$B$24+VLOOKUP(VLOOKUP($B62,'20Trips'!$A$2:$I$22,4,FALSE),'20Trips'!$AB$46:$AH$50,4,FALSE))/1440),1,0)</f>
        <v>#N/A</v>
      </c>
      <c r="T62" s="2" t="e">
        <f>IF(AND(VLOOKUP(T$1,'20Trips'!$A$3:$F$22,5,FALSE) - VLOOKUP($B62,'20Trips'!$A$3:$G$22,6,FALSE) &gt;= ('20Trips'!$B$24+VLOOKUP(VLOOKUP($B62,'20Trips'!$A$2:$I$22,4,FALSE),'20Trips'!$AB$46:$AH$50,4,FALSE))/1440),1,0)</f>
        <v>#N/A</v>
      </c>
      <c r="U62" s="2" t="e">
        <f>IF(AND(VLOOKUP(U$1,'20Trips'!$A$3:$F$22,5,FALSE) - VLOOKUP($B62,'20Trips'!$A$3:$G$22,6,FALSE) &gt;= ('20Trips'!$B$24+VLOOKUP(VLOOKUP($B62,'20Trips'!$A$2:$I$22,4,FALSE),'20Trips'!$AB$46:$AH$50,4,FALSE))/1440),1,0)</f>
        <v>#N/A</v>
      </c>
      <c r="V62" s="2" t="e">
        <f>IF(AND(VLOOKUP(V$1,'20Trips'!$A$3:$F$22,5,FALSE) - VLOOKUP($B62,'20Trips'!$A$3:$G$22,6,FALSE) &gt;= ('20Trips'!$B$24+VLOOKUP(VLOOKUP($B62,'20Trips'!$A$2:$I$22,4,FALSE),'20Trips'!$AB$46:$AH$50,4,FALSE))/1440),1,0)</f>
        <v>#N/A</v>
      </c>
      <c r="W62" s="2" t="e">
        <f>IF(AND(VLOOKUP(W$1,'20Trips'!$A$3:$F$22,5,FALSE) - VLOOKUP($B62,'20Trips'!$A$3:$G$22,6,FALSE) &gt;= ('20Trips'!$B$24+VLOOKUP(VLOOKUP($B62,'20Trips'!$A$2:$I$22,4,FALSE),'20Trips'!$AB$46:$AH$50,4,FALSE))/1440),1,0)</f>
        <v>#N/A</v>
      </c>
      <c r="X62" s="2" t="e">
        <f>IF(AND(VLOOKUP(X$1,'20Trips'!$A$3:$F$22,5,FALSE) - VLOOKUP($B62,'20Trips'!$A$3:$G$22,6,FALSE) &gt;= ('20Trips'!$B$24+VLOOKUP(VLOOKUP($B62,'20Trips'!$A$2:$I$22,4,FALSE),'20Trips'!$AB$46:$AH$50,4,FALSE))/1440),1,0)</f>
        <v>#N/A</v>
      </c>
      <c r="Y62" s="2" t="e">
        <f>IF(AND(VLOOKUP(Y$1,'20Trips'!$A$3:$F$22,5,FALSE) - VLOOKUP($B62,'20Trips'!$A$3:$G$22,6,FALSE) &gt;= ('20Trips'!$B$24+VLOOKUP(VLOOKUP($B62,'20Trips'!$A$2:$I$22,4,FALSE),'20Trips'!$AB$46:$AH$50,4,FALSE))/1440),1,0)</f>
        <v>#N/A</v>
      </c>
      <c r="Z62" s="2" t="e">
        <f>IF(AND(VLOOKUP(Z$1,'20Trips'!$A$3:$F$22,5,FALSE) - VLOOKUP($B62,'20Trips'!$A$3:$G$22,6,FALSE) &gt;= ('20Trips'!$B$24+VLOOKUP(VLOOKUP($B62,'20Trips'!$A$2:$I$22,4,FALSE),'20Trips'!$AB$46:$AH$50,4,FALSE))/1440),1,0)</f>
        <v>#N/A</v>
      </c>
      <c r="AA62" s="2" t="e">
        <f>IF(AND(VLOOKUP(AA$1,'20Trips'!$A$3:$F$22,5,FALSE) - VLOOKUP($B62,'20Trips'!$A$3:$G$22,6,FALSE) &gt;= ('20Trips'!$B$24+VLOOKUP(VLOOKUP($B62,'20Trips'!$A$2:$I$22,4,FALSE),'20Trips'!$AB$46:$AH$50,4,FALSE))/1440),1,0)</f>
        <v>#N/A</v>
      </c>
      <c r="AB62" s="2" t="e">
        <f>IF(AND(VLOOKUP(AB$1,'20Trips'!$A$3:$F$22,5,FALSE) - VLOOKUP($B62,'20Trips'!$A$3:$G$22,6,FALSE) &gt;= ('20Trips'!$B$24+VLOOKUP(VLOOKUP($B62,'20Trips'!$A$2:$I$22,4,FALSE),'20Trips'!$AB$46:$AH$50,4,FALSE))/1440),1,0)</f>
        <v>#N/A</v>
      </c>
      <c r="AC62" s="2" t="e">
        <f>IF(AND(VLOOKUP(AC$1,'20Trips'!$A$3:$F$22,5,FALSE) - VLOOKUP($B62,'20Trips'!$A$3:$G$22,6,FALSE) &gt;= ('20Trips'!$B$24+VLOOKUP(VLOOKUP($B62,'20Trips'!$A$2:$I$22,4,FALSE),'20Trips'!$AB$46:$AH$50,4,FALSE))/1440),1,0)</f>
        <v>#N/A</v>
      </c>
      <c r="AD62" s="2" t="e">
        <f>IF(AND(VLOOKUP(AD$1,'20Trips'!$A$3:$F$22,5,FALSE) - VLOOKUP($B62,'20Trips'!$A$3:$G$22,6,FALSE) &gt;= ('20Trips'!$B$24+VLOOKUP(VLOOKUP($B62,'20Trips'!$A$2:$I$22,4,FALSE),'20Trips'!$AB$46:$AH$50,4,FALSE))/1440),1,0)</f>
        <v>#N/A</v>
      </c>
      <c r="AE62" s="2" t="e">
        <f>IF(AND(VLOOKUP(AE$1,'20Trips'!$A$3:$F$22,5,FALSE) - VLOOKUP($B62,'20Trips'!$A$3:$G$22,6,FALSE) &gt;= ('20Trips'!$B$24+VLOOKUP(VLOOKUP($B62,'20Trips'!$A$2:$I$22,4,FALSE),'20Trips'!$AB$46:$AH$50,4,FALSE))/1440),1,0)</f>
        <v>#N/A</v>
      </c>
      <c r="AF62" s="2" t="e">
        <f>IF(AND(VLOOKUP(AF$1,'20Trips'!$A$3:$F$22,5,FALSE) - VLOOKUP($B62,'20Trips'!$A$3:$G$22,6,FALSE) &gt;= ('20Trips'!$B$24+VLOOKUP(VLOOKUP($B62,'20Trips'!$A$2:$I$22,4,FALSE),'20Trips'!$AB$46:$AH$50,4,FALSE))/1440),1,0)</f>
        <v>#N/A</v>
      </c>
      <c r="AG62" s="2" t="e">
        <f>IF(AND(VLOOKUP(AG$1,'20Trips'!$A$3:$F$22,5,FALSE) - VLOOKUP($B62,'20Trips'!$A$3:$G$22,6,FALSE) &gt;= ('20Trips'!$B$24+VLOOKUP(VLOOKUP($B62,'20Trips'!$A$2:$I$22,4,FALSE),'20Trips'!$AB$46:$AH$50,4,FALSE))/1440),1,0)</f>
        <v>#N/A</v>
      </c>
    </row>
    <row r="63" spans="1:33" x14ac:dyDescent="0.25">
      <c r="A63" t="s">
        <v>62</v>
      </c>
      <c r="B63" t="s">
        <v>41</v>
      </c>
      <c r="C63">
        <v>0</v>
      </c>
      <c r="D63" s="2" t="e">
        <f>IF(AND(VLOOKUP(D$1,'20Trips'!$A$3:$F$22,5,FALSE) - VLOOKUP($B63,'20Trips'!$A$3:$G$22,6,FALSE) &gt;= ('20Trips'!$B$24+VLOOKUP(VLOOKUP($B63,'20Trips'!$A$2:$I$22,4,FALSE),'20Trips'!$AB$46:$AH$50,4,FALSE))/1440),1,0)</f>
        <v>#N/A</v>
      </c>
      <c r="E63" s="2" t="e">
        <f>IF(AND(VLOOKUP(E$1,'20Trips'!$A$3:$F$22,5,FALSE) - VLOOKUP($B63,'20Trips'!$A$3:$G$22,6,FALSE) &gt;= ('20Trips'!$B$24+VLOOKUP(VLOOKUP($B63,'20Trips'!$A$2:$I$22,4,FALSE),'20Trips'!$AB$46:$AH$50,4,FALSE))/1440),1,0)</f>
        <v>#N/A</v>
      </c>
      <c r="F63" s="2" t="e">
        <f>IF(AND(VLOOKUP(F$1,'20Trips'!$A$3:$F$22,5,FALSE) - VLOOKUP($B63,'20Trips'!$A$3:$G$22,6,FALSE) &gt;= ('20Trips'!$B$24+VLOOKUP(VLOOKUP($B63,'20Trips'!$A$2:$I$22,4,FALSE),'20Trips'!$AB$46:$AH$50,4,FALSE))/1440),1,0)</f>
        <v>#N/A</v>
      </c>
      <c r="G63" s="2" t="e">
        <f>IF(AND(VLOOKUP(G$1,'20Trips'!$A$3:$F$22,5,FALSE) - VLOOKUP($B63,'20Trips'!$A$3:$G$22,6,FALSE) &gt;= ('20Trips'!$B$24+VLOOKUP(VLOOKUP($B63,'20Trips'!$A$2:$I$22,4,FALSE),'20Trips'!$AB$46:$AH$50,4,FALSE))/1440),1,0)</f>
        <v>#N/A</v>
      </c>
      <c r="H63" s="2" t="e">
        <f>IF(AND(VLOOKUP(H$1,'20Trips'!$A$3:$F$22,5,FALSE) - VLOOKUP($B63,'20Trips'!$A$3:$G$22,6,FALSE) &gt;= ('20Trips'!$B$24+VLOOKUP(VLOOKUP($B63,'20Trips'!$A$2:$I$22,4,FALSE),'20Trips'!$AB$46:$AH$50,4,FALSE))/1440),1,0)</f>
        <v>#N/A</v>
      </c>
      <c r="I63" s="2" t="e">
        <f>IF(AND(VLOOKUP(I$1,'20Trips'!$A$3:$F$22,5,FALSE) - VLOOKUP($B63,'20Trips'!$A$3:$G$22,6,FALSE) &gt;= ('20Trips'!$B$24+VLOOKUP(VLOOKUP($B63,'20Trips'!$A$2:$I$22,4,FALSE),'20Trips'!$AB$46:$AH$50,4,FALSE))/1440),1,0)</f>
        <v>#N/A</v>
      </c>
      <c r="J63" s="2" t="e">
        <f>IF(AND(VLOOKUP(J$1,'20Trips'!$A$3:$F$22,5,FALSE) - VLOOKUP($B63,'20Trips'!$A$3:$G$22,6,FALSE) &gt;= ('20Trips'!$B$24+VLOOKUP(VLOOKUP($B63,'20Trips'!$A$2:$I$22,4,FALSE),'20Trips'!$AB$46:$AH$50,4,FALSE))/1440),1,0)</f>
        <v>#N/A</v>
      </c>
      <c r="K63" s="2" t="e">
        <f>IF(AND(VLOOKUP(K$1,'20Trips'!$A$3:$F$22,5,FALSE) - VLOOKUP($B63,'20Trips'!$A$3:$G$22,6,FALSE) &gt;= ('20Trips'!$B$24+VLOOKUP(VLOOKUP($B63,'20Trips'!$A$2:$I$22,4,FALSE),'20Trips'!$AB$46:$AH$50,4,FALSE))/1440),1,0)</f>
        <v>#N/A</v>
      </c>
      <c r="L63" s="2" t="e">
        <f>IF(AND(VLOOKUP(L$1,'20Trips'!$A$3:$F$22,5,FALSE) - VLOOKUP($B63,'20Trips'!$A$3:$G$22,6,FALSE) &gt;= ('20Trips'!$B$24+VLOOKUP(VLOOKUP($B63,'20Trips'!$A$2:$I$22,4,FALSE),'20Trips'!$AB$46:$AH$50,4,FALSE))/1440),1,0)</f>
        <v>#N/A</v>
      </c>
      <c r="M63" s="2" t="e">
        <f>IF(AND(VLOOKUP(M$1,'20Trips'!$A$3:$F$22,5,FALSE) - VLOOKUP($B63,'20Trips'!$A$3:$G$22,6,FALSE) &gt;= ('20Trips'!$B$24+VLOOKUP(VLOOKUP($B63,'20Trips'!$A$2:$I$22,4,FALSE),'20Trips'!$AB$46:$AH$50,4,FALSE))/1440),1,0)</f>
        <v>#N/A</v>
      </c>
      <c r="N63" s="2" t="e">
        <f>IF(AND(VLOOKUP(N$1,'20Trips'!$A$3:$F$22,5,FALSE) - VLOOKUP($B63,'20Trips'!$A$3:$G$22,6,FALSE) &gt;= ('20Trips'!$B$24+VLOOKUP(VLOOKUP($B63,'20Trips'!$A$2:$I$22,4,FALSE),'20Trips'!$AB$46:$AH$50,4,FALSE))/1440),1,0)</f>
        <v>#N/A</v>
      </c>
      <c r="O63" s="2" t="e">
        <f>IF(AND(VLOOKUP(O$1,'20Trips'!$A$3:$F$22,5,FALSE) - VLOOKUP($B63,'20Trips'!$A$3:$G$22,6,FALSE) &gt;= ('20Trips'!$B$24+VLOOKUP(VLOOKUP($B63,'20Trips'!$A$2:$I$22,4,FALSE),'20Trips'!$AB$46:$AH$50,4,FALSE))/1440),1,0)</f>
        <v>#N/A</v>
      </c>
      <c r="P63" s="2" t="e">
        <f>IF(AND(VLOOKUP(P$1,'20Trips'!$A$3:$F$22,5,FALSE) - VLOOKUP($B63,'20Trips'!$A$3:$G$22,6,FALSE) &gt;= ('20Trips'!$B$24+VLOOKUP(VLOOKUP($B63,'20Trips'!$A$2:$I$22,4,FALSE),'20Trips'!$AB$46:$AH$50,4,FALSE))/1440),1,0)</f>
        <v>#N/A</v>
      </c>
      <c r="Q63" s="2" t="e">
        <f>IF(AND(VLOOKUP(Q$1,'20Trips'!$A$3:$F$22,5,FALSE) - VLOOKUP($B63,'20Trips'!$A$3:$G$22,6,FALSE) &gt;= ('20Trips'!$B$24+VLOOKUP(VLOOKUP($B63,'20Trips'!$A$2:$I$22,4,FALSE),'20Trips'!$AB$46:$AH$50,4,FALSE))/1440),1,0)</f>
        <v>#N/A</v>
      </c>
      <c r="R63" s="2" t="e">
        <f>IF(AND(VLOOKUP(R$1,'20Trips'!$A$3:$F$22,5,FALSE) - VLOOKUP($B63,'20Trips'!$A$3:$G$22,6,FALSE) &gt;= ('20Trips'!$B$24+VLOOKUP(VLOOKUP($B63,'20Trips'!$A$2:$I$22,4,FALSE),'20Trips'!$AB$46:$AH$50,4,FALSE))/1440),1,0)</f>
        <v>#N/A</v>
      </c>
      <c r="S63" s="2" t="e">
        <f>IF(AND(VLOOKUP(S$1,'20Trips'!$A$3:$F$22,5,FALSE) - VLOOKUP($B63,'20Trips'!$A$3:$G$22,6,FALSE) &gt;= ('20Trips'!$B$24+VLOOKUP(VLOOKUP($B63,'20Trips'!$A$2:$I$22,4,FALSE),'20Trips'!$AB$46:$AH$50,4,FALSE))/1440),1,0)</f>
        <v>#N/A</v>
      </c>
      <c r="T63" s="2" t="e">
        <f>IF(AND(VLOOKUP(T$1,'20Trips'!$A$3:$F$22,5,FALSE) - VLOOKUP($B63,'20Trips'!$A$3:$G$22,6,FALSE) &gt;= ('20Trips'!$B$24+VLOOKUP(VLOOKUP($B63,'20Trips'!$A$2:$I$22,4,FALSE),'20Trips'!$AB$46:$AH$50,4,FALSE))/1440),1,0)</f>
        <v>#N/A</v>
      </c>
      <c r="U63" s="2" t="e">
        <f>IF(AND(VLOOKUP(U$1,'20Trips'!$A$3:$F$22,5,FALSE) - VLOOKUP($B63,'20Trips'!$A$3:$G$22,6,FALSE) &gt;= ('20Trips'!$B$24+VLOOKUP(VLOOKUP($B63,'20Trips'!$A$2:$I$22,4,FALSE),'20Trips'!$AB$46:$AH$50,4,FALSE))/1440),1,0)</f>
        <v>#N/A</v>
      </c>
      <c r="V63" s="2" t="e">
        <f>IF(AND(VLOOKUP(V$1,'20Trips'!$A$3:$F$22,5,FALSE) - VLOOKUP($B63,'20Trips'!$A$3:$G$22,6,FALSE) &gt;= ('20Trips'!$B$24+VLOOKUP(VLOOKUP($B63,'20Trips'!$A$2:$I$22,4,FALSE),'20Trips'!$AB$46:$AH$50,4,FALSE))/1440),1,0)</f>
        <v>#N/A</v>
      </c>
      <c r="W63" s="2" t="e">
        <f>IF(AND(VLOOKUP(W$1,'20Trips'!$A$3:$F$22,5,FALSE) - VLOOKUP($B63,'20Trips'!$A$3:$G$22,6,FALSE) &gt;= ('20Trips'!$B$24+VLOOKUP(VLOOKUP($B63,'20Trips'!$A$2:$I$22,4,FALSE),'20Trips'!$AB$46:$AH$50,4,FALSE))/1440),1,0)</f>
        <v>#N/A</v>
      </c>
      <c r="X63" s="2" t="e">
        <f>IF(AND(VLOOKUP(X$1,'20Trips'!$A$3:$F$22,5,FALSE) - VLOOKUP($B63,'20Trips'!$A$3:$G$22,6,FALSE) &gt;= ('20Trips'!$B$24+VLOOKUP(VLOOKUP($B63,'20Trips'!$A$2:$I$22,4,FALSE),'20Trips'!$AB$46:$AH$50,4,FALSE))/1440),1,0)</f>
        <v>#N/A</v>
      </c>
      <c r="Y63" s="2" t="e">
        <f>IF(AND(VLOOKUP(Y$1,'20Trips'!$A$3:$F$22,5,FALSE) - VLOOKUP($B63,'20Trips'!$A$3:$G$22,6,FALSE) &gt;= ('20Trips'!$B$24+VLOOKUP(VLOOKUP($B63,'20Trips'!$A$2:$I$22,4,FALSE),'20Trips'!$AB$46:$AH$50,4,FALSE))/1440),1,0)</f>
        <v>#N/A</v>
      </c>
      <c r="Z63" s="2" t="e">
        <f>IF(AND(VLOOKUP(Z$1,'20Trips'!$A$3:$F$22,5,FALSE) - VLOOKUP($B63,'20Trips'!$A$3:$G$22,6,FALSE) &gt;= ('20Trips'!$B$24+VLOOKUP(VLOOKUP($B63,'20Trips'!$A$2:$I$22,4,FALSE),'20Trips'!$AB$46:$AH$50,4,FALSE))/1440),1,0)</f>
        <v>#N/A</v>
      </c>
      <c r="AA63" s="2" t="e">
        <f>IF(AND(VLOOKUP(AA$1,'20Trips'!$A$3:$F$22,5,FALSE) - VLOOKUP($B63,'20Trips'!$A$3:$G$22,6,FALSE) &gt;= ('20Trips'!$B$24+VLOOKUP(VLOOKUP($B63,'20Trips'!$A$2:$I$22,4,FALSE),'20Trips'!$AB$46:$AH$50,4,FALSE))/1440),1,0)</f>
        <v>#N/A</v>
      </c>
      <c r="AB63" s="2" t="e">
        <f>IF(AND(VLOOKUP(AB$1,'20Trips'!$A$3:$F$22,5,FALSE) - VLOOKUP($B63,'20Trips'!$A$3:$G$22,6,FALSE) &gt;= ('20Trips'!$B$24+VLOOKUP(VLOOKUP($B63,'20Trips'!$A$2:$I$22,4,FALSE),'20Trips'!$AB$46:$AH$50,4,FALSE))/1440),1,0)</f>
        <v>#N/A</v>
      </c>
      <c r="AC63" s="2" t="e">
        <f>IF(AND(VLOOKUP(AC$1,'20Trips'!$A$3:$F$22,5,FALSE) - VLOOKUP($B63,'20Trips'!$A$3:$G$22,6,FALSE) &gt;= ('20Trips'!$B$24+VLOOKUP(VLOOKUP($B63,'20Trips'!$A$2:$I$22,4,FALSE),'20Trips'!$AB$46:$AH$50,4,FALSE))/1440),1,0)</f>
        <v>#N/A</v>
      </c>
      <c r="AD63" s="2" t="e">
        <f>IF(AND(VLOOKUP(AD$1,'20Trips'!$A$3:$F$22,5,FALSE) - VLOOKUP($B63,'20Trips'!$A$3:$G$22,6,FALSE) &gt;= ('20Trips'!$B$24+VLOOKUP(VLOOKUP($B63,'20Trips'!$A$2:$I$22,4,FALSE),'20Trips'!$AB$46:$AH$50,4,FALSE))/1440),1,0)</f>
        <v>#N/A</v>
      </c>
      <c r="AE63" s="2" t="e">
        <f>IF(AND(VLOOKUP(AE$1,'20Trips'!$A$3:$F$22,5,FALSE) - VLOOKUP($B63,'20Trips'!$A$3:$G$22,6,FALSE) &gt;= ('20Trips'!$B$24+VLOOKUP(VLOOKUP($B63,'20Trips'!$A$2:$I$22,4,FALSE),'20Trips'!$AB$46:$AH$50,4,FALSE))/1440),1,0)</f>
        <v>#N/A</v>
      </c>
      <c r="AF63" s="2" t="e">
        <f>IF(AND(VLOOKUP(AF$1,'20Trips'!$A$3:$F$22,5,FALSE) - VLOOKUP($B63,'20Trips'!$A$3:$G$22,6,FALSE) &gt;= ('20Trips'!$B$24+VLOOKUP(VLOOKUP($B63,'20Trips'!$A$2:$I$22,4,FALSE),'20Trips'!$AB$46:$AH$50,4,FALSE))/1440),1,0)</f>
        <v>#N/A</v>
      </c>
      <c r="AG63" s="2" t="e">
        <f>IF(AND(VLOOKUP(AG$1,'20Trips'!$A$3:$F$22,5,FALSE) - VLOOKUP($B63,'20Trips'!$A$3:$G$22,6,FALSE) &gt;= ('20Trips'!$B$24+VLOOKUP(VLOOKUP($B63,'20Trips'!$A$2:$I$22,4,FALSE),'20Trips'!$AB$46:$AH$50,4,FALSE))/1440),1,0)</f>
        <v>#N/A</v>
      </c>
    </row>
    <row r="64" spans="1:33" x14ac:dyDescent="0.25">
      <c r="A64" t="s">
        <v>67</v>
      </c>
      <c r="B64" t="s">
        <v>46</v>
      </c>
      <c r="C64">
        <v>0</v>
      </c>
      <c r="D64" s="2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 t="s">
        <v>67</v>
      </c>
      <c r="B65" t="s">
        <v>6</v>
      </c>
      <c r="C65">
        <v>0</v>
      </c>
      <c r="D65" s="2">
        <f>IF(AND(VLOOKUP(D$1,'20Trips'!$A$3:$F$22,5,FALSE) - VLOOKUP($B65,'20Trips'!$A$3:$G$22,6,FALSE) &gt;= ('20Trips'!$B$25+VLOOKUP(VLOOKUP($B65,'20Trips'!$A$2:$I$22,4,FALSE),'20Trips'!$AB$46:$AH$50,5,FALSE))/1440),1,0)</f>
        <v>0</v>
      </c>
      <c r="E65" s="2">
        <f>IF(AND(VLOOKUP(E$1,'20Trips'!$A$3:$F$22,5,FALSE) - VLOOKUP($B65,'20Trips'!$A$3:$G$22,6,FALSE) &gt;= ('20Trips'!$B$25+VLOOKUP(VLOOKUP($B65,'20Trips'!$A$2:$I$22,4,FALSE),'20Trips'!$AB$46:$AH$50,5,FALSE))/1440),1,0)</f>
        <v>0</v>
      </c>
      <c r="F65" s="2">
        <f>IF(AND(VLOOKUP(F$1,'20Trips'!$A$3:$F$22,5,FALSE) - VLOOKUP($B65,'20Trips'!$A$3:$G$22,6,FALSE) &gt;= ('20Trips'!$B$25+VLOOKUP(VLOOKUP($B65,'20Trips'!$A$2:$I$22,4,FALSE),'20Trips'!$AB$46:$AH$50,5,FALSE))/1440),1,0)</f>
        <v>1</v>
      </c>
      <c r="G65" s="2">
        <f>IF(AND(VLOOKUP(G$1,'20Trips'!$A$3:$F$22,5,FALSE) - VLOOKUP($B65,'20Trips'!$A$3:$G$22,6,FALSE) &gt;= ('20Trips'!$B$25+VLOOKUP(VLOOKUP($B65,'20Trips'!$A$2:$I$22,4,FALSE),'20Trips'!$AB$46:$AH$50,5,FALSE))/1440),1,0)</f>
        <v>1</v>
      </c>
      <c r="H65" s="2">
        <f>IF(AND(VLOOKUP(H$1,'20Trips'!$A$3:$F$22,5,FALSE) - VLOOKUP($B65,'20Trips'!$A$3:$G$22,6,FALSE) &gt;= ('20Trips'!$B$25+VLOOKUP(VLOOKUP($B65,'20Trips'!$A$2:$I$22,4,FALSE),'20Trips'!$AB$46:$AH$50,5,FALSE))/1440),1,0)</f>
        <v>1</v>
      </c>
      <c r="I65" s="2" t="e">
        <f>IF(AND(VLOOKUP(I$1,'20Trips'!$A$3:$F$22,5,FALSE) - VLOOKUP($B65,'20Trips'!$A$3:$G$22,6,FALSE) &gt;= ('20Trips'!$B$25+VLOOKUP(VLOOKUP($B65,'20Trips'!$A$2:$I$22,4,FALSE),'20Trips'!$AB$46:$AH$50,5,FALSE))/1440),1,0)</f>
        <v>#N/A</v>
      </c>
      <c r="J65" s="2" t="e">
        <f>IF(AND(VLOOKUP(J$1,'20Trips'!$A$3:$F$22,5,FALSE) - VLOOKUP($B65,'20Trips'!$A$3:$G$22,6,FALSE) &gt;= ('20Trips'!$B$25+VLOOKUP(VLOOKUP($B65,'20Trips'!$A$2:$I$22,4,FALSE),'20Trips'!$AB$46:$AH$50,5,FALSE))/1440),1,0)</f>
        <v>#N/A</v>
      </c>
      <c r="K65" s="2" t="e">
        <f>IF(AND(VLOOKUP(K$1,'20Trips'!$A$3:$F$22,5,FALSE) - VLOOKUP($B65,'20Trips'!$A$3:$G$22,6,FALSE) &gt;= ('20Trips'!$B$25+VLOOKUP(VLOOKUP($B65,'20Trips'!$A$2:$I$22,4,FALSE),'20Trips'!$AB$46:$AH$50,5,FALSE))/1440),1,0)</f>
        <v>#N/A</v>
      </c>
      <c r="L65" s="2">
        <f>IF(AND(VLOOKUP(L$1,'20Trips'!$A$3:$F$22,5,FALSE) - VLOOKUP($B65,'20Trips'!$A$3:$G$22,6,FALSE) &gt;= ('20Trips'!$B$25+VLOOKUP(VLOOKUP($B65,'20Trips'!$A$2:$I$22,4,FALSE),'20Trips'!$AB$46:$AH$50,5,FALSE))/1440),1,0)</f>
        <v>0</v>
      </c>
      <c r="M65" s="2">
        <f>IF(AND(VLOOKUP(M$1,'20Trips'!$A$3:$F$22,5,FALSE) - VLOOKUP($B65,'20Trips'!$A$3:$G$22,6,FALSE) &gt;= ('20Trips'!$B$25+VLOOKUP(VLOOKUP($B65,'20Trips'!$A$2:$I$22,4,FALSE),'20Trips'!$AB$46:$AH$50,5,FALSE))/1440),1,0)</f>
        <v>0</v>
      </c>
      <c r="N65" s="2">
        <f>IF(AND(VLOOKUP(N$1,'20Trips'!$A$3:$F$22,5,FALSE) - VLOOKUP($B65,'20Trips'!$A$3:$G$22,6,FALSE) &gt;= ('20Trips'!$B$25+VLOOKUP(VLOOKUP($B65,'20Trips'!$A$2:$I$22,4,FALSE),'20Trips'!$AB$46:$AH$50,5,FALSE))/1440),1,0)</f>
        <v>1</v>
      </c>
      <c r="O65" s="2">
        <f>IF(AND(VLOOKUP(O$1,'20Trips'!$A$3:$F$22,5,FALSE) - VLOOKUP($B65,'20Trips'!$A$3:$G$22,6,FALSE) &gt;= ('20Trips'!$B$25+VLOOKUP(VLOOKUP($B65,'20Trips'!$A$2:$I$22,4,FALSE),'20Trips'!$AB$46:$AH$50,5,FALSE))/1440),1,0)</f>
        <v>1</v>
      </c>
      <c r="P65" s="2">
        <f>IF(AND(VLOOKUP(P$1,'20Trips'!$A$3:$F$22,5,FALSE) - VLOOKUP($B65,'20Trips'!$A$3:$G$22,6,FALSE) &gt;= ('20Trips'!$B$25+VLOOKUP(VLOOKUP($B65,'20Trips'!$A$2:$I$22,4,FALSE),'20Trips'!$AB$46:$AH$50,5,FALSE))/1440),1,0)</f>
        <v>1</v>
      </c>
      <c r="Q65" s="2" t="e">
        <f>IF(AND(VLOOKUP(Q$1,'20Trips'!$A$3:$F$22,5,FALSE) - VLOOKUP($B65,'20Trips'!$A$3:$G$22,6,FALSE) &gt;= ('20Trips'!$B$25+VLOOKUP(VLOOKUP($B65,'20Trips'!$A$2:$I$22,4,FALSE),'20Trips'!$AB$46:$AH$50,5,FALSE))/1440),1,0)</f>
        <v>#N/A</v>
      </c>
      <c r="R65" s="2">
        <f>IF(AND(VLOOKUP(R$1,'20Trips'!$A$3:$F$22,5,FALSE) - VLOOKUP($B65,'20Trips'!$A$3:$G$22,6,FALSE) &gt;= ('20Trips'!$B$25+VLOOKUP(VLOOKUP($B65,'20Trips'!$A$2:$I$22,4,FALSE),'20Trips'!$AB$46:$AH$50,5,FALSE))/1440),1,0)</f>
        <v>0</v>
      </c>
      <c r="S65" s="2">
        <f>IF(AND(VLOOKUP(S$1,'20Trips'!$A$3:$F$22,5,FALSE) - VLOOKUP($B65,'20Trips'!$A$3:$G$22,6,FALSE) &gt;= ('20Trips'!$B$25+VLOOKUP(VLOOKUP($B65,'20Trips'!$A$2:$I$22,4,FALSE),'20Trips'!$AB$46:$AH$50,5,FALSE))/1440),1,0)</f>
        <v>0</v>
      </c>
      <c r="T65" s="2">
        <f>IF(AND(VLOOKUP(T$1,'20Trips'!$A$3:$F$22,5,FALSE) - VLOOKUP($B65,'20Trips'!$A$3:$G$22,6,FALSE) &gt;= ('20Trips'!$B$25+VLOOKUP(VLOOKUP($B65,'20Trips'!$A$2:$I$22,4,FALSE),'20Trips'!$AB$46:$AH$50,5,FALSE))/1440),1,0)</f>
        <v>0</v>
      </c>
      <c r="U65" s="2">
        <f>IF(AND(VLOOKUP(U$1,'20Trips'!$A$3:$F$22,5,FALSE) - VLOOKUP($B65,'20Trips'!$A$3:$G$22,6,FALSE) &gt;= ('20Trips'!$B$25+VLOOKUP(VLOOKUP($B65,'20Trips'!$A$2:$I$22,4,FALSE),'20Trips'!$AB$46:$AH$50,5,FALSE))/1440),1,0)</f>
        <v>1</v>
      </c>
      <c r="V65" s="2">
        <f>IF(AND(VLOOKUP(V$1,'20Trips'!$A$3:$F$22,5,FALSE) - VLOOKUP($B65,'20Trips'!$A$3:$G$22,6,FALSE) &gt;= ('20Trips'!$B$25+VLOOKUP(VLOOKUP($B65,'20Trips'!$A$2:$I$22,4,FALSE),'20Trips'!$AB$46:$AH$50,5,FALSE))/1440),1,0)</f>
        <v>1</v>
      </c>
      <c r="W65" s="2" t="e">
        <f>IF(AND(VLOOKUP(W$1,'20Trips'!$A$3:$F$22,5,FALSE) - VLOOKUP($B65,'20Trips'!$A$3:$G$22,6,FALSE) &gt;= ('20Trips'!$B$25+VLOOKUP(VLOOKUP($B65,'20Trips'!$A$2:$I$22,4,FALSE),'20Trips'!$AB$46:$AH$50,5,FALSE))/1440),1,0)</f>
        <v>#N/A</v>
      </c>
      <c r="X65" s="2" t="e">
        <f>IF(AND(VLOOKUP(X$1,'20Trips'!$A$3:$F$22,5,FALSE) - VLOOKUP($B65,'20Trips'!$A$3:$G$22,6,FALSE) &gt;= ('20Trips'!$B$25+VLOOKUP(VLOOKUP($B65,'20Trips'!$A$2:$I$22,4,FALSE),'20Trips'!$AB$46:$AH$50,5,FALSE))/1440),1,0)</f>
        <v>#N/A</v>
      </c>
      <c r="Y65" s="2" t="e">
        <f>IF(AND(VLOOKUP(Y$1,'20Trips'!$A$3:$F$22,5,FALSE) - VLOOKUP($B65,'20Trips'!$A$3:$G$22,6,FALSE) &gt;= ('20Trips'!$B$25+VLOOKUP(VLOOKUP($B65,'20Trips'!$A$2:$I$22,4,FALSE),'20Trips'!$AB$46:$AH$50,5,FALSE))/1440),1,0)</f>
        <v>#N/A</v>
      </c>
      <c r="Z65" s="2">
        <f>IF(AND(VLOOKUP(Z$1,'20Trips'!$A$3:$F$22,5,FALSE) - VLOOKUP($B65,'20Trips'!$A$3:$G$22,6,FALSE) &gt;= ('20Trips'!$B$25+VLOOKUP(VLOOKUP($B65,'20Trips'!$A$2:$I$22,4,FALSE),'20Trips'!$AB$46:$AH$50,5,FALSE))/1440),1,0)</f>
        <v>0</v>
      </c>
      <c r="AA65" s="2">
        <f>IF(AND(VLOOKUP(AA$1,'20Trips'!$A$3:$F$22,5,FALSE) - VLOOKUP($B65,'20Trips'!$A$3:$G$22,6,FALSE) &gt;= ('20Trips'!$B$25+VLOOKUP(VLOOKUP($B65,'20Trips'!$A$2:$I$22,4,FALSE),'20Trips'!$AB$46:$AH$50,5,FALSE))/1440),1,0)</f>
        <v>0</v>
      </c>
      <c r="AB65" s="2">
        <f>IF(AND(VLOOKUP(AB$1,'20Trips'!$A$3:$F$22,5,FALSE) - VLOOKUP($B65,'20Trips'!$A$3:$G$22,6,FALSE) &gt;= ('20Trips'!$B$25+VLOOKUP(VLOOKUP($B65,'20Trips'!$A$2:$I$22,4,FALSE),'20Trips'!$AB$46:$AH$50,5,FALSE))/1440),1,0)</f>
        <v>1</v>
      </c>
      <c r="AC65" s="2">
        <f>IF(AND(VLOOKUP(AC$1,'20Trips'!$A$3:$F$22,5,FALSE) - VLOOKUP($B65,'20Trips'!$A$3:$G$22,6,FALSE) &gt;= ('20Trips'!$B$25+VLOOKUP(VLOOKUP($B65,'20Trips'!$A$2:$I$22,4,FALSE),'20Trips'!$AB$46:$AH$50,5,FALSE))/1440),1,0)</f>
        <v>1</v>
      </c>
      <c r="AD65" s="2">
        <f>IF(AND(VLOOKUP(AD$1,'20Trips'!$A$3:$F$22,5,FALSE) - VLOOKUP($B65,'20Trips'!$A$3:$G$22,6,FALSE) &gt;= ('20Trips'!$B$25+VLOOKUP(VLOOKUP($B65,'20Trips'!$A$2:$I$22,4,FALSE),'20Trips'!$AB$46:$AH$50,5,FALSE))/1440),1,0)</f>
        <v>1</v>
      </c>
      <c r="AE65" s="2" t="e">
        <f>IF(AND(VLOOKUP(AE$1,'20Trips'!$A$3:$F$22,5,FALSE) - VLOOKUP($B65,'20Trips'!$A$3:$G$22,6,FALSE) &gt;= ('20Trips'!$B$25+VLOOKUP(VLOOKUP($B65,'20Trips'!$A$2:$I$22,4,FALSE),'20Trips'!$AB$46:$AH$50,5,FALSE))/1440),1,0)</f>
        <v>#N/A</v>
      </c>
      <c r="AF65" s="2" t="e">
        <f>IF(AND(VLOOKUP(AF$1,'20Trips'!$A$3:$F$22,5,FALSE) - VLOOKUP($B65,'20Trips'!$A$3:$G$22,6,FALSE) &gt;= ('20Trips'!$B$25+VLOOKUP(VLOOKUP($B65,'20Trips'!$A$2:$I$22,4,FALSE),'20Trips'!$AB$46:$AH$50,5,FALSE))/1440),1,0)</f>
        <v>#N/A</v>
      </c>
      <c r="AG65" s="2" t="e">
        <f>IF(AND(VLOOKUP(AG$1,'20Trips'!$A$3:$F$22,5,FALSE) - VLOOKUP($B65,'20Trips'!$A$3:$G$22,6,FALSE) &gt;= ('20Trips'!$B$25+VLOOKUP(VLOOKUP($B65,'20Trips'!$A$2:$I$22,4,FALSE),'20Trips'!$AB$46:$AH$50,5,FALSE))/1440),1,0)</f>
        <v>#N/A</v>
      </c>
    </row>
    <row r="66" spans="1:33" x14ac:dyDescent="0.25">
      <c r="A66" t="s">
        <v>67</v>
      </c>
      <c r="B66" t="s">
        <v>9</v>
      </c>
      <c r="C66">
        <v>0</v>
      </c>
      <c r="D66" s="2">
        <f>IF(AND(VLOOKUP(D$1,'20Trips'!$A$3:$F$22,5,FALSE) - VLOOKUP($B66,'20Trips'!$A$3:$G$22,6,FALSE) &gt;= ('20Trips'!$B$25+VLOOKUP(VLOOKUP($B66,'20Trips'!$A$2:$I$22,4,FALSE),'20Trips'!$AB$46:$AH$50,5,FALSE))/1440),1,0)</f>
        <v>0</v>
      </c>
      <c r="E66" s="2">
        <f>IF(AND(VLOOKUP(E$1,'20Trips'!$A$3:$F$22,5,FALSE) - VLOOKUP($B66,'20Trips'!$A$3:$G$22,6,FALSE) &gt;= ('20Trips'!$B$25+VLOOKUP(VLOOKUP($B66,'20Trips'!$A$2:$I$22,4,FALSE),'20Trips'!$AB$46:$AH$50,5,FALSE))/1440),1,0)</f>
        <v>0</v>
      </c>
      <c r="F66" s="2">
        <f>IF(AND(VLOOKUP(F$1,'20Trips'!$A$3:$F$22,5,FALSE) - VLOOKUP($B66,'20Trips'!$A$3:$G$22,6,FALSE) &gt;= ('20Trips'!$B$25+VLOOKUP(VLOOKUP($B66,'20Trips'!$A$2:$I$22,4,FALSE),'20Trips'!$AB$46:$AH$50,5,FALSE))/1440),1,0)</f>
        <v>0</v>
      </c>
      <c r="G66" s="2">
        <f>IF(AND(VLOOKUP(G$1,'20Trips'!$A$3:$F$22,5,FALSE) - VLOOKUP($B66,'20Trips'!$A$3:$G$22,6,FALSE) &gt;= ('20Trips'!$B$25+VLOOKUP(VLOOKUP($B66,'20Trips'!$A$2:$I$22,4,FALSE),'20Trips'!$AB$46:$AH$50,5,FALSE))/1440),1,0)</f>
        <v>0</v>
      </c>
      <c r="H66" s="2">
        <f>IF(AND(VLOOKUP(H$1,'20Trips'!$A$3:$F$22,5,FALSE) - VLOOKUP($B66,'20Trips'!$A$3:$G$22,6,FALSE) &gt;= ('20Trips'!$B$25+VLOOKUP(VLOOKUP($B66,'20Trips'!$A$2:$I$22,4,FALSE),'20Trips'!$AB$46:$AH$50,5,FALSE))/1440),1,0)</f>
        <v>1</v>
      </c>
      <c r="I66" s="2" t="e">
        <f>IF(AND(VLOOKUP(I$1,'20Trips'!$A$3:$F$22,5,FALSE) - VLOOKUP($B66,'20Trips'!$A$3:$G$22,6,FALSE) &gt;= ('20Trips'!$B$25+VLOOKUP(VLOOKUP($B66,'20Trips'!$A$2:$I$22,4,FALSE),'20Trips'!$AB$46:$AH$50,5,FALSE))/1440),1,0)</f>
        <v>#N/A</v>
      </c>
      <c r="J66" s="2" t="e">
        <f>IF(AND(VLOOKUP(J$1,'20Trips'!$A$3:$F$22,5,FALSE) - VLOOKUP($B66,'20Trips'!$A$3:$G$22,6,FALSE) &gt;= ('20Trips'!$B$25+VLOOKUP(VLOOKUP($B66,'20Trips'!$A$2:$I$22,4,FALSE),'20Trips'!$AB$46:$AH$50,5,FALSE))/1440),1,0)</f>
        <v>#N/A</v>
      </c>
      <c r="K66" s="2" t="e">
        <f>IF(AND(VLOOKUP(K$1,'20Trips'!$A$3:$F$22,5,FALSE) - VLOOKUP($B66,'20Trips'!$A$3:$G$22,6,FALSE) &gt;= ('20Trips'!$B$25+VLOOKUP(VLOOKUP($B66,'20Trips'!$A$2:$I$22,4,FALSE),'20Trips'!$AB$46:$AH$50,5,FALSE))/1440),1,0)</f>
        <v>#N/A</v>
      </c>
      <c r="L66" s="2">
        <f>IF(AND(VLOOKUP(L$1,'20Trips'!$A$3:$F$22,5,FALSE) - VLOOKUP($B66,'20Trips'!$A$3:$G$22,6,FALSE) &gt;= ('20Trips'!$B$25+VLOOKUP(VLOOKUP($B66,'20Trips'!$A$2:$I$22,4,FALSE),'20Trips'!$AB$46:$AH$50,5,FALSE))/1440),1,0)</f>
        <v>0</v>
      </c>
      <c r="M66" s="2">
        <f>IF(AND(VLOOKUP(M$1,'20Trips'!$A$3:$F$22,5,FALSE) - VLOOKUP($B66,'20Trips'!$A$3:$G$22,6,FALSE) &gt;= ('20Trips'!$B$25+VLOOKUP(VLOOKUP($B66,'20Trips'!$A$2:$I$22,4,FALSE),'20Trips'!$AB$46:$AH$50,5,FALSE))/1440),1,0)</f>
        <v>0</v>
      </c>
      <c r="N66" s="2">
        <f>IF(AND(VLOOKUP(N$1,'20Trips'!$A$3:$F$22,5,FALSE) - VLOOKUP($B66,'20Trips'!$A$3:$G$22,6,FALSE) &gt;= ('20Trips'!$B$25+VLOOKUP(VLOOKUP($B66,'20Trips'!$A$2:$I$22,4,FALSE),'20Trips'!$AB$46:$AH$50,5,FALSE))/1440),1,0)</f>
        <v>0</v>
      </c>
      <c r="O66" s="2">
        <f>IF(AND(VLOOKUP(O$1,'20Trips'!$A$3:$F$22,5,FALSE) - VLOOKUP($B66,'20Trips'!$A$3:$G$22,6,FALSE) &gt;= ('20Trips'!$B$25+VLOOKUP(VLOOKUP($B66,'20Trips'!$A$2:$I$22,4,FALSE),'20Trips'!$AB$46:$AH$50,5,FALSE))/1440),1,0)</f>
        <v>1</v>
      </c>
      <c r="P66" s="2">
        <f>IF(AND(VLOOKUP(P$1,'20Trips'!$A$3:$F$22,5,FALSE) - VLOOKUP($B66,'20Trips'!$A$3:$G$22,6,FALSE) &gt;= ('20Trips'!$B$25+VLOOKUP(VLOOKUP($B66,'20Trips'!$A$2:$I$22,4,FALSE),'20Trips'!$AB$46:$AH$50,5,FALSE))/1440),1,0)</f>
        <v>1</v>
      </c>
      <c r="Q66" s="2" t="e">
        <f>IF(AND(VLOOKUP(Q$1,'20Trips'!$A$3:$F$22,5,FALSE) - VLOOKUP($B66,'20Trips'!$A$3:$G$22,6,FALSE) &gt;= ('20Trips'!$B$25+VLOOKUP(VLOOKUP($B66,'20Trips'!$A$2:$I$22,4,FALSE),'20Trips'!$AB$46:$AH$50,5,FALSE))/1440),1,0)</f>
        <v>#N/A</v>
      </c>
      <c r="R66" s="2">
        <f>IF(AND(VLOOKUP(R$1,'20Trips'!$A$3:$F$22,5,FALSE) - VLOOKUP($B66,'20Trips'!$A$3:$G$22,6,FALSE) &gt;= ('20Trips'!$B$25+VLOOKUP(VLOOKUP($B66,'20Trips'!$A$2:$I$22,4,FALSE),'20Trips'!$AB$46:$AH$50,5,FALSE))/1440),1,0)</f>
        <v>0</v>
      </c>
      <c r="S66" s="2">
        <f>IF(AND(VLOOKUP(S$1,'20Trips'!$A$3:$F$22,5,FALSE) - VLOOKUP($B66,'20Trips'!$A$3:$G$22,6,FALSE) &gt;= ('20Trips'!$B$25+VLOOKUP(VLOOKUP($B66,'20Trips'!$A$2:$I$22,4,FALSE),'20Trips'!$AB$46:$AH$50,5,FALSE))/1440),1,0)</f>
        <v>0</v>
      </c>
      <c r="T66" s="2">
        <f>IF(AND(VLOOKUP(T$1,'20Trips'!$A$3:$F$22,5,FALSE) - VLOOKUP($B66,'20Trips'!$A$3:$G$22,6,FALSE) &gt;= ('20Trips'!$B$25+VLOOKUP(VLOOKUP($B66,'20Trips'!$A$2:$I$22,4,FALSE),'20Trips'!$AB$46:$AH$50,5,FALSE))/1440),1,0)</f>
        <v>0</v>
      </c>
      <c r="U66" s="2">
        <f>IF(AND(VLOOKUP(U$1,'20Trips'!$A$3:$F$22,5,FALSE) - VLOOKUP($B66,'20Trips'!$A$3:$G$22,6,FALSE) &gt;= ('20Trips'!$B$25+VLOOKUP(VLOOKUP($B66,'20Trips'!$A$2:$I$22,4,FALSE),'20Trips'!$AB$46:$AH$50,5,FALSE))/1440),1,0)</f>
        <v>0</v>
      </c>
      <c r="V66" s="2">
        <f>IF(AND(VLOOKUP(V$1,'20Trips'!$A$3:$F$22,5,FALSE) - VLOOKUP($B66,'20Trips'!$A$3:$G$22,6,FALSE) &gt;= ('20Trips'!$B$25+VLOOKUP(VLOOKUP($B66,'20Trips'!$A$2:$I$22,4,FALSE),'20Trips'!$AB$46:$AH$50,5,FALSE))/1440),1,0)</f>
        <v>0</v>
      </c>
      <c r="W66" s="2" t="e">
        <f>IF(AND(VLOOKUP(W$1,'20Trips'!$A$3:$F$22,5,FALSE) - VLOOKUP($B66,'20Trips'!$A$3:$G$22,6,FALSE) &gt;= ('20Trips'!$B$25+VLOOKUP(VLOOKUP($B66,'20Trips'!$A$2:$I$22,4,FALSE),'20Trips'!$AB$46:$AH$50,5,FALSE))/1440),1,0)</f>
        <v>#N/A</v>
      </c>
      <c r="X66" s="2" t="e">
        <f>IF(AND(VLOOKUP(X$1,'20Trips'!$A$3:$F$22,5,FALSE) - VLOOKUP($B66,'20Trips'!$A$3:$G$22,6,FALSE) &gt;= ('20Trips'!$B$25+VLOOKUP(VLOOKUP($B66,'20Trips'!$A$2:$I$22,4,FALSE),'20Trips'!$AB$46:$AH$50,5,FALSE))/1440),1,0)</f>
        <v>#N/A</v>
      </c>
      <c r="Y66" s="2" t="e">
        <f>IF(AND(VLOOKUP(Y$1,'20Trips'!$A$3:$F$22,5,FALSE) - VLOOKUP($B66,'20Trips'!$A$3:$G$22,6,FALSE) &gt;= ('20Trips'!$B$25+VLOOKUP(VLOOKUP($B66,'20Trips'!$A$2:$I$22,4,FALSE),'20Trips'!$AB$46:$AH$50,5,FALSE))/1440),1,0)</f>
        <v>#N/A</v>
      </c>
      <c r="Z66" s="2">
        <f>IF(AND(VLOOKUP(Z$1,'20Trips'!$A$3:$F$22,5,FALSE) - VLOOKUP($B66,'20Trips'!$A$3:$G$22,6,FALSE) &gt;= ('20Trips'!$B$25+VLOOKUP(VLOOKUP($B66,'20Trips'!$A$2:$I$22,4,FALSE),'20Trips'!$AB$46:$AH$50,5,FALSE))/1440),1,0)</f>
        <v>0</v>
      </c>
      <c r="AA66" s="2">
        <f>IF(AND(VLOOKUP(AA$1,'20Trips'!$A$3:$F$22,5,FALSE) - VLOOKUP($B66,'20Trips'!$A$3:$G$22,6,FALSE) &gt;= ('20Trips'!$B$25+VLOOKUP(VLOOKUP($B66,'20Trips'!$A$2:$I$22,4,FALSE),'20Trips'!$AB$46:$AH$50,5,FALSE))/1440),1,0)</f>
        <v>0</v>
      </c>
      <c r="AB66" s="2">
        <f>IF(AND(VLOOKUP(AB$1,'20Trips'!$A$3:$F$22,5,FALSE) - VLOOKUP($B66,'20Trips'!$A$3:$G$22,6,FALSE) &gt;= ('20Trips'!$B$25+VLOOKUP(VLOOKUP($B66,'20Trips'!$A$2:$I$22,4,FALSE),'20Trips'!$AB$46:$AH$50,5,FALSE))/1440),1,0)</f>
        <v>0</v>
      </c>
      <c r="AC66" s="2">
        <f>IF(AND(VLOOKUP(AC$1,'20Trips'!$A$3:$F$22,5,FALSE) - VLOOKUP($B66,'20Trips'!$A$3:$G$22,6,FALSE) &gt;= ('20Trips'!$B$25+VLOOKUP(VLOOKUP($B66,'20Trips'!$A$2:$I$22,4,FALSE),'20Trips'!$AB$46:$AH$50,5,FALSE))/1440),1,0)</f>
        <v>0</v>
      </c>
      <c r="AD66" s="2">
        <f>IF(AND(VLOOKUP(AD$1,'20Trips'!$A$3:$F$22,5,FALSE) - VLOOKUP($B66,'20Trips'!$A$3:$G$22,6,FALSE) &gt;= ('20Trips'!$B$25+VLOOKUP(VLOOKUP($B66,'20Trips'!$A$2:$I$22,4,FALSE),'20Trips'!$AB$46:$AH$50,5,FALSE))/1440),1,0)</f>
        <v>1</v>
      </c>
      <c r="AE66" s="2" t="e">
        <f>IF(AND(VLOOKUP(AE$1,'20Trips'!$A$3:$F$22,5,FALSE) - VLOOKUP($B66,'20Trips'!$A$3:$G$22,6,FALSE) &gt;= ('20Trips'!$B$25+VLOOKUP(VLOOKUP($B66,'20Trips'!$A$2:$I$22,4,FALSE),'20Trips'!$AB$46:$AH$50,5,FALSE))/1440),1,0)</f>
        <v>#N/A</v>
      </c>
      <c r="AF66" s="2" t="e">
        <f>IF(AND(VLOOKUP(AF$1,'20Trips'!$A$3:$F$22,5,FALSE) - VLOOKUP($B66,'20Trips'!$A$3:$G$22,6,FALSE) &gt;= ('20Trips'!$B$25+VLOOKUP(VLOOKUP($B66,'20Trips'!$A$2:$I$22,4,FALSE),'20Trips'!$AB$46:$AH$50,5,FALSE))/1440),1,0)</f>
        <v>#N/A</v>
      </c>
      <c r="AG66" s="2" t="e">
        <f>IF(AND(VLOOKUP(AG$1,'20Trips'!$A$3:$F$22,5,FALSE) - VLOOKUP($B66,'20Trips'!$A$3:$G$22,6,FALSE) &gt;= ('20Trips'!$B$25+VLOOKUP(VLOOKUP($B66,'20Trips'!$A$2:$I$22,4,FALSE),'20Trips'!$AB$46:$AH$50,5,FALSE))/1440),1,0)</f>
        <v>#N/A</v>
      </c>
    </row>
    <row r="67" spans="1:33" x14ac:dyDescent="0.25">
      <c r="A67" t="s">
        <v>67</v>
      </c>
      <c r="B67" t="s">
        <v>10</v>
      </c>
      <c r="C67">
        <v>0</v>
      </c>
      <c r="D67" s="2">
        <f>IF(AND(VLOOKUP(D$1,'20Trips'!$A$3:$F$22,5,FALSE) - VLOOKUP($B67,'20Trips'!$A$3:$G$22,6,FALSE) &gt;= ('20Trips'!$B$25+VLOOKUP(VLOOKUP($B67,'20Trips'!$A$2:$I$22,4,FALSE),'20Trips'!$AB$46:$AH$50,5,FALSE))/1440),1,0)</f>
        <v>0</v>
      </c>
      <c r="E67" s="2">
        <f>IF(AND(VLOOKUP(E$1,'20Trips'!$A$3:$F$22,5,FALSE) - VLOOKUP($B67,'20Trips'!$A$3:$G$22,6,FALSE) &gt;= ('20Trips'!$B$25+VLOOKUP(VLOOKUP($B67,'20Trips'!$A$2:$I$22,4,FALSE),'20Trips'!$AB$46:$AH$50,5,FALSE))/1440),1,0)</f>
        <v>0</v>
      </c>
      <c r="F67" s="2">
        <f>IF(AND(VLOOKUP(F$1,'20Trips'!$A$3:$F$22,5,FALSE) - VLOOKUP($B67,'20Trips'!$A$3:$G$22,6,FALSE) &gt;= ('20Trips'!$B$25+VLOOKUP(VLOOKUP($B67,'20Trips'!$A$2:$I$22,4,FALSE),'20Trips'!$AB$46:$AH$50,5,FALSE))/1440),1,0)</f>
        <v>0</v>
      </c>
      <c r="G67" s="2">
        <f>IF(AND(VLOOKUP(G$1,'20Trips'!$A$3:$F$22,5,FALSE) - VLOOKUP($B67,'20Trips'!$A$3:$G$22,6,FALSE) &gt;= ('20Trips'!$B$25+VLOOKUP(VLOOKUP($B67,'20Trips'!$A$2:$I$22,4,FALSE),'20Trips'!$AB$46:$AH$50,5,FALSE))/1440),1,0)</f>
        <v>0</v>
      </c>
      <c r="H67" s="2">
        <f>IF(AND(VLOOKUP(H$1,'20Trips'!$A$3:$F$22,5,FALSE) - VLOOKUP($B67,'20Trips'!$A$3:$G$22,6,FALSE) &gt;= ('20Trips'!$B$25+VLOOKUP(VLOOKUP($B67,'20Trips'!$A$2:$I$22,4,FALSE),'20Trips'!$AB$46:$AH$50,5,FALSE))/1440),1,0)</f>
        <v>0</v>
      </c>
      <c r="I67" s="2" t="e">
        <f>IF(AND(VLOOKUP(I$1,'20Trips'!$A$3:$F$22,5,FALSE) - VLOOKUP($B67,'20Trips'!$A$3:$G$22,6,FALSE) &gt;= ('20Trips'!$B$25+VLOOKUP(VLOOKUP($B67,'20Trips'!$A$2:$I$22,4,FALSE),'20Trips'!$AB$46:$AH$50,5,FALSE))/1440),1,0)</f>
        <v>#N/A</v>
      </c>
      <c r="J67" s="2" t="e">
        <f>IF(AND(VLOOKUP(J$1,'20Trips'!$A$3:$F$22,5,FALSE) - VLOOKUP($B67,'20Trips'!$A$3:$G$22,6,FALSE) &gt;= ('20Trips'!$B$25+VLOOKUP(VLOOKUP($B67,'20Trips'!$A$2:$I$22,4,FALSE),'20Trips'!$AB$46:$AH$50,5,FALSE))/1440),1,0)</f>
        <v>#N/A</v>
      </c>
      <c r="K67" s="2" t="e">
        <f>IF(AND(VLOOKUP(K$1,'20Trips'!$A$3:$F$22,5,FALSE) - VLOOKUP($B67,'20Trips'!$A$3:$G$22,6,FALSE) &gt;= ('20Trips'!$B$25+VLOOKUP(VLOOKUP($B67,'20Trips'!$A$2:$I$22,4,FALSE),'20Trips'!$AB$46:$AH$50,5,FALSE))/1440),1,0)</f>
        <v>#N/A</v>
      </c>
      <c r="L67" s="2">
        <f>IF(AND(VLOOKUP(L$1,'20Trips'!$A$3:$F$22,5,FALSE) - VLOOKUP($B67,'20Trips'!$A$3:$G$22,6,FALSE) &gt;= ('20Trips'!$B$25+VLOOKUP(VLOOKUP($B67,'20Trips'!$A$2:$I$22,4,FALSE),'20Trips'!$AB$46:$AH$50,5,FALSE))/1440),1,0)</f>
        <v>0</v>
      </c>
      <c r="M67" s="2">
        <f>IF(AND(VLOOKUP(M$1,'20Trips'!$A$3:$F$22,5,FALSE) - VLOOKUP($B67,'20Trips'!$A$3:$G$22,6,FALSE) &gt;= ('20Trips'!$B$25+VLOOKUP(VLOOKUP($B67,'20Trips'!$A$2:$I$22,4,FALSE),'20Trips'!$AB$46:$AH$50,5,FALSE))/1440),1,0)</f>
        <v>0</v>
      </c>
      <c r="N67" s="2">
        <f>IF(AND(VLOOKUP(N$1,'20Trips'!$A$3:$F$22,5,FALSE) - VLOOKUP($B67,'20Trips'!$A$3:$G$22,6,FALSE) &gt;= ('20Trips'!$B$25+VLOOKUP(VLOOKUP($B67,'20Trips'!$A$2:$I$22,4,FALSE),'20Trips'!$AB$46:$AH$50,5,FALSE))/1440),1,0)</f>
        <v>0</v>
      </c>
      <c r="O67" s="2">
        <f>IF(AND(VLOOKUP(O$1,'20Trips'!$A$3:$F$22,5,FALSE) - VLOOKUP($B67,'20Trips'!$A$3:$G$22,6,FALSE) &gt;= ('20Trips'!$B$25+VLOOKUP(VLOOKUP($B67,'20Trips'!$A$2:$I$22,4,FALSE),'20Trips'!$AB$46:$AH$50,5,FALSE))/1440),1,0)</f>
        <v>1</v>
      </c>
      <c r="P67" s="2">
        <f>IF(AND(VLOOKUP(P$1,'20Trips'!$A$3:$F$22,5,FALSE) - VLOOKUP($B67,'20Trips'!$A$3:$G$22,6,FALSE) &gt;= ('20Trips'!$B$25+VLOOKUP(VLOOKUP($B67,'20Trips'!$A$2:$I$22,4,FALSE),'20Trips'!$AB$46:$AH$50,5,FALSE))/1440),1,0)</f>
        <v>1</v>
      </c>
      <c r="Q67" s="2" t="e">
        <f>IF(AND(VLOOKUP(Q$1,'20Trips'!$A$3:$F$22,5,FALSE) - VLOOKUP($B67,'20Trips'!$A$3:$G$22,6,FALSE) &gt;= ('20Trips'!$B$25+VLOOKUP(VLOOKUP($B67,'20Trips'!$A$2:$I$22,4,FALSE),'20Trips'!$AB$46:$AH$50,5,FALSE))/1440),1,0)</f>
        <v>#N/A</v>
      </c>
      <c r="R67" s="2">
        <f>IF(AND(VLOOKUP(R$1,'20Trips'!$A$3:$F$22,5,FALSE) - VLOOKUP($B67,'20Trips'!$A$3:$G$22,6,FALSE) &gt;= ('20Trips'!$B$25+VLOOKUP(VLOOKUP($B67,'20Trips'!$A$2:$I$22,4,FALSE),'20Trips'!$AB$46:$AH$50,5,FALSE))/1440),1,0)</f>
        <v>0</v>
      </c>
      <c r="S67" s="2">
        <f>IF(AND(VLOOKUP(S$1,'20Trips'!$A$3:$F$22,5,FALSE) - VLOOKUP($B67,'20Trips'!$A$3:$G$22,6,FALSE) &gt;= ('20Trips'!$B$25+VLOOKUP(VLOOKUP($B67,'20Trips'!$A$2:$I$22,4,FALSE),'20Trips'!$AB$46:$AH$50,5,FALSE))/1440),1,0)</f>
        <v>0</v>
      </c>
      <c r="T67" s="2">
        <f>IF(AND(VLOOKUP(T$1,'20Trips'!$A$3:$F$22,5,FALSE) - VLOOKUP($B67,'20Trips'!$A$3:$G$22,6,FALSE) &gt;= ('20Trips'!$B$25+VLOOKUP(VLOOKUP($B67,'20Trips'!$A$2:$I$22,4,FALSE),'20Trips'!$AB$46:$AH$50,5,FALSE))/1440),1,0)</f>
        <v>0</v>
      </c>
      <c r="U67" s="2">
        <f>IF(AND(VLOOKUP(U$1,'20Trips'!$A$3:$F$22,5,FALSE) - VLOOKUP($B67,'20Trips'!$A$3:$G$22,6,FALSE) &gt;= ('20Trips'!$B$25+VLOOKUP(VLOOKUP($B67,'20Trips'!$A$2:$I$22,4,FALSE),'20Trips'!$AB$46:$AH$50,5,FALSE))/1440),1,0)</f>
        <v>0</v>
      </c>
      <c r="V67" s="2">
        <f>IF(AND(VLOOKUP(V$1,'20Trips'!$A$3:$F$22,5,FALSE) - VLOOKUP($B67,'20Trips'!$A$3:$G$22,6,FALSE) &gt;= ('20Trips'!$B$25+VLOOKUP(VLOOKUP($B67,'20Trips'!$A$2:$I$22,4,FALSE),'20Trips'!$AB$46:$AH$50,5,FALSE))/1440),1,0)</f>
        <v>0</v>
      </c>
      <c r="W67" s="2" t="e">
        <f>IF(AND(VLOOKUP(W$1,'20Trips'!$A$3:$F$22,5,FALSE) - VLOOKUP($B67,'20Trips'!$A$3:$G$22,6,FALSE) &gt;= ('20Trips'!$B$25+VLOOKUP(VLOOKUP($B67,'20Trips'!$A$2:$I$22,4,FALSE),'20Trips'!$AB$46:$AH$50,5,FALSE))/1440),1,0)</f>
        <v>#N/A</v>
      </c>
      <c r="X67" s="2" t="e">
        <f>IF(AND(VLOOKUP(X$1,'20Trips'!$A$3:$F$22,5,FALSE) - VLOOKUP($B67,'20Trips'!$A$3:$G$22,6,FALSE) &gt;= ('20Trips'!$B$25+VLOOKUP(VLOOKUP($B67,'20Trips'!$A$2:$I$22,4,FALSE),'20Trips'!$AB$46:$AH$50,5,FALSE))/1440),1,0)</f>
        <v>#N/A</v>
      </c>
      <c r="Y67" s="2" t="e">
        <f>IF(AND(VLOOKUP(Y$1,'20Trips'!$A$3:$F$22,5,FALSE) - VLOOKUP($B67,'20Trips'!$A$3:$G$22,6,FALSE) &gt;= ('20Trips'!$B$25+VLOOKUP(VLOOKUP($B67,'20Trips'!$A$2:$I$22,4,FALSE),'20Trips'!$AB$46:$AH$50,5,FALSE))/1440),1,0)</f>
        <v>#N/A</v>
      </c>
      <c r="Z67" s="2">
        <f>IF(AND(VLOOKUP(Z$1,'20Trips'!$A$3:$F$22,5,FALSE) - VLOOKUP($B67,'20Trips'!$A$3:$G$22,6,FALSE) &gt;= ('20Trips'!$B$25+VLOOKUP(VLOOKUP($B67,'20Trips'!$A$2:$I$22,4,FALSE),'20Trips'!$AB$46:$AH$50,5,FALSE))/1440),1,0)</f>
        <v>0</v>
      </c>
      <c r="AA67" s="2">
        <f>IF(AND(VLOOKUP(AA$1,'20Trips'!$A$3:$F$22,5,FALSE) - VLOOKUP($B67,'20Trips'!$A$3:$G$22,6,FALSE) &gt;= ('20Trips'!$B$25+VLOOKUP(VLOOKUP($B67,'20Trips'!$A$2:$I$22,4,FALSE),'20Trips'!$AB$46:$AH$50,5,FALSE))/1440),1,0)</f>
        <v>0</v>
      </c>
      <c r="AB67" s="2">
        <f>IF(AND(VLOOKUP(AB$1,'20Trips'!$A$3:$F$22,5,FALSE) - VLOOKUP($B67,'20Trips'!$A$3:$G$22,6,FALSE) &gt;= ('20Trips'!$B$25+VLOOKUP(VLOOKUP($B67,'20Trips'!$A$2:$I$22,4,FALSE),'20Trips'!$AB$46:$AH$50,5,FALSE))/1440),1,0)</f>
        <v>0</v>
      </c>
      <c r="AC67" s="2">
        <f>IF(AND(VLOOKUP(AC$1,'20Trips'!$A$3:$F$22,5,FALSE) - VLOOKUP($B67,'20Trips'!$A$3:$G$22,6,FALSE) &gt;= ('20Trips'!$B$25+VLOOKUP(VLOOKUP($B67,'20Trips'!$A$2:$I$22,4,FALSE),'20Trips'!$AB$46:$AH$50,5,FALSE))/1440),1,0)</f>
        <v>0</v>
      </c>
      <c r="AD67" s="2">
        <f>IF(AND(VLOOKUP(AD$1,'20Trips'!$A$3:$F$22,5,FALSE) - VLOOKUP($B67,'20Trips'!$A$3:$G$22,6,FALSE) &gt;= ('20Trips'!$B$25+VLOOKUP(VLOOKUP($B67,'20Trips'!$A$2:$I$22,4,FALSE),'20Trips'!$AB$46:$AH$50,5,FALSE))/1440),1,0)</f>
        <v>1</v>
      </c>
      <c r="AE67" s="2" t="e">
        <f>IF(AND(VLOOKUP(AE$1,'20Trips'!$A$3:$F$22,5,FALSE) - VLOOKUP($B67,'20Trips'!$A$3:$G$22,6,FALSE) &gt;= ('20Trips'!$B$25+VLOOKUP(VLOOKUP($B67,'20Trips'!$A$2:$I$22,4,FALSE),'20Trips'!$AB$46:$AH$50,5,FALSE))/1440),1,0)</f>
        <v>#N/A</v>
      </c>
      <c r="AF67" s="2" t="e">
        <f>IF(AND(VLOOKUP(AF$1,'20Trips'!$A$3:$F$22,5,FALSE) - VLOOKUP($B67,'20Trips'!$A$3:$G$22,6,FALSE) &gt;= ('20Trips'!$B$25+VLOOKUP(VLOOKUP($B67,'20Trips'!$A$2:$I$22,4,FALSE),'20Trips'!$AB$46:$AH$50,5,FALSE))/1440),1,0)</f>
        <v>#N/A</v>
      </c>
      <c r="AG67" s="2" t="e">
        <f>IF(AND(VLOOKUP(AG$1,'20Trips'!$A$3:$F$22,5,FALSE) - VLOOKUP($B67,'20Trips'!$A$3:$G$22,6,FALSE) &gt;= ('20Trips'!$B$25+VLOOKUP(VLOOKUP($B67,'20Trips'!$A$2:$I$22,4,FALSE),'20Trips'!$AB$46:$AH$50,5,FALSE))/1440),1,0)</f>
        <v>#N/A</v>
      </c>
    </row>
    <row r="68" spans="1:33" x14ac:dyDescent="0.25">
      <c r="A68" t="s">
        <v>67</v>
      </c>
      <c r="B68" t="s">
        <v>11</v>
      </c>
      <c r="C68">
        <v>0</v>
      </c>
      <c r="D68" s="2">
        <f>IF(AND(VLOOKUP(D$1,'20Trips'!$A$3:$F$22,5,FALSE) - VLOOKUP($B68,'20Trips'!$A$3:$G$22,6,FALSE) &gt;= ('20Trips'!$B$25+VLOOKUP(VLOOKUP($B68,'20Trips'!$A$2:$I$22,4,FALSE),'20Trips'!$AB$46:$AH$50,5,FALSE))/1440),1,0)</f>
        <v>0</v>
      </c>
      <c r="E68" s="2">
        <f>IF(AND(VLOOKUP(E$1,'20Trips'!$A$3:$F$22,5,FALSE) - VLOOKUP($B68,'20Trips'!$A$3:$G$22,6,FALSE) &gt;= ('20Trips'!$B$25+VLOOKUP(VLOOKUP($B68,'20Trips'!$A$2:$I$22,4,FALSE),'20Trips'!$AB$46:$AH$50,5,FALSE))/1440),1,0)</f>
        <v>0</v>
      </c>
      <c r="F68" s="2">
        <f>IF(AND(VLOOKUP(F$1,'20Trips'!$A$3:$F$22,5,FALSE) - VLOOKUP($B68,'20Trips'!$A$3:$G$22,6,FALSE) &gt;= ('20Trips'!$B$25+VLOOKUP(VLOOKUP($B68,'20Trips'!$A$2:$I$22,4,FALSE),'20Trips'!$AB$46:$AH$50,5,FALSE))/1440),1,0)</f>
        <v>0</v>
      </c>
      <c r="G68" s="2">
        <f>IF(AND(VLOOKUP(G$1,'20Trips'!$A$3:$F$22,5,FALSE) - VLOOKUP($B68,'20Trips'!$A$3:$G$22,6,FALSE) &gt;= ('20Trips'!$B$25+VLOOKUP(VLOOKUP($B68,'20Trips'!$A$2:$I$22,4,FALSE),'20Trips'!$AB$46:$AH$50,5,FALSE))/1440),1,0)</f>
        <v>0</v>
      </c>
      <c r="H68" s="2">
        <f>IF(AND(VLOOKUP(H$1,'20Trips'!$A$3:$F$22,5,FALSE) - VLOOKUP($B68,'20Trips'!$A$3:$G$22,6,FALSE) &gt;= ('20Trips'!$B$25+VLOOKUP(VLOOKUP($B68,'20Trips'!$A$2:$I$22,4,FALSE),'20Trips'!$AB$46:$AH$50,5,FALSE))/1440),1,0)</f>
        <v>0</v>
      </c>
      <c r="I68" s="2" t="e">
        <f>IF(AND(VLOOKUP(I$1,'20Trips'!$A$3:$F$22,5,FALSE) - VLOOKUP($B68,'20Trips'!$A$3:$G$22,6,FALSE) &gt;= ('20Trips'!$B$25+VLOOKUP(VLOOKUP($B68,'20Trips'!$A$2:$I$22,4,FALSE),'20Trips'!$AB$46:$AH$50,5,FALSE))/1440),1,0)</f>
        <v>#N/A</v>
      </c>
      <c r="J68" s="2" t="e">
        <f>IF(AND(VLOOKUP(J$1,'20Trips'!$A$3:$F$22,5,FALSE) - VLOOKUP($B68,'20Trips'!$A$3:$G$22,6,FALSE) &gt;= ('20Trips'!$B$25+VLOOKUP(VLOOKUP($B68,'20Trips'!$A$2:$I$22,4,FALSE),'20Trips'!$AB$46:$AH$50,5,FALSE))/1440),1,0)</f>
        <v>#N/A</v>
      </c>
      <c r="K68" s="2" t="e">
        <f>IF(AND(VLOOKUP(K$1,'20Trips'!$A$3:$F$22,5,FALSE) - VLOOKUP($B68,'20Trips'!$A$3:$G$22,6,FALSE) &gt;= ('20Trips'!$B$25+VLOOKUP(VLOOKUP($B68,'20Trips'!$A$2:$I$22,4,FALSE),'20Trips'!$AB$46:$AH$50,5,FALSE))/1440),1,0)</f>
        <v>#N/A</v>
      </c>
      <c r="L68" s="2">
        <f>IF(AND(VLOOKUP(L$1,'20Trips'!$A$3:$F$22,5,FALSE) - VLOOKUP($B68,'20Trips'!$A$3:$G$22,6,FALSE) &gt;= ('20Trips'!$B$25+VLOOKUP(VLOOKUP($B68,'20Trips'!$A$2:$I$22,4,FALSE),'20Trips'!$AB$46:$AH$50,5,FALSE))/1440),1,0)</f>
        <v>0</v>
      </c>
      <c r="M68" s="2">
        <f>IF(AND(VLOOKUP(M$1,'20Trips'!$A$3:$F$22,5,FALSE) - VLOOKUP($B68,'20Trips'!$A$3:$G$22,6,FALSE) &gt;= ('20Trips'!$B$25+VLOOKUP(VLOOKUP($B68,'20Trips'!$A$2:$I$22,4,FALSE),'20Trips'!$AB$46:$AH$50,5,FALSE))/1440),1,0)</f>
        <v>0</v>
      </c>
      <c r="N68" s="2">
        <f>IF(AND(VLOOKUP(N$1,'20Trips'!$A$3:$F$22,5,FALSE) - VLOOKUP($B68,'20Trips'!$A$3:$G$22,6,FALSE) &gt;= ('20Trips'!$B$25+VLOOKUP(VLOOKUP($B68,'20Trips'!$A$2:$I$22,4,FALSE),'20Trips'!$AB$46:$AH$50,5,FALSE))/1440),1,0)</f>
        <v>0</v>
      </c>
      <c r="O68" s="2">
        <f>IF(AND(VLOOKUP(O$1,'20Trips'!$A$3:$F$22,5,FALSE) - VLOOKUP($B68,'20Trips'!$A$3:$G$22,6,FALSE) &gt;= ('20Trips'!$B$25+VLOOKUP(VLOOKUP($B68,'20Trips'!$A$2:$I$22,4,FALSE),'20Trips'!$AB$46:$AH$50,5,FALSE))/1440),1,0)</f>
        <v>1</v>
      </c>
      <c r="P68" s="2">
        <f>IF(AND(VLOOKUP(P$1,'20Trips'!$A$3:$F$22,5,FALSE) - VLOOKUP($B68,'20Trips'!$A$3:$G$22,6,FALSE) &gt;= ('20Trips'!$B$25+VLOOKUP(VLOOKUP($B68,'20Trips'!$A$2:$I$22,4,FALSE),'20Trips'!$AB$46:$AH$50,5,FALSE))/1440),1,0)</f>
        <v>1</v>
      </c>
      <c r="Q68" s="2" t="e">
        <f>IF(AND(VLOOKUP(Q$1,'20Trips'!$A$3:$F$22,5,FALSE) - VLOOKUP($B68,'20Trips'!$A$3:$G$22,6,FALSE) &gt;= ('20Trips'!$B$25+VLOOKUP(VLOOKUP($B68,'20Trips'!$A$2:$I$22,4,FALSE),'20Trips'!$AB$46:$AH$50,5,FALSE))/1440),1,0)</f>
        <v>#N/A</v>
      </c>
      <c r="R68" s="2">
        <f>IF(AND(VLOOKUP(R$1,'20Trips'!$A$3:$F$22,5,FALSE) - VLOOKUP($B68,'20Trips'!$A$3:$G$22,6,FALSE) &gt;= ('20Trips'!$B$25+VLOOKUP(VLOOKUP($B68,'20Trips'!$A$2:$I$22,4,FALSE),'20Trips'!$AB$46:$AH$50,5,FALSE))/1440),1,0)</f>
        <v>0</v>
      </c>
      <c r="S68" s="2">
        <f>IF(AND(VLOOKUP(S$1,'20Trips'!$A$3:$F$22,5,FALSE) - VLOOKUP($B68,'20Trips'!$A$3:$G$22,6,FALSE) &gt;= ('20Trips'!$B$25+VLOOKUP(VLOOKUP($B68,'20Trips'!$A$2:$I$22,4,FALSE),'20Trips'!$AB$46:$AH$50,5,FALSE))/1440),1,0)</f>
        <v>0</v>
      </c>
      <c r="T68" s="2">
        <f>IF(AND(VLOOKUP(T$1,'20Trips'!$A$3:$F$22,5,FALSE) - VLOOKUP($B68,'20Trips'!$A$3:$G$22,6,FALSE) &gt;= ('20Trips'!$B$25+VLOOKUP(VLOOKUP($B68,'20Trips'!$A$2:$I$22,4,FALSE),'20Trips'!$AB$46:$AH$50,5,FALSE))/1440),1,0)</f>
        <v>0</v>
      </c>
      <c r="U68" s="2">
        <f>IF(AND(VLOOKUP(U$1,'20Trips'!$A$3:$F$22,5,FALSE) - VLOOKUP($B68,'20Trips'!$A$3:$G$22,6,FALSE) &gt;= ('20Trips'!$B$25+VLOOKUP(VLOOKUP($B68,'20Trips'!$A$2:$I$22,4,FALSE),'20Trips'!$AB$46:$AH$50,5,FALSE))/1440),1,0)</f>
        <v>0</v>
      </c>
      <c r="V68" s="2">
        <f>IF(AND(VLOOKUP(V$1,'20Trips'!$A$3:$F$22,5,FALSE) - VLOOKUP($B68,'20Trips'!$A$3:$G$22,6,FALSE) &gt;= ('20Trips'!$B$25+VLOOKUP(VLOOKUP($B68,'20Trips'!$A$2:$I$22,4,FALSE),'20Trips'!$AB$46:$AH$50,5,FALSE))/1440),1,0)</f>
        <v>0</v>
      </c>
      <c r="W68" s="2" t="e">
        <f>IF(AND(VLOOKUP(W$1,'20Trips'!$A$3:$F$22,5,FALSE) - VLOOKUP($B68,'20Trips'!$A$3:$G$22,6,FALSE) &gt;= ('20Trips'!$B$25+VLOOKUP(VLOOKUP($B68,'20Trips'!$A$2:$I$22,4,FALSE),'20Trips'!$AB$46:$AH$50,5,FALSE))/1440),1,0)</f>
        <v>#N/A</v>
      </c>
      <c r="X68" s="2" t="e">
        <f>IF(AND(VLOOKUP(X$1,'20Trips'!$A$3:$F$22,5,FALSE) - VLOOKUP($B68,'20Trips'!$A$3:$G$22,6,FALSE) &gt;= ('20Trips'!$B$25+VLOOKUP(VLOOKUP($B68,'20Trips'!$A$2:$I$22,4,FALSE),'20Trips'!$AB$46:$AH$50,5,FALSE))/1440),1,0)</f>
        <v>#N/A</v>
      </c>
      <c r="Y68" s="2" t="e">
        <f>IF(AND(VLOOKUP(Y$1,'20Trips'!$A$3:$F$22,5,FALSE) - VLOOKUP($B68,'20Trips'!$A$3:$G$22,6,FALSE) &gt;= ('20Trips'!$B$25+VLOOKUP(VLOOKUP($B68,'20Trips'!$A$2:$I$22,4,FALSE),'20Trips'!$AB$46:$AH$50,5,FALSE))/1440),1,0)</f>
        <v>#N/A</v>
      </c>
      <c r="Z68" s="2">
        <f>IF(AND(VLOOKUP(Z$1,'20Trips'!$A$3:$F$22,5,FALSE) - VLOOKUP($B68,'20Trips'!$A$3:$G$22,6,FALSE) &gt;= ('20Trips'!$B$25+VLOOKUP(VLOOKUP($B68,'20Trips'!$A$2:$I$22,4,FALSE),'20Trips'!$AB$46:$AH$50,5,FALSE))/1440),1,0)</f>
        <v>0</v>
      </c>
      <c r="AA68" s="2">
        <f>IF(AND(VLOOKUP(AA$1,'20Trips'!$A$3:$F$22,5,FALSE) - VLOOKUP($B68,'20Trips'!$A$3:$G$22,6,FALSE) &gt;= ('20Trips'!$B$25+VLOOKUP(VLOOKUP($B68,'20Trips'!$A$2:$I$22,4,FALSE),'20Trips'!$AB$46:$AH$50,5,FALSE))/1440),1,0)</f>
        <v>0</v>
      </c>
      <c r="AB68" s="2">
        <f>IF(AND(VLOOKUP(AB$1,'20Trips'!$A$3:$F$22,5,FALSE) - VLOOKUP($B68,'20Trips'!$A$3:$G$22,6,FALSE) &gt;= ('20Trips'!$B$25+VLOOKUP(VLOOKUP($B68,'20Trips'!$A$2:$I$22,4,FALSE),'20Trips'!$AB$46:$AH$50,5,FALSE))/1440),1,0)</f>
        <v>0</v>
      </c>
      <c r="AC68" s="2">
        <f>IF(AND(VLOOKUP(AC$1,'20Trips'!$A$3:$F$22,5,FALSE) - VLOOKUP($B68,'20Trips'!$A$3:$G$22,6,FALSE) &gt;= ('20Trips'!$B$25+VLOOKUP(VLOOKUP($B68,'20Trips'!$A$2:$I$22,4,FALSE),'20Trips'!$AB$46:$AH$50,5,FALSE))/1440),1,0)</f>
        <v>0</v>
      </c>
      <c r="AD68" s="2">
        <f>IF(AND(VLOOKUP(AD$1,'20Trips'!$A$3:$F$22,5,FALSE) - VLOOKUP($B68,'20Trips'!$A$3:$G$22,6,FALSE) &gt;= ('20Trips'!$B$25+VLOOKUP(VLOOKUP($B68,'20Trips'!$A$2:$I$22,4,FALSE),'20Trips'!$AB$46:$AH$50,5,FALSE))/1440),1,0)</f>
        <v>0</v>
      </c>
      <c r="AE68" s="2" t="e">
        <f>IF(AND(VLOOKUP(AE$1,'20Trips'!$A$3:$F$22,5,FALSE) - VLOOKUP($B68,'20Trips'!$A$3:$G$22,6,FALSE) &gt;= ('20Trips'!$B$25+VLOOKUP(VLOOKUP($B68,'20Trips'!$A$2:$I$22,4,FALSE),'20Trips'!$AB$46:$AH$50,5,FALSE))/1440),1,0)</f>
        <v>#N/A</v>
      </c>
      <c r="AF68" s="2" t="e">
        <f>IF(AND(VLOOKUP(AF$1,'20Trips'!$A$3:$F$22,5,FALSE) - VLOOKUP($B68,'20Trips'!$A$3:$G$22,6,FALSE) &gt;= ('20Trips'!$B$25+VLOOKUP(VLOOKUP($B68,'20Trips'!$A$2:$I$22,4,FALSE),'20Trips'!$AB$46:$AH$50,5,FALSE))/1440),1,0)</f>
        <v>#N/A</v>
      </c>
      <c r="AG68" s="2" t="e">
        <f>IF(AND(VLOOKUP(AG$1,'20Trips'!$A$3:$F$22,5,FALSE) - VLOOKUP($B68,'20Trips'!$A$3:$G$22,6,FALSE) &gt;= ('20Trips'!$B$25+VLOOKUP(VLOOKUP($B68,'20Trips'!$A$2:$I$22,4,FALSE),'20Trips'!$AB$46:$AH$50,5,FALSE))/1440),1,0)</f>
        <v>#N/A</v>
      </c>
    </row>
    <row r="69" spans="1:33" x14ac:dyDescent="0.25">
      <c r="A69" t="s">
        <v>67</v>
      </c>
      <c r="B69" t="s">
        <v>12</v>
      </c>
      <c r="C69">
        <v>0</v>
      </c>
      <c r="D69" s="2">
        <f>IF(AND(VLOOKUP(D$1,'20Trips'!$A$3:$F$22,5,FALSE) - VLOOKUP($B69,'20Trips'!$A$3:$G$22,6,FALSE) &gt;= ('20Trips'!$B$25+VLOOKUP(VLOOKUP($B69,'20Trips'!$A$2:$I$22,4,FALSE),'20Trips'!$AB$46:$AH$50,5,FALSE))/1440),1,0)</f>
        <v>0</v>
      </c>
      <c r="E69" s="2">
        <f>IF(AND(VLOOKUP(E$1,'20Trips'!$A$3:$F$22,5,FALSE) - VLOOKUP($B69,'20Trips'!$A$3:$G$22,6,FALSE) &gt;= ('20Trips'!$B$25+VLOOKUP(VLOOKUP($B69,'20Trips'!$A$2:$I$22,4,FALSE),'20Trips'!$AB$46:$AH$50,5,FALSE))/1440),1,0)</f>
        <v>0</v>
      </c>
      <c r="F69" s="2">
        <f>IF(AND(VLOOKUP(F$1,'20Trips'!$A$3:$F$22,5,FALSE) - VLOOKUP($B69,'20Trips'!$A$3:$G$22,6,FALSE) &gt;= ('20Trips'!$B$25+VLOOKUP(VLOOKUP($B69,'20Trips'!$A$2:$I$22,4,FALSE),'20Trips'!$AB$46:$AH$50,5,FALSE))/1440),1,0)</f>
        <v>0</v>
      </c>
      <c r="G69" s="2">
        <f>IF(AND(VLOOKUP(G$1,'20Trips'!$A$3:$F$22,5,FALSE) - VLOOKUP($B69,'20Trips'!$A$3:$G$22,6,FALSE) &gt;= ('20Trips'!$B$25+VLOOKUP(VLOOKUP($B69,'20Trips'!$A$2:$I$22,4,FALSE),'20Trips'!$AB$46:$AH$50,5,FALSE))/1440),1,0)</f>
        <v>0</v>
      </c>
      <c r="H69" s="2">
        <f>IF(AND(VLOOKUP(H$1,'20Trips'!$A$3:$F$22,5,FALSE) - VLOOKUP($B69,'20Trips'!$A$3:$G$22,6,FALSE) &gt;= ('20Trips'!$B$25+VLOOKUP(VLOOKUP($B69,'20Trips'!$A$2:$I$22,4,FALSE),'20Trips'!$AB$46:$AH$50,5,FALSE))/1440),1,0)</f>
        <v>0</v>
      </c>
      <c r="I69" s="2" t="e">
        <f>IF(AND(VLOOKUP(I$1,'20Trips'!$A$3:$F$22,5,FALSE) - VLOOKUP($B69,'20Trips'!$A$3:$G$22,6,FALSE) &gt;= ('20Trips'!$B$25+VLOOKUP(VLOOKUP($B69,'20Trips'!$A$2:$I$22,4,FALSE),'20Trips'!$AB$46:$AH$50,5,FALSE))/1440),1,0)</f>
        <v>#N/A</v>
      </c>
      <c r="J69" s="2" t="e">
        <f>IF(AND(VLOOKUP(J$1,'20Trips'!$A$3:$F$22,5,FALSE) - VLOOKUP($B69,'20Trips'!$A$3:$G$22,6,FALSE) &gt;= ('20Trips'!$B$25+VLOOKUP(VLOOKUP($B69,'20Trips'!$A$2:$I$22,4,FALSE),'20Trips'!$AB$46:$AH$50,5,FALSE))/1440),1,0)</f>
        <v>#N/A</v>
      </c>
      <c r="K69" s="2" t="e">
        <f>IF(AND(VLOOKUP(K$1,'20Trips'!$A$3:$F$22,5,FALSE) - VLOOKUP($B69,'20Trips'!$A$3:$G$22,6,FALSE) &gt;= ('20Trips'!$B$25+VLOOKUP(VLOOKUP($B69,'20Trips'!$A$2:$I$22,4,FALSE),'20Trips'!$AB$46:$AH$50,5,FALSE))/1440),1,0)</f>
        <v>#N/A</v>
      </c>
      <c r="L69" s="2">
        <f>IF(AND(VLOOKUP(L$1,'20Trips'!$A$3:$F$22,5,FALSE) - VLOOKUP($B69,'20Trips'!$A$3:$G$22,6,FALSE) &gt;= ('20Trips'!$B$25+VLOOKUP(VLOOKUP($B69,'20Trips'!$A$2:$I$22,4,FALSE),'20Trips'!$AB$46:$AH$50,5,FALSE))/1440),1,0)</f>
        <v>0</v>
      </c>
      <c r="M69" s="2">
        <f>IF(AND(VLOOKUP(M$1,'20Trips'!$A$3:$F$22,5,FALSE) - VLOOKUP($B69,'20Trips'!$A$3:$G$22,6,FALSE) &gt;= ('20Trips'!$B$25+VLOOKUP(VLOOKUP($B69,'20Trips'!$A$2:$I$22,4,FALSE),'20Trips'!$AB$46:$AH$50,5,FALSE))/1440),1,0)</f>
        <v>0</v>
      </c>
      <c r="N69" s="2">
        <f>IF(AND(VLOOKUP(N$1,'20Trips'!$A$3:$F$22,5,FALSE) - VLOOKUP($B69,'20Trips'!$A$3:$G$22,6,FALSE) &gt;= ('20Trips'!$B$25+VLOOKUP(VLOOKUP($B69,'20Trips'!$A$2:$I$22,4,FALSE),'20Trips'!$AB$46:$AH$50,5,FALSE))/1440),1,0)</f>
        <v>0</v>
      </c>
      <c r="O69" s="2">
        <f>IF(AND(VLOOKUP(O$1,'20Trips'!$A$3:$F$22,5,FALSE) - VLOOKUP($B69,'20Trips'!$A$3:$G$22,6,FALSE) &gt;= ('20Trips'!$B$25+VLOOKUP(VLOOKUP($B69,'20Trips'!$A$2:$I$22,4,FALSE),'20Trips'!$AB$46:$AH$50,5,FALSE))/1440),1,0)</f>
        <v>0</v>
      </c>
      <c r="P69" s="2">
        <f>IF(AND(VLOOKUP(P$1,'20Trips'!$A$3:$F$22,5,FALSE) - VLOOKUP($B69,'20Trips'!$A$3:$G$22,6,FALSE) &gt;= ('20Trips'!$B$25+VLOOKUP(VLOOKUP($B69,'20Trips'!$A$2:$I$22,4,FALSE),'20Trips'!$AB$46:$AH$50,5,FALSE))/1440),1,0)</f>
        <v>1</v>
      </c>
      <c r="Q69" s="2" t="e">
        <f>IF(AND(VLOOKUP(Q$1,'20Trips'!$A$3:$F$22,5,FALSE) - VLOOKUP($B69,'20Trips'!$A$3:$G$22,6,FALSE) &gt;= ('20Trips'!$B$25+VLOOKUP(VLOOKUP($B69,'20Trips'!$A$2:$I$22,4,FALSE),'20Trips'!$AB$46:$AH$50,5,FALSE))/1440),1,0)</f>
        <v>#N/A</v>
      </c>
      <c r="R69" s="2">
        <f>IF(AND(VLOOKUP(R$1,'20Trips'!$A$3:$F$22,5,FALSE) - VLOOKUP($B69,'20Trips'!$A$3:$G$22,6,FALSE) &gt;= ('20Trips'!$B$25+VLOOKUP(VLOOKUP($B69,'20Trips'!$A$2:$I$22,4,FALSE),'20Trips'!$AB$46:$AH$50,5,FALSE))/1440),1,0)</f>
        <v>0</v>
      </c>
      <c r="S69" s="2">
        <f>IF(AND(VLOOKUP(S$1,'20Trips'!$A$3:$F$22,5,FALSE) - VLOOKUP($B69,'20Trips'!$A$3:$G$22,6,FALSE) &gt;= ('20Trips'!$B$25+VLOOKUP(VLOOKUP($B69,'20Trips'!$A$2:$I$22,4,FALSE),'20Trips'!$AB$46:$AH$50,5,FALSE))/1440),1,0)</f>
        <v>0</v>
      </c>
      <c r="T69" s="2">
        <f>IF(AND(VLOOKUP(T$1,'20Trips'!$A$3:$F$22,5,FALSE) - VLOOKUP($B69,'20Trips'!$A$3:$G$22,6,FALSE) &gt;= ('20Trips'!$B$25+VLOOKUP(VLOOKUP($B69,'20Trips'!$A$2:$I$22,4,FALSE),'20Trips'!$AB$46:$AH$50,5,FALSE))/1440),1,0)</f>
        <v>0</v>
      </c>
      <c r="U69" s="2">
        <f>IF(AND(VLOOKUP(U$1,'20Trips'!$A$3:$F$22,5,FALSE) - VLOOKUP($B69,'20Trips'!$A$3:$G$22,6,FALSE) &gt;= ('20Trips'!$B$25+VLOOKUP(VLOOKUP($B69,'20Trips'!$A$2:$I$22,4,FALSE),'20Trips'!$AB$46:$AH$50,5,FALSE))/1440),1,0)</f>
        <v>0</v>
      </c>
      <c r="V69" s="2">
        <f>IF(AND(VLOOKUP(V$1,'20Trips'!$A$3:$F$22,5,FALSE) - VLOOKUP($B69,'20Trips'!$A$3:$G$22,6,FALSE) &gt;= ('20Trips'!$B$25+VLOOKUP(VLOOKUP($B69,'20Trips'!$A$2:$I$22,4,FALSE),'20Trips'!$AB$46:$AH$50,5,FALSE))/1440),1,0)</f>
        <v>0</v>
      </c>
      <c r="W69" s="2" t="e">
        <f>IF(AND(VLOOKUP(W$1,'20Trips'!$A$3:$F$22,5,FALSE) - VLOOKUP($B69,'20Trips'!$A$3:$G$22,6,FALSE) &gt;= ('20Trips'!$B$25+VLOOKUP(VLOOKUP($B69,'20Trips'!$A$2:$I$22,4,FALSE),'20Trips'!$AB$46:$AH$50,5,FALSE))/1440),1,0)</f>
        <v>#N/A</v>
      </c>
      <c r="X69" s="2" t="e">
        <f>IF(AND(VLOOKUP(X$1,'20Trips'!$A$3:$F$22,5,FALSE) - VLOOKUP($B69,'20Trips'!$A$3:$G$22,6,FALSE) &gt;= ('20Trips'!$B$25+VLOOKUP(VLOOKUP($B69,'20Trips'!$A$2:$I$22,4,FALSE),'20Trips'!$AB$46:$AH$50,5,FALSE))/1440),1,0)</f>
        <v>#N/A</v>
      </c>
      <c r="Y69" s="2" t="e">
        <f>IF(AND(VLOOKUP(Y$1,'20Trips'!$A$3:$F$22,5,FALSE) - VLOOKUP($B69,'20Trips'!$A$3:$G$22,6,FALSE) &gt;= ('20Trips'!$B$25+VLOOKUP(VLOOKUP($B69,'20Trips'!$A$2:$I$22,4,FALSE),'20Trips'!$AB$46:$AH$50,5,FALSE))/1440),1,0)</f>
        <v>#N/A</v>
      </c>
      <c r="Z69" s="2">
        <f>IF(AND(VLOOKUP(Z$1,'20Trips'!$A$3:$F$22,5,FALSE) - VLOOKUP($B69,'20Trips'!$A$3:$G$22,6,FALSE) &gt;= ('20Trips'!$B$25+VLOOKUP(VLOOKUP($B69,'20Trips'!$A$2:$I$22,4,FALSE),'20Trips'!$AB$46:$AH$50,5,FALSE))/1440),1,0)</f>
        <v>0</v>
      </c>
      <c r="AA69" s="2">
        <f>IF(AND(VLOOKUP(AA$1,'20Trips'!$A$3:$F$22,5,FALSE) - VLOOKUP($B69,'20Trips'!$A$3:$G$22,6,FALSE) &gt;= ('20Trips'!$B$25+VLOOKUP(VLOOKUP($B69,'20Trips'!$A$2:$I$22,4,FALSE),'20Trips'!$AB$46:$AH$50,5,FALSE))/1440),1,0)</f>
        <v>0</v>
      </c>
      <c r="AB69" s="2">
        <f>IF(AND(VLOOKUP(AB$1,'20Trips'!$A$3:$F$22,5,FALSE) - VLOOKUP($B69,'20Trips'!$A$3:$G$22,6,FALSE) &gt;= ('20Trips'!$B$25+VLOOKUP(VLOOKUP($B69,'20Trips'!$A$2:$I$22,4,FALSE),'20Trips'!$AB$46:$AH$50,5,FALSE))/1440),1,0)</f>
        <v>0</v>
      </c>
      <c r="AC69" s="2">
        <f>IF(AND(VLOOKUP(AC$1,'20Trips'!$A$3:$F$22,5,FALSE) - VLOOKUP($B69,'20Trips'!$A$3:$G$22,6,FALSE) &gt;= ('20Trips'!$B$25+VLOOKUP(VLOOKUP($B69,'20Trips'!$A$2:$I$22,4,FALSE),'20Trips'!$AB$46:$AH$50,5,FALSE))/1440),1,0)</f>
        <v>0</v>
      </c>
      <c r="AD69" s="2">
        <f>IF(AND(VLOOKUP(AD$1,'20Trips'!$A$3:$F$22,5,FALSE) - VLOOKUP($B69,'20Trips'!$A$3:$G$22,6,FALSE) &gt;= ('20Trips'!$B$25+VLOOKUP(VLOOKUP($B69,'20Trips'!$A$2:$I$22,4,FALSE),'20Trips'!$AB$46:$AH$50,5,FALSE))/1440),1,0)</f>
        <v>0</v>
      </c>
      <c r="AE69" s="2" t="e">
        <f>IF(AND(VLOOKUP(AE$1,'20Trips'!$A$3:$F$22,5,FALSE) - VLOOKUP($B69,'20Trips'!$A$3:$G$22,6,FALSE) &gt;= ('20Trips'!$B$25+VLOOKUP(VLOOKUP($B69,'20Trips'!$A$2:$I$22,4,FALSE),'20Trips'!$AB$46:$AH$50,5,FALSE))/1440),1,0)</f>
        <v>#N/A</v>
      </c>
      <c r="AF69" s="2" t="e">
        <f>IF(AND(VLOOKUP(AF$1,'20Trips'!$A$3:$F$22,5,FALSE) - VLOOKUP($B69,'20Trips'!$A$3:$G$22,6,FALSE) &gt;= ('20Trips'!$B$25+VLOOKUP(VLOOKUP($B69,'20Trips'!$A$2:$I$22,4,FALSE),'20Trips'!$AB$46:$AH$50,5,FALSE))/1440),1,0)</f>
        <v>#N/A</v>
      </c>
      <c r="AG69" s="2" t="e">
        <f>IF(AND(VLOOKUP(AG$1,'20Trips'!$A$3:$F$22,5,FALSE) - VLOOKUP($B69,'20Trips'!$A$3:$G$22,6,FALSE) &gt;= ('20Trips'!$B$25+VLOOKUP(VLOOKUP($B69,'20Trips'!$A$2:$I$22,4,FALSE),'20Trips'!$AB$46:$AH$50,5,FALSE))/1440),1,0)</f>
        <v>#N/A</v>
      </c>
    </row>
    <row r="70" spans="1:33" x14ac:dyDescent="0.25">
      <c r="A70" t="s">
        <v>67</v>
      </c>
      <c r="B70" t="s">
        <v>13</v>
      </c>
      <c r="C70">
        <v>0</v>
      </c>
      <c r="D70" s="2" t="e">
        <f>IF(AND(VLOOKUP(D$1,'20Trips'!$A$3:$F$22,5,FALSE) - VLOOKUP($B70,'20Trips'!$A$3:$G$22,6,FALSE) &gt;= ('20Trips'!$B$25+VLOOKUP(VLOOKUP($B70,'20Trips'!$A$2:$I$22,4,FALSE),'20Trips'!$AB$46:$AH$50,5,FALSE))/1440),1,0)</f>
        <v>#N/A</v>
      </c>
      <c r="E70" s="2" t="e">
        <f>IF(AND(VLOOKUP(E$1,'20Trips'!$A$3:$F$22,5,FALSE) - VLOOKUP($B70,'20Trips'!$A$3:$G$22,6,FALSE) &gt;= ('20Trips'!$B$25+VLOOKUP(VLOOKUP($B70,'20Trips'!$A$2:$I$22,4,FALSE),'20Trips'!$AB$46:$AH$50,5,FALSE))/1440),1,0)</f>
        <v>#N/A</v>
      </c>
      <c r="F70" s="2" t="e">
        <f>IF(AND(VLOOKUP(F$1,'20Trips'!$A$3:$F$22,5,FALSE) - VLOOKUP($B70,'20Trips'!$A$3:$G$22,6,FALSE) &gt;= ('20Trips'!$B$25+VLOOKUP(VLOOKUP($B70,'20Trips'!$A$2:$I$22,4,FALSE),'20Trips'!$AB$46:$AH$50,5,FALSE))/1440),1,0)</f>
        <v>#N/A</v>
      </c>
      <c r="G70" s="2" t="e">
        <f>IF(AND(VLOOKUP(G$1,'20Trips'!$A$3:$F$22,5,FALSE) - VLOOKUP($B70,'20Trips'!$A$3:$G$22,6,FALSE) &gt;= ('20Trips'!$B$25+VLOOKUP(VLOOKUP($B70,'20Trips'!$A$2:$I$22,4,FALSE),'20Trips'!$AB$46:$AH$50,5,FALSE))/1440),1,0)</f>
        <v>#N/A</v>
      </c>
      <c r="H70" s="2" t="e">
        <f>IF(AND(VLOOKUP(H$1,'20Trips'!$A$3:$F$22,5,FALSE) - VLOOKUP($B70,'20Trips'!$A$3:$G$22,6,FALSE) &gt;= ('20Trips'!$B$25+VLOOKUP(VLOOKUP($B70,'20Trips'!$A$2:$I$22,4,FALSE),'20Trips'!$AB$46:$AH$50,5,FALSE))/1440),1,0)</f>
        <v>#N/A</v>
      </c>
      <c r="I70" s="2" t="e">
        <f>IF(AND(VLOOKUP(I$1,'20Trips'!$A$3:$F$22,5,FALSE) - VLOOKUP($B70,'20Trips'!$A$3:$G$22,6,FALSE) &gt;= ('20Trips'!$B$25+VLOOKUP(VLOOKUP($B70,'20Trips'!$A$2:$I$22,4,FALSE),'20Trips'!$AB$46:$AH$50,5,FALSE))/1440),1,0)</f>
        <v>#N/A</v>
      </c>
      <c r="J70" s="2" t="e">
        <f>IF(AND(VLOOKUP(J$1,'20Trips'!$A$3:$F$22,5,FALSE) - VLOOKUP($B70,'20Trips'!$A$3:$G$22,6,FALSE) &gt;= ('20Trips'!$B$25+VLOOKUP(VLOOKUP($B70,'20Trips'!$A$2:$I$22,4,FALSE),'20Trips'!$AB$46:$AH$50,5,FALSE))/1440),1,0)</f>
        <v>#N/A</v>
      </c>
      <c r="K70" s="2" t="e">
        <f>IF(AND(VLOOKUP(K$1,'20Trips'!$A$3:$F$22,5,FALSE) - VLOOKUP($B70,'20Trips'!$A$3:$G$22,6,FALSE) &gt;= ('20Trips'!$B$25+VLOOKUP(VLOOKUP($B70,'20Trips'!$A$2:$I$22,4,FALSE),'20Trips'!$AB$46:$AH$50,5,FALSE))/1440),1,0)</f>
        <v>#N/A</v>
      </c>
      <c r="L70" s="2" t="e">
        <f>IF(AND(VLOOKUP(L$1,'20Trips'!$A$3:$F$22,5,FALSE) - VLOOKUP($B70,'20Trips'!$A$3:$G$22,6,FALSE) &gt;= ('20Trips'!$B$25+VLOOKUP(VLOOKUP($B70,'20Trips'!$A$2:$I$22,4,FALSE),'20Trips'!$AB$46:$AH$50,5,FALSE))/1440),1,0)</f>
        <v>#N/A</v>
      </c>
      <c r="M70" s="2" t="e">
        <f>IF(AND(VLOOKUP(M$1,'20Trips'!$A$3:$F$22,5,FALSE) - VLOOKUP($B70,'20Trips'!$A$3:$G$22,6,FALSE) &gt;= ('20Trips'!$B$25+VLOOKUP(VLOOKUP($B70,'20Trips'!$A$2:$I$22,4,FALSE),'20Trips'!$AB$46:$AH$50,5,FALSE))/1440),1,0)</f>
        <v>#N/A</v>
      </c>
      <c r="N70" s="2" t="e">
        <f>IF(AND(VLOOKUP(N$1,'20Trips'!$A$3:$F$22,5,FALSE) - VLOOKUP($B70,'20Trips'!$A$3:$G$22,6,FALSE) &gt;= ('20Trips'!$B$25+VLOOKUP(VLOOKUP($B70,'20Trips'!$A$2:$I$22,4,FALSE),'20Trips'!$AB$46:$AH$50,5,FALSE))/1440),1,0)</f>
        <v>#N/A</v>
      </c>
      <c r="O70" s="2" t="e">
        <f>IF(AND(VLOOKUP(O$1,'20Trips'!$A$3:$F$22,5,FALSE) - VLOOKUP($B70,'20Trips'!$A$3:$G$22,6,FALSE) &gt;= ('20Trips'!$B$25+VLOOKUP(VLOOKUP($B70,'20Trips'!$A$2:$I$22,4,FALSE),'20Trips'!$AB$46:$AH$50,5,FALSE))/1440),1,0)</f>
        <v>#N/A</v>
      </c>
      <c r="P70" s="2" t="e">
        <f>IF(AND(VLOOKUP(P$1,'20Trips'!$A$3:$F$22,5,FALSE) - VLOOKUP($B70,'20Trips'!$A$3:$G$22,6,FALSE) &gt;= ('20Trips'!$B$25+VLOOKUP(VLOOKUP($B70,'20Trips'!$A$2:$I$22,4,FALSE),'20Trips'!$AB$46:$AH$50,5,FALSE))/1440),1,0)</f>
        <v>#N/A</v>
      </c>
      <c r="Q70" s="2" t="e">
        <f>IF(AND(VLOOKUP(Q$1,'20Trips'!$A$3:$F$22,5,FALSE) - VLOOKUP($B70,'20Trips'!$A$3:$G$22,6,FALSE) &gt;= ('20Trips'!$B$25+VLOOKUP(VLOOKUP($B70,'20Trips'!$A$2:$I$22,4,FALSE),'20Trips'!$AB$46:$AH$50,5,FALSE))/1440),1,0)</f>
        <v>#N/A</v>
      </c>
      <c r="R70" s="2" t="e">
        <f>IF(AND(VLOOKUP(R$1,'20Trips'!$A$3:$F$22,5,FALSE) - VLOOKUP($B70,'20Trips'!$A$3:$G$22,6,FALSE) &gt;= ('20Trips'!$B$25+VLOOKUP(VLOOKUP($B70,'20Trips'!$A$2:$I$22,4,FALSE),'20Trips'!$AB$46:$AH$50,5,FALSE))/1440),1,0)</f>
        <v>#N/A</v>
      </c>
      <c r="S70" s="2" t="e">
        <f>IF(AND(VLOOKUP(S$1,'20Trips'!$A$3:$F$22,5,FALSE) - VLOOKUP($B70,'20Trips'!$A$3:$G$22,6,FALSE) &gt;= ('20Trips'!$B$25+VLOOKUP(VLOOKUP($B70,'20Trips'!$A$2:$I$22,4,FALSE),'20Trips'!$AB$46:$AH$50,5,FALSE))/1440),1,0)</f>
        <v>#N/A</v>
      </c>
      <c r="T70" s="2" t="e">
        <f>IF(AND(VLOOKUP(T$1,'20Trips'!$A$3:$F$22,5,FALSE) - VLOOKUP($B70,'20Trips'!$A$3:$G$22,6,FALSE) &gt;= ('20Trips'!$B$25+VLOOKUP(VLOOKUP($B70,'20Trips'!$A$2:$I$22,4,FALSE),'20Trips'!$AB$46:$AH$50,5,FALSE))/1440),1,0)</f>
        <v>#N/A</v>
      </c>
      <c r="U70" s="2" t="e">
        <f>IF(AND(VLOOKUP(U$1,'20Trips'!$A$3:$F$22,5,FALSE) - VLOOKUP($B70,'20Trips'!$A$3:$G$22,6,FALSE) &gt;= ('20Trips'!$B$25+VLOOKUP(VLOOKUP($B70,'20Trips'!$A$2:$I$22,4,FALSE),'20Trips'!$AB$46:$AH$50,5,FALSE))/1440),1,0)</f>
        <v>#N/A</v>
      </c>
      <c r="V70" s="2" t="e">
        <f>IF(AND(VLOOKUP(V$1,'20Trips'!$A$3:$F$22,5,FALSE) - VLOOKUP($B70,'20Trips'!$A$3:$G$22,6,FALSE) &gt;= ('20Trips'!$B$25+VLOOKUP(VLOOKUP($B70,'20Trips'!$A$2:$I$22,4,FALSE),'20Trips'!$AB$46:$AH$50,5,FALSE))/1440),1,0)</f>
        <v>#N/A</v>
      </c>
      <c r="W70" s="2" t="e">
        <f>IF(AND(VLOOKUP(W$1,'20Trips'!$A$3:$F$22,5,FALSE) - VLOOKUP($B70,'20Trips'!$A$3:$G$22,6,FALSE) &gt;= ('20Trips'!$B$25+VLOOKUP(VLOOKUP($B70,'20Trips'!$A$2:$I$22,4,FALSE),'20Trips'!$AB$46:$AH$50,5,FALSE))/1440),1,0)</f>
        <v>#N/A</v>
      </c>
      <c r="X70" s="2" t="e">
        <f>IF(AND(VLOOKUP(X$1,'20Trips'!$A$3:$F$22,5,FALSE) - VLOOKUP($B70,'20Trips'!$A$3:$G$22,6,FALSE) &gt;= ('20Trips'!$B$25+VLOOKUP(VLOOKUP($B70,'20Trips'!$A$2:$I$22,4,FALSE),'20Trips'!$AB$46:$AH$50,5,FALSE))/1440),1,0)</f>
        <v>#N/A</v>
      </c>
      <c r="Y70" s="2" t="e">
        <f>IF(AND(VLOOKUP(Y$1,'20Trips'!$A$3:$F$22,5,FALSE) - VLOOKUP($B70,'20Trips'!$A$3:$G$22,6,FALSE) &gt;= ('20Trips'!$B$25+VLOOKUP(VLOOKUP($B70,'20Trips'!$A$2:$I$22,4,FALSE),'20Trips'!$AB$46:$AH$50,5,FALSE))/1440),1,0)</f>
        <v>#N/A</v>
      </c>
      <c r="Z70" s="2" t="e">
        <f>IF(AND(VLOOKUP(Z$1,'20Trips'!$A$3:$F$22,5,FALSE) - VLOOKUP($B70,'20Trips'!$A$3:$G$22,6,FALSE) &gt;= ('20Trips'!$B$25+VLOOKUP(VLOOKUP($B70,'20Trips'!$A$2:$I$22,4,FALSE),'20Trips'!$AB$46:$AH$50,5,FALSE))/1440),1,0)</f>
        <v>#N/A</v>
      </c>
      <c r="AA70" s="2" t="e">
        <f>IF(AND(VLOOKUP(AA$1,'20Trips'!$A$3:$F$22,5,FALSE) - VLOOKUP($B70,'20Trips'!$A$3:$G$22,6,FALSE) &gt;= ('20Trips'!$B$25+VLOOKUP(VLOOKUP($B70,'20Trips'!$A$2:$I$22,4,FALSE),'20Trips'!$AB$46:$AH$50,5,FALSE))/1440),1,0)</f>
        <v>#N/A</v>
      </c>
      <c r="AB70" s="2" t="e">
        <f>IF(AND(VLOOKUP(AB$1,'20Trips'!$A$3:$F$22,5,FALSE) - VLOOKUP($B70,'20Trips'!$A$3:$G$22,6,FALSE) &gt;= ('20Trips'!$B$25+VLOOKUP(VLOOKUP($B70,'20Trips'!$A$2:$I$22,4,FALSE),'20Trips'!$AB$46:$AH$50,5,FALSE))/1440),1,0)</f>
        <v>#N/A</v>
      </c>
      <c r="AC70" s="2" t="e">
        <f>IF(AND(VLOOKUP(AC$1,'20Trips'!$A$3:$F$22,5,FALSE) - VLOOKUP($B70,'20Trips'!$A$3:$G$22,6,FALSE) &gt;= ('20Trips'!$B$25+VLOOKUP(VLOOKUP($B70,'20Trips'!$A$2:$I$22,4,FALSE),'20Trips'!$AB$46:$AH$50,5,FALSE))/1440),1,0)</f>
        <v>#N/A</v>
      </c>
      <c r="AD70" s="2" t="e">
        <f>IF(AND(VLOOKUP(AD$1,'20Trips'!$A$3:$F$22,5,FALSE) - VLOOKUP($B70,'20Trips'!$A$3:$G$22,6,FALSE) &gt;= ('20Trips'!$B$25+VLOOKUP(VLOOKUP($B70,'20Trips'!$A$2:$I$22,4,FALSE),'20Trips'!$AB$46:$AH$50,5,FALSE))/1440),1,0)</f>
        <v>#N/A</v>
      </c>
      <c r="AE70" s="2" t="e">
        <f>IF(AND(VLOOKUP(AE$1,'20Trips'!$A$3:$F$22,5,FALSE) - VLOOKUP($B70,'20Trips'!$A$3:$G$22,6,FALSE) &gt;= ('20Trips'!$B$25+VLOOKUP(VLOOKUP($B70,'20Trips'!$A$2:$I$22,4,FALSE),'20Trips'!$AB$46:$AH$50,5,FALSE))/1440),1,0)</f>
        <v>#N/A</v>
      </c>
      <c r="AF70" s="2" t="e">
        <f>IF(AND(VLOOKUP(AF$1,'20Trips'!$A$3:$F$22,5,FALSE) - VLOOKUP($B70,'20Trips'!$A$3:$G$22,6,FALSE) &gt;= ('20Trips'!$B$25+VLOOKUP(VLOOKUP($B70,'20Trips'!$A$2:$I$22,4,FALSE),'20Trips'!$AB$46:$AH$50,5,FALSE))/1440),1,0)</f>
        <v>#N/A</v>
      </c>
      <c r="AG70" s="2" t="e">
        <f>IF(AND(VLOOKUP(AG$1,'20Trips'!$A$3:$F$22,5,FALSE) - VLOOKUP($B70,'20Trips'!$A$3:$G$22,6,FALSE) &gt;= ('20Trips'!$B$25+VLOOKUP(VLOOKUP($B70,'20Trips'!$A$2:$I$22,4,FALSE),'20Trips'!$AB$46:$AH$50,5,FALSE))/1440),1,0)</f>
        <v>#N/A</v>
      </c>
    </row>
    <row r="71" spans="1:33" x14ac:dyDescent="0.25">
      <c r="A71" t="s">
        <v>67</v>
      </c>
      <c r="B71" t="s">
        <v>14</v>
      </c>
      <c r="C71">
        <v>0</v>
      </c>
      <c r="D71" s="2" t="e">
        <f>IF(AND(VLOOKUP(D$1,'20Trips'!$A$3:$F$22,5,FALSE) - VLOOKUP($B71,'20Trips'!$A$3:$G$22,6,FALSE) &gt;= ('20Trips'!$B$25+VLOOKUP(VLOOKUP($B71,'20Trips'!$A$2:$I$22,4,FALSE),'20Trips'!$AB$46:$AH$50,5,FALSE))/1440),1,0)</f>
        <v>#N/A</v>
      </c>
      <c r="E71" s="2" t="e">
        <f>IF(AND(VLOOKUP(E$1,'20Trips'!$A$3:$F$22,5,FALSE) - VLOOKUP($B71,'20Trips'!$A$3:$G$22,6,FALSE) &gt;= ('20Trips'!$B$25+VLOOKUP(VLOOKUP($B71,'20Trips'!$A$2:$I$22,4,FALSE),'20Trips'!$AB$46:$AH$50,5,FALSE))/1440),1,0)</f>
        <v>#N/A</v>
      </c>
      <c r="F71" s="2" t="e">
        <f>IF(AND(VLOOKUP(F$1,'20Trips'!$A$3:$F$22,5,FALSE) - VLOOKUP($B71,'20Trips'!$A$3:$G$22,6,FALSE) &gt;= ('20Trips'!$B$25+VLOOKUP(VLOOKUP($B71,'20Trips'!$A$2:$I$22,4,FALSE),'20Trips'!$AB$46:$AH$50,5,FALSE))/1440),1,0)</f>
        <v>#N/A</v>
      </c>
      <c r="G71" s="2" t="e">
        <f>IF(AND(VLOOKUP(G$1,'20Trips'!$A$3:$F$22,5,FALSE) - VLOOKUP($B71,'20Trips'!$A$3:$G$22,6,FALSE) &gt;= ('20Trips'!$B$25+VLOOKUP(VLOOKUP($B71,'20Trips'!$A$2:$I$22,4,FALSE),'20Trips'!$AB$46:$AH$50,5,FALSE))/1440),1,0)</f>
        <v>#N/A</v>
      </c>
      <c r="H71" s="2" t="e">
        <f>IF(AND(VLOOKUP(H$1,'20Trips'!$A$3:$F$22,5,FALSE) - VLOOKUP($B71,'20Trips'!$A$3:$G$22,6,FALSE) &gt;= ('20Trips'!$B$25+VLOOKUP(VLOOKUP($B71,'20Trips'!$A$2:$I$22,4,FALSE),'20Trips'!$AB$46:$AH$50,5,FALSE))/1440),1,0)</f>
        <v>#N/A</v>
      </c>
      <c r="I71" s="2" t="e">
        <f>IF(AND(VLOOKUP(I$1,'20Trips'!$A$3:$F$22,5,FALSE) - VLOOKUP($B71,'20Trips'!$A$3:$G$22,6,FALSE) &gt;= ('20Trips'!$B$25+VLOOKUP(VLOOKUP($B71,'20Trips'!$A$2:$I$22,4,FALSE),'20Trips'!$AB$46:$AH$50,5,FALSE))/1440),1,0)</f>
        <v>#N/A</v>
      </c>
      <c r="J71" s="2" t="e">
        <f>IF(AND(VLOOKUP(J$1,'20Trips'!$A$3:$F$22,5,FALSE) - VLOOKUP($B71,'20Trips'!$A$3:$G$22,6,FALSE) &gt;= ('20Trips'!$B$25+VLOOKUP(VLOOKUP($B71,'20Trips'!$A$2:$I$22,4,FALSE),'20Trips'!$AB$46:$AH$50,5,FALSE))/1440),1,0)</f>
        <v>#N/A</v>
      </c>
      <c r="K71" s="2" t="e">
        <f>IF(AND(VLOOKUP(K$1,'20Trips'!$A$3:$F$22,5,FALSE) - VLOOKUP($B71,'20Trips'!$A$3:$G$22,6,FALSE) &gt;= ('20Trips'!$B$25+VLOOKUP(VLOOKUP($B71,'20Trips'!$A$2:$I$22,4,FALSE),'20Trips'!$AB$46:$AH$50,5,FALSE))/1440),1,0)</f>
        <v>#N/A</v>
      </c>
      <c r="L71" s="2" t="e">
        <f>IF(AND(VLOOKUP(L$1,'20Trips'!$A$3:$F$22,5,FALSE) - VLOOKUP($B71,'20Trips'!$A$3:$G$22,6,FALSE) &gt;= ('20Trips'!$B$25+VLOOKUP(VLOOKUP($B71,'20Trips'!$A$2:$I$22,4,FALSE),'20Trips'!$AB$46:$AH$50,5,FALSE))/1440),1,0)</f>
        <v>#N/A</v>
      </c>
      <c r="M71" s="2" t="e">
        <f>IF(AND(VLOOKUP(M$1,'20Trips'!$A$3:$F$22,5,FALSE) - VLOOKUP($B71,'20Trips'!$A$3:$G$22,6,FALSE) &gt;= ('20Trips'!$B$25+VLOOKUP(VLOOKUP($B71,'20Trips'!$A$2:$I$22,4,FALSE),'20Trips'!$AB$46:$AH$50,5,FALSE))/1440),1,0)</f>
        <v>#N/A</v>
      </c>
      <c r="N71" s="2" t="e">
        <f>IF(AND(VLOOKUP(N$1,'20Trips'!$A$3:$F$22,5,FALSE) - VLOOKUP($B71,'20Trips'!$A$3:$G$22,6,FALSE) &gt;= ('20Trips'!$B$25+VLOOKUP(VLOOKUP($B71,'20Trips'!$A$2:$I$22,4,FALSE),'20Trips'!$AB$46:$AH$50,5,FALSE))/1440),1,0)</f>
        <v>#N/A</v>
      </c>
      <c r="O71" s="2" t="e">
        <f>IF(AND(VLOOKUP(O$1,'20Trips'!$A$3:$F$22,5,FALSE) - VLOOKUP($B71,'20Trips'!$A$3:$G$22,6,FALSE) &gt;= ('20Trips'!$B$25+VLOOKUP(VLOOKUP($B71,'20Trips'!$A$2:$I$22,4,FALSE),'20Trips'!$AB$46:$AH$50,5,FALSE))/1440),1,0)</f>
        <v>#N/A</v>
      </c>
      <c r="P71" s="2" t="e">
        <f>IF(AND(VLOOKUP(P$1,'20Trips'!$A$3:$F$22,5,FALSE) - VLOOKUP($B71,'20Trips'!$A$3:$G$22,6,FALSE) &gt;= ('20Trips'!$B$25+VLOOKUP(VLOOKUP($B71,'20Trips'!$A$2:$I$22,4,FALSE),'20Trips'!$AB$46:$AH$50,5,FALSE))/1440),1,0)</f>
        <v>#N/A</v>
      </c>
      <c r="Q71" s="2" t="e">
        <f>IF(AND(VLOOKUP(Q$1,'20Trips'!$A$3:$F$22,5,FALSE) - VLOOKUP($B71,'20Trips'!$A$3:$G$22,6,FALSE) &gt;= ('20Trips'!$B$25+VLOOKUP(VLOOKUP($B71,'20Trips'!$A$2:$I$22,4,FALSE),'20Trips'!$AB$46:$AH$50,5,FALSE))/1440),1,0)</f>
        <v>#N/A</v>
      </c>
      <c r="R71" s="2" t="e">
        <f>IF(AND(VLOOKUP(R$1,'20Trips'!$A$3:$F$22,5,FALSE) - VLOOKUP($B71,'20Trips'!$A$3:$G$22,6,FALSE) &gt;= ('20Trips'!$B$25+VLOOKUP(VLOOKUP($B71,'20Trips'!$A$2:$I$22,4,FALSE),'20Trips'!$AB$46:$AH$50,5,FALSE))/1440),1,0)</f>
        <v>#N/A</v>
      </c>
      <c r="S71" s="2" t="e">
        <f>IF(AND(VLOOKUP(S$1,'20Trips'!$A$3:$F$22,5,FALSE) - VLOOKUP($B71,'20Trips'!$A$3:$G$22,6,FALSE) &gt;= ('20Trips'!$B$25+VLOOKUP(VLOOKUP($B71,'20Trips'!$A$2:$I$22,4,FALSE),'20Trips'!$AB$46:$AH$50,5,FALSE))/1440),1,0)</f>
        <v>#N/A</v>
      </c>
      <c r="T71" s="2" t="e">
        <f>IF(AND(VLOOKUP(T$1,'20Trips'!$A$3:$F$22,5,FALSE) - VLOOKUP($B71,'20Trips'!$A$3:$G$22,6,FALSE) &gt;= ('20Trips'!$B$25+VLOOKUP(VLOOKUP($B71,'20Trips'!$A$2:$I$22,4,FALSE),'20Trips'!$AB$46:$AH$50,5,FALSE))/1440),1,0)</f>
        <v>#N/A</v>
      </c>
      <c r="U71" s="2" t="e">
        <f>IF(AND(VLOOKUP(U$1,'20Trips'!$A$3:$F$22,5,FALSE) - VLOOKUP($B71,'20Trips'!$A$3:$G$22,6,FALSE) &gt;= ('20Trips'!$B$25+VLOOKUP(VLOOKUP($B71,'20Trips'!$A$2:$I$22,4,FALSE),'20Trips'!$AB$46:$AH$50,5,FALSE))/1440),1,0)</f>
        <v>#N/A</v>
      </c>
      <c r="V71" s="2" t="e">
        <f>IF(AND(VLOOKUP(V$1,'20Trips'!$A$3:$F$22,5,FALSE) - VLOOKUP($B71,'20Trips'!$A$3:$G$22,6,FALSE) &gt;= ('20Trips'!$B$25+VLOOKUP(VLOOKUP($B71,'20Trips'!$A$2:$I$22,4,FALSE),'20Trips'!$AB$46:$AH$50,5,FALSE))/1440),1,0)</f>
        <v>#N/A</v>
      </c>
      <c r="W71" s="2" t="e">
        <f>IF(AND(VLOOKUP(W$1,'20Trips'!$A$3:$F$22,5,FALSE) - VLOOKUP($B71,'20Trips'!$A$3:$G$22,6,FALSE) &gt;= ('20Trips'!$B$25+VLOOKUP(VLOOKUP($B71,'20Trips'!$A$2:$I$22,4,FALSE),'20Trips'!$AB$46:$AH$50,5,FALSE))/1440),1,0)</f>
        <v>#N/A</v>
      </c>
      <c r="X71" s="2" t="e">
        <f>IF(AND(VLOOKUP(X$1,'20Trips'!$A$3:$F$22,5,FALSE) - VLOOKUP($B71,'20Trips'!$A$3:$G$22,6,FALSE) &gt;= ('20Trips'!$B$25+VLOOKUP(VLOOKUP($B71,'20Trips'!$A$2:$I$22,4,FALSE),'20Trips'!$AB$46:$AH$50,5,FALSE))/1440),1,0)</f>
        <v>#N/A</v>
      </c>
      <c r="Y71" s="2" t="e">
        <f>IF(AND(VLOOKUP(Y$1,'20Trips'!$A$3:$F$22,5,FALSE) - VLOOKUP($B71,'20Trips'!$A$3:$G$22,6,FALSE) &gt;= ('20Trips'!$B$25+VLOOKUP(VLOOKUP($B71,'20Trips'!$A$2:$I$22,4,FALSE),'20Trips'!$AB$46:$AH$50,5,FALSE))/1440),1,0)</f>
        <v>#N/A</v>
      </c>
      <c r="Z71" s="2" t="e">
        <f>IF(AND(VLOOKUP(Z$1,'20Trips'!$A$3:$F$22,5,FALSE) - VLOOKUP($B71,'20Trips'!$A$3:$G$22,6,FALSE) &gt;= ('20Trips'!$B$25+VLOOKUP(VLOOKUP($B71,'20Trips'!$A$2:$I$22,4,FALSE),'20Trips'!$AB$46:$AH$50,5,FALSE))/1440),1,0)</f>
        <v>#N/A</v>
      </c>
      <c r="AA71" s="2" t="e">
        <f>IF(AND(VLOOKUP(AA$1,'20Trips'!$A$3:$F$22,5,FALSE) - VLOOKUP($B71,'20Trips'!$A$3:$G$22,6,FALSE) &gt;= ('20Trips'!$B$25+VLOOKUP(VLOOKUP($B71,'20Trips'!$A$2:$I$22,4,FALSE),'20Trips'!$AB$46:$AH$50,5,FALSE))/1440),1,0)</f>
        <v>#N/A</v>
      </c>
      <c r="AB71" s="2" t="e">
        <f>IF(AND(VLOOKUP(AB$1,'20Trips'!$A$3:$F$22,5,FALSE) - VLOOKUP($B71,'20Trips'!$A$3:$G$22,6,FALSE) &gt;= ('20Trips'!$B$25+VLOOKUP(VLOOKUP($B71,'20Trips'!$A$2:$I$22,4,FALSE),'20Trips'!$AB$46:$AH$50,5,FALSE))/1440),1,0)</f>
        <v>#N/A</v>
      </c>
      <c r="AC71" s="2" t="e">
        <f>IF(AND(VLOOKUP(AC$1,'20Trips'!$A$3:$F$22,5,FALSE) - VLOOKUP($B71,'20Trips'!$A$3:$G$22,6,FALSE) &gt;= ('20Trips'!$B$25+VLOOKUP(VLOOKUP($B71,'20Trips'!$A$2:$I$22,4,FALSE),'20Trips'!$AB$46:$AH$50,5,FALSE))/1440),1,0)</f>
        <v>#N/A</v>
      </c>
      <c r="AD71" s="2" t="e">
        <f>IF(AND(VLOOKUP(AD$1,'20Trips'!$A$3:$F$22,5,FALSE) - VLOOKUP($B71,'20Trips'!$A$3:$G$22,6,FALSE) &gt;= ('20Trips'!$B$25+VLOOKUP(VLOOKUP($B71,'20Trips'!$A$2:$I$22,4,FALSE),'20Trips'!$AB$46:$AH$50,5,FALSE))/1440),1,0)</f>
        <v>#N/A</v>
      </c>
      <c r="AE71" s="2" t="e">
        <f>IF(AND(VLOOKUP(AE$1,'20Trips'!$A$3:$F$22,5,FALSE) - VLOOKUP($B71,'20Trips'!$A$3:$G$22,6,FALSE) &gt;= ('20Trips'!$B$25+VLOOKUP(VLOOKUP($B71,'20Trips'!$A$2:$I$22,4,FALSE),'20Trips'!$AB$46:$AH$50,5,FALSE))/1440),1,0)</f>
        <v>#N/A</v>
      </c>
      <c r="AF71" s="2" t="e">
        <f>IF(AND(VLOOKUP(AF$1,'20Trips'!$A$3:$F$22,5,FALSE) - VLOOKUP($B71,'20Trips'!$A$3:$G$22,6,FALSE) &gt;= ('20Trips'!$B$25+VLOOKUP(VLOOKUP($B71,'20Trips'!$A$2:$I$22,4,FALSE),'20Trips'!$AB$46:$AH$50,5,FALSE))/1440),1,0)</f>
        <v>#N/A</v>
      </c>
      <c r="AG71" s="2" t="e">
        <f>IF(AND(VLOOKUP(AG$1,'20Trips'!$A$3:$F$22,5,FALSE) - VLOOKUP($B71,'20Trips'!$A$3:$G$22,6,FALSE) &gt;= ('20Trips'!$B$25+VLOOKUP(VLOOKUP($B71,'20Trips'!$A$2:$I$22,4,FALSE),'20Trips'!$AB$46:$AH$50,5,FALSE))/1440),1,0)</f>
        <v>#N/A</v>
      </c>
    </row>
    <row r="72" spans="1:33" x14ac:dyDescent="0.25">
      <c r="A72" t="s">
        <v>67</v>
      </c>
      <c r="B72" t="s">
        <v>15</v>
      </c>
      <c r="C72">
        <v>0</v>
      </c>
      <c r="D72" s="2" t="e">
        <f>IF(AND(VLOOKUP(D$1,'20Trips'!$A$3:$F$22,5,FALSE) - VLOOKUP($B72,'20Trips'!$A$3:$G$22,6,FALSE) &gt;= ('20Trips'!$B$25+VLOOKUP(VLOOKUP($B72,'20Trips'!$A$2:$I$22,4,FALSE),'20Trips'!$AB$46:$AH$50,5,FALSE))/1440),1,0)</f>
        <v>#N/A</v>
      </c>
      <c r="E72" s="2" t="e">
        <f>IF(AND(VLOOKUP(E$1,'20Trips'!$A$3:$F$22,5,FALSE) - VLOOKUP($B72,'20Trips'!$A$3:$G$22,6,FALSE) &gt;= ('20Trips'!$B$25+VLOOKUP(VLOOKUP($B72,'20Trips'!$A$2:$I$22,4,FALSE),'20Trips'!$AB$46:$AH$50,5,FALSE))/1440),1,0)</f>
        <v>#N/A</v>
      </c>
      <c r="F72" s="2" t="e">
        <f>IF(AND(VLOOKUP(F$1,'20Trips'!$A$3:$F$22,5,FALSE) - VLOOKUP($B72,'20Trips'!$A$3:$G$22,6,FALSE) &gt;= ('20Trips'!$B$25+VLOOKUP(VLOOKUP($B72,'20Trips'!$A$2:$I$22,4,FALSE),'20Trips'!$AB$46:$AH$50,5,FALSE))/1440),1,0)</f>
        <v>#N/A</v>
      </c>
      <c r="G72" s="2" t="e">
        <f>IF(AND(VLOOKUP(G$1,'20Trips'!$A$3:$F$22,5,FALSE) - VLOOKUP($B72,'20Trips'!$A$3:$G$22,6,FALSE) &gt;= ('20Trips'!$B$25+VLOOKUP(VLOOKUP($B72,'20Trips'!$A$2:$I$22,4,FALSE),'20Trips'!$AB$46:$AH$50,5,FALSE))/1440),1,0)</f>
        <v>#N/A</v>
      </c>
      <c r="H72" s="2" t="e">
        <f>IF(AND(VLOOKUP(H$1,'20Trips'!$A$3:$F$22,5,FALSE) - VLOOKUP($B72,'20Trips'!$A$3:$G$22,6,FALSE) &gt;= ('20Trips'!$B$25+VLOOKUP(VLOOKUP($B72,'20Trips'!$A$2:$I$22,4,FALSE),'20Trips'!$AB$46:$AH$50,5,FALSE))/1440),1,0)</f>
        <v>#N/A</v>
      </c>
      <c r="I72" s="2" t="e">
        <f>IF(AND(VLOOKUP(I$1,'20Trips'!$A$3:$F$22,5,FALSE) - VLOOKUP($B72,'20Trips'!$A$3:$G$22,6,FALSE) &gt;= ('20Trips'!$B$25+VLOOKUP(VLOOKUP($B72,'20Trips'!$A$2:$I$22,4,FALSE),'20Trips'!$AB$46:$AH$50,5,FALSE))/1440),1,0)</f>
        <v>#N/A</v>
      </c>
      <c r="J72" s="2" t="e">
        <f>IF(AND(VLOOKUP(J$1,'20Trips'!$A$3:$F$22,5,FALSE) - VLOOKUP($B72,'20Trips'!$A$3:$G$22,6,FALSE) &gt;= ('20Trips'!$B$25+VLOOKUP(VLOOKUP($B72,'20Trips'!$A$2:$I$22,4,FALSE),'20Trips'!$AB$46:$AH$50,5,FALSE))/1440),1,0)</f>
        <v>#N/A</v>
      </c>
      <c r="K72" s="2" t="e">
        <f>IF(AND(VLOOKUP(K$1,'20Trips'!$A$3:$F$22,5,FALSE) - VLOOKUP($B72,'20Trips'!$A$3:$G$22,6,FALSE) &gt;= ('20Trips'!$B$25+VLOOKUP(VLOOKUP($B72,'20Trips'!$A$2:$I$22,4,FALSE),'20Trips'!$AB$46:$AH$50,5,FALSE))/1440),1,0)</f>
        <v>#N/A</v>
      </c>
      <c r="L72" s="2" t="e">
        <f>IF(AND(VLOOKUP(L$1,'20Trips'!$A$3:$F$22,5,FALSE) - VLOOKUP($B72,'20Trips'!$A$3:$G$22,6,FALSE) &gt;= ('20Trips'!$B$25+VLOOKUP(VLOOKUP($B72,'20Trips'!$A$2:$I$22,4,FALSE),'20Trips'!$AB$46:$AH$50,5,FALSE))/1440),1,0)</f>
        <v>#N/A</v>
      </c>
      <c r="M72" s="2" t="e">
        <f>IF(AND(VLOOKUP(M$1,'20Trips'!$A$3:$F$22,5,FALSE) - VLOOKUP($B72,'20Trips'!$A$3:$G$22,6,FALSE) &gt;= ('20Trips'!$B$25+VLOOKUP(VLOOKUP($B72,'20Trips'!$A$2:$I$22,4,FALSE),'20Trips'!$AB$46:$AH$50,5,FALSE))/1440),1,0)</f>
        <v>#N/A</v>
      </c>
      <c r="N72" s="2" t="e">
        <f>IF(AND(VLOOKUP(N$1,'20Trips'!$A$3:$F$22,5,FALSE) - VLOOKUP($B72,'20Trips'!$A$3:$G$22,6,FALSE) &gt;= ('20Trips'!$B$25+VLOOKUP(VLOOKUP($B72,'20Trips'!$A$2:$I$22,4,FALSE),'20Trips'!$AB$46:$AH$50,5,FALSE))/1440),1,0)</f>
        <v>#N/A</v>
      </c>
      <c r="O72" s="2" t="e">
        <f>IF(AND(VLOOKUP(O$1,'20Trips'!$A$3:$F$22,5,FALSE) - VLOOKUP($B72,'20Trips'!$A$3:$G$22,6,FALSE) &gt;= ('20Trips'!$B$25+VLOOKUP(VLOOKUP($B72,'20Trips'!$A$2:$I$22,4,FALSE),'20Trips'!$AB$46:$AH$50,5,FALSE))/1440),1,0)</f>
        <v>#N/A</v>
      </c>
      <c r="P72" s="2" t="e">
        <f>IF(AND(VLOOKUP(P$1,'20Trips'!$A$3:$F$22,5,FALSE) - VLOOKUP($B72,'20Trips'!$A$3:$G$22,6,FALSE) &gt;= ('20Trips'!$B$25+VLOOKUP(VLOOKUP($B72,'20Trips'!$A$2:$I$22,4,FALSE),'20Trips'!$AB$46:$AH$50,5,FALSE))/1440),1,0)</f>
        <v>#N/A</v>
      </c>
      <c r="Q72" s="2" t="e">
        <f>IF(AND(VLOOKUP(Q$1,'20Trips'!$A$3:$F$22,5,FALSE) - VLOOKUP($B72,'20Trips'!$A$3:$G$22,6,FALSE) &gt;= ('20Trips'!$B$25+VLOOKUP(VLOOKUP($B72,'20Trips'!$A$2:$I$22,4,FALSE),'20Trips'!$AB$46:$AH$50,5,FALSE))/1440),1,0)</f>
        <v>#N/A</v>
      </c>
      <c r="R72" s="2" t="e">
        <f>IF(AND(VLOOKUP(R$1,'20Trips'!$A$3:$F$22,5,FALSE) - VLOOKUP($B72,'20Trips'!$A$3:$G$22,6,FALSE) &gt;= ('20Trips'!$B$25+VLOOKUP(VLOOKUP($B72,'20Trips'!$A$2:$I$22,4,FALSE),'20Trips'!$AB$46:$AH$50,5,FALSE))/1440),1,0)</f>
        <v>#N/A</v>
      </c>
      <c r="S72" s="2" t="e">
        <f>IF(AND(VLOOKUP(S$1,'20Trips'!$A$3:$F$22,5,FALSE) - VLOOKUP($B72,'20Trips'!$A$3:$G$22,6,FALSE) &gt;= ('20Trips'!$B$25+VLOOKUP(VLOOKUP($B72,'20Trips'!$A$2:$I$22,4,FALSE),'20Trips'!$AB$46:$AH$50,5,FALSE))/1440),1,0)</f>
        <v>#N/A</v>
      </c>
      <c r="T72" s="2" t="e">
        <f>IF(AND(VLOOKUP(T$1,'20Trips'!$A$3:$F$22,5,FALSE) - VLOOKUP($B72,'20Trips'!$A$3:$G$22,6,FALSE) &gt;= ('20Trips'!$B$25+VLOOKUP(VLOOKUP($B72,'20Trips'!$A$2:$I$22,4,FALSE),'20Trips'!$AB$46:$AH$50,5,FALSE))/1440),1,0)</f>
        <v>#N/A</v>
      </c>
      <c r="U72" s="2" t="e">
        <f>IF(AND(VLOOKUP(U$1,'20Trips'!$A$3:$F$22,5,FALSE) - VLOOKUP($B72,'20Trips'!$A$3:$G$22,6,FALSE) &gt;= ('20Trips'!$B$25+VLOOKUP(VLOOKUP($B72,'20Trips'!$A$2:$I$22,4,FALSE),'20Trips'!$AB$46:$AH$50,5,FALSE))/1440),1,0)</f>
        <v>#N/A</v>
      </c>
      <c r="V72" s="2" t="e">
        <f>IF(AND(VLOOKUP(V$1,'20Trips'!$A$3:$F$22,5,FALSE) - VLOOKUP($B72,'20Trips'!$A$3:$G$22,6,FALSE) &gt;= ('20Trips'!$B$25+VLOOKUP(VLOOKUP($B72,'20Trips'!$A$2:$I$22,4,FALSE),'20Trips'!$AB$46:$AH$50,5,FALSE))/1440),1,0)</f>
        <v>#N/A</v>
      </c>
      <c r="W72" s="2" t="e">
        <f>IF(AND(VLOOKUP(W$1,'20Trips'!$A$3:$F$22,5,FALSE) - VLOOKUP($B72,'20Trips'!$A$3:$G$22,6,FALSE) &gt;= ('20Trips'!$B$25+VLOOKUP(VLOOKUP($B72,'20Trips'!$A$2:$I$22,4,FALSE),'20Trips'!$AB$46:$AH$50,5,FALSE))/1440),1,0)</f>
        <v>#N/A</v>
      </c>
      <c r="X72" s="2" t="e">
        <f>IF(AND(VLOOKUP(X$1,'20Trips'!$A$3:$F$22,5,FALSE) - VLOOKUP($B72,'20Trips'!$A$3:$G$22,6,FALSE) &gt;= ('20Trips'!$B$25+VLOOKUP(VLOOKUP($B72,'20Trips'!$A$2:$I$22,4,FALSE),'20Trips'!$AB$46:$AH$50,5,FALSE))/1440),1,0)</f>
        <v>#N/A</v>
      </c>
      <c r="Y72" s="2" t="e">
        <f>IF(AND(VLOOKUP(Y$1,'20Trips'!$A$3:$F$22,5,FALSE) - VLOOKUP($B72,'20Trips'!$A$3:$G$22,6,FALSE) &gt;= ('20Trips'!$B$25+VLOOKUP(VLOOKUP($B72,'20Trips'!$A$2:$I$22,4,FALSE),'20Trips'!$AB$46:$AH$50,5,FALSE))/1440),1,0)</f>
        <v>#N/A</v>
      </c>
      <c r="Z72" s="2" t="e">
        <f>IF(AND(VLOOKUP(Z$1,'20Trips'!$A$3:$F$22,5,FALSE) - VLOOKUP($B72,'20Trips'!$A$3:$G$22,6,FALSE) &gt;= ('20Trips'!$B$25+VLOOKUP(VLOOKUP($B72,'20Trips'!$A$2:$I$22,4,FALSE),'20Trips'!$AB$46:$AH$50,5,FALSE))/1440),1,0)</f>
        <v>#N/A</v>
      </c>
      <c r="AA72" s="2" t="e">
        <f>IF(AND(VLOOKUP(AA$1,'20Trips'!$A$3:$F$22,5,FALSE) - VLOOKUP($B72,'20Trips'!$A$3:$G$22,6,FALSE) &gt;= ('20Trips'!$B$25+VLOOKUP(VLOOKUP($B72,'20Trips'!$A$2:$I$22,4,FALSE),'20Trips'!$AB$46:$AH$50,5,FALSE))/1440),1,0)</f>
        <v>#N/A</v>
      </c>
      <c r="AB72" s="2" t="e">
        <f>IF(AND(VLOOKUP(AB$1,'20Trips'!$A$3:$F$22,5,FALSE) - VLOOKUP($B72,'20Trips'!$A$3:$G$22,6,FALSE) &gt;= ('20Trips'!$B$25+VLOOKUP(VLOOKUP($B72,'20Trips'!$A$2:$I$22,4,FALSE),'20Trips'!$AB$46:$AH$50,5,FALSE))/1440),1,0)</f>
        <v>#N/A</v>
      </c>
      <c r="AC72" s="2" t="e">
        <f>IF(AND(VLOOKUP(AC$1,'20Trips'!$A$3:$F$22,5,FALSE) - VLOOKUP($B72,'20Trips'!$A$3:$G$22,6,FALSE) &gt;= ('20Trips'!$B$25+VLOOKUP(VLOOKUP($B72,'20Trips'!$A$2:$I$22,4,FALSE),'20Trips'!$AB$46:$AH$50,5,FALSE))/1440),1,0)</f>
        <v>#N/A</v>
      </c>
      <c r="AD72" s="2" t="e">
        <f>IF(AND(VLOOKUP(AD$1,'20Trips'!$A$3:$F$22,5,FALSE) - VLOOKUP($B72,'20Trips'!$A$3:$G$22,6,FALSE) &gt;= ('20Trips'!$B$25+VLOOKUP(VLOOKUP($B72,'20Trips'!$A$2:$I$22,4,FALSE),'20Trips'!$AB$46:$AH$50,5,FALSE))/1440),1,0)</f>
        <v>#N/A</v>
      </c>
      <c r="AE72" s="2" t="e">
        <f>IF(AND(VLOOKUP(AE$1,'20Trips'!$A$3:$F$22,5,FALSE) - VLOOKUP($B72,'20Trips'!$A$3:$G$22,6,FALSE) &gt;= ('20Trips'!$B$25+VLOOKUP(VLOOKUP($B72,'20Trips'!$A$2:$I$22,4,FALSE),'20Trips'!$AB$46:$AH$50,5,FALSE))/1440),1,0)</f>
        <v>#N/A</v>
      </c>
      <c r="AF72" s="2" t="e">
        <f>IF(AND(VLOOKUP(AF$1,'20Trips'!$A$3:$F$22,5,FALSE) - VLOOKUP($B72,'20Trips'!$A$3:$G$22,6,FALSE) &gt;= ('20Trips'!$B$25+VLOOKUP(VLOOKUP($B72,'20Trips'!$A$2:$I$22,4,FALSE),'20Trips'!$AB$46:$AH$50,5,FALSE))/1440),1,0)</f>
        <v>#N/A</v>
      </c>
      <c r="AG72" s="2" t="e">
        <f>IF(AND(VLOOKUP(AG$1,'20Trips'!$A$3:$F$22,5,FALSE) - VLOOKUP($B72,'20Trips'!$A$3:$G$22,6,FALSE) &gt;= ('20Trips'!$B$25+VLOOKUP(VLOOKUP($B72,'20Trips'!$A$2:$I$22,4,FALSE),'20Trips'!$AB$46:$AH$50,5,FALSE))/1440),1,0)</f>
        <v>#N/A</v>
      </c>
    </row>
    <row r="73" spans="1:33" x14ac:dyDescent="0.25">
      <c r="A73" t="s">
        <v>67</v>
      </c>
      <c r="B73" t="s">
        <v>18</v>
      </c>
      <c r="C73">
        <v>0</v>
      </c>
      <c r="D73" s="2">
        <f>IF(AND(VLOOKUP(D$1,'20Trips'!$A$3:$F$22,5,FALSE) - VLOOKUP($B73,'20Trips'!$A$3:$G$22,6,FALSE) &gt;= ('20Trips'!$B$25+VLOOKUP(VLOOKUP($B73,'20Trips'!$A$2:$I$22,4,FALSE),'20Trips'!$AB$46:$AH$50,5,FALSE))/1440),1,0)</f>
        <v>0</v>
      </c>
      <c r="E73" s="2">
        <f>IF(AND(VLOOKUP(E$1,'20Trips'!$A$3:$F$22,5,FALSE) - VLOOKUP($B73,'20Trips'!$A$3:$G$22,6,FALSE) &gt;= ('20Trips'!$B$25+VLOOKUP(VLOOKUP($B73,'20Trips'!$A$2:$I$22,4,FALSE),'20Trips'!$AB$46:$AH$50,5,FALSE))/1440),1,0)</f>
        <v>0</v>
      </c>
      <c r="F73" s="2">
        <f>IF(AND(VLOOKUP(F$1,'20Trips'!$A$3:$F$22,5,FALSE) - VLOOKUP($B73,'20Trips'!$A$3:$G$22,6,FALSE) &gt;= ('20Trips'!$B$25+VLOOKUP(VLOOKUP($B73,'20Trips'!$A$2:$I$22,4,FALSE),'20Trips'!$AB$46:$AH$50,5,FALSE))/1440),1,0)</f>
        <v>1</v>
      </c>
      <c r="G73" s="2">
        <f>IF(AND(VLOOKUP(G$1,'20Trips'!$A$3:$F$22,5,FALSE) - VLOOKUP($B73,'20Trips'!$A$3:$G$22,6,FALSE) &gt;= ('20Trips'!$B$25+VLOOKUP(VLOOKUP($B73,'20Trips'!$A$2:$I$22,4,FALSE),'20Trips'!$AB$46:$AH$50,5,FALSE))/1440),1,0)</f>
        <v>1</v>
      </c>
      <c r="H73" s="2">
        <f>IF(AND(VLOOKUP(H$1,'20Trips'!$A$3:$F$22,5,FALSE) - VLOOKUP($B73,'20Trips'!$A$3:$G$22,6,FALSE) &gt;= ('20Trips'!$B$25+VLOOKUP(VLOOKUP($B73,'20Trips'!$A$2:$I$22,4,FALSE),'20Trips'!$AB$46:$AH$50,5,FALSE))/1440),1,0)</f>
        <v>1</v>
      </c>
      <c r="I73" s="2" t="e">
        <f>IF(AND(VLOOKUP(I$1,'20Trips'!$A$3:$F$22,5,FALSE) - VLOOKUP($B73,'20Trips'!$A$3:$G$22,6,FALSE) &gt;= ('20Trips'!$B$25+VLOOKUP(VLOOKUP($B73,'20Trips'!$A$2:$I$22,4,FALSE),'20Trips'!$AB$46:$AH$50,5,FALSE))/1440),1,0)</f>
        <v>#N/A</v>
      </c>
      <c r="J73" s="2" t="e">
        <f>IF(AND(VLOOKUP(J$1,'20Trips'!$A$3:$F$22,5,FALSE) - VLOOKUP($B73,'20Trips'!$A$3:$G$22,6,FALSE) &gt;= ('20Trips'!$B$25+VLOOKUP(VLOOKUP($B73,'20Trips'!$A$2:$I$22,4,FALSE),'20Trips'!$AB$46:$AH$50,5,FALSE))/1440),1,0)</f>
        <v>#N/A</v>
      </c>
      <c r="K73" s="2" t="e">
        <f>IF(AND(VLOOKUP(K$1,'20Trips'!$A$3:$F$22,5,FALSE) - VLOOKUP($B73,'20Trips'!$A$3:$G$22,6,FALSE) &gt;= ('20Trips'!$B$25+VLOOKUP(VLOOKUP($B73,'20Trips'!$A$2:$I$22,4,FALSE),'20Trips'!$AB$46:$AH$50,5,FALSE))/1440),1,0)</f>
        <v>#N/A</v>
      </c>
      <c r="L73" s="2">
        <f>IF(AND(VLOOKUP(L$1,'20Trips'!$A$3:$F$22,5,FALSE) - VLOOKUP($B73,'20Trips'!$A$3:$G$22,6,FALSE) &gt;= ('20Trips'!$B$25+VLOOKUP(VLOOKUP($B73,'20Trips'!$A$2:$I$22,4,FALSE),'20Trips'!$AB$46:$AH$50,5,FALSE))/1440),1,0)</f>
        <v>0</v>
      </c>
      <c r="M73" s="2">
        <f>IF(AND(VLOOKUP(M$1,'20Trips'!$A$3:$F$22,5,FALSE) - VLOOKUP($B73,'20Trips'!$A$3:$G$22,6,FALSE) &gt;= ('20Trips'!$B$25+VLOOKUP(VLOOKUP($B73,'20Trips'!$A$2:$I$22,4,FALSE),'20Trips'!$AB$46:$AH$50,5,FALSE))/1440),1,0)</f>
        <v>0</v>
      </c>
      <c r="N73" s="2">
        <f>IF(AND(VLOOKUP(N$1,'20Trips'!$A$3:$F$22,5,FALSE) - VLOOKUP($B73,'20Trips'!$A$3:$G$22,6,FALSE) &gt;= ('20Trips'!$B$25+VLOOKUP(VLOOKUP($B73,'20Trips'!$A$2:$I$22,4,FALSE),'20Trips'!$AB$46:$AH$50,5,FALSE))/1440),1,0)</f>
        <v>0</v>
      </c>
      <c r="O73" s="2">
        <f>IF(AND(VLOOKUP(O$1,'20Trips'!$A$3:$F$22,5,FALSE) - VLOOKUP($B73,'20Trips'!$A$3:$G$22,6,FALSE) &gt;= ('20Trips'!$B$25+VLOOKUP(VLOOKUP($B73,'20Trips'!$A$2:$I$22,4,FALSE),'20Trips'!$AB$46:$AH$50,5,FALSE))/1440),1,0)</f>
        <v>1</v>
      </c>
      <c r="P73" s="2">
        <f>IF(AND(VLOOKUP(P$1,'20Trips'!$A$3:$F$22,5,FALSE) - VLOOKUP($B73,'20Trips'!$A$3:$G$22,6,FALSE) &gt;= ('20Trips'!$B$25+VLOOKUP(VLOOKUP($B73,'20Trips'!$A$2:$I$22,4,FALSE),'20Trips'!$AB$46:$AH$50,5,FALSE))/1440),1,0)</f>
        <v>1</v>
      </c>
      <c r="Q73" s="2" t="e">
        <f>IF(AND(VLOOKUP(Q$1,'20Trips'!$A$3:$F$22,5,FALSE) - VLOOKUP($B73,'20Trips'!$A$3:$G$22,6,FALSE) &gt;= ('20Trips'!$B$25+VLOOKUP(VLOOKUP($B73,'20Trips'!$A$2:$I$22,4,FALSE),'20Trips'!$AB$46:$AH$50,5,FALSE))/1440),1,0)</f>
        <v>#N/A</v>
      </c>
      <c r="R73" s="2">
        <f>IF(AND(VLOOKUP(R$1,'20Trips'!$A$3:$F$22,5,FALSE) - VLOOKUP($B73,'20Trips'!$A$3:$G$22,6,FALSE) &gt;= ('20Trips'!$B$25+VLOOKUP(VLOOKUP($B73,'20Trips'!$A$2:$I$22,4,FALSE),'20Trips'!$AB$46:$AH$50,5,FALSE))/1440),1,0)</f>
        <v>0</v>
      </c>
      <c r="S73" s="2">
        <f>IF(AND(VLOOKUP(S$1,'20Trips'!$A$3:$F$22,5,FALSE) - VLOOKUP($B73,'20Trips'!$A$3:$G$22,6,FALSE) &gt;= ('20Trips'!$B$25+VLOOKUP(VLOOKUP($B73,'20Trips'!$A$2:$I$22,4,FALSE),'20Trips'!$AB$46:$AH$50,5,FALSE))/1440),1,0)</f>
        <v>0</v>
      </c>
      <c r="T73" s="2">
        <f>IF(AND(VLOOKUP(T$1,'20Trips'!$A$3:$F$22,5,FALSE) - VLOOKUP($B73,'20Trips'!$A$3:$G$22,6,FALSE) &gt;= ('20Trips'!$B$25+VLOOKUP(VLOOKUP($B73,'20Trips'!$A$2:$I$22,4,FALSE),'20Trips'!$AB$46:$AH$50,5,FALSE))/1440),1,0)</f>
        <v>0</v>
      </c>
      <c r="U73" s="2">
        <f>IF(AND(VLOOKUP(U$1,'20Trips'!$A$3:$F$22,5,FALSE) - VLOOKUP($B73,'20Trips'!$A$3:$G$22,6,FALSE) &gt;= ('20Trips'!$B$25+VLOOKUP(VLOOKUP($B73,'20Trips'!$A$2:$I$22,4,FALSE),'20Trips'!$AB$46:$AH$50,5,FALSE))/1440),1,0)</f>
        <v>1</v>
      </c>
      <c r="V73" s="2">
        <f>IF(AND(VLOOKUP(V$1,'20Trips'!$A$3:$F$22,5,FALSE) - VLOOKUP($B73,'20Trips'!$A$3:$G$22,6,FALSE) &gt;= ('20Trips'!$B$25+VLOOKUP(VLOOKUP($B73,'20Trips'!$A$2:$I$22,4,FALSE),'20Trips'!$AB$46:$AH$50,5,FALSE))/1440),1,0)</f>
        <v>1</v>
      </c>
      <c r="W73" s="2" t="e">
        <f>IF(AND(VLOOKUP(W$1,'20Trips'!$A$3:$F$22,5,FALSE) - VLOOKUP($B73,'20Trips'!$A$3:$G$22,6,FALSE) &gt;= ('20Trips'!$B$25+VLOOKUP(VLOOKUP($B73,'20Trips'!$A$2:$I$22,4,FALSE),'20Trips'!$AB$46:$AH$50,5,FALSE))/1440),1,0)</f>
        <v>#N/A</v>
      </c>
      <c r="X73" s="2" t="e">
        <f>IF(AND(VLOOKUP(X$1,'20Trips'!$A$3:$F$22,5,FALSE) - VLOOKUP($B73,'20Trips'!$A$3:$G$22,6,FALSE) &gt;= ('20Trips'!$B$25+VLOOKUP(VLOOKUP($B73,'20Trips'!$A$2:$I$22,4,FALSE),'20Trips'!$AB$46:$AH$50,5,FALSE))/1440),1,0)</f>
        <v>#N/A</v>
      </c>
      <c r="Y73" s="2" t="e">
        <f>IF(AND(VLOOKUP(Y$1,'20Trips'!$A$3:$F$22,5,FALSE) - VLOOKUP($B73,'20Trips'!$A$3:$G$22,6,FALSE) &gt;= ('20Trips'!$B$25+VLOOKUP(VLOOKUP($B73,'20Trips'!$A$2:$I$22,4,FALSE),'20Trips'!$AB$46:$AH$50,5,FALSE))/1440),1,0)</f>
        <v>#N/A</v>
      </c>
      <c r="Z73" s="2">
        <f>IF(AND(VLOOKUP(Z$1,'20Trips'!$A$3:$F$22,5,FALSE) - VLOOKUP($B73,'20Trips'!$A$3:$G$22,6,FALSE) &gt;= ('20Trips'!$B$25+VLOOKUP(VLOOKUP($B73,'20Trips'!$A$2:$I$22,4,FALSE),'20Trips'!$AB$46:$AH$50,5,FALSE))/1440),1,0)</f>
        <v>0</v>
      </c>
      <c r="AA73" s="2">
        <f>IF(AND(VLOOKUP(AA$1,'20Trips'!$A$3:$F$22,5,FALSE) - VLOOKUP($B73,'20Trips'!$A$3:$G$22,6,FALSE) &gt;= ('20Trips'!$B$25+VLOOKUP(VLOOKUP($B73,'20Trips'!$A$2:$I$22,4,FALSE),'20Trips'!$AB$46:$AH$50,5,FALSE))/1440),1,0)</f>
        <v>0</v>
      </c>
      <c r="AB73" s="2">
        <f>IF(AND(VLOOKUP(AB$1,'20Trips'!$A$3:$F$22,5,FALSE) - VLOOKUP($B73,'20Trips'!$A$3:$G$22,6,FALSE) &gt;= ('20Trips'!$B$25+VLOOKUP(VLOOKUP($B73,'20Trips'!$A$2:$I$22,4,FALSE),'20Trips'!$AB$46:$AH$50,5,FALSE))/1440),1,0)</f>
        <v>1</v>
      </c>
      <c r="AC73" s="2">
        <f>IF(AND(VLOOKUP(AC$1,'20Trips'!$A$3:$F$22,5,FALSE) - VLOOKUP($B73,'20Trips'!$A$3:$G$22,6,FALSE) &gt;= ('20Trips'!$B$25+VLOOKUP(VLOOKUP($B73,'20Trips'!$A$2:$I$22,4,FALSE),'20Trips'!$AB$46:$AH$50,5,FALSE))/1440),1,0)</f>
        <v>1</v>
      </c>
      <c r="AD73" s="2">
        <f>IF(AND(VLOOKUP(AD$1,'20Trips'!$A$3:$F$22,5,FALSE) - VLOOKUP($B73,'20Trips'!$A$3:$G$22,6,FALSE) &gt;= ('20Trips'!$B$25+VLOOKUP(VLOOKUP($B73,'20Trips'!$A$2:$I$22,4,FALSE),'20Trips'!$AB$46:$AH$50,5,FALSE))/1440),1,0)</f>
        <v>1</v>
      </c>
      <c r="AE73" s="2" t="e">
        <f>IF(AND(VLOOKUP(AE$1,'20Trips'!$A$3:$F$22,5,FALSE) - VLOOKUP($B73,'20Trips'!$A$3:$G$22,6,FALSE) &gt;= ('20Trips'!$B$25+VLOOKUP(VLOOKUP($B73,'20Trips'!$A$2:$I$22,4,FALSE),'20Trips'!$AB$46:$AH$50,5,FALSE))/1440),1,0)</f>
        <v>#N/A</v>
      </c>
      <c r="AF73" s="2" t="e">
        <f>IF(AND(VLOOKUP(AF$1,'20Trips'!$A$3:$F$22,5,FALSE) - VLOOKUP($B73,'20Trips'!$A$3:$G$22,6,FALSE) &gt;= ('20Trips'!$B$25+VLOOKUP(VLOOKUP($B73,'20Trips'!$A$2:$I$22,4,FALSE),'20Trips'!$AB$46:$AH$50,5,FALSE))/1440),1,0)</f>
        <v>#N/A</v>
      </c>
      <c r="AG73" s="2" t="e">
        <f>IF(AND(VLOOKUP(AG$1,'20Trips'!$A$3:$F$22,5,FALSE) - VLOOKUP($B73,'20Trips'!$A$3:$G$22,6,FALSE) &gt;= ('20Trips'!$B$25+VLOOKUP(VLOOKUP($B73,'20Trips'!$A$2:$I$22,4,FALSE),'20Trips'!$AB$46:$AH$50,5,FALSE))/1440),1,0)</f>
        <v>#N/A</v>
      </c>
    </row>
    <row r="74" spans="1:33" x14ac:dyDescent="0.25">
      <c r="A74" t="s">
        <v>67</v>
      </c>
      <c r="B74" t="s">
        <v>20</v>
      </c>
      <c r="C74">
        <v>0</v>
      </c>
      <c r="D74" s="2">
        <f>IF(AND(VLOOKUP(D$1,'20Trips'!$A$3:$F$22,5,FALSE) - VLOOKUP($B74,'20Trips'!$A$3:$G$22,6,FALSE) &gt;= ('20Trips'!$B$25+VLOOKUP(VLOOKUP($B74,'20Trips'!$A$2:$I$22,4,FALSE),'20Trips'!$AB$46:$AH$50,5,FALSE))/1440),1,0)</f>
        <v>0</v>
      </c>
      <c r="E74" s="2">
        <f>IF(AND(VLOOKUP(E$1,'20Trips'!$A$3:$F$22,5,FALSE) - VLOOKUP($B74,'20Trips'!$A$3:$G$22,6,FALSE) &gt;= ('20Trips'!$B$25+VLOOKUP(VLOOKUP($B74,'20Trips'!$A$2:$I$22,4,FALSE),'20Trips'!$AB$46:$AH$50,5,FALSE))/1440),1,0)</f>
        <v>0</v>
      </c>
      <c r="F74" s="2">
        <f>IF(AND(VLOOKUP(F$1,'20Trips'!$A$3:$F$22,5,FALSE) - VLOOKUP($B74,'20Trips'!$A$3:$G$22,6,FALSE) &gt;= ('20Trips'!$B$25+VLOOKUP(VLOOKUP($B74,'20Trips'!$A$2:$I$22,4,FALSE),'20Trips'!$AB$46:$AH$50,5,FALSE))/1440),1,0)</f>
        <v>0</v>
      </c>
      <c r="G74" s="2">
        <f>IF(AND(VLOOKUP(G$1,'20Trips'!$A$3:$F$22,5,FALSE) - VLOOKUP($B74,'20Trips'!$A$3:$G$22,6,FALSE) &gt;= ('20Trips'!$B$25+VLOOKUP(VLOOKUP($B74,'20Trips'!$A$2:$I$22,4,FALSE),'20Trips'!$AB$46:$AH$50,5,FALSE))/1440),1,0)</f>
        <v>0</v>
      </c>
      <c r="H74" s="2">
        <f>IF(AND(VLOOKUP(H$1,'20Trips'!$A$3:$F$22,5,FALSE) - VLOOKUP($B74,'20Trips'!$A$3:$G$22,6,FALSE) &gt;= ('20Trips'!$B$25+VLOOKUP(VLOOKUP($B74,'20Trips'!$A$2:$I$22,4,FALSE),'20Trips'!$AB$46:$AH$50,5,FALSE))/1440),1,0)</f>
        <v>1</v>
      </c>
      <c r="I74" s="2" t="e">
        <f>IF(AND(VLOOKUP(I$1,'20Trips'!$A$3:$F$22,5,FALSE) - VLOOKUP($B74,'20Trips'!$A$3:$G$22,6,FALSE) &gt;= ('20Trips'!$B$25+VLOOKUP(VLOOKUP($B74,'20Trips'!$A$2:$I$22,4,FALSE),'20Trips'!$AB$46:$AH$50,5,FALSE))/1440),1,0)</f>
        <v>#N/A</v>
      </c>
      <c r="J74" s="2" t="e">
        <f>IF(AND(VLOOKUP(J$1,'20Trips'!$A$3:$F$22,5,FALSE) - VLOOKUP($B74,'20Trips'!$A$3:$G$22,6,FALSE) &gt;= ('20Trips'!$B$25+VLOOKUP(VLOOKUP($B74,'20Trips'!$A$2:$I$22,4,FALSE),'20Trips'!$AB$46:$AH$50,5,FALSE))/1440),1,0)</f>
        <v>#N/A</v>
      </c>
      <c r="K74" s="2" t="e">
        <f>IF(AND(VLOOKUP(K$1,'20Trips'!$A$3:$F$22,5,FALSE) - VLOOKUP($B74,'20Trips'!$A$3:$G$22,6,FALSE) &gt;= ('20Trips'!$B$25+VLOOKUP(VLOOKUP($B74,'20Trips'!$A$2:$I$22,4,FALSE),'20Trips'!$AB$46:$AH$50,5,FALSE))/1440),1,0)</f>
        <v>#N/A</v>
      </c>
      <c r="L74" s="2">
        <f>IF(AND(VLOOKUP(L$1,'20Trips'!$A$3:$F$22,5,FALSE) - VLOOKUP($B74,'20Trips'!$A$3:$G$22,6,FALSE) &gt;= ('20Trips'!$B$25+VLOOKUP(VLOOKUP($B74,'20Trips'!$A$2:$I$22,4,FALSE),'20Trips'!$AB$46:$AH$50,5,FALSE))/1440),1,0)</f>
        <v>0</v>
      </c>
      <c r="M74" s="2">
        <f>IF(AND(VLOOKUP(M$1,'20Trips'!$A$3:$F$22,5,FALSE) - VLOOKUP($B74,'20Trips'!$A$3:$G$22,6,FALSE) &gt;= ('20Trips'!$B$25+VLOOKUP(VLOOKUP($B74,'20Trips'!$A$2:$I$22,4,FALSE),'20Trips'!$AB$46:$AH$50,5,FALSE))/1440),1,0)</f>
        <v>0</v>
      </c>
      <c r="N74" s="2">
        <f>IF(AND(VLOOKUP(N$1,'20Trips'!$A$3:$F$22,5,FALSE) - VLOOKUP($B74,'20Trips'!$A$3:$G$22,6,FALSE) &gt;= ('20Trips'!$B$25+VLOOKUP(VLOOKUP($B74,'20Trips'!$A$2:$I$22,4,FALSE),'20Trips'!$AB$46:$AH$50,5,FALSE))/1440),1,0)</f>
        <v>0</v>
      </c>
      <c r="O74" s="2">
        <f>IF(AND(VLOOKUP(O$1,'20Trips'!$A$3:$F$22,5,FALSE) - VLOOKUP($B74,'20Trips'!$A$3:$G$22,6,FALSE) &gt;= ('20Trips'!$B$25+VLOOKUP(VLOOKUP($B74,'20Trips'!$A$2:$I$22,4,FALSE),'20Trips'!$AB$46:$AH$50,5,FALSE))/1440),1,0)</f>
        <v>1</v>
      </c>
      <c r="P74" s="2">
        <f>IF(AND(VLOOKUP(P$1,'20Trips'!$A$3:$F$22,5,FALSE) - VLOOKUP($B74,'20Trips'!$A$3:$G$22,6,FALSE) &gt;= ('20Trips'!$B$25+VLOOKUP(VLOOKUP($B74,'20Trips'!$A$2:$I$22,4,FALSE),'20Trips'!$AB$46:$AH$50,5,FALSE))/1440),1,0)</f>
        <v>1</v>
      </c>
      <c r="Q74" s="2" t="e">
        <f>IF(AND(VLOOKUP(Q$1,'20Trips'!$A$3:$F$22,5,FALSE) - VLOOKUP($B74,'20Trips'!$A$3:$G$22,6,FALSE) &gt;= ('20Trips'!$B$25+VLOOKUP(VLOOKUP($B74,'20Trips'!$A$2:$I$22,4,FALSE),'20Trips'!$AB$46:$AH$50,5,FALSE))/1440),1,0)</f>
        <v>#N/A</v>
      </c>
      <c r="R74" s="2">
        <f>IF(AND(VLOOKUP(R$1,'20Trips'!$A$3:$F$22,5,FALSE) - VLOOKUP($B74,'20Trips'!$A$3:$G$22,6,FALSE) &gt;= ('20Trips'!$B$25+VLOOKUP(VLOOKUP($B74,'20Trips'!$A$2:$I$22,4,FALSE),'20Trips'!$AB$46:$AH$50,5,FALSE))/1440),1,0)</f>
        <v>0</v>
      </c>
      <c r="S74" s="2">
        <f>IF(AND(VLOOKUP(S$1,'20Trips'!$A$3:$F$22,5,FALSE) - VLOOKUP($B74,'20Trips'!$A$3:$G$22,6,FALSE) &gt;= ('20Trips'!$B$25+VLOOKUP(VLOOKUP($B74,'20Trips'!$A$2:$I$22,4,FALSE),'20Trips'!$AB$46:$AH$50,5,FALSE))/1440),1,0)</f>
        <v>0</v>
      </c>
      <c r="T74" s="2">
        <f>IF(AND(VLOOKUP(T$1,'20Trips'!$A$3:$F$22,5,FALSE) - VLOOKUP($B74,'20Trips'!$A$3:$G$22,6,FALSE) &gt;= ('20Trips'!$B$25+VLOOKUP(VLOOKUP($B74,'20Trips'!$A$2:$I$22,4,FALSE),'20Trips'!$AB$46:$AH$50,5,FALSE))/1440),1,0)</f>
        <v>0</v>
      </c>
      <c r="U74" s="2">
        <f>IF(AND(VLOOKUP(U$1,'20Trips'!$A$3:$F$22,5,FALSE) - VLOOKUP($B74,'20Trips'!$A$3:$G$22,6,FALSE) &gt;= ('20Trips'!$B$25+VLOOKUP(VLOOKUP($B74,'20Trips'!$A$2:$I$22,4,FALSE),'20Trips'!$AB$46:$AH$50,5,FALSE))/1440),1,0)</f>
        <v>0</v>
      </c>
      <c r="V74" s="2">
        <f>IF(AND(VLOOKUP(V$1,'20Trips'!$A$3:$F$22,5,FALSE) - VLOOKUP($B74,'20Trips'!$A$3:$G$22,6,FALSE) &gt;= ('20Trips'!$B$25+VLOOKUP(VLOOKUP($B74,'20Trips'!$A$2:$I$22,4,FALSE),'20Trips'!$AB$46:$AH$50,5,FALSE))/1440),1,0)</f>
        <v>0</v>
      </c>
      <c r="W74" s="2" t="e">
        <f>IF(AND(VLOOKUP(W$1,'20Trips'!$A$3:$F$22,5,FALSE) - VLOOKUP($B74,'20Trips'!$A$3:$G$22,6,FALSE) &gt;= ('20Trips'!$B$25+VLOOKUP(VLOOKUP($B74,'20Trips'!$A$2:$I$22,4,FALSE),'20Trips'!$AB$46:$AH$50,5,FALSE))/1440),1,0)</f>
        <v>#N/A</v>
      </c>
      <c r="X74" s="2" t="e">
        <f>IF(AND(VLOOKUP(X$1,'20Trips'!$A$3:$F$22,5,FALSE) - VLOOKUP($B74,'20Trips'!$A$3:$G$22,6,FALSE) &gt;= ('20Trips'!$B$25+VLOOKUP(VLOOKUP($B74,'20Trips'!$A$2:$I$22,4,FALSE),'20Trips'!$AB$46:$AH$50,5,FALSE))/1440),1,0)</f>
        <v>#N/A</v>
      </c>
      <c r="Y74" s="2" t="e">
        <f>IF(AND(VLOOKUP(Y$1,'20Trips'!$A$3:$F$22,5,FALSE) - VLOOKUP($B74,'20Trips'!$A$3:$G$22,6,FALSE) &gt;= ('20Trips'!$B$25+VLOOKUP(VLOOKUP($B74,'20Trips'!$A$2:$I$22,4,FALSE),'20Trips'!$AB$46:$AH$50,5,FALSE))/1440),1,0)</f>
        <v>#N/A</v>
      </c>
      <c r="Z74" s="2">
        <f>IF(AND(VLOOKUP(Z$1,'20Trips'!$A$3:$F$22,5,FALSE) - VLOOKUP($B74,'20Trips'!$A$3:$G$22,6,FALSE) &gt;= ('20Trips'!$B$25+VLOOKUP(VLOOKUP($B74,'20Trips'!$A$2:$I$22,4,FALSE),'20Trips'!$AB$46:$AH$50,5,FALSE))/1440),1,0)</f>
        <v>0</v>
      </c>
      <c r="AA74" s="2">
        <f>IF(AND(VLOOKUP(AA$1,'20Trips'!$A$3:$F$22,5,FALSE) - VLOOKUP($B74,'20Trips'!$A$3:$G$22,6,FALSE) &gt;= ('20Trips'!$B$25+VLOOKUP(VLOOKUP($B74,'20Trips'!$A$2:$I$22,4,FALSE),'20Trips'!$AB$46:$AH$50,5,FALSE))/1440),1,0)</f>
        <v>0</v>
      </c>
      <c r="AB74" s="2">
        <f>IF(AND(VLOOKUP(AB$1,'20Trips'!$A$3:$F$22,5,FALSE) - VLOOKUP($B74,'20Trips'!$A$3:$G$22,6,FALSE) &gt;= ('20Trips'!$B$25+VLOOKUP(VLOOKUP($B74,'20Trips'!$A$2:$I$22,4,FALSE),'20Trips'!$AB$46:$AH$50,5,FALSE))/1440),1,0)</f>
        <v>0</v>
      </c>
      <c r="AC74" s="2">
        <f>IF(AND(VLOOKUP(AC$1,'20Trips'!$A$3:$F$22,5,FALSE) - VLOOKUP($B74,'20Trips'!$A$3:$G$22,6,FALSE) &gt;= ('20Trips'!$B$25+VLOOKUP(VLOOKUP($B74,'20Trips'!$A$2:$I$22,4,FALSE),'20Trips'!$AB$46:$AH$50,5,FALSE))/1440),1,0)</f>
        <v>0</v>
      </c>
      <c r="AD74" s="2">
        <f>IF(AND(VLOOKUP(AD$1,'20Trips'!$A$3:$F$22,5,FALSE) - VLOOKUP($B74,'20Trips'!$A$3:$G$22,6,FALSE) &gt;= ('20Trips'!$B$25+VLOOKUP(VLOOKUP($B74,'20Trips'!$A$2:$I$22,4,FALSE),'20Trips'!$AB$46:$AH$50,5,FALSE))/1440),1,0)</f>
        <v>1</v>
      </c>
      <c r="AE74" s="2" t="e">
        <f>IF(AND(VLOOKUP(AE$1,'20Trips'!$A$3:$F$22,5,FALSE) - VLOOKUP($B74,'20Trips'!$A$3:$G$22,6,FALSE) &gt;= ('20Trips'!$B$25+VLOOKUP(VLOOKUP($B74,'20Trips'!$A$2:$I$22,4,FALSE),'20Trips'!$AB$46:$AH$50,5,FALSE))/1440),1,0)</f>
        <v>#N/A</v>
      </c>
      <c r="AF74" s="2" t="e">
        <f>IF(AND(VLOOKUP(AF$1,'20Trips'!$A$3:$F$22,5,FALSE) - VLOOKUP($B74,'20Trips'!$A$3:$G$22,6,FALSE) &gt;= ('20Trips'!$B$25+VLOOKUP(VLOOKUP($B74,'20Trips'!$A$2:$I$22,4,FALSE),'20Trips'!$AB$46:$AH$50,5,FALSE))/1440),1,0)</f>
        <v>#N/A</v>
      </c>
      <c r="AG74" s="2" t="e">
        <f>IF(AND(VLOOKUP(AG$1,'20Trips'!$A$3:$F$22,5,FALSE) - VLOOKUP($B74,'20Trips'!$A$3:$G$22,6,FALSE) &gt;= ('20Trips'!$B$25+VLOOKUP(VLOOKUP($B74,'20Trips'!$A$2:$I$22,4,FALSE),'20Trips'!$AB$46:$AH$50,5,FALSE))/1440),1,0)</f>
        <v>#N/A</v>
      </c>
    </row>
    <row r="75" spans="1:33" x14ac:dyDescent="0.25">
      <c r="A75" t="s">
        <v>67</v>
      </c>
      <c r="B75" t="s">
        <v>21</v>
      </c>
      <c r="C75">
        <v>0</v>
      </c>
      <c r="D75" s="2">
        <f>IF(AND(VLOOKUP(D$1,'20Trips'!$A$3:$F$22,5,FALSE) - VLOOKUP($B75,'20Trips'!$A$3:$G$22,6,FALSE) &gt;= ('20Trips'!$B$25+VLOOKUP(VLOOKUP($B75,'20Trips'!$A$2:$I$22,4,FALSE),'20Trips'!$AB$46:$AH$50,5,FALSE))/1440),1,0)</f>
        <v>0</v>
      </c>
      <c r="E75" s="2">
        <f>IF(AND(VLOOKUP(E$1,'20Trips'!$A$3:$F$22,5,FALSE) - VLOOKUP($B75,'20Trips'!$A$3:$G$22,6,FALSE) &gt;= ('20Trips'!$B$25+VLOOKUP(VLOOKUP($B75,'20Trips'!$A$2:$I$22,4,FALSE),'20Trips'!$AB$46:$AH$50,5,FALSE))/1440),1,0)</f>
        <v>0</v>
      </c>
      <c r="F75" s="2">
        <f>IF(AND(VLOOKUP(F$1,'20Trips'!$A$3:$F$22,5,FALSE) - VLOOKUP($B75,'20Trips'!$A$3:$G$22,6,FALSE) &gt;= ('20Trips'!$B$25+VLOOKUP(VLOOKUP($B75,'20Trips'!$A$2:$I$22,4,FALSE),'20Trips'!$AB$46:$AH$50,5,FALSE))/1440),1,0)</f>
        <v>0</v>
      </c>
      <c r="G75" s="2">
        <f>IF(AND(VLOOKUP(G$1,'20Trips'!$A$3:$F$22,5,FALSE) - VLOOKUP($B75,'20Trips'!$A$3:$G$22,6,FALSE) &gt;= ('20Trips'!$B$25+VLOOKUP(VLOOKUP($B75,'20Trips'!$A$2:$I$22,4,FALSE),'20Trips'!$AB$46:$AH$50,5,FALSE))/1440),1,0)</f>
        <v>0</v>
      </c>
      <c r="H75" s="2">
        <f>IF(AND(VLOOKUP(H$1,'20Trips'!$A$3:$F$22,5,FALSE) - VLOOKUP($B75,'20Trips'!$A$3:$G$22,6,FALSE) &gt;= ('20Trips'!$B$25+VLOOKUP(VLOOKUP($B75,'20Trips'!$A$2:$I$22,4,FALSE),'20Trips'!$AB$46:$AH$50,5,FALSE))/1440),1,0)</f>
        <v>0</v>
      </c>
      <c r="I75" s="2" t="e">
        <f>IF(AND(VLOOKUP(I$1,'20Trips'!$A$3:$F$22,5,FALSE) - VLOOKUP($B75,'20Trips'!$A$3:$G$22,6,FALSE) &gt;= ('20Trips'!$B$25+VLOOKUP(VLOOKUP($B75,'20Trips'!$A$2:$I$22,4,FALSE),'20Trips'!$AB$46:$AH$50,5,FALSE))/1440),1,0)</f>
        <v>#N/A</v>
      </c>
      <c r="J75" s="2" t="e">
        <f>IF(AND(VLOOKUP(J$1,'20Trips'!$A$3:$F$22,5,FALSE) - VLOOKUP($B75,'20Trips'!$A$3:$G$22,6,FALSE) &gt;= ('20Trips'!$B$25+VLOOKUP(VLOOKUP($B75,'20Trips'!$A$2:$I$22,4,FALSE),'20Trips'!$AB$46:$AH$50,5,FALSE))/1440),1,0)</f>
        <v>#N/A</v>
      </c>
      <c r="K75" s="2" t="e">
        <f>IF(AND(VLOOKUP(K$1,'20Trips'!$A$3:$F$22,5,FALSE) - VLOOKUP($B75,'20Trips'!$A$3:$G$22,6,FALSE) &gt;= ('20Trips'!$B$25+VLOOKUP(VLOOKUP($B75,'20Trips'!$A$2:$I$22,4,FALSE),'20Trips'!$AB$46:$AH$50,5,FALSE))/1440),1,0)</f>
        <v>#N/A</v>
      </c>
      <c r="L75" s="2">
        <f>IF(AND(VLOOKUP(L$1,'20Trips'!$A$3:$F$22,5,FALSE) - VLOOKUP($B75,'20Trips'!$A$3:$G$22,6,FALSE) &gt;= ('20Trips'!$B$25+VLOOKUP(VLOOKUP($B75,'20Trips'!$A$2:$I$22,4,FALSE),'20Trips'!$AB$46:$AH$50,5,FALSE))/1440),1,0)</f>
        <v>0</v>
      </c>
      <c r="M75" s="2">
        <f>IF(AND(VLOOKUP(M$1,'20Trips'!$A$3:$F$22,5,FALSE) - VLOOKUP($B75,'20Trips'!$A$3:$G$22,6,FALSE) &gt;= ('20Trips'!$B$25+VLOOKUP(VLOOKUP($B75,'20Trips'!$A$2:$I$22,4,FALSE),'20Trips'!$AB$46:$AH$50,5,FALSE))/1440),1,0)</f>
        <v>0</v>
      </c>
      <c r="N75" s="2">
        <f>IF(AND(VLOOKUP(N$1,'20Trips'!$A$3:$F$22,5,FALSE) - VLOOKUP($B75,'20Trips'!$A$3:$G$22,6,FALSE) &gt;= ('20Trips'!$B$25+VLOOKUP(VLOOKUP($B75,'20Trips'!$A$2:$I$22,4,FALSE),'20Trips'!$AB$46:$AH$50,5,FALSE))/1440),1,0)</f>
        <v>0</v>
      </c>
      <c r="O75" s="2">
        <f>IF(AND(VLOOKUP(O$1,'20Trips'!$A$3:$F$22,5,FALSE) - VLOOKUP($B75,'20Trips'!$A$3:$G$22,6,FALSE) &gt;= ('20Trips'!$B$25+VLOOKUP(VLOOKUP($B75,'20Trips'!$A$2:$I$22,4,FALSE),'20Trips'!$AB$46:$AH$50,5,FALSE))/1440),1,0)</f>
        <v>1</v>
      </c>
      <c r="P75" s="2">
        <f>IF(AND(VLOOKUP(P$1,'20Trips'!$A$3:$F$22,5,FALSE) - VLOOKUP($B75,'20Trips'!$A$3:$G$22,6,FALSE) &gt;= ('20Trips'!$B$25+VLOOKUP(VLOOKUP($B75,'20Trips'!$A$2:$I$22,4,FALSE),'20Trips'!$AB$46:$AH$50,5,FALSE))/1440),1,0)</f>
        <v>1</v>
      </c>
      <c r="Q75" s="2" t="e">
        <f>IF(AND(VLOOKUP(Q$1,'20Trips'!$A$3:$F$22,5,FALSE) - VLOOKUP($B75,'20Trips'!$A$3:$G$22,6,FALSE) &gt;= ('20Trips'!$B$25+VLOOKUP(VLOOKUP($B75,'20Trips'!$A$2:$I$22,4,FALSE),'20Trips'!$AB$46:$AH$50,5,FALSE))/1440),1,0)</f>
        <v>#N/A</v>
      </c>
      <c r="R75" s="2">
        <f>IF(AND(VLOOKUP(R$1,'20Trips'!$A$3:$F$22,5,FALSE) - VLOOKUP($B75,'20Trips'!$A$3:$G$22,6,FALSE) &gt;= ('20Trips'!$B$25+VLOOKUP(VLOOKUP($B75,'20Trips'!$A$2:$I$22,4,FALSE),'20Trips'!$AB$46:$AH$50,5,FALSE))/1440),1,0)</f>
        <v>0</v>
      </c>
      <c r="S75" s="2">
        <f>IF(AND(VLOOKUP(S$1,'20Trips'!$A$3:$F$22,5,FALSE) - VLOOKUP($B75,'20Trips'!$A$3:$G$22,6,FALSE) &gt;= ('20Trips'!$B$25+VLOOKUP(VLOOKUP($B75,'20Trips'!$A$2:$I$22,4,FALSE),'20Trips'!$AB$46:$AH$50,5,FALSE))/1440),1,0)</f>
        <v>0</v>
      </c>
      <c r="T75" s="2">
        <f>IF(AND(VLOOKUP(T$1,'20Trips'!$A$3:$F$22,5,FALSE) - VLOOKUP($B75,'20Trips'!$A$3:$G$22,6,FALSE) &gt;= ('20Trips'!$B$25+VLOOKUP(VLOOKUP($B75,'20Trips'!$A$2:$I$22,4,FALSE),'20Trips'!$AB$46:$AH$50,5,FALSE))/1440),1,0)</f>
        <v>0</v>
      </c>
      <c r="U75" s="2">
        <f>IF(AND(VLOOKUP(U$1,'20Trips'!$A$3:$F$22,5,FALSE) - VLOOKUP($B75,'20Trips'!$A$3:$G$22,6,FALSE) &gt;= ('20Trips'!$B$25+VLOOKUP(VLOOKUP($B75,'20Trips'!$A$2:$I$22,4,FALSE),'20Trips'!$AB$46:$AH$50,5,FALSE))/1440),1,0)</f>
        <v>0</v>
      </c>
      <c r="V75" s="2">
        <f>IF(AND(VLOOKUP(V$1,'20Trips'!$A$3:$F$22,5,FALSE) - VLOOKUP($B75,'20Trips'!$A$3:$G$22,6,FALSE) &gt;= ('20Trips'!$B$25+VLOOKUP(VLOOKUP($B75,'20Trips'!$A$2:$I$22,4,FALSE),'20Trips'!$AB$46:$AH$50,5,FALSE))/1440),1,0)</f>
        <v>0</v>
      </c>
      <c r="W75" s="2" t="e">
        <f>IF(AND(VLOOKUP(W$1,'20Trips'!$A$3:$F$22,5,FALSE) - VLOOKUP($B75,'20Trips'!$A$3:$G$22,6,FALSE) &gt;= ('20Trips'!$B$25+VLOOKUP(VLOOKUP($B75,'20Trips'!$A$2:$I$22,4,FALSE),'20Trips'!$AB$46:$AH$50,5,FALSE))/1440),1,0)</f>
        <v>#N/A</v>
      </c>
      <c r="X75" s="2" t="e">
        <f>IF(AND(VLOOKUP(X$1,'20Trips'!$A$3:$F$22,5,FALSE) - VLOOKUP($B75,'20Trips'!$A$3:$G$22,6,FALSE) &gt;= ('20Trips'!$B$25+VLOOKUP(VLOOKUP($B75,'20Trips'!$A$2:$I$22,4,FALSE),'20Trips'!$AB$46:$AH$50,5,FALSE))/1440),1,0)</f>
        <v>#N/A</v>
      </c>
      <c r="Y75" s="2" t="e">
        <f>IF(AND(VLOOKUP(Y$1,'20Trips'!$A$3:$F$22,5,FALSE) - VLOOKUP($B75,'20Trips'!$A$3:$G$22,6,FALSE) &gt;= ('20Trips'!$B$25+VLOOKUP(VLOOKUP($B75,'20Trips'!$A$2:$I$22,4,FALSE),'20Trips'!$AB$46:$AH$50,5,FALSE))/1440),1,0)</f>
        <v>#N/A</v>
      </c>
      <c r="Z75" s="2">
        <f>IF(AND(VLOOKUP(Z$1,'20Trips'!$A$3:$F$22,5,FALSE) - VLOOKUP($B75,'20Trips'!$A$3:$G$22,6,FALSE) &gt;= ('20Trips'!$B$25+VLOOKUP(VLOOKUP($B75,'20Trips'!$A$2:$I$22,4,FALSE),'20Trips'!$AB$46:$AH$50,5,FALSE))/1440),1,0)</f>
        <v>0</v>
      </c>
      <c r="AA75" s="2">
        <f>IF(AND(VLOOKUP(AA$1,'20Trips'!$A$3:$F$22,5,FALSE) - VLOOKUP($B75,'20Trips'!$A$3:$G$22,6,FALSE) &gt;= ('20Trips'!$B$25+VLOOKUP(VLOOKUP($B75,'20Trips'!$A$2:$I$22,4,FALSE),'20Trips'!$AB$46:$AH$50,5,FALSE))/1440),1,0)</f>
        <v>0</v>
      </c>
      <c r="AB75" s="2">
        <f>IF(AND(VLOOKUP(AB$1,'20Trips'!$A$3:$F$22,5,FALSE) - VLOOKUP($B75,'20Trips'!$A$3:$G$22,6,FALSE) &gt;= ('20Trips'!$B$25+VLOOKUP(VLOOKUP($B75,'20Trips'!$A$2:$I$22,4,FALSE),'20Trips'!$AB$46:$AH$50,5,FALSE))/1440),1,0)</f>
        <v>0</v>
      </c>
      <c r="AC75" s="2">
        <f>IF(AND(VLOOKUP(AC$1,'20Trips'!$A$3:$F$22,5,FALSE) - VLOOKUP($B75,'20Trips'!$A$3:$G$22,6,FALSE) &gt;= ('20Trips'!$B$25+VLOOKUP(VLOOKUP($B75,'20Trips'!$A$2:$I$22,4,FALSE),'20Trips'!$AB$46:$AH$50,5,FALSE))/1440),1,0)</f>
        <v>0</v>
      </c>
      <c r="AD75" s="2">
        <f>IF(AND(VLOOKUP(AD$1,'20Trips'!$A$3:$F$22,5,FALSE) - VLOOKUP($B75,'20Trips'!$A$3:$G$22,6,FALSE) &gt;= ('20Trips'!$B$25+VLOOKUP(VLOOKUP($B75,'20Trips'!$A$2:$I$22,4,FALSE),'20Trips'!$AB$46:$AH$50,5,FALSE))/1440),1,0)</f>
        <v>0</v>
      </c>
      <c r="AE75" s="2" t="e">
        <f>IF(AND(VLOOKUP(AE$1,'20Trips'!$A$3:$F$22,5,FALSE) - VLOOKUP($B75,'20Trips'!$A$3:$G$22,6,FALSE) &gt;= ('20Trips'!$B$25+VLOOKUP(VLOOKUP($B75,'20Trips'!$A$2:$I$22,4,FALSE),'20Trips'!$AB$46:$AH$50,5,FALSE))/1440),1,0)</f>
        <v>#N/A</v>
      </c>
      <c r="AF75" s="2" t="e">
        <f>IF(AND(VLOOKUP(AF$1,'20Trips'!$A$3:$F$22,5,FALSE) - VLOOKUP($B75,'20Trips'!$A$3:$G$22,6,FALSE) &gt;= ('20Trips'!$B$25+VLOOKUP(VLOOKUP($B75,'20Trips'!$A$2:$I$22,4,FALSE),'20Trips'!$AB$46:$AH$50,5,FALSE))/1440),1,0)</f>
        <v>#N/A</v>
      </c>
      <c r="AG75" s="2" t="e">
        <f>IF(AND(VLOOKUP(AG$1,'20Trips'!$A$3:$F$22,5,FALSE) - VLOOKUP($B75,'20Trips'!$A$3:$G$22,6,FALSE) &gt;= ('20Trips'!$B$25+VLOOKUP(VLOOKUP($B75,'20Trips'!$A$2:$I$22,4,FALSE),'20Trips'!$AB$46:$AH$50,5,FALSE))/1440),1,0)</f>
        <v>#N/A</v>
      </c>
    </row>
    <row r="76" spans="1:33" x14ac:dyDescent="0.25">
      <c r="A76" t="s">
        <v>67</v>
      </c>
      <c r="B76" t="s">
        <v>22</v>
      </c>
      <c r="C76">
        <v>0</v>
      </c>
      <c r="D76" s="2">
        <f>IF(AND(VLOOKUP(D$1,'20Trips'!$A$3:$F$22,5,FALSE) - VLOOKUP($B76,'20Trips'!$A$3:$G$22,6,FALSE) &gt;= ('20Trips'!$B$25+VLOOKUP(VLOOKUP($B76,'20Trips'!$A$2:$I$22,4,FALSE),'20Trips'!$AB$46:$AH$50,5,FALSE))/1440),1,0)</f>
        <v>0</v>
      </c>
      <c r="E76" s="2">
        <f>IF(AND(VLOOKUP(E$1,'20Trips'!$A$3:$F$22,5,FALSE) - VLOOKUP($B76,'20Trips'!$A$3:$G$22,6,FALSE) &gt;= ('20Trips'!$B$25+VLOOKUP(VLOOKUP($B76,'20Trips'!$A$2:$I$22,4,FALSE),'20Trips'!$AB$46:$AH$50,5,FALSE))/1440),1,0)</f>
        <v>0</v>
      </c>
      <c r="F76" s="2">
        <f>IF(AND(VLOOKUP(F$1,'20Trips'!$A$3:$F$22,5,FALSE) - VLOOKUP($B76,'20Trips'!$A$3:$G$22,6,FALSE) &gt;= ('20Trips'!$B$25+VLOOKUP(VLOOKUP($B76,'20Trips'!$A$2:$I$22,4,FALSE),'20Trips'!$AB$46:$AH$50,5,FALSE))/1440),1,0)</f>
        <v>0</v>
      </c>
      <c r="G76" s="2">
        <f>IF(AND(VLOOKUP(G$1,'20Trips'!$A$3:$F$22,5,FALSE) - VLOOKUP($B76,'20Trips'!$A$3:$G$22,6,FALSE) &gt;= ('20Trips'!$B$25+VLOOKUP(VLOOKUP($B76,'20Trips'!$A$2:$I$22,4,FALSE),'20Trips'!$AB$46:$AH$50,5,FALSE))/1440),1,0)</f>
        <v>0</v>
      </c>
      <c r="H76" s="2">
        <f>IF(AND(VLOOKUP(H$1,'20Trips'!$A$3:$F$22,5,FALSE) - VLOOKUP($B76,'20Trips'!$A$3:$G$22,6,FALSE) &gt;= ('20Trips'!$B$25+VLOOKUP(VLOOKUP($B76,'20Trips'!$A$2:$I$22,4,FALSE),'20Trips'!$AB$46:$AH$50,5,FALSE))/1440),1,0)</f>
        <v>0</v>
      </c>
      <c r="I76" s="2" t="e">
        <f>IF(AND(VLOOKUP(I$1,'20Trips'!$A$3:$F$22,5,FALSE) - VLOOKUP($B76,'20Trips'!$A$3:$G$22,6,FALSE) &gt;= ('20Trips'!$B$25+VLOOKUP(VLOOKUP($B76,'20Trips'!$A$2:$I$22,4,FALSE),'20Trips'!$AB$46:$AH$50,5,FALSE))/1440),1,0)</f>
        <v>#N/A</v>
      </c>
      <c r="J76" s="2" t="e">
        <f>IF(AND(VLOOKUP(J$1,'20Trips'!$A$3:$F$22,5,FALSE) - VLOOKUP($B76,'20Trips'!$A$3:$G$22,6,FALSE) &gt;= ('20Trips'!$B$25+VLOOKUP(VLOOKUP($B76,'20Trips'!$A$2:$I$22,4,FALSE),'20Trips'!$AB$46:$AH$50,5,FALSE))/1440),1,0)</f>
        <v>#N/A</v>
      </c>
      <c r="K76" s="2" t="e">
        <f>IF(AND(VLOOKUP(K$1,'20Trips'!$A$3:$F$22,5,FALSE) - VLOOKUP($B76,'20Trips'!$A$3:$G$22,6,FALSE) &gt;= ('20Trips'!$B$25+VLOOKUP(VLOOKUP($B76,'20Trips'!$A$2:$I$22,4,FALSE),'20Trips'!$AB$46:$AH$50,5,FALSE))/1440),1,0)</f>
        <v>#N/A</v>
      </c>
      <c r="L76" s="2">
        <f>IF(AND(VLOOKUP(L$1,'20Trips'!$A$3:$F$22,5,FALSE) - VLOOKUP($B76,'20Trips'!$A$3:$G$22,6,FALSE) &gt;= ('20Trips'!$B$25+VLOOKUP(VLOOKUP($B76,'20Trips'!$A$2:$I$22,4,FALSE),'20Trips'!$AB$46:$AH$50,5,FALSE))/1440),1,0)</f>
        <v>0</v>
      </c>
      <c r="M76" s="2">
        <f>IF(AND(VLOOKUP(M$1,'20Trips'!$A$3:$F$22,5,FALSE) - VLOOKUP($B76,'20Trips'!$A$3:$G$22,6,FALSE) &gt;= ('20Trips'!$B$25+VLOOKUP(VLOOKUP($B76,'20Trips'!$A$2:$I$22,4,FALSE),'20Trips'!$AB$46:$AH$50,5,FALSE))/1440),1,0)</f>
        <v>0</v>
      </c>
      <c r="N76" s="2">
        <f>IF(AND(VLOOKUP(N$1,'20Trips'!$A$3:$F$22,5,FALSE) - VLOOKUP($B76,'20Trips'!$A$3:$G$22,6,FALSE) &gt;= ('20Trips'!$B$25+VLOOKUP(VLOOKUP($B76,'20Trips'!$A$2:$I$22,4,FALSE),'20Trips'!$AB$46:$AH$50,5,FALSE))/1440),1,0)</f>
        <v>0</v>
      </c>
      <c r="O76" s="2">
        <f>IF(AND(VLOOKUP(O$1,'20Trips'!$A$3:$F$22,5,FALSE) - VLOOKUP($B76,'20Trips'!$A$3:$G$22,6,FALSE) &gt;= ('20Trips'!$B$25+VLOOKUP(VLOOKUP($B76,'20Trips'!$A$2:$I$22,4,FALSE),'20Trips'!$AB$46:$AH$50,5,FALSE))/1440),1,0)</f>
        <v>0</v>
      </c>
      <c r="P76" s="2">
        <f>IF(AND(VLOOKUP(P$1,'20Trips'!$A$3:$F$22,5,FALSE) - VLOOKUP($B76,'20Trips'!$A$3:$G$22,6,FALSE) &gt;= ('20Trips'!$B$25+VLOOKUP(VLOOKUP($B76,'20Trips'!$A$2:$I$22,4,FALSE),'20Trips'!$AB$46:$AH$50,5,FALSE))/1440),1,0)</f>
        <v>0</v>
      </c>
      <c r="Q76" s="2" t="e">
        <f>IF(AND(VLOOKUP(Q$1,'20Trips'!$A$3:$F$22,5,FALSE) - VLOOKUP($B76,'20Trips'!$A$3:$G$22,6,FALSE) &gt;= ('20Trips'!$B$25+VLOOKUP(VLOOKUP($B76,'20Trips'!$A$2:$I$22,4,FALSE),'20Trips'!$AB$46:$AH$50,5,FALSE))/1440),1,0)</f>
        <v>#N/A</v>
      </c>
      <c r="R76" s="2">
        <f>IF(AND(VLOOKUP(R$1,'20Trips'!$A$3:$F$22,5,FALSE) - VLOOKUP($B76,'20Trips'!$A$3:$G$22,6,FALSE) &gt;= ('20Trips'!$B$25+VLOOKUP(VLOOKUP($B76,'20Trips'!$A$2:$I$22,4,FALSE),'20Trips'!$AB$46:$AH$50,5,FALSE))/1440),1,0)</f>
        <v>0</v>
      </c>
      <c r="S76" s="2">
        <f>IF(AND(VLOOKUP(S$1,'20Trips'!$A$3:$F$22,5,FALSE) - VLOOKUP($B76,'20Trips'!$A$3:$G$22,6,FALSE) &gt;= ('20Trips'!$B$25+VLOOKUP(VLOOKUP($B76,'20Trips'!$A$2:$I$22,4,FALSE),'20Trips'!$AB$46:$AH$50,5,FALSE))/1440),1,0)</f>
        <v>0</v>
      </c>
      <c r="T76" s="2">
        <f>IF(AND(VLOOKUP(T$1,'20Trips'!$A$3:$F$22,5,FALSE) - VLOOKUP($B76,'20Trips'!$A$3:$G$22,6,FALSE) &gt;= ('20Trips'!$B$25+VLOOKUP(VLOOKUP($B76,'20Trips'!$A$2:$I$22,4,FALSE),'20Trips'!$AB$46:$AH$50,5,FALSE))/1440),1,0)</f>
        <v>0</v>
      </c>
      <c r="U76" s="2">
        <f>IF(AND(VLOOKUP(U$1,'20Trips'!$A$3:$F$22,5,FALSE) - VLOOKUP($B76,'20Trips'!$A$3:$G$22,6,FALSE) &gt;= ('20Trips'!$B$25+VLOOKUP(VLOOKUP($B76,'20Trips'!$A$2:$I$22,4,FALSE),'20Trips'!$AB$46:$AH$50,5,FALSE))/1440),1,0)</f>
        <v>0</v>
      </c>
      <c r="V76" s="2">
        <f>IF(AND(VLOOKUP(V$1,'20Trips'!$A$3:$F$22,5,FALSE) - VLOOKUP($B76,'20Trips'!$A$3:$G$22,6,FALSE) &gt;= ('20Trips'!$B$25+VLOOKUP(VLOOKUP($B76,'20Trips'!$A$2:$I$22,4,FALSE),'20Trips'!$AB$46:$AH$50,5,FALSE))/1440),1,0)</f>
        <v>0</v>
      </c>
      <c r="W76" s="2" t="e">
        <f>IF(AND(VLOOKUP(W$1,'20Trips'!$A$3:$F$22,5,FALSE) - VLOOKUP($B76,'20Trips'!$A$3:$G$22,6,FALSE) &gt;= ('20Trips'!$B$25+VLOOKUP(VLOOKUP($B76,'20Trips'!$A$2:$I$22,4,FALSE),'20Trips'!$AB$46:$AH$50,5,FALSE))/1440),1,0)</f>
        <v>#N/A</v>
      </c>
      <c r="X76" s="2" t="e">
        <f>IF(AND(VLOOKUP(X$1,'20Trips'!$A$3:$F$22,5,FALSE) - VLOOKUP($B76,'20Trips'!$A$3:$G$22,6,FALSE) &gt;= ('20Trips'!$B$25+VLOOKUP(VLOOKUP($B76,'20Trips'!$A$2:$I$22,4,FALSE),'20Trips'!$AB$46:$AH$50,5,FALSE))/1440),1,0)</f>
        <v>#N/A</v>
      </c>
      <c r="Y76" s="2" t="e">
        <f>IF(AND(VLOOKUP(Y$1,'20Trips'!$A$3:$F$22,5,FALSE) - VLOOKUP($B76,'20Trips'!$A$3:$G$22,6,FALSE) &gt;= ('20Trips'!$B$25+VLOOKUP(VLOOKUP($B76,'20Trips'!$A$2:$I$22,4,FALSE),'20Trips'!$AB$46:$AH$50,5,FALSE))/1440),1,0)</f>
        <v>#N/A</v>
      </c>
      <c r="Z76" s="2">
        <f>IF(AND(VLOOKUP(Z$1,'20Trips'!$A$3:$F$22,5,FALSE) - VLOOKUP($B76,'20Trips'!$A$3:$G$22,6,FALSE) &gt;= ('20Trips'!$B$25+VLOOKUP(VLOOKUP($B76,'20Trips'!$A$2:$I$22,4,FALSE),'20Trips'!$AB$46:$AH$50,5,FALSE))/1440),1,0)</f>
        <v>0</v>
      </c>
      <c r="AA76" s="2">
        <f>IF(AND(VLOOKUP(AA$1,'20Trips'!$A$3:$F$22,5,FALSE) - VLOOKUP($B76,'20Trips'!$A$3:$G$22,6,FALSE) &gt;= ('20Trips'!$B$25+VLOOKUP(VLOOKUP($B76,'20Trips'!$A$2:$I$22,4,FALSE),'20Trips'!$AB$46:$AH$50,5,FALSE))/1440),1,0)</f>
        <v>0</v>
      </c>
      <c r="AB76" s="2">
        <f>IF(AND(VLOOKUP(AB$1,'20Trips'!$A$3:$F$22,5,FALSE) - VLOOKUP($B76,'20Trips'!$A$3:$G$22,6,FALSE) &gt;= ('20Trips'!$B$25+VLOOKUP(VLOOKUP($B76,'20Trips'!$A$2:$I$22,4,FALSE),'20Trips'!$AB$46:$AH$50,5,FALSE))/1440),1,0)</f>
        <v>0</v>
      </c>
      <c r="AC76" s="2">
        <f>IF(AND(VLOOKUP(AC$1,'20Trips'!$A$3:$F$22,5,FALSE) - VLOOKUP($B76,'20Trips'!$A$3:$G$22,6,FALSE) &gt;= ('20Trips'!$B$25+VLOOKUP(VLOOKUP($B76,'20Trips'!$A$2:$I$22,4,FALSE),'20Trips'!$AB$46:$AH$50,5,FALSE))/1440),1,0)</f>
        <v>0</v>
      </c>
      <c r="AD76" s="2">
        <f>IF(AND(VLOOKUP(AD$1,'20Trips'!$A$3:$F$22,5,FALSE) - VLOOKUP($B76,'20Trips'!$A$3:$G$22,6,FALSE) &gt;= ('20Trips'!$B$25+VLOOKUP(VLOOKUP($B76,'20Trips'!$A$2:$I$22,4,FALSE),'20Trips'!$AB$46:$AH$50,5,FALSE))/1440),1,0)</f>
        <v>0</v>
      </c>
      <c r="AE76" s="2" t="e">
        <f>IF(AND(VLOOKUP(AE$1,'20Trips'!$A$3:$F$22,5,FALSE) - VLOOKUP($B76,'20Trips'!$A$3:$G$22,6,FALSE) &gt;= ('20Trips'!$B$25+VLOOKUP(VLOOKUP($B76,'20Trips'!$A$2:$I$22,4,FALSE),'20Trips'!$AB$46:$AH$50,5,FALSE))/1440),1,0)</f>
        <v>#N/A</v>
      </c>
      <c r="AF76" s="2" t="e">
        <f>IF(AND(VLOOKUP(AF$1,'20Trips'!$A$3:$F$22,5,FALSE) - VLOOKUP($B76,'20Trips'!$A$3:$G$22,6,FALSE) &gt;= ('20Trips'!$B$25+VLOOKUP(VLOOKUP($B76,'20Trips'!$A$2:$I$22,4,FALSE),'20Trips'!$AB$46:$AH$50,5,FALSE))/1440),1,0)</f>
        <v>#N/A</v>
      </c>
      <c r="AG76" s="2" t="e">
        <f>IF(AND(VLOOKUP(AG$1,'20Trips'!$A$3:$F$22,5,FALSE) - VLOOKUP($B76,'20Trips'!$A$3:$G$22,6,FALSE) &gt;= ('20Trips'!$B$25+VLOOKUP(VLOOKUP($B76,'20Trips'!$A$2:$I$22,4,FALSE),'20Trips'!$AB$46:$AH$50,5,FALSE))/1440),1,0)</f>
        <v>#N/A</v>
      </c>
    </row>
    <row r="77" spans="1:33" x14ac:dyDescent="0.25">
      <c r="A77" t="s">
        <v>67</v>
      </c>
      <c r="B77" t="s">
        <v>23</v>
      </c>
      <c r="C77">
        <v>0</v>
      </c>
      <c r="D77" s="2">
        <f>IF(AND(VLOOKUP(D$1,'20Trips'!$A$3:$F$22,5,FALSE) - VLOOKUP($B77,'20Trips'!$A$3:$G$22,6,FALSE) &gt;= ('20Trips'!$B$25+VLOOKUP(VLOOKUP($B77,'20Trips'!$A$2:$I$22,4,FALSE),'20Trips'!$AB$46:$AH$50,5,FALSE))/1440),1,0)</f>
        <v>0</v>
      </c>
      <c r="E77" s="2">
        <f>IF(AND(VLOOKUP(E$1,'20Trips'!$A$3:$F$22,5,FALSE) - VLOOKUP($B77,'20Trips'!$A$3:$G$22,6,FALSE) &gt;= ('20Trips'!$B$25+VLOOKUP(VLOOKUP($B77,'20Trips'!$A$2:$I$22,4,FALSE),'20Trips'!$AB$46:$AH$50,5,FALSE))/1440),1,0)</f>
        <v>0</v>
      </c>
      <c r="F77" s="2">
        <f>IF(AND(VLOOKUP(F$1,'20Trips'!$A$3:$F$22,5,FALSE) - VLOOKUP($B77,'20Trips'!$A$3:$G$22,6,FALSE) &gt;= ('20Trips'!$B$25+VLOOKUP(VLOOKUP($B77,'20Trips'!$A$2:$I$22,4,FALSE),'20Trips'!$AB$46:$AH$50,5,FALSE))/1440),1,0)</f>
        <v>0</v>
      </c>
      <c r="G77" s="2">
        <f>IF(AND(VLOOKUP(G$1,'20Trips'!$A$3:$F$22,5,FALSE) - VLOOKUP($B77,'20Trips'!$A$3:$G$22,6,FALSE) &gt;= ('20Trips'!$B$25+VLOOKUP(VLOOKUP($B77,'20Trips'!$A$2:$I$22,4,FALSE),'20Trips'!$AB$46:$AH$50,5,FALSE))/1440),1,0)</f>
        <v>0</v>
      </c>
      <c r="H77" s="2">
        <f>IF(AND(VLOOKUP(H$1,'20Trips'!$A$3:$F$22,5,FALSE) - VLOOKUP($B77,'20Trips'!$A$3:$G$22,6,FALSE) &gt;= ('20Trips'!$B$25+VLOOKUP(VLOOKUP($B77,'20Trips'!$A$2:$I$22,4,FALSE),'20Trips'!$AB$46:$AH$50,5,FALSE))/1440),1,0)</f>
        <v>0</v>
      </c>
      <c r="I77" s="2" t="e">
        <f>IF(AND(VLOOKUP(I$1,'20Trips'!$A$3:$F$22,5,FALSE) - VLOOKUP($B77,'20Trips'!$A$3:$G$22,6,FALSE) &gt;= ('20Trips'!$B$25+VLOOKUP(VLOOKUP($B77,'20Trips'!$A$2:$I$22,4,FALSE),'20Trips'!$AB$46:$AH$50,5,FALSE))/1440),1,0)</f>
        <v>#N/A</v>
      </c>
      <c r="J77" s="2" t="e">
        <f>IF(AND(VLOOKUP(J$1,'20Trips'!$A$3:$F$22,5,FALSE) - VLOOKUP($B77,'20Trips'!$A$3:$G$22,6,FALSE) &gt;= ('20Trips'!$B$25+VLOOKUP(VLOOKUP($B77,'20Trips'!$A$2:$I$22,4,FALSE),'20Trips'!$AB$46:$AH$50,5,FALSE))/1440),1,0)</f>
        <v>#N/A</v>
      </c>
      <c r="K77" s="2" t="e">
        <f>IF(AND(VLOOKUP(K$1,'20Trips'!$A$3:$F$22,5,FALSE) - VLOOKUP($B77,'20Trips'!$A$3:$G$22,6,FALSE) &gt;= ('20Trips'!$B$25+VLOOKUP(VLOOKUP($B77,'20Trips'!$A$2:$I$22,4,FALSE),'20Trips'!$AB$46:$AH$50,5,FALSE))/1440),1,0)</f>
        <v>#N/A</v>
      </c>
      <c r="L77" s="2">
        <f>IF(AND(VLOOKUP(L$1,'20Trips'!$A$3:$F$22,5,FALSE) - VLOOKUP($B77,'20Trips'!$A$3:$G$22,6,FALSE) &gt;= ('20Trips'!$B$25+VLOOKUP(VLOOKUP($B77,'20Trips'!$A$2:$I$22,4,FALSE),'20Trips'!$AB$46:$AH$50,5,FALSE))/1440),1,0)</f>
        <v>0</v>
      </c>
      <c r="M77" s="2">
        <f>IF(AND(VLOOKUP(M$1,'20Trips'!$A$3:$F$22,5,FALSE) - VLOOKUP($B77,'20Trips'!$A$3:$G$22,6,FALSE) &gt;= ('20Trips'!$B$25+VLOOKUP(VLOOKUP($B77,'20Trips'!$A$2:$I$22,4,FALSE),'20Trips'!$AB$46:$AH$50,5,FALSE))/1440),1,0)</f>
        <v>0</v>
      </c>
      <c r="N77" s="2">
        <f>IF(AND(VLOOKUP(N$1,'20Trips'!$A$3:$F$22,5,FALSE) - VLOOKUP($B77,'20Trips'!$A$3:$G$22,6,FALSE) &gt;= ('20Trips'!$B$25+VLOOKUP(VLOOKUP($B77,'20Trips'!$A$2:$I$22,4,FALSE),'20Trips'!$AB$46:$AH$50,5,FALSE))/1440),1,0)</f>
        <v>0</v>
      </c>
      <c r="O77" s="2">
        <f>IF(AND(VLOOKUP(O$1,'20Trips'!$A$3:$F$22,5,FALSE) - VLOOKUP($B77,'20Trips'!$A$3:$G$22,6,FALSE) &gt;= ('20Trips'!$B$25+VLOOKUP(VLOOKUP($B77,'20Trips'!$A$2:$I$22,4,FALSE),'20Trips'!$AB$46:$AH$50,5,FALSE))/1440),1,0)</f>
        <v>0</v>
      </c>
      <c r="P77" s="2">
        <f>IF(AND(VLOOKUP(P$1,'20Trips'!$A$3:$F$22,5,FALSE) - VLOOKUP($B77,'20Trips'!$A$3:$G$22,6,FALSE) &gt;= ('20Trips'!$B$25+VLOOKUP(VLOOKUP($B77,'20Trips'!$A$2:$I$22,4,FALSE),'20Trips'!$AB$46:$AH$50,5,FALSE))/1440),1,0)</f>
        <v>0</v>
      </c>
      <c r="Q77" s="2" t="e">
        <f>IF(AND(VLOOKUP(Q$1,'20Trips'!$A$3:$F$22,5,FALSE) - VLOOKUP($B77,'20Trips'!$A$3:$G$22,6,FALSE) &gt;= ('20Trips'!$B$25+VLOOKUP(VLOOKUP($B77,'20Trips'!$A$2:$I$22,4,FALSE),'20Trips'!$AB$46:$AH$50,5,FALSE))/1440),1,0)</f>
        <v>#N/A</v>
      </c>
      <c r="R77" s="2">
        <f>IF(AND(VLOOKUP(R$1,'20Trips'!$A$3:$F$22,5,FALSE) - VLOOKUP($B77,'20Trips'!$A$3:$G$22,6,FALSE) &gt;= ('20Trips'!$B$25+VLOOKUP(VLOOKUP($B77,'20Trips'!$A$2:$I$22,4,FALSE),'20Trips'!$AB$46:$AH$50,5,FALSE))/1440),1,0)</f>
        <v>0</v>
      </c>
      <c r="S77" s="2">
        <f>IF(AND(VLOOKUP(S$1,'20Trips'!$A$3:$F$22,5,FALSE) - VLOOKUP($B77,'20Trips'!$A$3:$G$22,6,FALSE) &gt;= ('20Trips'!$B$25+VLOOKUP(VLOOKUP($B77,'20Trips'!$A$2:$I$22,4,FALSE),'20Trips'!$AB$46:$AH$50,5,FALSE))/1440),1,0)</f>
        <v>0</v>
      </c>
      <c r="T77" s="2">
        <f>IF(AND(VLOOKUP(T$1,'20Trips'!$A$3:$F$22,5,FALSE) - VLOOKUP($B77,'20Trips'!$A$3:$G$22,6,FALSE) &gt;= ('20Trips'!$B$25+VLOOKUP(VLOOKUP($B77,'20Trips'!$A$2:$I$22,4,FALSE),'20Trips'!$AB$46:$AH$50,5,FALSE))/1440),1,0)</f>
        <v>0</v>
      </c>
      <c r="U77" s="2">
        <f>IF(AND(VLOOKUP(U$1,'20Trips'!$A$3:$F$22,5,FALSE) - VLOOKUP($B77,'20Trips'!$A$3:$G$22,6,FALSE) &gt;= ('20Trips'!$B$25+VLOOKUP(VLOOKUP($B77,'20Trips'!$A$2:$I$22,4,FALSE),'20Trips'!$AB$46:$AH$50,5,FALSE))/1440),1,0)</f>
        <v>0</v>
      </c>
      <c r="V77" s="2">
        <f>IF(AND(VLOOKUP(V$1,'20Trips'!$A$3:$F$22,5,FALSE) - VLOOKUP($B77,'20Trips'!$A$3:$G$22,6,FALSE) &gt;= ('20Trips'!$B$25+VLOOKUP(VLOOKUP($B77,'20Trips'!$A$2:$I$22,4,FALSE),'20Trips'!$AB$46:$AH$50,5,FALSE))/1440),1,0)</f>
        <v>0</v>
      </c>
      <c r="W77" s="2" t="e">
        <f>IF(AND(VLOOKUP(W$1,'20Trips'!$A$3:$F$22,5,FALSE) - VLOOKUP($B77,'20Trips'!$A$3:$G$22,6,FALSE) &gt;= ('20Trips'!$B$25+VLOOKUP(VLOOKUP($B77,'20Trips'!$A$2:$I$22,4,FALSE),'20Trips'!$AB$46:$AH$50,5,FALSE))/1440),1,0)</f>
        <v>#N/A</v>
      </c>
      <c r="X77" s="2" t="e">
        <f>IF(AND(VLOOKUP(X$1,'20Trips'!$A$3:$F$22,5,FALSE) - VLOOKUP($B77,'20Trips'!$A$3:$G$22,6,FALSE) &gt;= ('20Trips'!$B$25+VLOOKUP(VLOOKUP($B77,'20Trips'!$A$2:$I$22,4,FALSE),'20Trips'!$AB$46:$AH$50,5,FALSE))/1440),1,0)</f>
        <v>#N/A</v>
      </c>
      <c r="Y77" s="2" t="e">
        <f>IF(AND(VLOOKUP(Y$1,'20Trips'!$A$3:$F$22,5,FALSE) - VLOOKUP($B77,'20Trips'!$A$3:$G$22,6,FALSE) &gt;= ('20Trips'!$B$25+VLOOKUP(VLOOKUP($B77,'20Trips'!$A$2:$I$22,4,FALSE),'20Trips'!$AB$46:$AH$50,5,FALSE))/1440),1,0)</f>
        <v>#N/A</v>
      </c>
      <c r="Z77" s="2">
        <f>IF(AND(VLOOKUP(Z$1,'20Trips'!$A$3:$F$22,5,FALSE) - VLOOKUP($B77,'20Trips'!$A$3:$G$22,6,FALSE) &gt;= ('20Trips'!$B$25+VLOOKUP(VLOOKUP($B77,'20Trips'!$A$2:$I$22,4,FALSE),'20Trips'!$AB$46:$AH$50,5,FALSE))/1440),1,0)</f>
        <v>0</v>
      </c>
      <c r="AA77" s="2">
        <f>IF(AND(VLOOKUP(AA$1,'20Trips'!$A$3:$F$22,5,FALSE) - VLOOKUP($B77,'20Trips'!$A$3:$G$22,6,FALSE) &gt;= ('20Trips'!$B$25+VLOOKUP(VLOOKUP($B77,'20Trips'!$A$2:$I$22,4,FALSE),'20Trips'!$AB$46:$AH$50,5,FALSE))/1440),1,0)</f>
        <v>0</v>
      </c>
      <c r="AB77" s="2">
        <f>IF(AND(VLOOKUP(AB$1,'20Trips'!$A$3:$F$22,5,FALSE) - VLOOKUP($B77,'20Trips'!$A$3:$G$22,6,FALSE) &gt;= ('20Trips'!$B$25+VLOOKUP(VLOOKUP($B77,'20Trips'!$A$2:$I$22,4,FALSE),'20Trips'!$AB$46:$AH$50,5,FALSE))/1440),1,0)</f>
        <v>0</v>
      </c>
      <c r="AC77" s="2">
        <f>IF(AND(VLOOKUP(AC$1,'20Trips'!$A$3:$F$22,5,FALSE) - VLOOKUP($B77,'20Trips'!$A$3:$G$22,6,FALSE) &gt;= ('20Trips'!$B$25+VLOOKUP(VLOOKUP($B77,'20Trips'!$A$2:$I$22,4,FALSE),'20Trips'!$AB$46:$AH$50,5,FALSE))/1440),1,0)</f>
        <v>0</v>
      </c>
      <c r="AD77" s="2">
        <f>IF(AND(VLOOKUP(AD$1,'20Trips'!$A$3:$F$22,5,FALSE) - VLOOKUP($B77,'20Trips'!$A$3:$G$22,6,FALSE) &gt;= ('20Trips'!$B$25+VLOOKUP(VLOOKUP($B77,'20Trips'!$A$2:$I$22,4,FALSE),'20Trips'!$AB$46:$AH$50,5,FALSE))/1440),1,0)</f>
        <v>0</v>
      </c>
      <c r="AE77" s="2" t="e">
        <f>IF(AND(VLOOKUP(AE$1,'20Trips'!$A$3:$F$22,5,FALSE) - VLOOKUP($B77,'20Trips'!$A$3:$G$22,6,FALSE) &gt;= ('20Trips'!$B$25+VLOOKUP(VLOOKUP($B77,'20Trips'!$A$2:$I$22,4,FALSE),'20Trips'!$AB$46:$AH$50,5,FALSE))/1440),1,0)</f>
        <v>#N/A</v>
      </c>
      <c r="AF77" s="2" t="e">
        <f>IF(AND(VLOOKUP(AF$1,'20Trips'!$A$3:$F$22,5,FALSE) - VLOOKUP($B77,'20Trips'!$A$3:$G$22,6,FALSE) &gt;= ('20Trips'!$B$25+VLOOKUP(VLOOKUP($B77,'20Trips'!$A$2:$I$22,4,FALSE),'20Trips'!$AB$46:$AH$50,5,FALSE))/1440),1,0)</f>
        <v>#N/A</v>
      </c>
      <c r="AG77" s="2" t="e">
        <f>IF(AND(VLOOKUP(AG$1,'20Trips'!$A$3:$F$22,5,FALSE) - VLOOKUP($B77,'20Trips'!$A$3:$G$22,6,FALSE) &gt;= ('20Trips'!$B$25+VLOOKUP(VLOOKUP($B77,'20Trips'!$A$2:$I$22,4,FALSE),'20Trips'!$AB$46:$AH$50,5,FALSE))/1440),1,0)</f>
        <v>#N/A</v>
      </c>
    </row>
    <row r="78" spans="1:33" x14ac:dyDescent="0.25">
      <c r="A78" t="s">
        <v>67</v>
      </c>
      <c r="B78" t="s">
        <v>24</v>
      </c>
      <c r="C78">
        <v>0</v>
      </c>
      <c r="D78" s="2" t="e">
        <f>IF(AND(VLOOKUP(D$1,'20Trips'!$A$3:$F$22,5,FALSE) - VLOOKUP($B78,'20Trips'!$A$3:$G$22,6,FALSE) &gt;= ('20Trips'!$B$25+VLOOKUP(VLOOKUP($B78,'20Trips'!$A$2:$I$22,4,FALSE),'20Trips'!$AB$46:$AH$50,5,FALSE))/1440),1,0)</f>
        <v>#N/A</v>
      </c>
      <c r="E78" s="2" t="e">
        <f>IF(AND(VLOOKUP(E$1,'20Trips'!$A$3:$F$22,5,FALSE) - VLOOKUP($B78,'20Trips'!$A$3:$G$22,6,FALSE) &gt;= ('20Trips'!$B$25+VLOOKUP(VLOOKUP($B78,'20Trips'!$A$2:$I$22,4,FALSE),'20Trips'!$AB$46:$AH$50,5,FALSE))/1440),1,0)</f>
        <v>#N/A</v>
      </c>
      <c r="F78" s="2" t="e">
        <f>IF(AND(VLOOKUP(F$1,'20Trips'!$A$3:$F$22,5,FALSE) - VLOOKUP($B78,'20Trips'!$A$3:$G$22,6,FALSE) &gt;= ('20Trips'!$B$25+VLOOKUP(VLOOKUP($B78,'20Trips'!$A$2:$I$22,4,FALSE),'20Trips'!$AB$46:$AH$50,5,FALSE))/1440),1,0)</f>
        <v>#N/A</v>
      </c>
      <c r="G78" s="2" t="e">
        <f>IF(AND(VLOOKUP(G$1,'20Trips'!$A$3:$F$22,5,FALSE) - VLOOKUP($B78,'20Trips'!$A$3:$G$22,6,FALSE) &gt;= ('20Trips'!$B$25+VLOOKUP(VLOOKUP($B78,'20Trips'!$A$2:$I$22,4,FALSE),'20Trips'!$AB$46:$AH$50,5,FALSE))/1440),1,0)</f>
        <v>#N/A</v>
      </c>
      <c r="H78" s="2" t="e">
        <f>IF(AND(VLOOKUP(H$1,'20Trips'!$A$3:$F$22,5,FALSE) - VLOOKUP($B78,'20Trips'!$A$3:$G$22,6,FALSE) &gt;= ('20Trips'!$B$25+VLOOKUP(VLOOKUP($B78,'20Trips'!$A$2:$I$22,4,FALSE),'20Trips'!$AB$46:$AH$50,5,FALSE))/1440),1,0)</f>
        <v>#N/A</v>
      </c>
      <c r="I78" s="2" t="e">
        <f>IF(AND(VLOOKUP(I$1,'20Trips'!$A$3:$F$22,5,FALSE) - VLOOKUP($B78,'20Trips'!$A$3:$G$22,6,FALSE) &gt;= ('20Trips'!$B$25+VLOOKUP(VLOOKUP($B78,'20Trips'!$A$2:$I$22,4,FALSE),'20Trips'!$AB$46:$AH$50,5,FALSE))/1440),1,0)</f>
        <v>#N/A</v>
      </c>
      <c r="J78" s="2" t="e">
        <f>IF(AND(VLOOKUP(J$1,'20Trips'!$A$3:$F$22,5,FALSE) - VLOOKUP($B78,'20Trips'!$A$3:$G$22,6,FALSE) &gt;= ('20Trips'!$B$25+VLOOKUP(VLOOKUP($B78,'20Trips'!$A$2:$I$22,4,FALSE),'20Trips'!$AB$46:$AH$50,5,FALSE))/1440),1,0)</f>
        <v>#N/A</v>
      </c>
      <c r="K78" s="2" t="e">
        <f>IF(AND(VLOOKUP(K$1,'20Trips'!$A$3:$F$22,5,FALSE) - VLOOKUP($B78,'20Trips'!$A$3:$G$22,6,FALSE) &gt;= ('20Trips'!$B$25+VLOOKUP(VLOOKUP($B78,'20Trips'!$A$2:$I$22,4,FALSE),'20Trips'!$AB$46:$AH$50,5,FALSE))/1440),1,0)</f>
        <v>#N/A</v>
      </c>
      <c r="L78" s="2" t="e">
        <f>IF(AND(VLOOKUP(L$1,'20Trips'!$A$3:$F$22,5,FALSE) - VLOOKUP($B78,'20Trips'!$A$3:$G$22,6,FALSE) &gt;= ('20Trips'!$B$25+VLOOKUP(VLOOKUP($B78,'20Trips'!$A$2:$I$22,4,FALSE),'20Trips'!$AB$46:$AH$50,5,FALSE))/1440),1,0)</f>
        <v>#N/A</v>
      </c>
      <c r="M78" s="2" t="e">
        <f>IF(AND(VLOOKUP(M$1,'20Trips'!$A$3:$F$22,5,FALSE) - VLOOKUP($B78,'20Trips'!$A$3:$G$22,6,FALSE) &gt;= ('20Trips'!$B$25+VLOOKUP(VLOOKUP($B78,'20Trips'!$A$2:$I$22,4,FALSE),'20Trips'!$AB$46:$AH$50,5,FALSE))/1440),1,0)</f>
        <v>#N/A</v>
      </c>
      <c r="N78" s="2" t="e">
        <f>IF(AND(VLOOKUP(N$1,'20Trips'!$A$3:$F$22,5,FALSE) - VLOOKUP($B78,'20Trips'!$A$3:$G$22,6,FALSE) &gt;= ('20Trips'!$B$25+VLOOKUP(VLOOKUP($B78,'20Trips'!$A$2:$I$22,4,FALSE),'20Trips'!$AB$46:$AH$50,5,FALSE))/1440),1,0)</f>
        <v>#N/A</v>
      </c>
      <c r="O78" s="2" t="e">
        <f>IF(AND(VLOOKUP(O$1,'20Trips'!$A$3:$F$22,5,FALSE) - VLOOKUP($B78,'20Trips'!$A$3:$G$22,6,FALSE) &gt;= ('20Trips'!$B$25+VLOOKUP(VLOOKUP($B78,'20Trips'!$A$2:$I$22,4,FALSE),'20Trips'!$AB$46:$AH$50,5,FALSE))/1440),1,0)</f>
        <v>#N/A</v>
      </c>
      <c r="P78" s="2" t="e">
        <f>IF(AND(VLOOKUP(P$1,'20Trips'!$A$3:$F$22,5,FALSE) - VLOOKUP($B78,'20Trips'!$A$3:$G$22,6,FALSE) &gt;= ('20Trips'!$B$25+VLOOKUP(VLOOKUP($B78,'20Trips'!$A$2:$I$22,4,FALSE),'20Trips'!$AB$46:$AH$50,5,FALSE))/1440),1,0)</f>
        <v>#N/A</v>
      </c>
      <c r="Q78" s="2" t="e">
        <f>IF(AND(VLOOKUP(Q$1,'20Trips'!$A$3:$F$22,5,FALSE) - VLOOKUP($B78,'20Trips'!$A$3:$G$22,6,FALSE) &gt;= ('20Trips'!$B$25+VLOOKUP(VLOOKUP($B78,'20Trips'!$A$2:$I$22,4,FALSE),'20Trips'!$AB$46:$AH$50,5,FALSE))/1440),1,0)</f>
        <v>#N/A</v>
      </c>
      <c r="R78" s="2" t="e">
        <f>IF(AND(VLOOKUP(R$1,'20Trips'!$A$3:$F$22,5,FALSE) - VLOOKUP($B78,'20Trips'!$A$3:$G$22,6,FALSE) &gt;= ('20Trips'!$B$25+VLOOKUP(VLOOKUP($B78,'20Trips'!$A$2:$I$22,4,FALSE),'20Trips'!$AB$46:$AH$50,5,FALSE))/1440),1,0)</f>
        <v>#N/A</v>
      </c>
      <c r="S78" s="2" t="e">
        <f>IF(AND(VLOOKUP(S$1,'20Trips'!$A$3:$F$22,5,FALSE) - VLOOKUP($B78,'20Trips'!$A$3:$G$22,6,FALSE) &gt;= ('20Trips'!$B$25+VLOOKUP(VLOOKUP($B78,'20Trips'!$A$2:$I$22,4,FALSE),'20Trips'!$AB$46:$AH$50,5,FALSE))/1440),1,0)</f>
        <v>#N/A</v>
      </c>
      <c r="T78" s="2" t="e">
        <f>IF(AND(VLOOKUP(T$1,'20Trips'!$A$3:$F$22,5,FALSE) - VLOOKUP($B78,'20Trips'!$A$3:$G$22,6,FALSE) &gt;= ('20Trips'!$B$25+VLOOKUP(VLOOKUP($B78,'20Trips'!$A$2:$I$22,4,FALSE),'20Trips'!$AB$46:$AH$50,5,FALSE))/1440),1,0)</f>
        <v>#N/A</v>
      </c>
      <c r="U78" s="2" t="e">
        <f>IF(AND(VLOOKUP(U$1,'20Trips'!$A$3:$F$22,5,FALSE) - VLOOKUP($B78,'20Trips'!$A$3:$G$22,6,FALSE) &gt;= ('20Trips'!$B$25+VLOOKUP(VLOOKUP($B78,'20Trips'!$A$2:$I$22,4,FALSE),'20Trips'!$AB$46:$AH$50,5,FALSE))/1440),1,0)</f>
        <v>#N/A</v>
      </c>
      <c r="V78" s="2" t="e">
        <f>IF(AND(VLOOKUP(V$1,'20Trips'!$A$3:$F$22,5,FALSE) - VLOOKUP($B78,'20Trips'!$A$3:$G$22,6,FALSE) &gt;= ('20Trips'!$B$25+VLOOKUP(VLOOKUP($B78,'20Trips'!$A$2:$I$22,4,FALSE),'20Trips'!$AB$46:$AH$50,5,FALSE))/1440),1,0)</f>
        <v>#N/A</v>
      </c>
      <c r="W78" s="2" t="e">
        <f>IF(AND(VLOOKUP(W$1,'20Trips'!$A$3:$F$22,5,FALSE) - VLOOKUP($B78,'20Trips'!$A$3:$G$22,6,FALSE) &gt;= ('20Trips'!$B$25+VLOOKUP(VLOOKUP($B78,'20Trips'!$A$2:$I$22,4,FALSE),'20Trips'!$AB$46:$AH$50,5,FALSE))/1440),1,0)</f>
        <v>#N/A</v>
      </c>
      <c r="X78" s="2" t="e">
        <f>IF(AND(VLOOKUP(X$1,'20Trips'!$A$3:$F$22,5,FALSE) - VLOOKUP($B78,'20Trips'!$A$3:$G$22,6,FALSE) &gt;= ('20Trips'!$B$25+VLOOKUP(VLOOKUP($B78,'20Trips'!$A$2:$I$22,4,FALSE),'20Trips'!$AB$46:$AH$50,5,FALSE))/1440),1,0)</f>
        <v>#N/A</v>
      </c>
      <c r="Y78" s="2" t="e">
        <f>IF(AND(VLOOKUP(Y$1,'20Trips'!$A$3:$F$22,5,FALSE) - VLOOKUP($B78,'20Trips'!$A$3:$G$22,6,FALSE) &gt;= ('20Trips'!$B$25+VLOOKUP(VLOOKUP($B78,'20Trips'!$A$2:$I$22,4,FALSE),'20Trips'!$AB$46:$AH$50,5,FALSE))/1440),1,0)</f>
        <v>#N/A</v>
      </c>
      <c r="Z78" s="2" t="e">
        <f>IF(AND(VLOOKUP(Z$1,'20Trips'!$A$3:$F$22,5,FALSE) - VLOOKUP($B78,'20Trips'!$A$3:$G$22,6,FALSE) &gt;= ('20Trips'!$B$25+VLOOKUP(VLOOKUP($B78,'20Trips'!$A$2:$I$22,4,FALSE),'20Trips'!$AB$46:$AH$50,5,FALSE))/1440),1,0)</f>
        <v>#N/A</v>
      </c>
      <c r="AA78" s="2" t="e">
        <f>IF(AND(VLOOKUP(AA$1,'20Trips'!$A$3:$F$22,5,FALSE) - VLOOKUP($B78,'20Trips'!$A$3:$G$22,6,FALSE) &gt;= ('20Trips'!$B$25+VLOOKUP(VLOOKUP($B78,'20Trips'!$A$2:$I$22,4,FALSE),'20Trips'!$AB$46:$AH$50,5,FALSE))/1440),1,0)</f>
        <v>#N/A</v>
      </c>
      <c r="AB78" s="2" t="e">
        <f>IF(AND(VLOOKUP(AB$1,'20Trips'!$A$3:$F$22,5,FALSE) - VLOOKUP($B78,'20Trips'!$A$3:$G$22,6,FALSE) &gt;= ('20Trips'!$B$25+VLOOKUP(VLOOKUP($B78,'20Trips'!$A$2:$I$22,4,FALSE),'20Trips'!$AB$46:$AH$50,5,FALSE))/1440),1,0)</f>
        <v>#N/A</v>
      </c>
      <c r="AC78" s="2" t="e">
        <f>IF(AND(VLOOKUP(AC$1,'20Trips'!$A$3:$F$22,5,FALSE) - VLOOKUP($B78,'20Trips'!$A$3:$G$22,6,FALSE) &gt;= ('20Trips'!$B$25+VLOOKUP(VLOOKUP($B78,'20Trips'!$A$2:$I$22,4,FALSE),'20Trips'!$AB$46:$AH$50,5,FALSE))/1440),1,0)</f>
        <v>#N/A</v>
      </c>
      <c r="AD78" s="2" t="e">
        <f>IF(AND(VLOOKUP(AD$1,'20Trips'!$A$3:$F$22,5,FALSE) - VLOOKUP($B78,'20Trips'!$A$3:$G$22,6,FALSE) &gt;= ('20Trips'!$B$25+VLOOKUP(VLOOKUP($B78,'20Trips'!$A$2:$I$22,4,FALSE),'20Trips'!$AB$46:$AH$50,5,FALSE))/1440),1,0)</f>
        <v>#N/A</v>
      </c>
      <c r="AE78" s="2" t="e">
        <f>IF(AND(VLOOKUP(AE$1,'20Trips'!$A$3:$F$22,5,FALSE) - VLOOKUP($B78,'20Trips'!$A$3:$G$22,6,FALSE) &gt;= ('20Trips'!$B$25+VLOOKUP(VLOOKUP($B78,'20Trips'!$A$2:$I$22,4,FALSE),'20Trips'!$AB$46:$AH$50,5,FALSE))/1440),1,0)</f>
        <v>#N/A</v>
      </c>
      <c r="AF78" s="2" t="e">
        <f>IF(AND(VLOOKUP(AF$1,'20Trips'!$A$3:$F$22,5,FALSE) - VLOOKUP($B78,'20Trips'!$A$3:$G$22,6,FALSE) &gt;= ('20Trips'!$B$25+VLOOKUP(VLOOKUP($B78,'20Trips'!$A$2:$I$22,4,FALSE),'20Trips'!$AB$46:$AH$50,5,FALSE))/1440),1,0)</f>
        <v>#N/A</v>
      </c>
      <c r="AG78" s="2" t="e">
        <f>IF(AND(VLOOKUP(AG$1,'20Trips'!$A$3:$F$22,5,FALSE) - VLOOKUP($B78,'20Trips'!$A$3:$G$22,6,FALSE) &gt;= ('20Trips'!$B$25+VLOOKUP(VLOOKUP($B78,'20Trips'!$A$2:$I$22,4,FALSE),'20Trips'!$AB$46:$AH$50,5,FALSE))/1440),1,0)</f>
        <v>#N/A</v>
      </c>
    </row>
    <row r="79" spans="1:33" x14ac:dyDescent="0.25">
      <c r="A79" t="s">
        <v>67</v>
      </c>
      <c r="B79" t="s">
        <v>26</v>
      </c>
      <c r="C79">
        <v>0</v>
      </c>
      <c r="D79" s="2">
        <f>IF(AND(VLOOKUP(D$1,'20Trips'!$A$3:$F$22,5,FALSE) - VLOOKUP($B79,'20Trips'!$A$3:$G$22,6,FALSE) &gt;= ('20Trips'!$B$25+VLOOKUP(VLOOKUP($B79,'20Trips'!$A$2:$I$22,4,FALSE),'20Trips'!$AB$46:$AH$50,5,FALSE))/1440),1,0)</f>
        <v>0</v>
      </c>
      <c r="E79" s="2">
        <f>IF(AND(VLOOKUP(E$1,'20Trips'!$A$3:$F$22,5,FALSE) - VLOOKUP($B79,'20Trips'!$A$3:$G$22,6,FALSE) &gt;= ('20Trips'!$B$25+VLOOKUP(VLOOKUP($B79,'20Trips'!$A$2:$I$22,4,FALSE),'20Trips'!$AB$46:$AH$50,5,FALSE))/1440),1,0)</f>
        <v>0</v>
      </c>
      <c r="F79" s="2">
        <f>IF(AND(VLOOKUP(F$1,'20Trips'!$A$3:$F$22,5,FALSE) - VLOOKUP($B79,'20Trips'!$A$3:$G$22,6,FALSE) &gt;= ('20Trips'!$B$25+VLOOKUP(VLOOKUP($B79,'20Trips'!$A$2:$I$22,4,FALSE),'20Trips'!$AB$46:$AH$50,5,FALSE))/1440),1,0)</f>
        <v>1</v>
      </c>
      <c r="G79" s="2">
        <f>IF(AND(VLOOKUP(G$1,'20Trips'!$A$3:$F$22,5,FALSE) - VLOOKUP($B79,'20Trips'!$A$3:$G$22,6,FALSE) &gt;= ('20Trips'!$B$25+VLOOKUP(VLOOKUP($B79,'20Trips'!$A$2:$I$22,4,FALSE),'20Trips'!$AB$46:$AH$50,5,FALSE))/1440),1,0)</f>
        <v>1</v>
      </c>
      <c r="H79" s="2">
        <f>IF(AND(VLOOKUP(H$1,'20Trips'!$A$3:$F$22,5,FALSE) - VLOOKUP($B79,'20Trips'!$A$3:$G$22,6,FALSE) &gt;= ('20Trips'!$B$25+VLOOKUP(VLOOKUP($B79,'20Trips'!$A$2:$I$22,4,FALSE),'20Trips'!$AB$46:$AH$50,5,FALSE))/1440),1,0)</f>
        <v>1</v>
      </c>
      <c r="I79" s="2" t="e">
        <f>IF(AND(VLOOKUP(I$1,'20Trips'!$A$3:$F$22,5,FALSE) - VLOOKUP($B79,'20Trips'!$A$3:$G$22,6,FALSE) &gt;= ('20Trips'!$B$25+VLOOKUP(VLOOKUP($B79,'20Trips'!$A$2:$I$22,4,FALSE),'20Trips'!$AB$46:$AH$50,5,FALSE))/1440),1,0)</f>
        <v>#N/A</v>
      </c>
      <c r="J79" s="2" t="e">
        <f>IF(AND(VLOOKUP(J$1,'20Trips'!$A$3:$F$22,5,FALSE) - VLOOKUP($B79,'20Trips'!$A$3:$G$22,6,FALSE) &gt;= ('20Trips'!$B$25+VLOOKUP(VLOOKUP($B79,'20Trips'!$A$2:$I$22,4,FALSE),'20Trips'!$AB$46:$AH$50,5,FALSE))/1440),1,0)</f>
        <v>#N/A</v>
      </c>
      <c r="K79" s="2" t="e">
        <f>IF(AND(VLOOKUP(K$1,'20Trips'!$A$3:$F$22,5,FALSE) - VLOOKUP($B79,'20Trips'!$A$3:$G$22,6,FALSE) &gt;= ('20Trips'!$B$25+VLOOKUP(VLOOKUP($B79,'20Trips'!$A$2:$I$22,4,FALSE),'20Trips'!$AB$46:$AH$50,5,FALSE))/1440),1,0)</f>
        <v>#N/A</v>
      </c>
      <c r="L79" s="2">
        <f>IF(AND(VLOOKUP(L$1,'20Trips'!$A$3:$F$22,5,FALSE) - VLOOKUP($B79,'20Trips'!$A$3:$G$22,6,FALSE) &gt;= ('20Trips'!$B$25+VLOOKUP(VLOOKUP($B79,'20Trips'!$A$2:$I$22,4,FALSE),'20Trips'!$AB$46:$AH$50,5,FALSE))/1440),1,0)</f>
        <v>0</v>
      </c>
      <c r="M79" s="2">
        <f>IF(AND(VLOOKUP(M$1,'20Trips'!$A$3:$F$22,5,FALSE) - VLOOKUP($B79,'20Trips'!$A$3:$G$22,6,FALSE) &gt;= ('20Trips'!$B$25+VLOOKUP(VLOOKUP($B79,'20Trips'!$A$2:$I$22,4,FALSE),'20Trips'!$AB$46:$AH$50,5,FALSE))/1440),1,0)</f>
        <v>0</v>
      </c>
      <c r="N79" s="2">
        <f>IF(AND(VLOOKUP(N$1,'20Trips'!$A$3:$F$22,5,FALSE) - VLOOKUP($B79,'20Trips'!$A$3:$G$22,6,FALSE) &gt;= ('20Trips'!$B$25+VLOOKUP(VLOOKUP($B79,'20Trips'!$A$2:$I$22,4,FALSE),'20Trips'!$AB$46:$AH$50,5,FALSE))/1440),1,0)</f>
        <v>0</v>
      </c>
      <c r="O79" s="2">
        <f>IF(AND(VLOOKUP(O$1,'20Trips'!$A$3:$F$22,5,FALSE) - VLOOKUP($B79,'20Trips'!$A$3:$G$22,6,FALSE) &gt;= ('20Trips'!$B$25+VLOOKUP(VLOOKUP($B79,'20Trips'!$A$2:$I$22,4,FALSE),'20Trips'!$AB$46:$AH$50,5,FALSE))/1440),1,0)</f>
        <v>1</v>
      </c>
      <c r="P79" s="2">
        <f>IF(AND(VLOOKUP(P$1,'20Trips'!$A$3:$F$22,5,FALSE) - VLOOKUP($B79,'20Trips'!$A$3:$G$22,6,FALSE) &gt;= ('20Trips'!$B$25+VLOOKUP(VLOOKUP($B79,'20Trips'!$A$2:$I$22,4,FALSE),'20Trips'!$AB$46:$AH$50,5,FALSE))/1440),1,0)</f>
        <v>1</v>
      </c>
      <c r="Q79" s="2" t="e">
        <f>IF(AND(VLOOKUP(Q$1,'20Trips'!$A$3:$F$22,5,FALSE) - VLOOKUP($B79,'20Trips'!$A$3:$G$22,6,FALSE) &gt;= ('20Trips'!$B$25+VLOOKUP(VLOOKUP($B79,'20Trips'!$A$2:$I$22,4,FALSE),'20Trips'!$AB$46:$AH$50,5,FALSE))/1440),1,0)</f>
        <v>#N/A</v>
      </c>
      <c r="R79" s="2">
        <f>IF(AND(VLOOKUP(R$1,'20Trips'!$A$3:$F$22,5,FALSE) - VLOOKUP($B79,'20Trips'!$A$3:$G$22,6,FALSE) &gt;= ('20Trips'!$B$25+VLOOKUP(VLOOKUP($B79,'20Trips'!$A$2:$I$22,4,FALSE),'20Trips'!$AB$46:$AH$50,5,FALSE))/1440),1,0)</f>
        <v>0</v>
      </c>
      <c r="S79" s="2">
        <f>IF(AND(VLOOKUP(S$1,'20Trips'!$A$3:$F$22,5,FALSE) - VLOOKUP($B79,'20Trips'!$A$3:$G$22,6,FALSE) &gt;= ('20Trips'!$B$25+VLOOKUP(VLOOKUP($B79,'20Trips'!$A$2:$I$22,4,FALSE),'20Trips'!$AB$46:$AH$50,5,FALSE))/1440),1,0)</f>
        <v>0</v>
      </c>
      <c r="T79" s="2">
        <f>IF(AND(VLOOKUP(T$1,'20Trips'!$A$3:$F$22,5,FALSE) - VLOOKUP($B79,'20Trips'!$A$3:$G$22,6,FALSE) &gt;= ('20Trips'!$B$25+VLOOKUP(VLOOKUP($B79,'20Trips'!$A$2:$I$22,4,FALSE),'20Trips'!$AB$46:$AH$50,5,FALSE))/1440),1,0)</f>
        <v>0</v>
      </c>
      <c r="U79" s="2">
        <f>IF(AND(VLOOKUP(U$1,'20Trips'!$A$3:$F$22,5,FALSE) - VLOOKUP($B79,'20Trips'!$A$3:$G$22,6,FALSE) &gt;= ('20Trips'!$B$25+VLOOKUP(VLOOKUP($B79,'20Trips'!$A$2:$I$22,4,FALSE),'20Trips'!$AB$46:$AH$50,5,FALSE))/1440),1,0)</f>
        <v>1</v>
      </c>
      <c r="V79" s="2">
        <f>IF(AND(VLOOKUP(V$1,'20Trips'!$A$3:$F$22,5,FALSE) - VLOOKUP($B79,'20Trips'!$A$3:$G$22,6,FALSE) &gt;= ('20Trips'!$B$25+VLOOKUP(VLOOKUP($B79,'20Trips'!$A$2:$I$22,4,FALSE),'20Trips'!$AB$46:$AH$50,5,FALSE))/1440),1,0)</f>
        <v>1</v>
      </c>
      <c r="W79" s="2" t="e">
        <f>IF(AND(VLOOKUP(W$1,'20Trips'!$A$3:$F$22,5,FALSE) - VLOOKUP($B79,'20Trips'!$A$3:$G$22,6,FALSE) &gt;= ('20Trips'!$B$25+VLOOKUP(VLOOKUP($B79,'20Trips'!$A$2:$I$22,4,FALSE),'20Trips'!$AB$46:$AH$50,5,FALSE))/1440),1,0)</f>
        <v>#N/A</v>
      </c>
      <c r="X79" s="2" t="e">
        <f>IF(AND(VLOOKUP(X$1,'20Trips'!$A$3:$F$22,5,FALSE) - VLOOKUP($B79,'20Trips'!$A$3:$G$22,6,FALSE) &gt;= ('20Trips'!$B$25+VLOOKUP(VLOOKUP($B79,'20Trips'!$A$2:$I$22,4,FALSE),'20Trips'!$AB$46:$AH$50,5,FALSE))/1440),1,0)</f>
        <v>#N/A</v>
      </c>
      <c r="Y79" s="2" t="e">
        <f>IF(AND(VLOOKUP(Y$1,'20Trips'!$A$3:$F$22,5,FALSE) - VLOOKUP($B79,'20Trips'!$A$3:$G$22,6,FALSE) &gt;= ('20Trips'!$B$25+VLOOKUP(VLOOKUP($B79,'20Trips'!$A$2:$I$22,4,FALSE),'20Trips'!$AB$46:$AH$50,5,FALSE))/1440),1,0)</f>
        <v>#N/A</v>
      </c>
      <c r="Z79" s="2">
        <f>IF(AND(VLOOKUP(Z$1,'20Trips'!$A$3:$F$22,5,FALSE) - VLOOKUP($B79,'20Trips'!$A$3:$G$22,6,FALSE) &gt;= ('20Trips'!$B$25+VLOOKUP(VLOOKUP($B79,'20Trips'!$A$2:$I$22,4,FALSE),'20Trips'!$AB$46:$AH$50,5,FALSE))/1440),1,0)</f>
        <v>0</v>
      </c>
      <c r="AA79" s="2">
        <f>IF(AND(VLOOKUP(AA$1,'20Trips'!$A$3:$F$22,5,FALSE) - VLOOKUP($B79,'20Trips'!$A$3:$G$22,6,FALSE) &gt;= ('20Trips'!$B$25+VLOOKUP(VLOOKUP($B79,'20Trips'!$A$2:$I$22,4,FALSE),'20Trips'!$AB$46:$AH$50,5,FALSE))/1440),1,0)</f>
        <v>0</v>
      </c>
      <c r="AB79" s="2">
        <f>IF(AND(VLOOKUP(AB$1,'20Trips'!$A$3:$F$22,5,FALSE) - VLOOKUP($B79,'20Trips'!$A$3:$G$22,6,FALSE) &gt;= ('20Trips'!$B$25+VLOOKUP(VLOOKUP($B79,'20Trips'!$A$2:$I$22,4,FALSE),'20Trips'!$AB$46:$AH$50,5,FALSE))/1440),1,0)</f>
        <v>1</v>
      </c>
      <c r="AC79" s="2">
        <f>IF(AND(VLOOKUP(AC$1,'20Trips'!$A$3:$F$22,5,FALSE) - VLOOKUP($B79,'20Trips'!$A$3:$G$22,6,FALSE) &gt;= ('20Trips'!$B$25+VLOOKUP(VLOOKUP($B79,'20Trips'!$A$2:$I$22,4,FALSE),'20Trips'!$AB$46:$AH$50,5,FALSE))/1440),1,0)</f>
        <v>1</v>
      </c>
      <c r="AD79" s="2">
        <f>IF(AND(VLOOKUP(AD$1,'20Trips'!$A$3:$F$22,5,FALSE) - VLOOKUP($B79,'20Trips'!$A$3:$G$22,6,FALSE) &gt;= ('20Trips'!$B$25+VLOOKUP(VLOOKUP($B79,'20Trips'!$A$2:$I$22,4,FALSE),'20Trips'!$AB$46:$AH$50,5,FALSE))/1440),1,0)</f>
        <v>1</v>
      </c>
      <c r="AE79" s="2" t="e">
        <f>IF(AND(VLOOKUP(AE$1,'20Trips'!$A$3:$F$22,5,FALSE) - VLOOKUP($B79,'20Trips'!$A$3:$G$22,6,FALSE) &gt;= ('20Trips'!$B$25+VLOOKUP(VLOOKUP($B79,'20Trips'!$A$2:$I$22,4,FALSE),'20Trips'!$AB$46:$AH$50,5,FALSE))/1440),1,0)</f>
        <v>#N/A</v>
      </c>
      <c r="AF79" s="2" t="e">
        <f>IF(AND(VLOOKUP(AF$1,'20Trips'!$A$3:$F$22,5,FALSE) - VLOOKUP($B79,'20Trips'!$A$3:$G$22,6,FALSE) &gt;= ('20Trips'!$B$25+VLOOKUP(VLOOKUP($B79,'20Trips'!$A$2:$I$22,4,FALSE),'20Trips'!$AB$46:$AH$50,5,FALSE))/1440),1,0)</f>
        <v>#N/A</v>
      </c>
      <c r="AG79" s="2" t="e">
        <f>IF(AND(VLOOKUP(AG$1,'20Trips'!$A$3:$F$22,5,FALSE) - VLOOKUP($B79,'20Trips'!$A$3:$G$22,6,FALSE) &gt;= ('20Trips'!$B$25+VLOOKUP(VLOOKUP($B79,'20Trips'!$A$2:$I$22,4,FALSE),'20Trips'!$AB$46:$AH$50,5,FALSE))/1440),1,0)</f>
        <v>#N/A</v>
      </c>
    </row>
    <row r="80" spans="1:33" x14ac:dyDescent="0.25">
      <c r="A80" t="s">
        <v>67</v>
      </c>
      <c r="B80" t="s">
        <v>27</v>
      </c>
      <c r="C80">
        <v>0</v>
      </c>
      <c r="D80" s="2">
        <f>IF(AND(VLOOKUP(D$1,'20Trips'!$A$3:$F$22,5,FALSE) - VLOOKUP($B80,'20Trips'!$A$3:$G$22,6,FALSE) &gt;= ('20Trips'!$B$25+VLOOKUP(VLOOKUP($B80,'20Trips'!$A$2:$I$22,4,FALSE),'20Trips'!$AB$46:$AH$50,5,FALSE))/1440),1,0)</f>
        <v>0</v>
      </c>
      <c r="E80" s="2">
        <f>IF(AND(VLOOKUP(E$1,'20Trips'!$A$3:$F$22,5,FALSE) - VLOOKUP($B80,'20Trips'!$A$3:$G$22,6,FALSE) &gt;= ('20Trips'!$B$25+VLOOKUP(VLOOKUP($B80,'20Trips'!$A$2:$I$22,4,FALSE),'20Trips'!$AB$46:$AH$50,5,FALSE))/1440),1,0)</f>
        <v>0</v>
      </c>
      <c r="F80" s="2">
        <f>IF(AND(VLOOKUP(F$1,'20Trips'!$A$3:$F$22,5,FALSE) - VLOOKUP($B80,'20Trips'!$A$3:$G$22,6,FALSE) &gt;= ('20Trips'!$B$25+VLOOKUP(VLOOKUP($B80,'20Trips'!$A$2:$I$22,4,FALSE),'20Trips'!$AB$46:$AH$50,5,FALSE))/1440),1,0)</f>
        <v>0</v>
      </c>
      <c r="G80" s="2">
        <f>IF(AND(VLOOKUP(G$1,'20Trips'!$A$3:$F$22,5,FALSE) - VLOOKUP($B80,'20Trips'!$A$3:$G$22,6,FALSE) &gt;= ('20Trips'!$B$25+VLOOKUP(VLOOKUP($B80,'20Trips'!$A$2:$I$22,4,FALSE),'20Trips'!$AB$46:$AH$50,5,FALSE))/1440),1,0)</f>
        <v>1</v>
      </c>
      <c r="H80" s="2">
        <f>IF(AND(VLOOKUP(H$1,'20Trips'!$A$3:$F$22,5,FALSE) - VLOOKUP($B80,'20Trips'!$A$3:$G$22,6,FALSE) &gt;= ('20Trips'!$B$25+VLOOKUP(VLOOKUP($B80,'20Trips'!$A$2:$I$22,4,FALSE),'20Trips'!$AB$46:$AH$50,5,FALSE))/1440),1,0)</f>
        <v>1</v>
      </c>
      <c r="I80" s="2" t="e">
        <f>IF(AND(VLOOKUP(I$1,'20Trips'!$A$3:$F$22,5,FALSE) - VLOOKUP($B80,'20Trips'!$A$3:$G$22,6,FALSE) &gt;= ('20Trips'!$B$25+VLOOKUP(VLOOKUP($B80,'20Trips'!$A$2:$I$22,4,FALSE),'20Trips'!$AB$46:$AH$50,5,FALSE))/1440),1,0)</f>
        <v>#N/A</v>
      </c>
      <c r="J80" s="2" t="e">
        <f>IF(AND(VLOOKUP(J$1,'20Trips'!$A$3:$F$22,5,FALSE) - VLOOKUP($B80,'20Trips'!$A$3:$G$22,6,FALSE) &gt;= ('20Trips'!$B$25+VLOOKUP(VLOOKUP($B80,'20Trips'!$A$2:$I$22,4,FALSE),'20Trips'!$AB$46:$AH$50,5,FALSE))/1440),1,0)</f>
        <v>#N/A</v>
      </c>
      <c r="K80" s="2" t="e">
        <f>IF(AND(VLOOKUP(K$1,'20Trips'!$A$3:$F$22,5,FALSE) - VLOOKUP($B80,'20Trips'!$A$3:$G$22,6,FALSE) &gt;= ('20Trips'!$B$25+VLOOKUP(VLOOKUP($B80,'20Trips'!$A$2:$I$22,4,FALSE),'20Trips'!$AB$46:$AH$50,5,FALSE))/1440),1,0)</f>
        <v>#N/A</v>
      </c>
      <c r="L80" s="2">
        <f>IF(AND(VLOOKUP(L$1,'20Trips'!$A$3:$F$22,5,FALSE) - VLOOKUP($B80,'20Trips'!$A$3:$G$22,6,FALSE) &gt;= ('20Trips'!$B$25+VLOOKUP(VLOOKUP($B80,'20Trips'!$A$2:$I$22,4,FALSE),'20Trips'!$AB$46:$AH$50,5,FALSE))/1440),1,0)</f>
        <v>0</v>
      </c>
      <c r="M80" s="2">
        <f>IF(AND(VLOOKUP(M$1,'20Trips'!$A$3:$F$22,5,FALSE) - VLOOKUP($B80,'20Trips'!$A$3:$G$22,6,FALSE) &gt;= ('20Trips'!$B$25+VLOOKUP(VLOOKUP($B80,'20Trips'!$A$2:$I$22,4,FALSE),'20Trips'!$AB$46:$AH$50,5,FALSE))/1440),1,0)</f>
        <v>0</v>
      </c>
      <c r="N80" s="2">
        <f>IF(AND(VLOOKUP(N$1,'20Trips'!$A$3:$F$22,5,FALSE) - VLOOKUP($B80,'20Trips'!$A$3:$G$22,6,FALSE) &gt;= ('20Trips'!$B$25+VLOOKUP(VLOOKUP($B80,'20Trips'!$A$2:$I$22,4,FALSE),'20Trips'!$AB$46:$AH$50,5,FALSE))/1440),1,0)</f>
        <v>0</v>
      </c>
      <c r="O80" s="2">
        <f>IF(AND(VLOOKUP(O$1,'20Trips'!$A$3:$F$22,5,FALSE) - VLOOKUP($B80,'20Trips'!$A$3:$G$22,6,FALSE) &gt;= ('20Trips'!$B$25+VLOOKUP(VLOOKUP($B80,'20Trips'!$A$2:$I$22,4,FALSE),'20Trips'!$AB$46:$AH$50,5,FALSE))/1440),1,0)</f>
        <v>1</v>
      </c>
      <c r="P80" s="2">
        <f>IF(AND(VLOOKUP(P$1,'20Trips'!$A$3:$F$22,5,FALSE) - VLOOKUP($B80,'20Trips'!$A$3:$G$22,6,FALSE) &gt;= ('20Trips'!$B$25+VLOOKUP(VLOOKUP($B80,'20Trips'!$A$2:$I$22,4,FALSE),'20Trips'!$AB$46:$AH$50,5,FALSE))/1440),1,0)</f>
        <v>1</v>
      </c>
      <c r="Q80" s="2" t="e">
        <f>IF(AND(VLOOKUP(Q$1,'20Trips'!$A$3:$F$22,5,FALSE) - VLOOKUP($B80,'20Trips'!$A$3:$G$22,6,FALSE) &gt;= ('20Trips'!$B$25+VLOOKUP(VLOOKUP($B80,'20Trips'!$A$2:$I$22,4,FALSE),'20Trips'!$AB$46:$AH$50,5,FALSE))/1440),1,0)</f>
        <v>#N/A</v>
      </c>
      <c r="R80" s="2">
        <f>IF(AND(VLOOKUP(R$1,'20Trips'!$A$3:$F$22,5,FALSE) - VLOOKUP($B80,'20Trips'!$A$3:$G$22,6,FALSE) &gt;= ('20Trips'!$B$25+VLOOKUP(VLOOKUP($B80,'20Trips'!$A$2:$I$22,4,FALSE),'20Trips'!$AB$46:$AH$50,5,FALSE))/1440),1,0)</f>
        <v>0</v>
      </c>
      <c r="S80" s="2">
        <f>IF(AND(VLOOKUP(S$1,'20Trips'!$A$3:$F$22,5,FALSE) - VLOOKUP($B80,'20Trips'!$A$3:$G$22,6,FALSE) &gt;= ('20Trips'!$B$25+VLOOKUP(VLOOKUP($B80,'20Trips'!$A$2:$I$22,4,FALSE),'20Trips'!$AB$46:$AH$50,5,FALSE))/1440),1,0)</f>
        <v>0</v>
      </c>
      <c r="T80" s="2">
        <f>IF(AND(VLOOKUP(T$1,'20Trips'!$A$3:$F$22,5,FALSE) - VLOOKUP($B80,'20Trips'!$A$3:$G$22,6,FALSE) &gt;= ('20Trips'!$B$25+VLOOKUP(VLOOKUP($B80,'20Trips'!$A$2:$I$22,4,FALSE),'20Trips'!$AB$46:$AH$50,5,FALSE))/1440),1,0)</f>
        <v>0</v>
      </c>
      <c r="U80" s="2">
        <f>IF(AND(VLOOKUP(U$1,'20Trips'!$A$3:$F$22,5,FALSE) - VLOOKUP($B80,'20Trips'!$A$3:$G$22,6,FALSE) &gt;= ('20Trips'!$B$25+VLOOKUP(VLOOKUP($B80,'20Trips'!$A$2:$I$22,4,FALSE),'20Trips'!$AB$46:$AH$50,5,FALSE))/1440),1,0)</f>
        <v>0</v>
      </c>
      <c r="V80" s="2">
        <f>IF(AND(VLOOKUP(V$1,'20Trips'!$A$3:$F$22,5,FALSE) - VLOOKUP($B80,'20Trips'!$A$3:$G$22,6,FALSE) &gt;= ('20Trips'!$B$25+VLOOKUP(VLOOKUP($B80,'20Trips'!$A$2:$I$22,4,FALSE),'20Trips'!$AB$46:$AH$50,5,FALSE))/1440),1,0)</f>
        <v>1</v>
      </c>
      <c r="W80" s="2" t="e">
        <f>IF(AND(VLOOKUP(W$1,'20Trips'!$A$3:$F$22,5,FALSE) - VLOOKUP($B80,'20Trips'!$A$3:$G$22,6,FALSE) &gt;= ('20Trips'!$B$25+VLOOKUP(VLOOKUP($B80,'20Trips'!$A$2:$I$22,4,FALSE),'20Trips'!$AB$46:$AH$50,5,FALSE))/1440),1,0)</f>
        <v>#N/A</v>
      </c>
      <c r="X80" s="2" t="e">
        <f>IF(AND(VLOOKUP(X$1,'20Trips'!$A$3:$F$22,5,FALSE) - VLOOKUP($B80,'20Trips'!$A$3:$G$22,6,FALSE) &gt;= ('20Trips'!$B$25+VLOOKUP(VLOOKUP($B80,'20Trips'!$A$2:$I$22,4,FALSE),'20Trips'!$AB$46:$AH$50,5,FALSE))/1440),1,0)</f>
        <v>#N/A</v>
      </c>
      <c r="Y80" s="2" t="e">
        <f>IF(AND(VLOOKUP(Y$1,'20Trips'!$A$3:$F$22,5,FALSE) - VLOOKUP($B80,'20Trips'!$A$3:$G$22,6,FALSE) &gt;= ('20Trips'!$B$25+VLOOKUP(VLOOKUP($B80,'20Trips'!$A$2:$I$22,4,FALSE),'20Trips'!$AB$46:$AH$50,5,FALSE))/1440),1,0)</f>
        <v>#N/A</v>
      </c>
      <c r="Z80" s="2">
        <f>IF(AND(VLOOKUP(Z$1,'20Trips'!$A$3:$F$22,5,FALSE) - VLOOKUP($B80,'20Trips'!$A$3:$G$22,6,FALSE) &gt;= ('20Trips'!$B$25+VLOOKUP(VLOOKUP($B80,'20Trips'!$A$2:$I$22,4,FALSE),'20Trips'!$AB$46:$AH$50,5,FALSE))/1440),1,0)</f>
        <v>0</v>
      </c>
      <c r="AA80" s="2">
        <f>IF(AND(VLOOKUP(AA$1,'20Trips'!$A$3:$F$22,5,FALSE) - VLOOKUP($B80,'20Trips'!$A$3:$G$22,6,FALSE) &gt;= ('20Trips'!$B$25+VLOOKUP(VLOOKUP($B80,'20Trips'!$A$2:$I$22,4,FALSE),'20Trips'!$AB$46:$AH$50,5,FALSE))/1440),1,0)</f>
        <v>0</v>
      </c>
      <c r="AB80" s="2">
        <f>IF(AND(VLOOKUP(AB$1,'20Trips'!$A$3:$F$22,5,FALSE) - VLOOKUP($B80,'20Trips'!$A$3:$G$22,6,FALSE) &gt;= ('20Trips'!$B$25+VLOOKUP(VLOOKUP($B80,'20Trips'!$A$2:$I$22,4,FALSE),'20Trips'!$AB$46:$AH$50,5,FALSE))/1440),1,0)</f>
        <v>0</v>
      </c>
      <c r="AC80" s="2">
        <f>IF(AND(VLOOKUP(AC$1,'20Trips'!$A$3:$F$22,5,FALSE) - VLOOKUP($B80,'20Trips'!$A$3:$G$22,6,FALSE) &gt;= ('20Trips'!$B$25+VLOOKUP(VLOOKUP($B80,'20Trips'!$A$2:$I$22,4,FALSE),'20Trips'!$AB$46:$AH$50,5,FALSE))/1440),1,0)</f>
        <v>1</v>
      </c>
      <c r="AD80" s="2">
        <f>IF(AND(VLOOKUP(AD$1,'20Trips'!$A$3:$F$22,5,FALSE) - VLOOKUP($B80,'20Trips'!$A$3:$G$22,6,FALSE) &gt;= ('20Trips'!$B$25+VLOOKUP(VLOOKUP($B80,'20Trips'!$A$2:$I$22,4,FALSE),'20Trips'!$AB$46:$AH$50,5,FALSE))/1440),1,0)</f>
        <v>1</v>
      </c>
      <c r="AE80" s="2" t="e">
        <f>IF(AND(VLOOKUP(AE$1,'20Trips'!$A$3:$F$22,5,FALSE) - VLOOKUP($B80,'20Trips'!$A$3:$G$22,6,FALSE) &gt;= ('20Trips'!$B$25+VLOOKUP(VLOOKUP($B80,'20Trips'!$A$2:$I$22,4,FALSE),'20Trips'!$AB$46:$AH$50,5,FALSE))/1440),1,0)</f>
        <v>#N/A</v>
      </c>
      <c r="AF80" s="2" t="e">
        <f>IF(AND(VLOOKUP(AF$1,'20Trips'!$A$3:$F$22,5,FALSE) - VLOOKUP($B80,'20Trips'!$A$3:$G$22,6,FALSE) &gt;= ('20Trips'!$B$25+VLOOKUP(VLOOKUP($B80,'20Trips'!$A$2:$I$22,4,FALSE),'20Trips'!$AB$46:$AH$50,5,FALSE))/1440),1,0)</f>
        <v>#N/A</v>
      </c>
      <c r="AG80" s="2" t="e">
        <f>IF(AND(VLOOKUP(AG$1,'20Trips'!$A$3:$F$22,5,FALSE) - VLOOKUP($B80,'20Trips'!$A$3:$G$22,6,FALSE) &gt;= ('20Trips'!$B$25+VLOOKUP(VLOOKUP($B80,'20Trips'!$A$2:$I$22,4,FALSE),'20Trips'!$AB$46:$AH$50,5,FALSE))/1440),1,0)</f>
        <v>#N/A</v>
      </c>
    </row>
    <row r="81" spans="1:33" x14ac:dyDescent="0.25">
      <c r="A81" t="s">
        <v>67</v>
      </c>
      <c r="B81" t="s">
        <v>28</v>
      </c>
      <c r="C81">
        <v>0</v>
      </c>
      <c r="D81" s="2">
        <f>IF(AND(VLOOKUP(D$1,'20Trips'!$A$3:$F$22,5,FALSE) - VLOOKUP($B81,'20Trips'!$A$3:$G$22,6,FALSE) &gt;= ('20Trips'!$B$25+VLOOKUP(VLOOKUP($B81,'20Trips'!$A$2:$I$22,4,FALSE),'20Trips'!$AB$46:$AH$50,5,FALSE))/1440),1,0)</f>
        <v>0</v>
      </c>
      <c r="E81" s="2">
        <f>IF(AND(VLOOKUP(E$1,'20Trips'!$A$3:$F$22,5,FALSE) - VLOOKUP($B81,'20Trips'!$A$3:$G$22,6,FALSE) &gt;= ('20Trips'!$B$25+VLOOKUP(VLOOKUP($B81,'20Trips'!$A$2:$I$22,4,FALSE),'20Trips'!$AB$46:$AH$50,5,FALSE))/1440),1,0)</f>
        <v>0</v>
      </c>
      <c r="F81" s="2">
        <f>IF(AND(VLOOKUP(F$1,'20Trips'!$A$3:$F$22,5,FALSE) - VLOOKUP($B81,'20Trips'!$A$3:$G$22,6,FALSE) &gt;= ('20Trips'!$B$25+VLOOKUP(VLOOKUP($B81,'20Trips'!$A$2:$I$22,4,FALSE),'20Trips'!$AB$46:$AH$50,5,FALSE))/1440),1,0)</f>
        <v>0</v>
      </c>
      <c r="G81" s="2">
        <f>IF(AND(VLOOKUP(G$1,'20Trips'!$A$3:$F$22,5,FALSE) - VLOOKUP($B81,'20Trips'!$A$3:$G$22,6,FALSE) &gt;= ('20Trips'!$B$25+VLOOKUP(VLOOKUP($B81,'20Trips'!$A$2:$I$22,4,FALSE),'20Trips'!$AB$46:$AH$50,5,FALSE))/1440),1,0)</f>
        <v>0</v>
      </c>
      <c r="H81" s="2">
        <f>IF(AND(VLOOKUP(H$1,'20Trips'!$A$3:$F$22,5,FALSE) - VLOOKUP($B81,'20Trips'!$A$3:$G$22,6,FALSE) &gt;= ('20Trips'!$B$25+VLOOKUP(VLOOKUP($B81,'20Trips'!$A$2:$I$22,4,FALSE),'20Trips'!$AB$46:$AH$50,5,FALSE))/1440),1,0)</f>
        <v>0</v>
      </c>
      <c r="I81" s="2" t="e">
        <f>IF(AND(VLOOKUP(I$1,'20Trips'!$A$3:$F$22,5,FALSE) - VLOOKUP($B81,'20Trips'!$A$3:$G$22,6,FALSE) &gt;= ('20Trips'!$B$25+VLOOKUP(VLOOKUP($B81,'20Trips'!$A$2:$I$22,4,FALSE),'20Trips'!$AB$46:$AH$50,5,FALSE))/1440),1,0)</f>
        <v>#N/A</v>
      </c>
      <c r="J81" s="2" t="e">
        <f>IF(AND(VLOOKUP(J$1,'20Trips'!$A$3:$F$22,5,FALSE) - VLOOKUP($B81,'20Trips'!$A$3:$G$22,6,FALSE) &gt;= ('20Trips'!$B$25+VLOOKUP(VLOOKUP($B81,'20Trips'!$A$2:$I$22,4,FALSE),'20Trips'!$AB$46:$AH$50,5,FALSE))/1440),1,0)</f>
        <v>#N/A</v>
      </c>
      <c r="K81" s="2" t="e">
        <f>IF(AND(VLOOKUP(K$1,'20Trips'!$A$3:$F$22,5,FALSE) - VLOOKUP($B81,'20Trips'!$A$3:$G$22,6,FALSE) &gt;= ('20Trips'!$B$25+VLOOKUP(VLOOKUP($B81,'20Trips'!$A$2:$I$22,4,FALSE),'20Trips'!$AB$46:$AH$50,5,FALSE))/1440),1,0)</f>
        <v>#N/A</v>
      </c>
      <c r="L81" s="2">
        <f>IF(AND(VLOOKUP(L$1,'20Trips'!$A$3:$F$22,5,FALSE) - VLOOKUP($B81,'20Trips'!$A$3:$G$22,6,FALSE) &gt;= ('20Trips'!$B$25+VLOOKUP(VLOOKUP($B81,'20Trips'!$A$2:$I$22,4,FALSE),'20Trips'!$AB$46:$AH$50,5,FALSE))/1440),1,0)</f>
        <v>0</v>
      </c>
      <c r="M81" s="2">
        <f>IF(AND(VLOOKUP(M$1,'20Trips'!$A$3:$F$22,5,FALSE) - VLOOKUP($B81,'20Trips'!$A$3:$G$22,6,FALSE) &gt;= ('20Trips'!$B$25+VLOOKUP(VLOOKUP($B81,'20Trips'!$A$2:$I$22,4,FALSE),'20Trips'!$AB$46:$AH$50,5,FALSE))/1440),1,0)</f>
        <v>0</v>
      </c>
      <c r="N81" s="2">
        <f>IF(AND(VLOOKUP(N$1,'20Trips'!$A$3:$F$22,5,FALSE) - VLOOKUP($B81,'20Trips'!$A$3:$G$22,6,FALSE) &gt;= ('20Trips'!$B$25+VLOOKUP(VLOOKUP($B81,'20Trips'!$A$2:$I$22,4,FALSE),'20Trips'!$AB$46:$AH$50,5,FALSE))/1440),1,0)</f>
        <v>0</v>
      </c>
      <c r="O81" s="2">
        <f>IF(AND(VLOOKUP(O$1,'20Trips'!$A$3:$F$22,5,FALSE) - VLOOKUP($B81,'20Trips'!$A$3:$G$22,6,FALSE) &gt;= ('20Trips'!$B$25+VLOOKUP(VLOOKUP($B81,'20Trips'!$A$2:$I$22,4,FALSE),'20Trips'!$AB$46:$AH$50,5,FALSE))/1440),1,0)</f>
        <v>1</v>
      </c>
      <c r="P81" s="2">
        <f>IF(AND(VLOOKUP(P$1,'20Trips'!$A$3:$F$22,5,FALSE) - VLOOKUP($B81,'20Trips'!$A$3:$G$22,6,FALSE) &gt;= ('20Trips'!$B$25+VLOOKUP(VLOOKUP($B81,'20Trips'!$A$2:$I$22,4,FALSE),'20Trips'!$AB$46:$AH$50,5,FALSE))/1440),1,0)</f>
        <v>1</v>
      </c>
      <c r="Q81" s="2" t="e">
        <f>IF(AND(VLOOKUP(Q$1,'20Trips'!$A$3:$F$22,5,FALSE) - VLOOKUP($B81,'20Trips'!$A$3:$G$22,6,FALSE) &gt;= ('20Trips'!$B$25+VLOOKUP(VLOOKUP($B81,'20Trips'!$A$2:$I$22,4,FALSE),'20Trips'!$AB$46:$AH$50,5,FALSE))/1440),1,0)</f>
        <v>#N/A</v>
      </c>
      <c r="R81" s="2">
        <f>IF(AND(VLOOKUP(R$1,'20Trips'!$A$3:$F$22,5,FALSE) - VLOOKUP($B81,'20Trips'!$A$3:$G$22,6,FALSE) &gt;= ('20Trips'!$B$25+VLOOKUP(VLOOKUP($B81,'20Trips'!$A$2:$I$22,4,FALSE),'20Trips'!$AB$46:$AH$50,5,FALSE))/1440),1,0)</f>
        <v>0</v>
      </c>
      <c r="S81" s="2">
        <f>IF(AND(VLOOKUP(S$1,'20Trips'!$A$3:$F$22,5,FALSE) - VLOOKUP($B81,'20Trips'!$A$3:$G$22,6,FALSE) &gt;= ('20Trips'!$B$25+VLOOKUP(VLOOKUP($B81,'20Trips'!$A$2:$I$22,4,FALSE),'20Trips'!$AB$46:$AH$50,5,FALSE))/1440),1,0)</f>
        <v>0</v>
      </c>
      <c r="T81" s="2">
        <f>IF(AND(VLOOKUP(T$1,'20Trips'!$A$3:$F$22,5,FALSE) - VLOOKUP($B81,'20Trips'!$A$3:$G$22,6,FALSE) &gt;= ('20Trips'!$B$25+VLOOKUP(VLOOKUP($B81,'20Trips'!$A$2:$I$22,4,FALSE),'20Trips'!$AB$46:$AH$50,5,FALSE))/1440),1,0)</f>
        <v>0</v>
      </c>
      <c r="U81" s="2">
        <f>IF(AND(VLOOKUP(U$1,'20Trips'!$A$3:$F$22,5,FALSE) - VLOOKUP($B81,'20Trips'!$A$3:$G$22,6,FALSE) &gt;= ('20Trips'!$B$25+VLOOKUP(VLOOKUP($B81,'20Trips'!$A$2:$I$22,4,FALSE),'20Trips'!$AB$46:$AH$50,5,FALSE))/1440),1,0)</f>
        <v>0</v>
      </c>
      <c r="V81" s="2">
        <f>IF(AND(VLOOKUP(V$1,'20Trips'!$A$3:$F$22,5,FALSE) - VLOOKUP($B81,'20Trips'!$A$3:$G$22,6,FALSE) &gt;= ('20Trips'!$B$25+VLOOKUP(VLOOKUP($B81,'20Trips'!$A$2:$I$22,4,FALSE),'20Trips'!$AB$46:$AH$50,5,FALSE))/1440),1,0)</f>
        <v>0</v>
      </c>
      <c r="W81" s="2" t="e">
        <f>IF(AND(VLOOKUP(W$1,'20Trips'!$A$3:$F$22,5,FALSE) - VLOOKUP($B81,'20Trips'!$A$3:$G$22,6,FALSE) &gt;= ('20Trips'!$B$25+VLOOKUP(VLOOKUP($B81,'20Trips'!$A$2:$I$22,4,FALSE),'20Trips'!$AB$46:$AH$50,5,FALSE))/1440),1,0)</f>
        <v>#N/A</v>
      </c>
      <c r="X81" s="2" t="e">
        <f>IF(AND(VLOOKUP(X$1,'20Trips'!$A$3:$F$22,5,FALSE) - VLOOKUP($B81,'20Trips'!$A$3:$G$22,6,FALSE) &gt;= ('20Trips'!$B$25+VLOOKUP(VLOOKUP($B81,'20Trips'!$A$2:$I$22,4,FALSE),'20Trips'!$AB$46:$AH$50,5,FALSE))/1440),1,0)</f>
        <v>#N/A</v>
      </c>
      <c r="Y81" s="2" t="e">
        <f>IF(AND(VLOOKUP(Y$1,'20Trips'!$A$3:$F$22,5,FALSE) - VLOOKUP($B81,'20Trips'!$A$3:$G$22,6,FALSE) &gt;= ('20Trips'!$B$25+VLOOKUP(VLOOKUP($B81,'20Trips'!$A$2:$I$22,4,FALSE),'20Trips'!$AB$46:$AH$50,5,FALSE))/1440),1,0)</f>
        <v>#N/A</v>
      </c>
      <c r="Z81" s="2">
        <f>IF(AND(VLOOKUP(Z$1,'20Trips'!$A$3:$F$22,5,FALSE) - VLOOKUP($B81,'20Trips'!$A$3:$G$22,6,FALSE) &gt;= ('20Trips'!$B$25+VLOOKUP(VLOOKUP($B81,'20Trips'!$A$2:$I$22,4,FALSE),'20Trips'!$AB$46:$AH$50,5,FALSE))/1440),1,0)</f>
        <v>0</v>
      </c>
      <c r="AA81" s="2">
        <f>IF(AND(VLOOKUP(AA$1,'20Trips'!$A$3:$F$22,5,FALSE) - VLOOKUP($B81,'20Trips'!$A$3:$G$22,6,FALSE) &gt;= ('20Trips'!$B$25+VLOOKUP(VLOOKUP($B81,'20Trips'!$A$2:$I$22,4,FALSE),'20Trips'!$AB$46:$AH$50,5,FALSE))/1440),1,0)</f>
        <v>0</v>
      </c>
      <c r="AB81" s="2">
        <f>IF(AND(VLOOKUP(AB$1,'20Trips'!$A$3:$F$22,5,FALSE) - VLOOKUP($B81,'20Trips'!$A$3:$G$22,6,FALSE) &gt;= ('20Trips'!$B$25+VLOOKUP(VLOOKUP($B81,'20Trips'!$A$2:$I$22,4,FALSE),'20Trips'!$AB$46:$AH$50,5,FALSE))/1440),1,0)</f>
        <v>0</v>
      </c>
      <c r="AC81" s="2">
        <f>IF(AND(VLOOKUP(AC$1,'20Trips'!$A$3:$F$22,5,FALSE) - VLOOKUP($B81,'20Trips'!$A$3:$G$22,6,FALSE) &gt;= ('20Trips'!$B$25+VLOOKUP(VLOOKUP($B81,'20Trips'!$A$2:$I$22,4,FALSE),'20Trips'!$AB$46:$AH$50,5,FALSE))/1440),1,0)</f>
        <v>0</v>
      </c>
      <c r="AD81" s="2">
        <f>IF(AND(VLOOKUP(AD$1,'20Trips'!$A$3:$F$22,5,FALSE) - VLOOKUP($B81,'20Trips'!$A$3:$G$22,6,FALSE) &gt;= ('20Trips'!$B$25+VLOOKUP(VLOOKUP($B81,'20Trips'!$A$2:$I$22,4,FALSE),'20Trips'!$AB$46:$AH$50,5,FALSE))/1440),1,0)</f>
        <v>1</v>
      </c>
      <c r="AE81" s="2" t="e">
        <f>IF(AND(VLOOKUP(AE$1,'20Trips'!$A$3:$F$22,5,FALSE) - VLOOKUP($B81,'20Trips'!$A$3:$G$22,6,FALSE) &gt;= ('20Trips'!$B$25+VLOOKUP(VLOOKUP($B81,'20Trips'!$A$2:$I$22,4,FALSE),'20Trips'!$AB$46:$AH$50,5,FALSE))/1440),1,0)</f>
        <v>#N/A</v>
      </c>
      <c r="AF81" s="2" t="e">
        <f>IF(AND(VLOOKUP(AF$1,'20Trips'!$A$3:$F$22,5,FALSE) - VLOOKUP($B81,'20Trips'!$A$3:$G$22,6,FALSE) &gt;= ('20Trips'!$B$25+VLOOKUP(VLOOKUP($B81,'20Trips'!$A$2:$I$22,4,FALSE),'20Trips'!$AB$46:$AH$50,5,FALSE))/1440),1,0)</f>
        <v>#N/A</v>
      </c>
      <c r="AG81" s="2" t="e">
        <f>IF(AND(VLOOKUP(AG$1,'20Trips'!$A$3:$F$22,5,FALSE) - VLOOKUP($B81,'20Trips'!$A$3:$G$22,6,FALSE) &gt;= ('20Trips'!$B$25+VLOOKUP(VLOOKUP($B81,'20Trips'!$A$2:$I$22,4,FALSE),'20Trips'!$AB$46:$AH$50,5,FALSE))/1440),1,0)</f>
        <v>#N/A</v>
      </c>
    </row>
    <row r="82" spans="1:33" x14ac:dyDescent="0.25">
      <c r="A82" t="s">
        <v>67</v>
      </c>
      <c r="B82" t="s">
        <v>29</v>
      </c>
      <c r="C82">
        <v>0</v>
      </c>
      <c r="D82" s="2">
        <f>IF(AND(VLOOKUP(D$1,'20Trips'!$A$3:$F$22,5,FALSE) - VLOOKUP($B82,'20Trips'!$A$3:$G$22,6,FALSE) &gt;= ('20Trips'!$B$25+VLOOKUP(VLOOKUP($B82,'20Trips'!$A$2:$I$22,4,FALSE),'20Trips'!$AB$46:$AH$50,5,FALSE))/1440),1,0)</f>
        <v>0</v>
      </c>
      <c r="E82" s="2">
        <f>IF(AND(VLOOKUP(E$1,'20Trips'!$A$3:$F$22,5,FALSE) - VLOOKUP($B82,'20Trips'!$A$3:$G$22,6,FALSE) &gt;= ('20Trips'!$B$25+VLOOKUP(VLOOKUP($B82,'20Trips'!$A$2:$I$22,4,FALSE),'20Trips'!$AB$46:$AH$50,5,FALSE))/1440),1,0)</f>
        <v>0</v>
      </c>
      <c r="F82" s="2">
        <f>IF(AND(VLOOKUP(F$1,'20Trips'!$A$3:$F$22,5,FALSE) - VLOOKUP($B82,'20Trips'!$A$3:$G$22,6,FALSE) &gt;= ('20Trips'!$B$25+VLOOKUP(VLOOKUP($B82,'20Trips'!$A$2:$I$22,4,FALSE),'20Trips'!$AB$46:$AH$50,5,FALSE))/1440),1,0)</f>
        <v>0</v>
      </c>
      <c r="G82" s="2">
        <f>IF(AND(VLOOKUP(G$1,'20Trips'!$A$3:$F$22,5,FALSE) - VLOOKUP($B82,'20Trips'!$A$3:$G$22,6,FALSE) &gt;= ('20Trips'!$B$25+VLOOKUP(VLOOKUP($B82,'20Trips'!$A$2:$I$22,4,FALSE),'20Trips'!$AB$46:$AH$50,5,FALSE))/1440),1,0)</f>
        <v>0</v>
      </c>
      <c r="H82" s="2">
        <f>IF(AND(VLOOKUP(H$1,'20Trips'!$A$3:$F$22,5,FALSE) - VLOOKUP($B82,'20Trips'!$A$3:$G$22,6,FALSE) &gt;= ('20Trips'!$B$25+VLOOKUP(VLOOKUP($B82,'20Trips'!$A$2:$I$22,4,FALSE),'20Trips'!$AB$46:$AH$50,5,FALSE))/1440),1,0)</f>
        <v>0</v>
      </c>
      <c r="I82" s="2" t="e">
        <f>IF(AND(VLOOKUP(I$1,'20Trips'!$A$3:$F$22,5,FALSE) - VLOOKUP($B82,'20Trips'!$A$3:$G$22,6,FALSE) &gt;= ('20Trips'!$B$25+VLOOKUP(VLOOKUP($B82,'20Trips'!$A$2:$I$22,4,FALSE),'20Trips'!$AB$46:$AH$50,5,FALSE))/1440),1,0)</f>
        <v>#N/A</v>
      </c>
      <c r="J82" s="2" t="e">
        <f>IF(AND(VLOOKUP(J$1,'20Trips'!$A$3:$F$22,5,FALSE) - VLOOKUP($B82,'20Trips'!$A$3:$G$22,6,FALSE) &gt;= ('20Trips'!$B$25+VLOOKUP(VLOOKUP($B82,'20Trips'!$A$2:$I$22,4,FALSE),'20Trips'!$AB$46:$AH$50,5,FALSE))/1440),1,0)</f>
        <v>#N/A</v>
      </c>
      <c r="K82" s="2" t="e">
        <f>IF(AND(VLOOKUP(K$1,'20Trips'!$A$3:$F$22,5,FALSE) - VLOOKUP($B82,'20Trips'!$A$3:$G$22,6,FALSE) &gt;= ('20Trips'!$B$25+VLOOKUP(VLOOKUP($B82,'20Trips'!$A$2:$I$22,4,FALSE),'20Trips'!$AB$46:$AH$50,5,FALSE))/1440),1,0)</f>
        <v>#N/A</v>
      </c>
      <c r="L82" s="2">
        <f>IF(AND(VLOOKUP(L$1,'20Trips'!$A$3:$F$22,5,FALSE) - VLOOKUP($B82,'20Trips'!$A$3:$G$22,6,FALSE) &gt;= ('20Trips'!$B$25+VLOOKUP(VLOOKUP($B82,'20Trips'!$A$2:$I$22,4,FALSE),'20Trips'!$AB$46:$AH$50,5,FALSE))/1440),1,0)</f>
        <v>0</v>
      </c>
      <c r="M82" s="2">
        <f>IF(AND(VLOOKUP(M$1,'20Trips'!$A$3:$F$22,5,FALSE) - VLOOKUP($B82,'20Trips'!$A$3:$G$22,6,FALSE) &gt;= ('20Trips'!$B$25+VLOOKUP(VLOOKUP($B82,'20Trips'!$A$2:$I$22,4,FALSE),'20Trips'!$AB$46:$AH$50,5,FALSE))/1440),1,0)</f>
        <v>0</v>
      </c>
      <c r="N82" s="2">
        <f>IF(AND(VLOOKUP(N$1,'20Trips'!$A$3:$F$22,5,FALSE) - VLOOKUP($B82,'20Trips'!$A$3:$G$22,6,FALSE) &gt;= ('20Trips'!$B$25+VLOOKUP(VLOOKUP($B82,'20Trips'!$A$2:$I$22,4,FALSE),'20Trips'!$AB$46:$AH$50,5,FALSE))/1440),1,0)</f>
        <v>0</v>
      </c>
      <c r="O82" s="2">
        <f>IF(AND(VLOOKUP(O$1,'20Trips'!$A$3:$F$22,5,FALSE) - VLOOKUP($B82,'20Trips'!$A$3:$G$22,6,FALSE) &gt;= ('20Trips'!$B$25+VLOOKUP(VLOOKUP($B82,'20Trips'!$A$2:$I$22,4,FALSE),'20Trips'!$AB$46:$AH$50,5,FALSE))/1440),1,0)</f>
        <v>1</v>
      </c>
      <c r="P82" s="2">
        <f>IF(AND(VLOOKUP(P$1,'20Trips'!$A$3:$F$22,5,FALSE) - VLOOKUP($B82,'20Trips'!$A$3:$G$22,6,FALSE) &gt;= ('20Trips'!$B$25+VLOOKUP(VLOOKUP($B82,'20Trips'!$A$2:$I$22,4,FALSE),'20Trips'!$AB$46:$AH$50,5,FALSE))/1440),1,0)</f>
        <v>1</v>
      </c>
      <c r="Q82" s="2" t="e">
        <f>IF(AND(VLOOKUP(Q$1,'20Trips'!$A$3:$F$22,5,FALSE) - VLOOKUP($B82,'20Trips'!$A$3:$G$22,6,FALSE) &gt;= ('20Trips'!$B$25+VLOOKUP(VLOOKUP($B82,'20Trips'!$A$2:$I$22,4,FALSE),'20Trips'!$AB$46:$AH$50,5,FALSE))/1440),1,0)</f>
        <v>#N/A</v>
      </c>
      <c r="R82" s="2">
        <f>IF(AND(VLOOKUP(R$1,'20Trips'!$A$3:$F$22,5,FALSE) - VLOOKUP($B82,'20Trips'!$A$3:$G$22,6,FALSE) &gt;= ('20Trips'!$B$25+VLOOKUP(VLOOKUP($B82,'20Trips'!$A$2:$I$22,4,FALSE),'20Trips'!$AB$46:$AH$50,5,FALSE))/1440),1,0)</f>
        <v>0</v>
      </c>
      <c r="S82" s="2">
        <f>IF(AND(VLOOKUP(S$1,'20Trips'!$A$3:$F$22,5,FALSE) - VLOOKUP($B82,'20Trips'!$A$3:$G$22,6,FALSE) &gt;= ('20Trips'!$B$25+VLOOKUP(VLOOKUP($B82,'20Trips'!$A$2:$I$22,4,FALSE),'20Trips'!$AB$46:$AH$50,5,FALSE))/1440),1,0)</f>
        <v>0</v>
      </c>
      <c r="T82" s="2">
        <f>IF(AND(VLOOKUP(T$1,'20Trips'!$A$3:$F$22,5,FALSE) - VLOOKUP($B82,'20Trips'!$A$3:$G$22,6,FALSE) &gt;= ('20Trips'!$B$25+VLOOKUP(VLOOKUP($B82,'20Trips'!$A$2:$I$22,4,FALSE),'20Trips'!$AB$46:$AH$50,5,FALSE))/1440),1,0)</f>
        <v>0</v>
      </c>
      <c r="U82" s="2">
        <f>IF(AND(VLOOKUP(U$1,'20Trips'!$A$3:$F$22,5,FALSE) - VLOOKUP($B82,'20Trips'!$A$3:$G$22,6,FALSE) &gt;= ('20Trips'!$B$25+VLOOKUP(VLOOKUP($B82,'20Trips'!$A$2:$I$22,4,FALSE),'20Trips'!$AB$46:$AH$50,5,FALSE))/1440),1,0)</f>
        <v>0</v>
      </c>
      <c r="V82" s="2">
        <f>IF(AND(VLOOKUP(V$1,'20Trips'!$A$3:$F$22,5,FALSE) - VLOOKUP($B82,'20Trips'!$A$3:$G$22,6,FALSE) &gt;= ('20Trips'!$B$25+VLOOKUP(VLOOKUP($B82,'20Trips'!$A$2:$I$22,4,FALSE),'20Trips'!$AB$46:$AH$50,5,FALSE))/1440),1,0)</f>
        <v>0</v>
      </c>
      <c r="W82" s="2" t="e">
        <f>IF(AND(VLOOKUP(W$1,'20Trips'!$A$3:$F$22,5,FALSE) - VLOOKUP($B82,'20Trips'!$A$3:$G$22,6,FALSE) &gt;= ('20Trips'!$B$25+VLOOKUP(VLOOKUP($B82,'20Trips'!$A$2:$I$22,4,FALSE),'20Trips'!$AB$46:$AH$50,5,FALSE))/1440),1,0)</f>
        <v>#N/A</v>
      </c>
      <c r="X82" s="2" t="e">
        <f>IF(AND(VLOOKUP(X$1,'20Trips'!$A$3:$F$22,5,FALSE) - VLOOKUP($B82,'20Trips'!$A$3:$G$22,6,FALSE) &gt;= ('20Trips'!$B$25+VLOOKUP(VLOOKUP($B82,'20Trips'!$A$2:$I$22,4,FALSE),'20Trips'!$AB$46:$AH$50,5,FALSE))/1440),1,0)</f>
        <v>#N/A</v>
      </c>
      <c r="Y82" s="2" t="e">
        <f>IF(AND(VLOOKUP(Y$1,'20Trips'!$A$3:$F$22,5,FALSE) - VLOOKUP($B82,'20Trips'!$A$3:$G$22,6,FALSE) &gt;= ('20Trips'!$B$25+VLOOKUP(VLOOKUP($B82,'20Trips'!$A$2:$I$22,4,FALSE),'20Trips'!$AB$46:$AH$50,5,FALSE))/1440),1,0)</f>
        <v>#N/A</v>
      </c>
      <c r="Z82" s="2">
        <f>IF(AND(VLOOKUP(Z$1,'20Trips'!$A$3:$F$22,5,FALSE) - VLOOKUP($B82,'20Trips'!$A$3:$G$22,6,FALSE) &gt;= ('20Trips'!$B$25+VLOOKUP(VLOOKUP($B82,'20Trips'!$A$2:$I$22,4,FALSE),'20Trips'!$AB$46:$AH$50,5,FALSE))/1440),1,0)</f>
        <v>0</v>
      </c>
      <c r="AA82" s="2">
        <f>IF(AND(VLOOKUP(AA$1,'20Trips'!$A$3:$F$22,5,FALSE) - VLOOKUP($B82,'20Trips'!$A$3:$G$22,6,FALSE) &gt;= ('20Trips'!$B$25+VLOOKUP(VLOOKUP($B82,'20Trips'!$A$2:$I$22,4,FALSE),'20Trips'!$AB$46:$AH$50,5,FALSE))/1440),1,0)</f>
        <v>0</v>
      </c>
      <c r="AB82" s="2">
        <f>IF(AND(VLOOKUP(AB$1,'20Trips'!$A$3:$F$22,5,FALSE) - VLOOKUP($B82,'20Trips'!$A$3:$G$22,6,FALSE) &gt;= ('20Trips'!$B$25+VLOOKUP(VLOOKUP($B82,'20Trips'!$A$2:$I$22,4,FALSE),'20Trips'!$AB$46:$AH$50,5,FALSE))/1440),1,0)</f>
        <v>0</v>
      </c>
      <c r="AC82" s="2">
        <f>IF(AND(VLOOKUP(AC$1,'20Trips'!$A$3:$F$22,5,FALSE) - VLOOKUP($B82,'20Trips'!$A$3:$G$22,6,FALSE) &gt;= ('20Trips'!$B$25+VLOOKUP(VLOOKUP($B82,'20Trips'!$A$2:$I$22,4,FALSE),'20Trips'!$AB$46:$AH$50,5,FALSE))/1440),1,0)</f>
        <v>0</v>
      </c>
      <c r="AD82" s="2">
        <f>IF(AND(VLOOKUP(AD$1,'20Trips'!$A$3:$F$22,5,FALSE) - VLOOKUP($B82,'20Trips'!$A$3:$G$22,6,FALSE) &gt;= ('20Trips'!$B$25+VLOOKUP(VLOOKUP($B82,'20Trips'!$A$2:$I$22,4,FALSE),'20Trips'!$AB$46:$AH$50,5,FALSE))/1440),1,0)</f>
        <v>0</v>
      </c>
      <c r="AE82" s="2" t="e">
        <f>IF(AND(VLOOKUP(AE$1,'20Trips'!$A$3:$F$22,5,FALSE) - VLOOKUP($B82,'20Trips'!$A$3:$G$22,6,FALSE) &gt;= ('20Trips'!$B$25+VLOOKUP(VLOOKUP($B82,'20Trips'!$A$2:$I$22,4,FALSE),'20Trips'!$AB$46:$AH$50,5,FALSE))/1440),1,0)</f>
        <v>#N/A</v>
      </c>
      <c r="AF82" s="2" t="e">
        <f>IF(AND(VLOOKUP(AF$1,'20Trips'!$A$3:$F$22,5,FALSE) - VLOOKUP($B82,'20Trips'!$A$3:$G$22,6,FALSE) &gt;= ('20Trips'!$B$25+VLOOKUP(VLOOKUP($B82,'20Trips'!$A$2:$I$22,4,FALSE),'20Trips'!$AB$46:$AH$50,5,FALSE))/1440),1,0)</f>
        <v>#N/A</v>
      </c>
      <c r="AG82" s="2" t="e">
        <f>IF(AND(VLOOKUP(AG$1,'20Trips'!$A$3:$F$22,5,FALSE) - VLOOKUP($B82,'20Trips'!$A$3:$G$22,6,FALSE) &gt;= ('20Trips'!$B$25+VLOOKUP(VLOOKUP($B82,'20Trips'!$A$2:$I$22,4,FALSE),'20Trips'!$AB$46:$AH$50,5,FALSE))/1440),1,0)</f>
        <v>#N/A</v>
      </c>
    </row>
    <row r="83" spans="1:33" x14ac:dyDescent="0.25">
      <c r="A83" t="s">
        <v>67</v>
      </c>
      <c r="B83" t="s">
        <v>30</v>
      </c>
      <c r="C83">
        <v>0</v>
      </c>
      <c r="D83" s="2">
        <f>IF(AND(VLOOKUP(D$1,'20Trips'!$A$3:$F$22,5,FALSE) - VLOOKUP($B83,'20Trips'!$A$3:$G$22,6,FALSE) &gt;= ('20Trips'!$B$25+VLOOKUP(VLOOKUP($B83,'20Trips'!$A$2:$I$22,4,FALSE),'20Trips'!$AB$46:$AH$50,5,FALSE))/1440),1,0)</f>
        <v>0</v>
      </c>
      <c r="E83" s="2">
        <f>IF(AND(VLOOKUP(E$1,'20Trips'!$A$3:$F$22,5,FALSE) - VLOOKUP($B83,'20Trips'!$A$3:$G$22,6,FALSE) &gt;= ('20Trips'!$B$25+VLOOKUP(VLOOKUP($B83,'20Trips'!$A$2:$I$22,4,FALSE),'20Trips'!$AB$46:$AH$50,5,FALSE))/1440),1,0)</f>
        <v>0</v>
      </c>
      <c r="F83" s="2">
        <f>IF(AND(VLOOKUP(F$1,'20Trips'!$A$3:$F$22,5,FALSE) - VLOOKUP($B83,'20Trips'!$A$3:$G$22,6,FALSE) &gt;= ('20Trips'!$B$25+VLOOKUP(VLOOKUP($B83,'20Trips'!$A$2:$I$22,4,FALSE),'20Trips'!$AB$46:$AH$50,5,FALSE))/1440),1,0)</f>
        <v>0</v>
      </c>
      <c r="G83" s="2">
        <f>IF(AND(VLOOKUP(G$1,'20Trips'!$A$3:$F$22,5,FALSE) - VLOOKUP($B83,'20Trips'!$A$3:$G$22,6,FALSE) &gt;= ('20Trips'!$B$25+VLOOKUP(VLOOKUP($B83,'20Trips'!$A$2:$I$22,4,FALSE),'20Trips'!$AB$46:$AH$50,5,FALSE))/1440),1,0)</f>
        <v>0</v>
      </c>
      <c r="H83" s="2">
        <f>IF(AND(VLOOKUP(H$1,'20Trips'!$A$3:$F$22,5,FALSE) - VLOOKUP($B83,'20Trips'!$A$3:$G$22,6,FALSE) &gt;= ('20Trips'!$B$25+VLOOKUP(VLOOKUP($B83,'20Trips'!$A$2:$I$22,4,FALSE),'20Trips'!$AB$46:$AH$50,5,FALSE))/1440),1,0)</f>
        <v>0</v>
      </c>
      <c r="I83" s="2" t="e">
        <f>IF(AND(VLOOKUP(I$1,'20Trips'!$A$3:$F$22,5,FALSE) - VLOOKUP($B83,'20Trips'!$A$3:$G$22,6,FALSE) &gt;= ('20Trips'!$B$25+VLOOKUP(VLOOKUP($B83,'20Trips'!$A$2:$I$22,4,FALSE),'20Trips'!$AB$46:$AH$50,5,FALSE))/1440),1,0)</f>
        <v>#N/A</v>
      </c>
      <c r="J83" s="2" t="e">
        <f>IF(AND(VLOOKUP(J$1,'20Trips'!$A$3:$F$22,5,FALSE) - VLOOKUP($B83,'20Trips'!$A$3:$G$22,6,FALSE) &gt;= ('20Trips'!$B$25+VLOOKUP(VLOOKUP($B83,'20Trips'!$A$2:$I$22,4,FALSE),'20Trips'!$AB$46:$AH$50,5,FALSE))/1440),1,0)</f>
        <v>#N/A</v>
      </c>
      <c r="K83" s="2" t="e">
        <f>IF(AND(VLOOKUP(K$1,'20Trips'!$A$3:$F$22,5,FALSE) - VLOOKUP($B83,'20Trips'!$A$3:$G$22,6,FALSE) &gt;= ('20Trips'!$B$25+VLOOKUP(VLOOKUP($B83,'20Trips'!$A$2:$I$22,4,FALSE),'20Trips'!$AB$46:$AH$50,5,FALSE))/1440),1,0)</f>
        <v>#N/A</v>
      </c>
      <c r="L83" s="2">
        <f>IF(AND(VLOOKUP(L$1,'20Trips'!$A$3:$F$22,5,FALSE) - VLOOKUP($B83,'20Trips'!$A$3:$G$22,6,FALSE) &gt;= ('20Trips'!$B$25+VLOOKUP(VLOOKUP($B83,'20Trips'!$A$2:$I$22,4,FALSE),'20Trips'!$AB$46:$AH$50,5,FALSE))/1440),1,0)</f>
        <v>0</v>
      </c>
      <c r="M83" s="2">
        <f>IF(AND(VLOOKUP(M$1,'20Trips'!$A$3:$F$22,5,FALSE) - VLOOKUP($B83,'20Trips'!$A$3:$G$22,6,FALSE) &gt;= ('20Trips'!$B$25+VLOOKUP(VLOOKUP($B83,'20Trips'!$A$2:$I$22,4,FALSE),'20Trips'!$AB$46:$AH$50,5,FALSE))/1440),1,0)</f>
        <v>0</v>
      </c>
      <c r="N83" s="2">
        <f>IF(AND(VLOOKUP(N$1,'20Trips'!$A$3:$F$22,5,FALSE) - VLOOKUP($B83,'20Trips'!$A$3:$G$22,6,FALSE) &gt;= ('20Trips'!$B$25+VLOOKUP(VLOOKUP($B83,'20Trips'!$A$2:$I$22,4,FALSE),'20Trips'!$AB$46:$AH$50,5,FALSE))/1440),1,0)</f>
        <v>0</v>
      </c>
      <c r="O83" s="2">
        <f>IF(AND(VLOOKUP(O$1,'20Trips'!$A$3:$F$22,5,FALSE) - VLOOKUP($B83,'20Trips'!$A$3:$G$22,6,FALSE) &gt;= ('20Trips'!$B$25+VLOOKUP(VLOOKUP($B83,'20Trips'!$A$2:$I$22,4,FALSE),'20Trips'!$AB$46:$AH$50,5,FALSE))/1440),1,0)</f>
        <v>0</v>
      </c>
      <c r="P83" s="2">
        <f>IF(AND(VLOOKUP(P$1,'20Trips'!$A$3:$F$22,5,FALSE) - VLOOKUP($B83,'20Trips'!$A$3:$G$22,6,FALSE) &gt;= ('20Trips'!$B$25+VLOOKUP(VLOOKUP($B83,'20Trips'!$A$2:$I$22,4,FALSE),'20Trips'!$AB$46:$AH$50,5,FALSE))/1440),1,0)</f>
        <v>1</v>
      </c>
      <c r="Q83" s="2" t="e">
        <f>IF(AND(VLOOKUP(Q$1,'20Trips'!$A$3:$F$22,5,FALSE) - VLOOKUP($B83,'20Trips'!$A$3:$G$22,6,FALSE) &gt;= ('20Trips'!$B$25+VLOOKUP(VLOOKUP($B83,'20Trips'!$A$2:$I$22,4,FALSE),'20Trips'!$AB$46:$AH$50,5,FALSE))/1440),1,0)</f>
        <v>#N/A</v>
      </c>
      <c r="R83" s="2">
        <f>IF(AND(VLOOKUP(R$1,'20Trips'!$A$3:$F$22,5,FALSE) - VLOOKUP($B83,'20Trips'!$A$3:$G$22,6,FALSE) &gt;= ('20Trips'!$B$25+VLOOKUP(VLOOKUP($B83,'20Trips'!$A$2:$I$22,4,FALSE),'20Trips'!$AB$46:$AH$50,5,FALSE))/1440),1,0)</f>
        <v>0</v>
      </c>
      <c r="S83" s="2">
        <f>IF(AND(VLOOKUP(S$1,'20Trips'!$A$3:$F$22,5,FALSE) - VLOOKUP($B83,'20Trips'!$A$3:$G$22,6,FALSE) &gt;= ('20Trips'!$B$25+VLOOKUP(VLOOKUP($B83,'20Trips'!$A$2:$I$22,4,FALSE),'20Trips'!$AB$46:$AH$50,5,FALSE))/1440),1,0)</f>
        <v>0</v>
      </c>
      <c r="T83" s="2">
        <f>IF(AND(VLOOKUP(T$1,'20Trips'!$A$3:$F$22,5,FALSE) - VLOOKUP($B83,'20Trips'!$A$3:$G$22,6,FALSE) &gt;= ('20Trips'!$B$25+VLOOKUP(VLOOKUP($B83,'20Trips'!$A$2:$I$22,4,FALSE),'20Trips'!$AB$46:$AH$50,5,FALSE))/1440),1,0)</f>
        <v>0</v>
      </c>
      <c r="U83" s="2">
        <f>IF(AND(VLOOKUP(U$1,'20Trips'!$A$3:$F$22,5,FALSE) - VLOOKUP($B83,'20Trips'!$A$3:$G$22,6,FALSE) &gt;= ('20Trips'!$B$25+VLOOKUP(VLOOKUP($B83,'20Trips'!$A$2:$I$22,4,FALSE),'20Trips'!$AB$46:$AH$50,5,FALSE))/1440),1,0)</f>
        <v>0</v>
      </c>
      <c r="V83" s="2">
        <f>IF(AND(VLOOKUP(V$1,'20Trips'!$A$3:$F$22,5,FALSE) - VLOOKUP($B83,'20Trips'!$A$3:$G$22,6,FALSE) &gt;= ('20Trips'!$B$25+VLOOKUP(VLOOKUP($B83,'20Trips'!$A$2:$I$22,4,FALSE),'20Trips'!$AB$46:$AH$50,5,FALSE))/1440),1,0)</f>
        <v>0</v>
      </c>
      <c r="W83" s="2" t="e">
        <f>IF(AND(VLOOKUP(W$1,'20Trips'!$A$3:$F$22,5,FALSE) - VLOOKUP($B83,'20Trips'!$A$3:$G$22,6,FALSE) &gt;= ('20Trips'!$B$25+VLOOKUP(VLOOKUP($B83,'20Trips'!$A$2:$I$22,4,FALSE),'20Trips'!$AB$46:$AH$50,5,FALSE))/1440),1,0)</f>
        <v>#N/A</v>
      </c>
      <c r="X83" s="2" t="e">
        <f>IF(AND(VLOOKUP(X$1,'20Trips'!$A$3:$F$22,5,FALSE) - VLOOKUP($B83,'20Trips'!$A$3:$G$22,6,FALSE) &gt;= ('20Trips'!$B$25+VLOOKUP(VLOOKUP($B83,'20Trips'!$A$2:$I$22,4,FALSE),'20Trips'!$AB$46:$AH$50,5,FALSE))/1440),1,0)</f>
        <v>#N/A</v>
      </c>
      <c r="Y83" s="2" t="e">
        <f>IF(AND(VLOOKUP(Y$1,'20Trips'!$A$3:$F$22,5,FALSE) - VLOOKUP($B83,'20Trips'!$A$3:$G$22,6,FALSE) &gt;= ('20Trips'!$B$25+VLOOKUP(VLOOKUP($B83,'20Trips'!$A$2:$I$22,4,FALSE),'20Trips'!$AB$46:$AH$50,5,FALSE))/1440),1,0)</f>
        <v>#N/A</v>
      </c>
      <c r="Z83" s="2">
        <f>IF(AND(VLOOKUP(Z$1,'20Trips'!$A$3:$F$22,5,FALSE) - VLOOKUP($B83,'20Trips'!$A$3:$G$22,6,FALSE) &gt;= ('20Trips'!$B$25+VLOOKUP(VLOOKUP($B83,'20Trips'!$A$2:$I$22,4,FALSE),'20Trips'!$AB$46:$AH$50,5,FALSE))/1440),1,0)</f>
        <v>0</v>
      </c>
      <c r="AA83" s="2">
        <f>IF(AND(VLOOKUP(AA$1,'20Trips'!$A$3:$F$22,5,FALSE) - VLOOKUP($B83,'20Trips'!$A$3:$G$22,6,FALSE) &gt;= ('20Trips'!$B$25+VLOOKUP(VLOOKUP($B83,'20Trips'!$A$2:$I$22,4,FALSE),'20Trips'!$AB$46:$AH$50,5,FALSE))/1440),1,0)</f>
        <v>0</v>
      </c>
      <c r="AB83" s="2">
        <f>IF(AND(VLOOKUP(AB$1,'20Trips'!$A$3:$F$22,5,FALSE) - VLOOKUP($B83,'20Trips'!$A$3:$G$22,6,FALSE) &gt;= ('20Trips'!$B$25+VLOOKUP(VLOOKUP($B83,'20Trips'!$A$2:$I$22,4,FALSE),'20Trips'!$AB$46:$AH$50,5,FALSE))/1440),1,0)</f>
        <v>0</v>
      </c>
      <c r="AC83" s="2">
        <f>IF(AND(VLOOKUP(AC$1,'20Trips'!$A$3:$F$22,5,FALSE) - VLOOKUP($B83,'20Trips'!$A$3:$G$22,6,FALSE) &gt;= ('20Trips'!$B$25+VLOOKUP(VLOOKUP($B83,'20Trips'!$A$2:$I$22,4,FALSE),'20Trips'!$AB$46:$AH$50,5,FALSE))/1440),1,0)</f>
        <v>0</v>
      </c>
      <c r="AD83" s="2">
        <f>IF(AND(VLOOKUP(AD$1,'20Trips'!$A$3:$F$22,5,FALSE) - VLOOKUP($B83,'20Trips'!$A$3:$G$22,6,FALSE) &gt;= ('20Trips'!$B$25+VLOOKUP(VLOOKUP($B83,'20Trips'!$A$2:$I$22,4,FALSE),'20Trips'!$AB$46:$AH$50,5,FALSE))/1440),1,0)</f>
        <v>0</v>
      </c>
      <c r="AE83" s="2" t="e">
        <f>IF(AND(VLOOKUP(AE$1,'20Trips'!$A$3:$F$22,5,FALSE) - VLOOKUP($B83,'20Trips'!$A$3:$G$22,6,FALSE) &gt;= ('20Trips'!$B$25+VLOOKUP(VLOOKUP($B83,'20Trips'!$A$2:$I$22,4,FALSE),'20Trips'!$AB$46:$AH$50,5,FALSE))/1440),1,0)</f>
        <v>#N/A</v>
      </c>
      <c r="AF83" s="2" t="e">
        <f>IF(AND(VLOOKUP(AF$1,'20Trips'!$A$3:$F$22,5,FALSE) - VLOOKUP($B83,'20Trips'!$A$3:$G$22,6,FALSE) &gt;= ('20Trips'!$B$25+VLOOKUP(VLOOKUP($B83,'20Trips'!$A$2:$I$22,4,FALSE),'20Trips'!$AB$46:$AH$50,5,FALSE))/1440),1,0)</f>
        <v>#N/A</v>
      </c>
      <c r="AG83" s="2" t="e">
        <f>IF(AND(VLOOKUP(AG$1,'20Trips'!$A$3:$F$22,5,FALSE) - VLOOKUP($B83,'20Trips'!$A$3:$G$22,6,FALSE) &gt;= ('20Trips'!$B$25+VLOOKUP(VLOOKUP($B83,'20Trips'!$A$2:$I$22,4,FALSE),'20Trips'!$AB$46:$AH$50,5,FALSE))/1440),1,0)</f>
        <v>#N/A</v>
      </c>
    </row>
    <row r="84" spans="1:33" x14ac:dyDescent="0.25">
      <c r="A84" t="s">
        <v>67</v>
      </c>
      <c r="B84" t="s">
        <v>31</v>
      </c>
      <c r="C84">
        <v>0</v>
      </c>
      <c r="D84" s="2" t="e">
        <f>IF(AND(VLOOKUP(D$1,'20Trips'!$A$3:$F$22,5,FALSE) - VLOOKUP($B84,'20Trips'!$A$3:$G$22,6,FALSE) &gt;= ('20Trips'!$B$25+VLOOKUP(VLOOKUP($B84,'20Trips'!$A$2:$I$22,4,FALSE),'20Trips'!$AB$46:$AH$50,5,FALSE))/1440),1,0)</f>
        <v>#N/A</v>
      </c>
      <c r="E84" s="2" t="e">
        <f>IF(AND(VLOOKUP(E$1,'20Trips'!$A$3:$F$22,5,FALSE) - VLOOKUP($B84,'20Trips'!$A$3:$G$22,6,FALSE) &gt;= ('20Trips'!$B$25+VLOOKUP(VLOOKUP($B84,'20Trips'!$A$2:$I$22,4,FALSE),'20Trips'!$AB$46:$AH$50,5,FALSE))/1440),1,0)</f>
        <v>#N/A</v>
      </c>
      <c r="F84" s="2" t="e">
        <f>IF(AND(VLOOKUP(F$1,'20Trips'!$A$3:$F$22,5,FALSE) - VLOOKUP($B84,'20Trips'!$A$3:$G$22,6,FALSE) &gt;= ('20Trips'!$B$25+VLOOKUP(VLOOKUP($B84,'20Trips'!$A$2:$I$22,4,FALSE),'20Trips'!$AB$46:$AH$50,5,FALSE))/1440),1,0)</f>
        <v>#N/A</v>
      </c>
      <c r="G84" s="2" t="e">
        <f>IF(AND(VLOOKUP(G$1,'20Trips'!$A$3:$F$22,5,FALSE) - VLOOKUP($B84,'20Trips'!$A$3:$G$22,6,FALSE) &gt;= ('20Trips'!$B$25+VLOOKUP(VLOOKUP($B84,'20Trips'!$A$2:$I$22,4,FALSE),'20Trips'!$AB$46:$AH$50,5,FALSE))/1440),1,0)</f>
        <v>#N/A</v>
      </c>
      <c r="H84" s="2" t="e">
        <f>IF(AND(VLOOKUP(H$1,'20Trips'!$A$3:$F$22,5,FALSE) - VLOOKUP($B84,'20Trips'!$A$3:$G$22,6,FALSE) &gt;= ('20Trips'!$B$25+VLOOKUP(VLOOKUP($B84,'20Trips'!$A$2:$I$22,4,FALSE),'20Trips'!$AB$46:$AH$50,5,FALSE))/1440),1,0)</f>
        <v>#N/A</v>
      </c>
      <c r="I84" s="2" t="e">
        <f>IF(AND(VLOOKUP(I$1,'20Trips'!$A$3:$F$22,5,FALSE) - VLOOKUP($B84,'20Trips'!$A$3:$G$22,6,FALSE) &gt;= ('20Trips'!$B$25+VLOOKUP(VLOOKUP($B84,'20Trips'!$A$2:$I$22,4,FALSE),'20Trips'!$AB$46:$AH$50,5,FALSE))/1440),1,0)</f>
        <v>#N/A</v>
      </c>
      <c r="J84" s="2" t="e">
        <f>IF(AND(VLOOKUP(J$1,'20Trips'!$A$3:$F$22,5,FALSE) - VLOOKUP($B84,'20Trips'!$A$3:$G$22,6,FALSE) &gt;= ('20Trips'!$B$25+VLOOKUP(VLOOKUP($B84,'20Trips'!$A$2:$I$22,4,FALSE),'20Trips'!$AB$46:$AH$50,5,FALSE))/1440),1,0)</f>
        <v>#N/A</v>
      </c>
      <c r="K84" s="2" t="e">
        <f>IF(AND(VLOOKUP(K$1,'20Trips'!$A$3:$F$22,5,FALSE) - VLOOKUP($B84,'20Trips'!$A$3:$G$22,6,FALSE) &gt;= ('20Trips'!$B$25+VLOOKUP(VLOOKUP($B84,'20Trips'!$A$2:$I$22,4,FALSE),'20Trips'!$AB$46:$AH$50,5,FALSE))/1440),1,0)</f>
        <v>#N/A</v>
      </c>
      <c r="L84" s="2" t="e">
        <f>IF(AND(VLOOKUP(L$1,'20Trips'!$A$3:$F$22,5,FALSE) - VLOOKUP($B84,'20Trips'!$A$3:$G$22,6,FALSE) &gt;= ('20Trips'!$B$25+VLOOKUP(VLOOKUP($B84,'20Trips'!$A$2:$I$22,4,FALSE),'20Trips'!$AB$46:$AH$50,5,FALSE))/1440),1,0)</f>
        <v>#N/A</v>
      </c>
      <c r="M84" s="2" t="e">
        <f>IF(AND(VLOOKUP(M$1,'20Trips'!$A$3:$F$22,5,FALSE) - VLOOKUP($B84,'20Trips'!$A$3:$G$22,6,FALSE) &gt;= ('20Trips'!$B$25+VLOOKUP(VLOOKUP($B84,'20Trips'!$A$2:$I$22,4,FALSE),'20Trips'!$AB$46:$AH$50,5,FALSE))/1440),1,0)</f>
        <v>#N/A</v>
      </c>
      <c r="N84" s="2" t="e">
        <f>IF(AND(VLOOKUP(N$1,'20Trips'!$A$3:$F$22,5,FALSE) - VLOOKUP($B84,'20Trips'!$A$3:$G$22,6,FALSE) &gt;= ('20Trips'!$B$25+VLOOKUP(VLOOKUP($B84,'20Trips'!$A$2:$I$22,4,FALSE),'20Trips'!$AB$46:$AH$50,5,FALSE))/1440),1,0)</f>
        <v>#N/A</v>
      </c>
      <c r="O84" s="2" t="e">
        <f>IF(AND(VLOOKUP(O$1,'20Trips'!$A$3:$F$22,5,FALSE) - VLOOKUP($B84,'20Trips'!$A$3:$G$22,6,FALSE) &gt;= ('20Trips'!$B$25+VLOOKUP(VLOOKUP($B84,'20Trips'!$A$2:$I$22,4,FALSE),'20Trips'!$AB$46:$AH$50,5,FALSE))/1440),1,0)</f>
        <v>#N/A</v>
      </c>
      <c r="P84" s="2" t="e">
        <f>IF(AND(VLOOKUP(P$1,'20Trips'!$A$3:$F$22,5,FALSE) - VLOOKUP($B84,'20Trips'!$A$3:$G$22,6,FALSE) &gt;= ('20Trips'!$B$25+VLOOKUP(VLOOKUP($B84,'20Trips'!$A$2:$I$22,4,FALSE),'20Trips'!$AB$46:$AH$50,5,FALSE))/1440),1,0)</f>
        <v>#N/A</v>
      </c>
      <c r="Q84" s="2" t="e">
        <f>IF(AND(VLOOKUP(Q$1,'20Trips'!$A$3:$F$22,5,FALSE) - VLOOKUP($B84,'20Trips'!$A$3:$G$22,6,FALSE) &gt;= ('20Trips'!$B$25+VLOOKUP(VLOOKUP($B84,'20Trips'!$A$2:$I$22,4,FALSE),'20Trips'!$AB$46:$AH$50,5,FALSE))/1440),1,0)</f>
        <v>#N/A</v>
      </c>
      <c r="R84" s="2" t="e">
        <f>IF(AND(VLOOKUP(R$1,'20Trips'!$A$3:$F$22,5,FALSE) - VLOOKUP($B84,'20Trips'!$A$3:$G$22,6,FALSE) &gt;= ('20Trips'!$B$25+VLOOKUP(VLOOKUP($B84,'20Trips'!$A$2:$I$22,4,FALSE),'20Trips'!$AB$46:$AH$50,5,FALSE))/1440),1,0)</f>
        <v>#N/A</v>
      </c>
      <c r="S84" s="2" t="e">
        <f>IF(AND(VLOOKUP(S$1,'20Trips'!$A$3:$F$22,5,FALSE) - VLOOKUP($B84,'20Trips'!$A$3:$G$22,6,FALSE) &gt;= ('20Trips'!$B$25+VLOOKUP(VLOOKUP($B84,'20Trips'!$A$2:$I$22,4,FALSE),'20Trips'!$AB$46:$AH$50,5,FALSE))/1440),1,0)</f>
        <v>#N/A</v>
      </c>
      <c r="T84" s="2" t="e">
        <f>IF(AND(VLOOKUP(T$1,'20Trips'!$A$3:$F$22,5,FALSE) - VLOOKUP($B84,'20Trips'!$A$3:$G$22,6,FALSE) &gt;= ('20Trips'!$B$25+VLOOKUP(VLOOKUP($B84,'20Trips'!$A$2:$I$22,4,FALSE),'20Trips'!$AB$46:$AH$50,5,FALSE))/1440),1,0)</f>
        <v>#N/A</v>
      </c>
      <c r="U84" s="2" t="e">
        <f>IF(AND(VLOOKUP(U$1,'20Trips'!$A$3:$F$22,5,FALSE) - VLOOKUP($B84,'20Trips'!$A$3:$G$22,6,FALSE) &gt;= ('20Trips'!$B$25+VLOOKUP(VLOOKUP($B84,'20Trips'!$A$2:$I$22,4,FALSE),'20Trips'!$AB$46:$AH$50,5,FALSE))/1440),1,0)</f>
        <v>#N/A</v>
      </c>
      <c r="V84" s="2" t="e">
        <f>IF(AND(VLOOKUP(V$1,'20Trips'!$A$3:$F$22,5,FALSE) - VLOOKUP($B84,'20Trips'!$A$3:$G$22,6,FALSE) &gt;= ('20Trips'!$B$25+VLOOKUP(VLOOKUP($B84,'20Trips'!$A$2:$I$22,4,FALSE),'20Trips'!$AB$46:$AH$50,5,FALSE))/1440),1,0)</f>
        <v>#N/A</v>
      </c>
      <c r="W84" s="2" t="e">
        <f>IF(AND(VLOOKUP(W$1,'20Trips'!$A$3:$F$22,5,FALSE) - VLOOKUP($B84,'20Trips'!$A$3:$G$22,6,FALSE) &gt;= ('20Trips'!$B$25+VLOOKUP(VLOOKUP($B84,'20Trips'!$A$2:$I$22,4,FALSE),'20Trips'!$AB$46:$AH$50,5,FALSE))/1440),1,0)</f>
        <v>#N/A</v>
      </c>
      <c r="X84" s="2" t="e">
        <f>IF(AND(VLOOKUP(X$1,'20Trips'!$A$3:$F$22,5,FALSE) - VLOOKUP($B84,'20Trips'!$A$3:$G$22,6,FALSE) &gt;= ('20Trips'!$B$25+VLOOKUP(VLOOKUP($B84,'20Trips'!$A$2:$I$22,4,FALSE),'20Trips'!$AB$46:$AH$50,5,FALSE))/1440),1,0)</f>
        <v>#N/A</v>
      </c>
      <c r="Y84" s="2" t="e">
        <f>IF(AND(VLOOKUP(Y$1,'20Trips'!$A$3:$F$22,5,FALSE) - VLOOKUP($B84,'20Trips'!$A$3:$G$22,6,FALSE) &gt;= ('20Trips'!$B$25+VLOOKUP(VLOOKUP($B84,'20Trips'!$A$2:$I$22,4,FALSE),'20Trips'!$AB$46:$AH$50,5,FALSE))/1440),1,0)</f>
        <v>#N/A</v>
      </c>
      <c r="Z84" s="2" t="e">
        <f>IF(AND(VLOOKUP(Z$1,'20Trips'!$A$3:$F$22,5,FALSE) - VLOOKUP($B84,'20Trips'!$A$3:$G$22,6,FALSE) &gt;= ('20Trips'!$B$25+VLOOKUP(VLOOKUP($B84,'20Trips'!$A$2:$I$22,4,FALSE),'20Trips'!$AB$46:$AH$50,5,FALSE))/1440),1,0)</f>
        <v>#N/A</v>
      </c>
      <c r="AA84" s="2" t="e">
        <f>IF(AND(VLOOKUP(AA$1,'20Trips'!$A$3:$F$22,5,FALSE) - VLOOKUP($B84,'20Trips'!$A$3:$G$22,6,FALSE) &gt;= ('20Trips'!$B$25+VLOOKUP(VLOOKUP($B84,'20Trips'!$A$2:$I$22,4,FALSE),'20Trips'!$AB$46:$AH$50,5,FALSE))/1440),1,0)</f>
        <v>#N/A</v>
      </c>
      <c r="AB84" s="2" t="e">
        <f>IF(AND(VLOOKUP(AB$1,'20Trips'!$A$3:$F$22,5,FALSE) - VLOOKUP($B84,'20Trips'!$A$3:$G$22,6,FALSE) &gt;= ('20Trips'!$B$25+VLOOKUP(VLOOKUP($B84,'20Trips'!$A$2:$I$22,4,FALSE),'20Trips'!$AB$46:$AH$50,5,FALSE))/1440),1,0)</f>
        <v>#N/A</v>
      </c>
      <c r="AC84" s="2" t="e">
        <f>IF(AND(VLOOKUP(AC$1,'20Trips'!$A$3:$F$22,5,FALSE) - VLOOKUP($B84,'20Trips'!$A$3:$G$22,6,FALSE) &gt;= ('20Trips'!$B$25+VLOOKUP(VLOOKUP($B84,'20Trips'!$A$2:$I$22,4,FALSE),'20Trips'!$AB$46:$AH$50,5,FALSE))/1440),1,0)</f>
        <v>#N/A</v>
      </c>
      <c r="AD84" s="2" t="e">
        <f>IF(AND(VLOOKUP(AD$1,'20Trips'!$A$3:$F$22,5,FALSE) - VLOOKUP($B84,'20Trips'!$A$3:$G$22,6,FALSE) &gt;= ('20Trips'!$B$25+VLOOKUP(VLOOKUP($B84,'20Trips'!$A$2:$I$22,4,FALSE),'20Trips'!$AB$46:$AH$50,5,FALSE))/1440),1,0)</f>
        <v>#N/A</v>
      </c>
      <c r="AE84" s="2" t="e">
        <f>IF(AND(VLOOKUP(AE$1,'20Trips'!$A$3:$F$22,5,FALSE) - VLOOKUP($B84,'20Trips'!$A$3:$G$22,6,FALSE) &gt;= ('20Trips'!$B$25+VLOOKUP(VLOOKUP($B84,'20Trips'!$A$2:$I$22,4,FALSE),'20Trips'!$AB$46:$AH$50,5,FALSE))/1440),1,0)</f>
        <v>#N/A</v>
      </c>
      <c r="AF84" s="2" t="e">
        <f>IF(AND(VLOOKUP(AF$1,'20Trips'!$A$3:$F$22,5,FALSE) - VLOOKUP($B84,'20Trips'!$A$3:$G$22,6,FALSE) &gt;= ('20Trips'!$B$25+VLOOKUP(VLOOKUP($B84,'20Trips'!$A$2:$I$22,4,FALSE),'20Trips'!$AB$46:$AH$50,5,FALSE))/1440),1,0)</f>
        <v>#N/A</v>
      </c>
      <c r="AG84" s="2" t="e">
        <f>IF(AND(VLOOKUP(AG$1,'20Trips'!$A$3:$F$22,5,FALSE) - VLOOKUP($B84,'20Trips'!$A$3:$G$22,6,FALSE) &gt;= ('20Trips'!$B$25+VLOOKUP(VLOOKUP($B84,'20Trips'!$A$2:$I$22,4,FALSE),'20Trips'!$AB$46:$AH$50,5,FALSE))/1440),1,0)</f>
        <v>#N/A</v>
      </c>
    </row>
    <row r="85" spans="1:33" x14ac:dyDescent="0.25">
      <c r="A85" t="s">
        <v>67</v>
      </c>
      <c r="B85" t="s">
        <v>32</v>
      </c>
      <c r="C85">
        <v>0</v>
      </c>
      <c r="D85" s="2" t="e">
        <f>IF(AND(VLOOKUP(D$1,'20Trips'!$A$3:$F$22,5,FALSE) - VLOOKUP($B85,'20Trips'!$A$3:$G$22,6,FALSE) &gt;= ('20Trips'!$B$25+VLOOKUP(VLOOKUP($B85,'20Trips'!$A$2:$I$22,4,FALSE),'20Trips'!$AB$46:$AH$50,5,FALSE))/1440),1,0)</f>
        <v>#N/A</v>
      </c>
      <c r="E85" s="2" t="e">
        <f>IF(AND(VLOOKUP(E$1,'20Trips'!$A$3:$F$22,5,FALSE) - VLOOKUP($B85,'20Trips'!$A$3:$G$22,6,FALSE) &gt;= ('20Trips'!$B$25+VLOOKUP(VLOOKUP($B85,'20Trips'!$A$2:$I$22,4,FALSE),'20Trips'!$AB$46:$AH$50,5,FALSE))/1440),1,0)</f>
        <v>#N/A</v>
      </c>
      <c r="F85" s="2" t="e">
        <f>IF(AND(VLOOKUP(F$1,'20Trips'!$A$3:$F$22,5,FALSE) - VLOOKUP($B85,'20Trips'!$A$3:$G$22,6,FALSE) &gt;= ('20Trips'!$B$25+VLOOKUP(VLOOKUP($B85,'20Trips'!$A$2:$I$22,4,FALSE),'20Trips'!$AB$46:$AH$50,5,FALSE))/1440),1,0)</f>
        <v>#N/A</v>
      </c>
      <c r="G85" s="2" t="e">
        <f>IF(AND(VLOOKUP(G$1,'20Trips'!$A$3:$F$22,5,FALSE) - VLOOKUP($B85,'20Trips'!$A$3:$G$22,6,FALSE) &gt;= ('20Trips'!$B$25+VLOOKUP(VLOOKUP($B85,'20Trips'!$A$2:$I$22,4,FALSE),'20Trips'!$AB$46:$AH$50,5,FALSE))/1440),1,0)</f>
        <v>#N/A</v>
      </c>
      <c r="H85" s="2" t="e">
        <f>IF(AND(VLOOKUP(H$1,'20Trips'!$A$3:$F$22,5,FALSE) - VLOOKUP($B85,'20Trips'!$A$3:$G$22,6,FALSE) &gt;= ('20Trips'!$B$25+VLOOKUP(VLOOKUP($B85,'20Trips'!$A$2:$I$22,4,FALSE),'20Trips'!$AB$46:$AH$50,5,FALSE))/1440),1,0)</f>
        <v>#N/A</v>
      </c>
      <c r="I85" s="2" t="e">
        <f>IF(AND(VLOOKUP(I$1,'20Trips'!$A$3:$F$22,5,FALSE) - VLOOKUP($B85,'20Trips'!$A$3:$G$22,6,FALSE) &gt;= ('20Trips'!$B$25+VLOOKUP(VLOOKUP($B85,'20Trips'!$A$2:$I$22,4,FALSE),'20Trips'!$AB$46:$AH$50,5,FALSE))/1440),1,0)</f>
        <v>#N/A</v>
      </c>
      <c r="J85" s="2" t="e">
        <f>IF(AND(VLOOKUP(J$1,'20Trips'!$A$3:$F$22,5,FALSE) - VLOOKUP($B85,'20Trips'!$A$3:$G$22,6,FALSE) &gt;= ('20Trips'!$B$25+VLOOKUP(VLOOKUP($B85,'20Trips'!$A$2:$I$22,4,FALSE),'20Trips'!$AB$46:$AH$50,5,FALSE))/1440),1,0)</f>
        <v>#N/A</v>
      </c>
      <c r="K85" s="2" t="e">
        <f>IF(AND(VLOOKUP(K$1,'20Trips'!$A$3:$F$22,5,FALSE) - VLOOKUP($B85,'20Trips'!$A$3:$G$22,6,FALSE) &gt;= ('20Trips'!$B$25+VLOOKUP(VLOOKUP($B85,'20Trips'!$A$2:$I$22,4,FALSE),'20Trips'!$AB$46:$AH$50,5,FALSE))/1440),1,0)</f>
        <v>#N/A</v>
      </c>
      <c r="L85" s="2" t="e">
        <f>IF(AND(VLOOKUP(L$1,'20Trips'!$A$3:$F$22,5,FALSE) - VLOOKUP($B85,'20Trips'!$A$3:$G$22,6,FALSE) &gt;= ('20Trips'!$B$25+VLOOKUP(VLOOKUP($B85,'20Trips'!$A$2:$I$22,4,FALSE),'20Trips'!$AB$46:$AH$50,5,FALSE))/1440),1,0)</f>
        <v>#N/A</v>
      </c>
      <c r="M85" s="2" t="e">
        <f>IF(AND(VLOOKUP(M$1,'20Trips'!$A$3:$F$22,5,FALSE) - VLOOKUP($B85,'20Trips'!$A$3:$G$22,6,FALSE) &gt;= ('20Trips'!$B$25+VLOOKUP(VLOOKUP($B85,'20Trips'!$A$2:$I$22,4,FALSE),'20Trips'!$AB$46:$AH$50,5,FALSE))/1440),1,0)</f>
        <v>#N/A</v>
      </c>
      <c r="N85" s="2" t="e">
        <f>IF(AND(VLOOKUP(N$1,'20Trips'!$A$3:$F$22,5,FALSE) - VLOOKUP($B85,'20Trips'!$A$3:$G$22,6,FALSE) &gt;= ('20Trips'!$B$25+VLOOKUP(VLOOKUP($B85,'20Trips'!$A$2:$I$22,4,FALSE),'20Trips'!$AB$46:$AH$50,5,FALSE))/1440),1,0)</f>
        <v>#N/A</v>
      </c>
      <c r="O85" s="2" t="e">
        <f>IF(AND(VLOOKUP(O$1,'20Trips'!$A$3:$F$22,5,FALSE) - VLOOKUP($B85,'20Trips'!$A$3:$G$22,6,FALSE) &gt;= ('20Trips'!$B$25+VLOOKUP(VLOOKUP($B85,'20Trips'!$A$2:$I$22,4,FALSE),'20Trips'!$AB$46:$AH$50,5,FALSE))/1440),1,0)</f>
        <v>#N/A</v>
      </c>
      <c r="P85" s="2" t="e">
        <f>IF(AND(VLOOKUP(P$1,'20Trips'!$A$3:$F$22,5,FALSE) - VLOOKUP($B85,'20Trips'!$A$3:$G$22,6,FALSE) &gt;= ('20Trips'!$B$25+VLOOKUP(VLOOKUP($B85,'20Trips'!$A$2:$I$22,4,FALSE),'20Trips'!$AB$46:$AH$50,5,FALSE))/1440),1,0)</f>
        <v>#N/A</v>
      </c>
      <c r="Q85" s="2" t="e">
        <f>IF(AND(VLOOKUP(Q$1,'20Trips'!$A$3:$F$22,5,FALSE) - VLOOKUP($B85,'20Trips'!$A$3:$G$22,6,FALSE) &gt;= ('20Trips'!$B$25+VLOOKUP(VLOOKUP($B85,'20Trips'!$A$2:$I$22,4,FALSE),'20Trips'!$AB$46:$AH$50,5,FALSE))/1440),1,0)</f>
        <v>#N/A</v>
      </c>
      <c r="R85" s="2" t="e">
        <f>IF(AND(VLOOKUP(R$1,'20Trips'!$A$3:$F$22,5,FALSE) - VLOOKUP($B85,'20Trips'!$A$3:$G$22,6,FALSE) &gt;= ('20Trips'!$B$25+VLOOKUP(VLOOKUP($B85,'20Trips'!$A$2:$I$22,4,FALSE),'20Trips'!$AB$46:$AH$50,5,FALSE))/1440),1,0)</f>
        <v>#N/A</v>
      </c>
      <c r="S85" s="2" t="e">
        <f>IF(AND(VLOOKUP(S$1,'20Trips'!$A$3:$F$22,5,FALSE) - VLOOKUP($B85,'20Trips'!$A$3:$G$22,6,FALSE) &gt;= ('20Trips'!$B$25+VLOOKUP(VLOOKUP($B85,'20Trips'!$A$2:$I$22,4,FALSE),'20Trips'!$AB$46:$AH$50,5,FALSE))/1440),1,0)</f>
        <v>#N/A</v>
      </c>
      <c r="T85" s="2" t="e">
        <f>IF(AND(VLOOKUP(T$1,'20Trips'!$A$3:$F$22,5,FALSE) - VLOOKUP($B85,'20Trips'!$A$3:$G$22,6,FALSE) &gt;= ('20Trips'!$B$25+VLOOKUP(VLOOKUP($B85,'20Trips'!$A$2:$I$22,4,FALSE),'20Trips'!$AB$46:$AH$50,5,FALSE))/1440),1,0)</f>
        <v>#N/A</v>
      </c>
      <c r="U85" s="2" t="e">
        <f>IF(AND(VLOOKUP(U$1,'20Trips'!$A$3:$F$22,5,FALSE) - VLOOKUP($B85,'20Trips'!$A$3:$G$22,6,FALSE) &gt;= ('20Trips'!$B$25+VLOOKUP(VLOOKUP($B85,'20Trips'!$A$2:$I$22,4,FALSE),'20Trips'!$AB$46:$AH$50,5,FALSE))/1440),1,0)</f>
        <v>#N/A</v>
      </c>
      <c r="V85" s="2" t="e">
        <f>IF(AND(VLOOKUP(V$1,'20Trips'!$A$3:$F$22,5,FALSE) - VLOOKUP($B85,'20Trips'!$A$3:$G$22,6,FALSE) &gt;= ('20Trips'!$B$25+VLOOKUP(VLOOKUP($B85,'20Trips'!$A$2:$I$22,4,FALSE),'20Trips'!$AB$46:$AH$50,5,FALSE))/1440),1,0)</f>
        <v>#N/A</v>
      </c>
      <c r="W85" s="2" t="e">
        <f>IF(AND(VLOOKUP(W$1,'20Trips'!$A$3:$F$22,5,FALSE) - VLOOKUP($B85,'20Trips'!$A$3:$G$22,6,FALSE) &gt;= ('20Trips'!$B$25+VLOOKUP(VLOOKUP($B85,'20Trips'!$A$2:$I$22,4,FALSE),'20Trips'!$AB$46:$AH$50,5,FALSE))/1440),1,0)</f>
        <v>#N/A</v>
      </c>
      <c r="X85" s="2" t="e">
        <f>IF(AND(VLOOKUP(X$1,'20Trips'!$A$3:$F$22,5,FALSE) - VLOOKUP($B85,'20Trips'!$A$3:$G$22,6,FALSE) &gt;= ('20Trips'!$B$25+VLOOKUP(VLOOKUP($B85,'20Trips'!$A$2:$I$22,4,FALSE),'20Trips'!$AB$46:$AH$50,5,FALSE))/1440),1,0)</f>
        <v>#N/A</v>
      </c>
      <c r="Y85" s="2" t="e">
        <f>IF(AND(VLOOKUP(Y$1,'20Trips'!$A$3:$F$22,5,FALSE) - VLOOKUP($B85,'20Trips'!$A$3:$G$22,6,FALSE) &gt;= ('20Trips'!$B$25+VLOOKUP(VLOOKUP($B85,'20Trips'!$A$2:$I$22,4,FALSE),'20Trips'!$AB$46:$AH$50,5,FALSE))/1440),1,0)</f>
        <v>#N/A</v>
      </c>
      <c r="Z85" s="2" t="e">
        <f>IF(AND(VLOOKUP(Z$1,'20Trips'!$A$3:$F$22,5,FALSE) - VLOOKUP($B85,'20Trips'!$A$3:$G$22,6,FALSE) &gt;= ('20Trips'!$B$25+VLOOKUP(VLOOKUP($B85,'20Trips'!$A$2:$I$22,4,FALSE),'20Trips'!$AB$46:$AH$50,5,FALSE))/1440),1,0)</f>
        <v>#N/A</v>
      </c>
      <c r="AA85" s="2" t="e">
        <f>IF(AND(VLOOKUP(AA$1,'20Trips'!$A$3:$F$22,5,FALSE) - VLOOKUP($B85,'20Trips'!$A$3:$G$22,6,FALSE) &gt;= ('20Trips'!$B$25+VLOOKUP(VLOOKUP($B85,'20Trips'!$A$2:$I$22,4,FALSE),'20Trips'!$AB$46:$AH$50,5,FALSE))/1440),1,0)</f>
        <v>#N/A</v>
      </c>
      <c r="AB85" s="2" t="e">
        <f>IF(AND(VLOOKUP(AB$1,'20Trips'!$A$3:$F$22,5,FALSE) - VLOOKUP($B85,'20Trips'!$A$3:$G$22,6,FALSE) &gt;= ('20Trips'!$B$25+VLOOKUP(VLOOKUP($B85,'20Trips'!$A$2:$I$22,4,FALSE),'20Trips'!$AB$46:$AH$50,5,FALSE))/1440),1,0)</f>
        <v>#N/A</v>
      </c>
      <c r="AC85" s="2" t="e">
        <f>IF(AND(VLOOKUP(AC$1,'20Trips'!$A$3:$F$22,5,FALSE) - VLOOKUP($B85,'20Trips'!$A$3:$G$22,6,FALSE) &gt;= ('20Trips'!$B$25+VLOOKUP(VLOOKUP($B85,'20Trips'!$A$2:$I$22,4,FALSE),'20Trips'!$AB$46:$AH$50,5,FALSE))/1440),1,0)</f>
        <v>#N/A</v>
      </c>
      <c r="AD85" s="2" t="e">
        <f>IF(AND(VLOOKUP(AD$1,'20Trips'!$A$3:$F$22,5,FALSE) - VLOOKUP($B85,'20Trips'!$A$3:$G$22,6,FALSE) &gt;= ('20Trips'!$B$25+VLOOKUP(VLOOKUP($B85,'20Trips'!$A$2:$I$22,4,FALSE),'20Trips'!$AB$46:$AH$50,5,FALSE))/1440),1,0)</f>
        <v>#N/A</v>
      </c>
      <c r="AE85" s="2" t="e">
        <f>IF(AND(VLOOKUP(AE$1,'20Trips'!$A$3:$F$22,5,FALSE) - VLOOKUP($B85,'20Trips'!$A$3:$G$22,6,FALSE) &gt;= ('20Trips'!$B$25+VLOOKUP(VLOOKUP($B85,'20Trips'!$A$2:$I$22,4,FALSE),'20Trips'!$AB$46:$AH$50,5,FALSE))/1440),1,0)</f>
        <v>#N/A</v>
      </c>
      <c r="AF85" s="2" t="e">
        <f>IF(AND(VLOOKUP(AF$1,'20Trips'!$A$3:$F$22,5,FALSE) - VLOOKUP($B85,'20Trips'!$A$3:$G$22,6,FALSE) &gt;= ('20Trips'!$B$25+VLOOKUP(VLOOKUP($B85,'20Trips'!$A$2:$I$22,4,FALSE),'20Trips'!$AB$46:$AH$50,5,FALSE))/1440),1,0)</f>
        <v>#N/A</v>
      </c>
      <c r="AG85" s="2" t="e">
        <f>IF(AND(VLOOKUP(AG$1,'20Trips'!$A$3:$F$22,5,FALSE) - VLOOKUP($B85,'20Trips'!$A$3:$G$22,6,FALSE) &gt;= ('20Trips'!$B$25+VLOOKUP(VLOOKUP($B85,'20Trips'!$A$2:$I$22,4,FALSE),'20Trips'!$AB$46:$AH$50,5,FALSE))/1440),1,0)</f>
        <v>#N/A</v>
      </c>
    </row>
    <row r="86" spans="1:33" x14ac:dyDescent="0.25">
      <c r="A86" t="s">
        <v>67</v>
      </c>
      <c r="B86" t="s">
        <v>33</v>
      </c>
      <c r="C86">
        <v>0</v>
      </c>
      <c r="D86" s="2" t="e">
        <f>IF(AND(VLOOKUP(D$1,'20Trips'!$A$3:$F$22,5,FALSE) - VLOOKUP($B86,'20Trips'!$A$3:$G$22,6,FALSE) &gt;= ('20Trips'!$B$25+VLOOKUP(VLOOKUP($B86,'20Trips'!$A$2:$I$22,4,FALSE),'20Trips'!$AB$46:$AH$50,5,FALSE))/1440),1,0)</f>
        <v>#N/A</v>
      </c>
      <c r="E86" s="2" t="e">
        <f>IF(AND(VLOOKUP(E$1,'20Trips'!$A$3:$F$22,5,FALSE) - VLOOKUP($B86,'20Trips'!$A$3:$G$22,6,FALSE) &gt;= ('20Trips'!$B$25+VLOOKUP(VLOOKUP($B86,'20Trips'!$A$2:$I$22,4,FALSE),'20Trips'!$AB$46:$AH$50,5,FALSE))/1440),1,0)</f>
        <v>#N/A</v>
      </c>
      <c r="F86" s="2" t="e">
        <f>IF(AND(VLOOKUP(F$1,'20Trips'!$A$3:$F$22,5,FALSE) - VLOOKUP($B86,'20Trips'!$A$3:$G$22,6,FALSE) &gt;= ('20Trips'!$B$25+VLOOKUP(VLOOKUP($B86,'20Trips'!$A$2:$I$22,4,FALSE),'20Trips'!$AB$46:$AH$50,5,FALSE))/1440),1,0)</f>
        <v>#N/A</v>
      </c>
      <c r="G86" s="2" t="e">
        <f>IF(AND(VLOOKUP(G$1,'20Trips'!$A$3:$F$22,5,FALSE) - VLOOKUP($B86,'20Trips'!$A$3:$G$22,6,FALSE) &gt;= ('20Trips'!$B$25+VLOOKUP(VLOOKUP($B86,'20Trips'!$A$2:$I$22,4,FALSE),'20Trips'!$AB$46:$AH$50,5,FALSE))/1440),1,0)</f>
        <v>#N/A</v>
      </c>
      <c r="H86" s="2" t="e">
        <f>IF(AND(VLOOKUP(H$1,'20Trips'!$A$3:$F$22,5,FALSE) - VLOOKUP($B86,'20Trips'!$A$3:$G$22,6,FALSE) &gt;= ('20Trips'!$B$25+VLOOKUP(VLOOKUP($B86,'20Trips'!$A$2:$I$22,4,FALSE),'20Trips'!$AB$46:$AH$50,5,FALSE))/1440),1,0)</f>
        <v>#N/A</v>
      </c>
      <c r="I86" s="2" t="e">
        <f>IF(AND(VLOOKUP(I$1,'20Trips'!$A$3:$F$22,5,FALSE) - VLOOKUP($B86,'20Trips'!$A$3:$G$22,6,FALSE) &gt;= ('20Trips'!$B$25+VLOOKUP(VLOOKUP($B86,'20Trips'!$A$2:$I$22,4,FALSE),'20Trips'!$AB$46:$AH$50,5,FALSE))/1440),1,0)</f>
        <v>#N/A</v>
      </c>
      <c r="J86" s="2" t="e">
        <f>IF(AND(VLOOKUP(J$1,'20Trips'!$A$3:$F$22,5,FALSE) - VLOOKUP($B86,'20Trips'!$A$3:$G$22,6,FALSE) &gt;= ('20Trips'!$B$25+VLOOKUP(VLOOKUP($B86,'20Trips'!$A$2:$I$22,4,FALSE),'20Trips'!$AB$46:$AH$50,5,FALSE))/1440),1,0)</f>
        <v>#N/A</v>
      </c>
      <c r="K86" s="2" t="e">
        <f>IF(AND(VLOOKUP(K$1,'20Trips'!$A$3:$F$22,5,FALSE) - VLOOKUP($B86,'20Trips'!$A$3:$G$22,6,FALSE) &gt;= ('20Trips'!$B$25+VLOOKUP(VLOOKUP($B86,'20Trips'!$A$2:$I$22,4,FALSE),'20Trips'!$AB$46:$AH$50,5,FALSE))/1440),1,0)</f>
        <v>#N/A</v>
      </c>
      <c r="L86" s="2" t="e">
        <f>IF(AND(VLOOKUP(L$1,'20Trips'!$A$3:$F$22,5,FALSE) - VLOOKUP($B86,'20Trips'!$A$3:$G$22,6,FALSE) &gt;= ('20Trips'!$B$25+VLOOKUP(VLOOKUP($B86,'20Trips'!$A$2:$I$22,4,FALSE),'20Trips'!$AB$46:$AH$50,5,FALSE))/1440),1,0)</f>
        <v>#N/A</v>
      </c>
      <c r="M86" s="2" t="e">
        <f>IF(AND(VLOOKUP(M$1,'20Trips'!$A$3:$F$22,5,FALSE) - VLOOKUP($B86,'20Trips'!$A$3:$G$22,6,FALSE) &gt;= ('20Trips'!$B$25+VLOOKUP(VLOOKUP($B86,'20Trips'!$A$2:$I$22,4,FALSE),'20Trips'!$AB$46:$AH$50,5,FALSE))/1440),1,0)</f>
        <v>#N/A</v>
      </c>
      <c r="N86" s="2" t="e">
        <f>IF(AND(VLOOKUP(N$1,'20Trips'!$A$3:$F$22,5,FALSE) - VLOOKUP($B86,'20Trips'!$A$3:$G$22,6,FALSE) &gt;= ('20Trips'!$B$25+VLOOKUP(VLOOKUP($B86,'20Trips'!$A$2:$I$22,4,FALSE),'20Trips'!$AB$46:$AH$50,5,FALSE))/1440),1,0)</f>
        <v>#N/A</v>
      </c>
      <c r="O86" s="2" t="e">
        <f>IF(AND(VLOOKUP(O$1,'20Trips'!$A$3:$F$22,5,FALSE) - VLOOKUP($B86,'20Trips'!$A$3:$G$22,6,FALSE) &gt;= ('20Trips'!$B$25+VLOOKUP(VLOOKUP($B86,'20Trips'!$A$2:$I$22,4,FALSE),'20Trips'!$AB$46:$AH$50,5,FALSE))/1440),1,0)</f>
        <v>#N/A</v>
      </c>
      <c r="P86" s="2" t="e">
        <f>IF(AND(VLOOKUP(P$1,'20Trips'!$A$3:$F$22,5,FALSE) - VLOOKUP($B86,'20Trips'!$A$3:$G$22,6,FALSE) &gt;= ('20Trips'!$B$25+VLOOKUP(VLOOKUP($B86,'20Trips'!$A$2:$I$22,4,FALSE),'20Trips'!$AB$46:$AH$50,5,FALSE))/1440),1,0)</f>
        <v>#N/A</v>
      </c>
      <c r="Q86" s="2" t="e">
        <f>IF(AND(VLOOKUP(Q$1,'20Trips'!$A$3:$F$22,5,FALSE) - VLOOKUP($B86,'20Trips'!$A$3:$G$22,6,FALSE) &gt;= ('20Trips'!$B$25+VLOOKUP(VLOOKUP($B86,'20Trips'!$A$2:$I$22,4,FALSE),'20Trips'!$AB$46:$AH$50,5,FALSE))/1440),1,0)</f>
        <v>#N/A</v>
      </c>
      <c r="R86" s="2" t="e">
        <f>IF(AND(VLOOKUP(R$1,'20Trips'!$A$3:$F$22,5,FALSE) - VLOOKUP($B86,'20Trips'!$A$3:$G$22,6,FALSE) &gt;= ('20Trips'!$B$25+VLOOKUP(VLOOKUP($B86,'20Trips'!$A$2:$I$22,4,FALSE),'20Trips'!$AB$46:$AH$50,5,FALSE))/1440),1,0)</f>
        <v>#N/A</v>
      </c>
      <c r="S86" s="2" t="e">
        <f>IF(AND(VLOOKUP(S$1,'20Trips'!$A$3:$F$22,5,FALSE) - VLOOKUP($B86,'20Trips'!$A$3:$G$22,6,FALSE) &gt;= ('20Trips'!$B$25+VLOOKUP(VLOOKUP($B86,'20Trips'!$A$2:$I$22,4,FALSE),'20Trips'!$AB$46:$AH$50,5,FALSE))/1440),1,0)</f>
        <v>#N/A</v>
      </c>
      <c r="T86" s="2" t="e">
        <f>IF(AND(VLOOKUP(T$1,'20Trips'!$A$3:$F$22,5,FALSE) - VLOOKUP($B86,'20Trips'!$A$3:$G$22,6,FALSE) &gt;= ('20Trips'!$B$25+VLOOKUP(VLOOKUP($B86,'20Trips'!$A$2:$I$22,4,FALSE),'20Trips'!$AB$46:$AH$50,5,FALSE))/1440),1,0)</f>
        <v>#N/A</v>
      </c>
      <c r="U86" s="2" t="e">
        <f>IF(AND(VLOOKUP(U$1,'20Trips'!$A$3:$F$22,5,FALSE) - VLOOKUP($B86,'20Trips'!$A$3:$G$22,6,FALSE) &gt;= ('20Trips'!$B$25+VLOOKUP(VLOOKUP($B86,'20Trips'!$A$2:$I$22,4,FALSE),'20Trips'!$AB$46:$AH$50,5,FALSE))/1440),1,0)</f>
        <v>#N/A</v>
      </c>
      <c r="V86" s="2" t="e">
        <f>IF(AND(VLOOKUP(V$1,'20Trips'!$A$3:$F$22,5,FALSE) - VLOOKUP($B86,'20Trips'!$A$3:$G$22,6,FALSE) &gt;= ('20Trips'!$B$25+VLOOKUP(VLOOKUP($B86,'20Trips'!$A$2:$I$22,4,FALSE),'20Trips'!$AB$46:$AH$50,5,FALSE))/1440),1,0)</f>
        <v>#N/A</v>
      </c>
      <c r="W86" s="2" t="e">
        <f>IF(AND(VLOOKUP(W$1,'20Trips'!$A$3:$F$22,5,FALSE) - VLOOKUP($B86,'20Trips'!$A$3:$G$22,6,FALSE) &gt;= ('20Trips'!$B$25+VLOOKUP(VLOOKUP($B86,'20Trips'!$A$2:$I$22,4,FALSE),'20Trips'!$AB$46:$AH$50,5,FALSE))/1440),1,0)</f>
        <v>#N/A</v>
      </c>
      <c r="X86" s="2" t="e">
        <f>IF(AND(VLOOKUP(X$1,'20Trips'!$A$3:$F$22,5,FALSE) - VLOOKUP($B86,'20Trips'!$A$3:$G$22,6,FALSE) &gt;= ('20Trips'!$B$25+VLOOKUP(VLOOKUP($B86,'20Trips'!$A$2:$I$22,4,FALSE),'20Trips'!$AB$46:$AH$50,5,FALSE))/1440),1,0)</f>
        <v>#N/A</v>
      </c>
      <c r="Y86" s="2" t="e">
        <f>IF(AND(VLOOKUP(Y$1,'20Trips'!$A$3:$F$22,5,FALSE) - VLOOKUP($B86,'20Trips'!$A$3:$G$22,6,FALSE) &gt;= ('20Trips'!$B$25+VLOOKUP(VLOOKUP($B86,'20Trips'!$A$2:$I$22,4,FALSE),'20Trips'!$AB$46:$AH$50,5,FALSE))/1440),1,0)</f>
        <v>#N/A</v>
      </c>
      <c r="Z86" s="2" t="e">
        <f>IF(AND(VLOOKUP(Z$1,'20Trips'!$A$3:$F$22,5,FALSE) - VLOOKUP($B86,'20Trips'!$A$3:$G$22,6,FALSE) &gt;= ('20Trips'!$B$25+VLOOKUP(VLOOKUP($B86,'20Trips'!$A$2:$I$22,4,FALSE),'20Trips'!$AB$46:$AH$50,5,FALSE))/1440),1,0)</f>
        <v>#N/A</v>
      </c>
      <c r="AA86" s="2" t="e">
        <f>IF(AND(VLOOKUP(AA$1,'20Trips'!$A$3:$F$22,5,FALSE) - VLOOKUP($B86,'20Trips'!$A$3:$G$22,6,FALSE) &gt;= ('20Trips'!$B$25+VLOOKUP(VLOOKUP($B86,'20Trips'!$A$2:$I$22,4,FALSE),'20Trips'!$AB$46:$AH$50,5,FALSE))/1440),1,0)</f>
        <v>#N/A</v>
      </c>
      <c r="AB86" s="2" t="e">
        <f>IF(AND(VLOOKUP(AB$1,'20Trips'!$A$3:$F$22,5,FALSE) - VLOOKUP($B86,'20Trips'!$A$3:$G$22,6,FALSE) &gt;= ('20Trips'!$B$25+VLOOKUP(VLOOKUP($B86,'20Trips'!$A$2:$I$22,4,FALSE),'20Trips'!$AB$46:$AH$50,5,FALSE))/1440),1,0)</f>
        <v>#N/A</v>
      </c>
      <c r="AC86" s="2" t="e">
        <f>IF(AND(VLOOKUP(AC$1,'20Trips'!$A$3:$F$22,5,FALSE) - VLOOKUP($B86,'20Trips'!$A$3:$G$22,6,FALSE) &gt;= ('20Trips'!$B$25+VLOOKUP(VLOOKUP($B86,'20Trips'!$A$2:$I$22,4,FALSE),'20Trips'!$AB$46:$AH$50,5,FALSE))/1440),1,0)</f>
        <v>#N/A</v>
      </c>
      <c r="AD86" s="2" t="e">
        <f>IF(AND(VLOOKUP(AD$1,'20Trips'!$A$3:$F$22,5,FALSE) - VLOOKUP($B86,'20Trips'!$A$3:$G$22,6,FALSE) &gt;= ('20Trips'!$B$25+VLOOKUP(VLOOKUP($B86,'20Trips'!$A$2:$I$22,4,FALSE),'20Trips'!$AB$46:$AH$50,5,FALSE))/1440),1,0)</f>
        <v>#N/A</v>
      </c>
      <c r="AE86" s="2" t="e">
        <f>IF(AND(VLOOKUP(AE$1,'20Trips'!$A$3:$F$22,5,FALSE) - VLOOKUP($B86,'20Trips'!$A$3:$G$22,6,FALSE) &gt;= ('20Trips'!$B$25+VLOOKUP(VLOOKUP($B86,'20Trips'!$A$2:$I$22,4,FALSE),'20Trips'!$AB$46:$AH$50,5,FALSE))/1440),1,0)</f>
        <v>#N/A</v>
      </c>
      <c r="AF86" s="2" t="e">
        <f>IF(AND(VLOOKUP(AF$1,'20Trips'!$A$3:$F$22,5,FALSE) - VLOOKUP($B86,'20Trips'!$A$3:$G$22,6,FALSE) &gt;= ('20Trips'!$B$25+VLOOKUP(VLOOKUP($B86,'20Trips'!$A$2:$I$22,4,FALSE),'20Trips'!$AB$46:$AH$50,5,FALSE))/1440),1,0)</f>
        <v>#N/A</v>
      </c>
      <c r="AG86" s="2" t="e">
        <f>IF(AND(VLOOKUP(AG$1,'20Trips'!$A$3:$F$22,5,FALSE) - VLOOKUP($B86,'20Trips'!$A$3:$G$22,6,FALSE) &gt;= ('20Trips'!$B$25+VLOOKUP(VLOOKUP($B86,'20Trips'!$A$2:$I$22,4,FALSE),'20Trips'!$AB$46:$AH$50,5,FALSE))/1440),1,0)</f>
        <v>#N/A</v>
      </c>
    </row>
    <row r="87" spans="1:33" x14ac:dyDescent="0.25">
      <c r="A87" t="s">
        <v>67</v>
      </c>
      <c r="B87" t="s">
        <v>34</v>
      </c>
      <c r="C87">
        <v>0</v>
      </c>
      <c r="D87" s="2">
        <f>IF(AND(VLOOKUP(D$1,'20Trips'!$A$3:$F$22,5,FALSE) - VLOOKUP($B87,'20Trips'!$A$3:$G$22,6,FALSE) &gt;= ('20Trips'!$B$25+VLOOKUP(VLOOKUP($B87,'20Trips'!$A$2:$I$22,4,FALSE),'20Trips'!$AB$46:$AH$50,5,FALSE))/1440),1,0)</f>
        <v>0</v>
      </c>
      <c r="E87" s="2">
        <f>IF(AND(VLOOKUP(E$1,'20Trips'!$A$3:$F$22,5,FALSE) - VLOOKUP($B87,'20Trips'!$A$3:$G$22,6,FALSE) &gt;= ('20Trips'!$B$25+VLOOKUP(VLOOKUP($B87,'20Trips'!$A$2:$I$22,4,FALSE),'20Trips'!$AB$46:$AH$50,5,FALSE))/1440),1,0)</f>
        <v>0</v>
      </c>
      <c r="F87" s="2">
        <f>IF(AND(VLOOKUP(F$1,'20Trips'!$A$3:$F$22,5,FALSE) - VLOOKUP($B87,'20Trips'!$A$3:$G$22,6,FALSE) &gt;= ('20Trips'!$B$25+VLOOKUP(VLOOKUP($B87,'20Trips'!$A$2:$I$22,4,FALSE),'20Trips'!$AB$46:$AH$50,5,FALSE))/1440),1,0)</f>
        <v>0</v>
      </c>
      <c r="G87" s="2">
        <f>IF(AND(VLOOKUP(G$1,'20Trips'!$A$3:$F$22,5,FALSE) - VLOOKUP($B87,'20Trips'!$A$3:$G$22,6,FALSE) &gt;= ('20Trips'!$B$25+VLOOKUP(VLOOKUP($B87,'20Trips'!$A$2:$I$22,4,FALSE),'20Trips'!$AB$46:$AH$50,5,FALSE))/1440),1,0)</f>
        <v>1</v>
      </c>
      <c r="H87" s="2">
        <f>IF(AND(VLOOKUP(H$1,'20Trips'!$A$3:$F$22,5,FALSE) - VLOOKUP($B87,'20Trips'!$A$3:$G$22,6,FALSE) &gt;= ('20Trips'!$B$25+VLOOKUP(VLOOKUP($B87,'20Trips'!$A$2:$I$22,4,FALSE),'20Trips'!$AB$46:$AH$50,5,FALSE))/1440),1,0)</f>
        <v>1</v>
      </c>
      <c r="I87" s="2" t="e">
        <f>IF(AND(VLOOKUP(I$1,'20Trips'!$A$3:$F$22,5,FALSE) - VLOOKUP($B87,'20Trips'!$A$3:$G$22,6,FALSE) &gt;= ('20Trips'!$B$25+VLOOKUP(VLOOKUP($B87,'20Trips'!$A$2:$I$22,4,FALSE),'20Trips'!$AB$46:$AH$50,5,FALSE))/1440),1,0)</f>
        <v>#N/A</v>
      </c>
      <c r="J87" s="2" t="e">
        <f>IF(AND(VLOOKUP(J$1,'20Trips'!$A$3:$F$22,5,FALSE) - VLOOKUP($B87,'20Trips'!$A$3:$G$22,6,FALSE) &gt;= ('20Trips'!$B$25+VLOOKUP(VLOOKUP($B87,'20Trips'!$A$2:$I$22,4,FALSE),'20Trips'!$AB$46:$AH$50,5,FALSE))/1440),1,0)</f>
        <v>#N/A</v>
      </c>
      <c r="K87" s="2" t="e">
        <f>IF(AND(VLOOKUP(K$1,'20Trips'!$A$3:$F$22,5,FALSE) - VLOOKUP($B87,'20Trips'!$A$3:$G$22,6,FALSE) &gt;= ('20Trips'!$B$25+VLOOKUP(VLOOKUP($B87,'20Trips'!$A$2:$I$22,4,FALSE),'20Trips'!$AB$46:$AH$50,5,FALSE))/1440),1,0)</f>
        <v>#N/A</v>
      </c>
      <c r="L87" s="2">
        <f>IF(AND(VLOOKUP(L$1,'20Trips'!$A$3:$F$22,5,FALSE) - VLOOKUP($B87,'20Trips'!$A$3:$G$22,6,FALSE) &gt;= ('20Trips'!$B$25+VLOOKUP(VLOOKUP($B87,'20Trips'!$A$2:$I$22,4,FALSE),'20Trips'!$AB$46:$AH$50,5,FALSE))/1440),1,0)</f>
        <v>0</v>
      </c>
      <c r="M87" s="2">
        <f>IF(AND(VLOOKUP(M$1,'20Trips'!$A$3:$F$22,5,FALSE) - VLOOKUP($B87,'20Trips'!$A$3:$G$22,6,FALSE) &gt;= ('20Trips'!$B$25+VLOOKUP(VLOOKUP($B87,'20Trips'!$A$2:$I$22,4,FALSE),'20Trips'!$AB$46:$AH$50,5,FALSE))/1440),1,0)</f>
        <v>0</v>
      </c>
      <c r="N87" s="2">
        <f>IF(AND(VLOOKUP(N$1,'20Trips'!$A$3:$F$22,5,FALSE) - VLOOKUP($B87,'20Trips'!$A$3:$G$22,6,FALSE) &gt;= ('20Trips'!$B$25+VLOOKUP(VLOOKUP($B87,'20Trips'!$A$2:$I$22,4,FALSE),'20Trips'!$AB$46:$AH$50,5,FALSE))/1440),1,0)</f>
        <v>0</v>
      </c>
      <c r="O87" s="2">
        <f>IF(AND(VLOOKUP(O$1,'20Trips'!$A$3:$F$22,5,FALSE) - VLOOKUP($B87,'20Trips'!$A$3:$G$22,6,FALSE) &gt;= ('20Trips'!$B$25+VLOOKUP(VLOOKUP($B87,'20Trips'!$A$2:$I$22,4,FALSE),'20Trips'!$AB$46:$AH$50,5,FALSE))/1440),1,0)</f>
        <v>1</v>
      </c>
      <c r="P87" s="2">
        <f>IF(AND(VLOOKUP(P$1,'20Trips'!$A$3:$F$22,5,FALSE) - VLOOKUP($B87,'20Trips'!$A$3:$G$22,6,FALSE) &gt;= ('20Trips'!$B$25+VLOOKUP(VLOOKUP($B87,'20Trips'!$A$2:$I$22,4,FALSE),'20Trips'!$AB$46:$AH$50,5,FALSE))/1440),1,0)</f>
        <v>1</v>
      </c>
      <c r="Q87" s="2" t="e">
        <f>IF(AND(VLOOKUP(Q$1,'20Trips'!$A$3:$F$22,5,FALSE) - VLOOKUP($B87,'20Trips'!$A$3:$G$22,6,FALSE) &gt;= ('20Trips'!$B$25+VLOOKUP(VLOOKUP($B87,'20Trips'!$A$2:$I$22,4,FALSE),'20Trips'!$AB$46:$AH$50,5,FALSE))/1440),1,0)</f>
        <v>#N/A</v>
      </c>
      <c r="R87" s="2">
        <f>IF(AND(VLOOKUP(R$1,'20Trips'!$A$3:$F$22,5,FALSE) - VLOOKUP($B87,'20Trips'!$A$3:$G$22,6,FALSE) &gt;= ('20Trips'!$B$25+VLOOKUP(VLOOKUP($B87,'20Trips'!$A$2:$I$22,4,FALSE),'20Trips'!$AB$46:$AH$50,5,FALSE))/1440),1,0)</f>
        <v>0</v>
      </c>
      <c r="S87" s="2">
        <f>IF(AND(VLOOKUP(S$1,'20Trips'!$A$3:$F$22,5,FALSE) - VLOOKUP($B87,'20Trips'!$A$3:$G$22,6,FALSE) &gt;= ('20Trips'!$B$25+VLOOKUP(VLOOKUP($B87,'20Trips'!$A$2:$I$22,4,FALSE),'20Trips'!$AB$46:$AH$50,5,FALSE))/1440),1,0)</f>
        <v>0</v>
      </c>
      <c r="T87" s="2">
        <f>IF(AND(VLOOKUP(T$1,'20Trips'!$A$3:$F$22,5,FALSE) - VLOOKUP($B87,'20Trips'!$A$3:$G$22,6,FALSE) &gt;= ('20Trips'!$B$25+VLOOKUP(VLOOKUP($B87,'20Trips'!$A$2:$I$22,4,FALSE),'20Trips'!$AB$46:$AH$50,5,FALSE))/1440),1,0)</f>
        <v>0</v>
      </c>
      <c r="U87" s="2">
        <f>IF(AND(VLOOKUP(U$1,'20Trips'!$A$3:$F$22,5,FALSE) - VLOOKUP($B87,'20Trips'!$A$3:$G$22,6,FALSE) &gt;= ('20Trips'!$B$25+VLOOKUP(VLOOKUP($B87,'20Trips'!$A$2:$I$22,4,FALSE),'20Trips'!$AB$46:$AH$50,5,FALSE))/1440),1,0)</f>
        <v>0</v>
      </c>
      <c r="V87" s="2">
        <f>IF(AND(VLOOKUP(V$1,'20Trips'!$A$3:$F$22,5,FALSE) - VLOOKUP($B87,'20Trips'!$A$3:$G$22,6,FALSE) &gt;= ('20Trips'!$B$25+VLOOKUP(VLOOKUP($B87,'20Trips'!$A$2:$I$22,4,FALSE),'20Trips'!$AB$46:$AH$50,5,FALSE))/1440),1,0)</f>
        <v>1</v>
      </c>
      <c r="W87" s="2" t="e">
        <f>IF(AND(VLOOKUP(W$1,'20Trips'!$A$3:$F$22,5,FALSE) - VLOOKUP($B87,'20Trips'!$A$3:$G$22,6,FALSE) &gt;= ('20Trips'!$B$25+VLOOKUP(VLOOKUP($B87,'20Trips'!$A$2:$I$22,4,FALSE),'20Trips'!$AB$46:$AH$50,5,FALSE))/1440),1,0)</f>
        <v>#N/A</v>
      </c>
      <c r="X87" s="2" t="e">
        <f>IF(AND(VLOOKUP(X$1,'20Trips'!$A$3:$F$22,5,FALSE) - VLOOKUP($B87,'20Trips'!$A$3:$G$22,6,FALSE) &gt;= ('20Trips'!$B$25+VLOOKUP(VLOOKUP($B87,'20Trips'!$A$2:$I$22,4,FALSE),'20Trips'!$AB$46:$AH$50,5,FALSE))/1440),1,0)</f>
        <v>#N/A</v>
      </c>
      <c r="Y87" s="2" t="e">
        <f>IF(AND(VLOOKUP(Y$1,'20Trips'!$A$3:$F$22,5,FALSE) - VLOOKUP($B87,'20Trips'!$A$3:$G$22,6,FALSE) &gt;= ('20Trips'!$B$25+VLOOKUP(VLOOKUP($B87,'20Trips'!$A$2:$I$22,4,FALSE),'20Trips'!$AB$46:$AH$50,5,FALSE))/1440),1,0)</f>
        <v>#N/A</v>
      </c>
      <c r="Z87" s="2">
        <f>IF(AND(VLOOKUP(Z$1,'20Trips'!$A$3:$F$22,5,FALSE) - VLOOKUP($B87,'20Trips'!$A$3:$G$22,6,FALSE) &gt;= ('20Trips'!$B$25+VLOOKUP(VLOOKUP($B87,'20Trips'!$A$2:$I$22,4,FALSE),'20Trips'!$AB$46:$AH$50,5,FALSE))/1440),1,0)</f>
        <v>0</v>
      </c>
      <c r="AA87" s="2">
        <f>IF(AND(VLOOKUP(AA$1,'20Trips'!$A$3:$F$22,5,FALSE) - VLOOKUP($B87,'20Trips'!$A$3:$G$22,6,FALSE) &gt;= ('20Trips'!$B$25+VLOOKUP(VLOOKUP($B87,'20Trips'!$A$2:$I$22,4,FALSE),'20Trips'!$AB$46:$AH$50,5,FALSE))/1440),1,0)</f>
        <v>0</v>
      </c>
      <c r="AB87" s="2">
        <f>IF(AND(VLOOKUP(AB$1,'20Trips'!$A$3:$F$22,5,FALSE) - VLOOKUP($B87,'20Trips'!$A$3:$G$22,6,FALSE) &gt;= ('20Trips'!$B$25+VLOOKUP(VLOOKUP($B87,'20Trips'!$A$2:$I$22,4,FALSE),'20Trips'!$AB$46:$AH$50,5,FALSE))/1440),1,0)</f>
        <v>1</v>
      </c>
      <c r="AC87" s="2">
        <f>IF(AND(VLOOKUP(AC$1,'20Trips'!$A$3:$F$22,5,FALSE) - VLOOKUP($B87,'20Trips'!$A$3:$G$22,6,FALSE) &gt;= ('20Trips'!$B$25+VLOOKUP(VLOOKUP($B87,'20Trips'!$A$2:$I$22,4,FALSE),'20Trips'!$AB$46:$AH$50,5,FALSE))/1440),1,0)</f>
        <v>1</v>
      </c>
      <c r="AD87" s="2">
        <f>IF(AND(VLOOKUP(AD$1,'20Trips'!$A$3:$F$22,5,FALSE) - VLOOKUP($B87,'20Trips'!$A$3:$G$22,6,FALSE) &gt;= ('20Trips'!$B$25+VLOOKUP(VLOOKUP($B87,'20Trips'!$A$2:$I$22,4,FALSE),'20Trips'!$AB$46:$AH$50,5,FALSE))/1440),1,0)</f>
        <v>1</v>
      </c>
      <c r="AE87" s="2" t="e">
        <f>IF(AND(VLOOKUP(AE$1,'20Trips'!$A$3:$F$22,5,FALSE) - VLOOKUP($B87,'20Trips'!$A$3:$G$22,6,FALSE) &gt;= ('20Trips'!$B$25+VLOOKUP(VLOOKUP($B87,'20Trips'!$A$2:$I$22,4,FALSE),'20Trips'!$AB$46:$AH$50,5,FALSE))/1440),1,0)</f>
        <v>#N/A</v>
      </c>
      <c r="AF87" s="2" t="e">
        <f>IF(AND(VLOOKUP(AF$1,'20Trips'!$A$3:$F$22,5,FALSE) - VLOOKUP($B87,'20Trips'!$A$3:$G$22,6,FALSE) &gt;= ('20Trips'!$B$25+VLOOKUP(VLOOKUP($B87,'20Trips'!$A$2:$I$22,4,FALSE),'20Trips'!$AB$46:$AH$50,5,FALSE))/1440),1,0)</f>
        <v>#N/A</v>
      </c>
      <c r="AG87" s="2" t="e">
        <f>IF(AND(VLOOKUP(AG$1,'20Trips'!$A$3:$F$22,5,FALSE) - VLOOKUP($B87,'20Trips'!$A$3:$G$22,6,FALSE) &gt;= ('20Trips'!$B$25+VLOOKUP(VLOOKUP($B87,'20Trips'!$A$2:$I$22,4,FALSE),'20Trips'!$AB$46:$AH$50,5,FALSE))/1440),1,0)</f>
        <v>#N/A</v>
      </c>
    </row>
    <row r="88" spans="1:33" x14ac:dyDescent="0.25">
      <c r="A88" t="s">
        <v>67</v>
      </c>
      <c r="B88" t="s">
        <v>35</v>
      </c>
      <c r="C88">
        <v>0</v>
      </c>
      <c r="D88" s="2">
        <f>IF(AND(VLOOKUP(D$1,'20Trips'!$A$3:$F$22,5,FALSE) - VLOOKUP($B88,'20Trips'!$A$3:$G$22,6,FALSE) &gt;= ('20Trips'!$B$25+VLOOKUP(VLOOKUP($B88,'20Trips'!$A$2:$I$22,4,FALSE),'20Trips'!$AB$46:$AH$50,5,FALSE))/1440),1,0)</f>
        <v>0</v>
      </c>
      <c r="E88" s="2">
        <f>IF(AND(VLOOKUP(E$1,'20Trips'!$A$3:$F$22,5,FALSE) - VLOOKUP($B88,'20Trips'!$A$3:$G$22,6,FALSE) &gt;= ('20Trips'!$B$25+VLOOKUP(VLOOKUP($B88,'20Trips'!$A$2:$I$22,4,FALSE),'20Trips'!$AB$46:$AH$50,5,FALSE))/1440),1,0)</f>
        <v>0</v>
      </c>
      <c r="F88" s="2">
        <f>IF(AND(VLOOKUP(F$1,'20Trips'!$A$3:$F$22,5,FALSE) - VLOOKUP($B88,'20Trips'!$A$3:$G$22,6,FALSE) &gt;= ('20Trips'!$B$25+VLOOKUP(VLOOKUP($B88,'20Trips'!$A$2:$I$22,4,FALSE),'20Trips'!$AB$46:$AH$50,5,FALSE))/1440),1,0)</f>
        <v>0</v>
      </c>
      <c r="G88" s="2">
        <f>IF(AND(VLOOKUP(G$1,'20Trips'!$A$3:$F$22,5,FALSE) - VLOOKUP($B88,'20Trips'!$A$3:$G$22,6,FALSE) &gt;= ('20Trips'!$B$25+VLOOKUP(VLOOKUP($B88,'20Trips'!$A$2:$I$22,4,FALSE),'20Trips'!$AB$46:$AH$50,5,FALSE))/1440),1,0)</f>
        <v>0</v>
      </c>
      <c r="H88" s="2">
        <f>IF(AND(VLOOKUP(H$1,'20Trips'!$A$3:$F$22,5,FALSE) - VLOOKUP($B88,'20Trips'!$A$3:$G$22,6,FALSE) &gt;= ('20Trips'!$B$25+VLOOKUP(VLOOKUP($B88,'20Trips'!$A$2:$I$22,4,FALSE),'20Trips'!$AB$46:$AH$50,5,FALSE))/1440),1,0)</f>
        <v>0</v>
      </c>
      <c r="I88" s="2" t="e">
        <f>IF(AND(VLOOKUP(I$1,'20Trips'!$A$3:$F$22,5,FALSE) - VLOOKUP($B88,'20Trips'!$A$3:$G$22,6,FALSE) &gt;= ('20Trips'!$B$25+VLOOKUP(VLOOKUP($B88,'20Trips'!$A$2:$I$22,4,FALSE),'20Trips'!$AB$46:$AH$50,5,FALSE))/1440),1,0)</f>
        <v>#N/A</v>
      </c>
      <c r="J88" s="2" t="e">
        <f>IF(AND(VLOOKUP(J$1,'20Trips'!$A$3:$F$22,5,FALSE) - VLOOKUP($B88,'20Trips'!$A$3:$G$22,6,FALSE) &gt;= ('20Trips'!$B$25+VLOOKUP(VLOOKUP($B88,'20Trips'!$A$2:$I$22,4,FALSE),'20Trips'!$AB$46:$AH$50,5,FALSE))/1440),1,0)</f>
        <v>#N/A</v>
      </c>
      <c r="K88" s="2" t="e">
        <f>IF(AND(VLOOKUP(K$1,'20Trips'!$A$3:$F$22,5,FALSE) - VLOOKUP($B88,'20Trips'!$A$3:$G$22,6,FALSE) &gt;= ('20Trips'!$B$25+VLOOKUP(VLOOKUP($B88,'20Trips'!$A$2:$I$22,4,FALSE),'20Trips'!$AB$46:$AH$50,5,FALSE))/1440),1,0)</f>
        <v>#N/A</v>
      </c>
      <c r="L88" s="2">
        <f>IF(AND(VLOOKUP(L$1,'20Trips'!$A$3:$F$22,5,FALSE) - VLOOKUP($B88,'20Trips'!$A$3:$G$22,6,FALSE) &gt;= ('20Trips'!$B$25+VLOOKUP(VLOOKUP($B88,'20Trips'!$A$2:$I$22,4,FALSE),'20Trips'!$AB$46:$AH$50,5,FALSE))/1440),1,0)</f>
        <v>0</v>
      </c>
      <c r="M88" s="2">
        <f>IF(AND(VLOOKUP(M$1,'20Trips'!$A$3:$F$22,5,FALSE) - VLOOKUP($B88,'20Trips'!$A$3:$G$22,6,FALSE) &gt;= ('20Trips'!$B$25+VLOOKUP(VLOOKUP($B88,'20Trips'!$A$2:$I$22,4,FALSE),'20Trips'!$AB$46:$AH$50,5,FALSE))/1440),1,0)</f>
        <v>0</v>
      </c>
      <c r="N88" s="2">
        <f>IF(AND(VLOOKUP(N$1,'20Trips'!$A$3:$F$22,5,FALSE) - VLOOKUP($B88,'20Trips'!$A$3:$G$22,6,FALSE) &gt;= ('20Trips'!$B$25+VLOOKUP(VLOOKUP($B88,'20Trips'!$A$2:$I$22,4,FALSE),'20Trips'!$AB$46:$AH$50,5,FALSE))/1440),1,0)</f>
        <v>0</v>
      </c>
      <c r="O88" s="2">
        <f>IF(AND(VLOOKUP(O$1,'20Trips'!$A$3:$F$22,5,FALSE) - VLOOKUP($B88,'20Trips'!$A$3:$G$22,6,FALSE) &gt;= ('20Trips'!$B$25+VLOOKUP(VLOOKUP($B88,'20Trips'!$A$2:$I$22,4,FALSE),'20Trips'!$AB$46:$AH$50,5,FALSE))/1440),1,0)</f>
        <v>1</v>
      </c>
      <c r="P88" s="2">
        <f>IF(AND(VLOOKUP(P$1,'20Trips'!$A$3:$F$22,5,FALSE) - VLOOKUP($B88,'20Trips'!$A$3:$G$22,6,FALSE) &gt;= ('20Trips'!$B$25+VLOOKUP(VLOOKUP($B88,'20Trips'!$A$2:$I$22,4,FALSE),'20Trips'!$AB$46:$AH$50,5,FALSE))/1440),1,0)</f>
        <v>1</v>
      </c>
      <c r="Q88" s="2" t="e">
        <f>IF(AND(VLOOKUP(Q$1,'20Trips'!$A$3:$F$22,5,FALSE) - VLOOKUP($B88,'20Trips'!$A$3:$G$22,6,FALSE) &gt;= ('20Trips'!$B$25+VLOOKUP(VLOOKUP($B88,'20Trips'!$A$2:$I$22,4,FALSE),'20Trips'!$AB$46:$AH$50,5,FALSE))/1440),1,0)</f>
        <v>#N/A</v>
      </c>
      <c r="R88" s="2">
        <f>IF(AND(VLOOKUP(R$1,'20Trips'!$A$3:$F$22,5,FALSE) - VLOOKUP($B88,'20Trips'!$A$3:$G$22,6,FALSE) &gt;= ('20Trips'!$B$25+VLOOKUP(VLOOKUP($B88,'20Trips'!$A$2:$I$22,4,FALSE),'20Trips'!$AB$46:$AH$50,5,FALSE))/1440),1,0)</f>
        <v>0</v>
      </c>
      <c r="S88" s="2">
        <f>IF(AND(VLOOKUP(S$1,'20Trips'!$A$3:$F$22,5,FALSE) - VLOOKUP($B88,'20Trips'!$A$3:$G$22,6,FALSE) &gt;= ('20Trips'!$B$25+VLOOKUP(VLOOKUP($B88,'20Trips'!$A$2:$I$22,4,FALSE),'20Trips'!$AB$46:$AH$50,5,FALSE))/1440),1,0)</f>
        <v>0</v>
      </c>
      <c r="T88" s="2">
        <f>IF(AND(VLOOKUP(T$1,'20Trips'!$A$3:$F$22,5,FALSE) - VLOOKUP($B88,'20Trips'!$A$3:$G$22,6,FALSE) &gt;= ('20Trips'!$B$25+VLOOKUP(VLOOKUP($B88,'20Trips'!$A$2:$I$22,4,FALSE),'20Trips'!$AB$46:$AH$50,5,FALSE))/1440),1,0)</f>
        <v>0</v>
      </c>
      <c r="U88" s="2">
        <f>IF(AND(VLOOKUP(U$1,'20Trips'!$A$3:$F$22,5,FALSE) - VLOOKUP($B88,'20Trips'!$A$3:$G$22,6,FALSE) &gt;= ('20Trips'!$B$25+VLOOKUP(VLOOKUP($B88,'20Trips'!$A$2:$I$22,4,FALSE),'20Trips'!$AB$46:$AH$50,5,FALSE))/1440),1,0)</f>
        <v>0</v>
      </c>
      <c r="V88" s="2">
        <f>IF(AND(VLOOKUP(V$1,'20Trips'!$A$3:$F$22,5,FALSE) - VLOOKUP($B88,'20Trips'!$A$3:$G$22,6,FALSE) &gt;= ('20Trips'!$B$25+VLOOKUP(VLOOKUP($B88,'20Trips'!$A$2:$I$22,4,FALSE),'20Trips'!$AB$46:$AH$50,5,FALSE))/1440),1,0)</f>
        <v>0</v>
      </c>
      <c r="W88" s="2" t="e">
        <f>IF(AND(VLOOKUP(W$1,'20Trips'!$A$3:$F$22,5,FALSE) - VLOOKUP($B88,'20Trips'!$A$3:$G$22,6,FALSE) &gt;= ('20Trips'!$B$25+VLOOKUP(VLOOKUP($B88,'20Trips'!$A$2:$I$22,4,FALSE),'20Trips'!$AB$46:$AH$50,5,FALSE))/1440),1,0)</f>
        <v>#N/A</v>
      </c>
      <c r="X88" s="2" t="e">
        <f>IF(AND(VLOOKUP(X$1,'20Trips'!$A$3:$F$22,5,FALSE) - VLOOKUP($B88,'20Trips'!$A$3:$G$22,6,FALSE) &gt;= ('20Trips'!$B$25+VLOOKUP(VLOOKUP($B88,'20Trips'!$A$2:$I$22,4,FALSE),'20Trips'!$AB$46:$AH$50,5,FALSE))/1440),1,0)</f>
        <v>#N/A</v>
      </c>
      <c r="Y88" s="2" t="e">
        <f>IF(AND(VLOOKUP(Y$1,'20Trips'!$A$3:$F$22,5,FALSE) - VLOOKUP($B88,'20Trips'!$A$3:$G$22,6,FALSE) &gt;= ('20Trips'!$B$25+VLOOKUP(VLOOKUP($B88,'20Trips'!$A$2:$I$22,4,FALSE),'20Trips'!$AB$46:$AH$50,5,FALSE))/1440),1,0)</f>
        <v>#N/A</v>
      </c>
      <c r="Z88" s="2">
        <f>IF(AND(VLOOKUP(Z$1,'20Trips'!$A$3:$F$22,5,FALSE) - VLOOKUP($B88,'20Trips'!$A$3:$G$22,6,FALSE) &gt;= ('20Trips'!$B$25+VLOOKUP(VLOOKUP($B88,'20Trips'!$A$2:$I$22,4,FALSE),'20Trips'!$AB$46:$AH$50,5,FALSE))/1440),1,0)</f>
        <v>0</v>
      </c>
      <c r="AA88" s="2">
        <f>IF(AND(VLOOKUP(AA$1,'20Trips'!$A$3:$F$22,5,FALSE) - VLOOKUP($B88,'20Trips'!$A$3:$G$22,6,FALSE) &gt;= ('20Trips'!$B$25+VLOOKUP(VLOOKUP($B88,'20Trips'!$A$2:$I$22,4,FALSE),'20Trips'!$AB$46:$AH$50,5,FALSE))/1440),1,0)</f>
        <v>0</v>
      </c>
      <c r="AB88" s="2">
        <f>IF(AND(VLOOKUP(AB$1,'20Trips'!$A$3:$F$22,5,FALSE) - VLOOKUP($B88,'20Trips'!$A$3:$G$22,6,FALSE) &gt;= ('20Trips'!$B$25+VLOOKUP(VLOOKUP($B88,'20Trips'!$A$2:$I$22,4,FALSE),'20Trips'!$AB$46:$AH$50,5,FALSE))/1440),1,0)</f>
        <v>0</v>
      </c>
      <c r="AC88" s="2">
        <f>IF(AND(VLOOKUP(AC$1,'20Trips'!$A$3:$F$22,5,FALSE) - VLOOKUP($B88,'20Trips'!$A$3:$G$22,6,FALSE) &gt;= ('20Trips'!$B$25+VLOOKUP(VLOOKUP($B88,'20Trips'!$A$2:$I$22,4,FALSE),'20Trips'!$AB$46:$AH$50,5,FALSE))/1440),1,0)</f>
        <v>0</v>
      </c>
      <c r="AD88" s="2">
        <f>IF(AND(VLOOKUP(AD$1,'20Trips'!$A$3:$F$22,5,FALSE) - VLOOKUP($B88,'20Trips'!$A$3:$G$22,6,FALSE) &gt;= ('20Trips'!$B$25+VLOOKUP(VLOOKUP($B88,'20Trips'!$A$2:$I$22,4,FALSE),'20Trips'!$AB$46:$AH$50,5,FALSE))/1440),1,0)</f>
        <v>1</v>
      </c>
      <c r="AE88" s="2" t="e">
        <f>IF(AND(VLOOKUP(AE$1,'20Trips'!$A$3:$F$22,5,FALSE) - VLOOKUP($B88,'20Trips'!$A$3:$G$22,6,FALSE) &gt;= ('20Trips'!$B$25+VLOOKUP(VLOOKUP($B88,'20Trips'!$A$2:$I$22,4,FALSE),'20Trips'!$AB$46:$AH$50,5,FALSE))/1440),1,0)</f>
        <v>#N/A</v>
      </c>
      <c r="AF88" s="2" t="e">
        <f>IF(AND(VLOOKUP(AF$1,'20Trips'!$A$3:$F$22,5,FALSE) - VLOOKUP($B88,'20Trips'!$A$3:$G$22,6,FALSE) &gt;= ('20Trips'!$B$25+VLOOKUP(VLOOKUP($B88,'20Trips'!$A$2:$I$22,4,FALSE),'20Trips'!$AB$46:$AH$50,5,FALSE))/1440),1,0)</f>
        <v>#N/A</v>
      </c>
      <c r="AG88" s="2" t="e">
        <f>IF(AND(VLOOKUP(AG$1,'20Trips'!$A$3:$F$22,5,FALSE) - VLOOKUP($B88,'20Trips'!$A$3:$G$22,6,FALSE) &gt;= ('20Trips'!$B$25+VLOOKUP(VLOOKUP($B88,'20Trips'!$A$2:$I$22,4,FALSE),'20Trips'!$AB$46:$AH$50,5,FALSE))/1440),1,0)</f>
        <v>#N/A</v>
      </c>
    </row>
    <row r="89" spans="1:33" x14ac:dyDescent="0.25">
      <c r="A89" t="s">
        <v>67</v>
      </c>
      <c r="B89" t="s">
        <v>36</v>
      </c>
      <c r="C89">
        <v>0</v>
      </c>
      <c r="D89" s="2">
        <f>IF(AND(VLOOKUP(D$1,'20Trips'!$A$3:$F$22,5,FALSE) - VLOOKUP($B89,'20Trips'!$A$3:$G$22,6,FALSE) &gt;= ('20Trips'!$B$25+VLOOKUP(VLOOKUP($B89,'20Trips'!$A$2:$I$22,4,FALSE),'20Trips'!$AB$46:$AH$50,5,FALSE))/1440),1,0)</f>
        <v>0</v>
      </c>
      <c r="E89" s="2">
        <f>IF(AND(VLOOKUP(E$1,'20Trips'!$A$3:$F$22,5,FALSE) - VLOOKUP($B89,'20Trips'!$A$3:$G$22,6,FALSE) &gt;= ('20Trips'!$B$25+VLOOKUP(VLOOKUP($B89,'20Trips'!$A$2:$I$22,4,FALSE),'20Trips'!$AB$46:$AH$50,5,FALSE))/1440),1,0)</f>
        <v>0</v>
      </c>
      <c r="F89" s="2">
        <f>IF(AND(VLOOKUP(F$1,'20Trips'!$A$3:$F$22,5,FALSE) - VLOOKUP($B89,'20Trips'!$A$3:$G$22,6,FALSE) &gt;= ('20Trips'!$B$25+VLOOKUP(VLOOKUP($B89,'20Trips'!$A$2:$I$22,4,FALSE),'20Trips'!$AB$46:$AH$50,5,FALSE))/1440),1,0)</f>
        <v>0</v>
      </c>
      <c r="G89" s="2">
        <f>IF(AND(VLOOKUP(G$1,'20Trips'!$A$3:$F$22,5,FALSE) - VLOOKUP($B89,'20Trips'!$A$3:$G$22,6,FALSE) &gt;= ('20Trips'!$B$25+VLOOKUP(VLOOKUP($B89,'20Trips'!$A$2:$I$22,4,FALSE),'20Trips'!$AB$46:$AH$50,5,FALSE))/1440),1,0)</f>
        <v>0</v>
      </c>
      <c r="H89" s="2">
        <f>IF(AND(VLOOKUP(H$1,'20Trips'!$A$3:$F$22,5,FALSE) - VLOOKUP($B89,'20Trips'!$A$3:$G$22,6,FALSE) &gt;= ('20Trips'!$B$25+VLOOKUP(VLOOKUP($B89,'20Trips'!$A$2:$I$22,4,FALSE),'20Trips'!$AB$46:$AH$50,5,FALSE))/1440),1,0)</f>
        <v>0</v>
      </c>
      <c r="I89" s="2" t="e">
        <f>IF(AND(VLOOKUP(I$1,'20Trips'!$A$3:$F$22,5,FALSE) - VLOOKUP($B89,'20Trips'!$A$3:$G$22,6,FALSE) &gt;= ('20Trips'!$B$25+VLOOKUP(VLOOKUP($B89,'20Trips'!$A$2:$I$22,4,FALSE),'20Trips'!$AB$46:$AH$50,5,FALSE))/1440),1,0)</f>
        <v>#N/A</v>
      </c>
      <c r="J89" s="2" t="e">
        <f>IF(AND(VLOOKUP(J$1,'20Trips'!$A$3:$F$22,5,FALSE) - VLOOKUP($B89,'20Trips'!$A$3:$G$22,6,FALSE) &gt;= ('20Trips'!$B$25+VLOOKUP(VLOOKUP($B89,'20Trips'!$A$2:$I$22,4,FALSE),'20Trips'!$AB$46:$AH$50,5,FALSE))/1440),1,0)</f>
        <v>#N/A</v>
      </c>
      <c r="K89" s="2" t="e">
        <f>IF(AND(VLOOKUP(K$1,'20Trips'!$A$3:$F$22,5,FALSE) - VLOOKUP($B89,'20Trips'!$A$3:$G$22,6,FALSE) &gt;= ('20Trips'!$B$25+VLOOKUP(VLOOKUP($B89,'20Trips'!$A$2:$I$22,4,FALSE),'20Trips'!$AB$46:$AH$50,5,FALSE))/1440),1,0)</f>
        <v>#N/A</v>
      </c>
      <c r="L89" s="2">
        <f>IF(AND(VLOOKUP(L$1,'20Trips'!$A$3:$F$22,5,FALSE) - VLOOKUP($B89,'20Trips'!$A$3:$G$22,6,FALSE) &gt;= ('20Trips'!$B$25+VLOOKUP(VLOOKUP($B89,'20Trips'!$A$2:$I$22,4,FALSE),'20Trips'!$AB$46:$AH$50,5,FALSE))/1440),1,0)</f>
        <v>0</v>
      </c>
      <c r="M89" s="2">
        <f>IF(AND(VLOOKUP(M$1,'20Trips'!$A$3:$F$22,5,FALSE) - VLOOKUP($B89,'20Trips'!$A$3:$G$22,6,FALSE) &gt;= ('20Trips'!$B$25+VLOOKUP(VLOOKUP($B89,'20Trips'!$A$2:$I$22,4,FALSE),'20Trips'!$AB$46:$AH$50,5,FALSE))/1440),1,0)</f>
        <v>0</v>
      </c>
      <c r="N89" s="2">
        <f>IF(AND(VLOOKUP(N$1,'20Trips'!$A$3:$F$22,5,FALSE) - VLOOKUP($B89,'20Trips'!$A$3:$G$22,6,FALSE) &gt;= ('20Trips'!$B$25+VLOOKUP(VLOOKUP($B89,'20Trips'!$A$2:$I$22,4,FALSE),'20Trips'!$AB$46:$AH$50,5,FALSE))/1440),1,0)</f>
        <v>0</v>
      </c>
      <c r="O89" s="2">
        <f>IF(AND(VLOOKUP(O$1,'20Trips'!$A$3:$F$22,5,FALSE) - VLOOKUP($B89,'20Trips'!$A$3:$G$22,6,FALSE) &gt;= ('20Trips'!$B$25+VLOOKUP(VLOOKUP($B89,'20Trips'!$A$2:$I$22,4,FALSE),'20Trips'!$AB$46:$AH$50,5,FALSE))/1440),1,0)</f>
        <v>1</v>
      </c>
      <c r="P89" s="2">
        <f>IF(AND(VLOOKUP(P$1,'20Trips'!$A$3:$F$22,5,FALSE) - VLOOKUP($B89,'20Trips'!$A$3:$G$22,6,FALSE) &gt;= ('20Trips'!$B$25+VLOOKUP(VLOOKUP($B89,'20Trips'!$A$2:$I$22,4,FALSE),'20Trips'!$AB$46:$AH$50,5,FALSE))/1440),1,0)</f>
        <v>1</v>
      </c>
      <c r="Q89" s="2" t="e">
        <f>IF(AND(VLOOKUP(Q$1,'20Trips'!$A$3:$F$22,5,FALSE) - VLOOKUP($B89,'20Trips'!$A$3:$G$22,6,FALSE) &gt;= ('20Trips'!$B$25+VLOOKUP(VLOOKUP($B89,'20Trips'!$A$2:$I$22,4,FALSE),'20Trips'!$AB$46:$AH$50,5,FALSE))/1440),1,0)</f>
        <v>#N/A</v>
      </c>
      <c r="R89" s="2">
        <f>IF(AND(VLOOKUP(R$1,'20Trips'!$A$3:$F$22,5,FALSE) - VLOOKUP($B89,'20Trips'!$A$3:$G$22,6,FALSE) &gt;= ('20Trips'!$B$25+VLOOKUP(VLOOKUP($B89,'20Trips'!$A$2:$I$22,4,FALSE),'20Trips'!$AB$46:$AH$50,5,FALSE))/1440),1,0)</f>
        <v>0</v>
      </c>
      <c r="S89" s="2">
        <f>IF(AND(VLOOKUP(S$1,'20Trips'!$A$3:$F$22,5,FALSE) - VLOOKUP($B89,'20Trips'!$A$3:$G$22,6,FALSE) &gt;= ('20Trips'!$B$25+VLOOKUP(VLOOKUP($B89,'20Trips'!$A$2:$I$22,4,FALSE),'20Trips'!$AB$46:$AH$50,5,FALSE))/1440),1,0)</f>
        <v>0</v>
      </c>
      <c r="T89" s="2">
        <f>IF(AND(VLOOKUP(T$1,'20Trips'!$A$3:$F$22,5,FALSE) - VLOOKUP($B89,'20Trips'!$A$3:$G$22,6,FALSE) &gt;= ('20Trips'!$B$25+VLOOKUP(VLOOKUP($B89,'20Trips'!$A$2:$I$22,4,FALSE),'20Trips'!$AB$46:$AH$50,5,FALSE))/1440),1,0)</f>
        <v>0</v>
      </c>
      <c r="U89" s="2">
        <f>IF(AND(VLOOKUP(U$1,'20Trips'!$A$3:$F$22,5,FALSE) - VLOOKUP($B89,'20Trips'!$A$3:$G$22,6,FALSE) &gt;= ('20Trips'!$B$25+VLOOKUP(VLOOKUP($B89,'20Trips'!$A$2:$I$22,4,FALSE),'20Trips'!$AB$46:$AH$50,5,FALSE))/1440),1,0)</f>
        <v>0</v>
      </c>
      <c r="V89" s="2">
        <f>IF(AND(VLOOKUP(V$1,'20Trips'!$A$3:$F$22,5,FALSE) - VLOOKUP($B89,'20Trips'!$A$3:$G$22,6,FALSE) &gt;= ('20Trips'!$B$25+VLOOKUP(VLOOKUP($B89,'20Trips'!$A$2:$I$22,4,FALSE),'20Trips'!$AB$46:$AH$50,5,FALSE))/1440),1,0)</f>
        <v>0</v>
      </c>
      <c r="W89" s="2" t="e">
        <f>IF(AND(VLOOKUP(W$1,'20Trips'!$A$3:$F$22,5,FALSE) - VLOOKUP($B89,'20Trips'!$A$3:$G$22,6,FALSE) &gt;= ('20Trips'!$B$25+VLOOKUP(VLOOKUP($B89,'20Trips'!$A$2:$I$22,4,FALSE),'20Trips'!$AB$46:$AH$50,5,FALSE))/1440),1,0)</f>
        <v>#N/A</v>
      </c>
      <c r="X89" s="2" t="e">
        <f>IF(AND(VLOOKUP(X$1,'20Trips'!$A$3:$F$22,5,FALSE) - VLOOKUP($B89,'20Trips'!$A$3:$G$22,6,FALSE) &gt;= ('20Trips'!$B$25+VLOOKUP(VLOOKUP($B89,'20Trips'!$A$2:$I$22,4,FALSE),'20Trips'!$AB$46:$AH$50,5,FALSE))/1440),1,0)</f>
        <v>#N/A</v>
      </c>
      <c r="Y89" s="2" t="e">
        <f>IF(AND(VLOOKUP(Y$1,'20Trips'!$A$3:$F$22,5,FALSE) - VLOOKUP($B89,'20Trips'!$A$3:$G$22,6,FALSE) &gt;= ('20Trips'!$B$25+VLOOKUP(VLOOKUP($B89,'20Trips'!$A$2:$I$22,4,FALSE),'20Trips'!$AB$46:$AH$50,5,FALSE))/1440),1,0)</f>
        <v>#N/A</v>
      </c>
      <c r="Z89" s="2">
        <f>IF(AND(VLOOKUP(Z$1,'20Trips'!$A$3:$F$22,5,FALSE) - VLOOKUP($B89,'20Trips'!$A$3:$G$22,6,FALSE) &gt;= ('20Trips'!$B$25+VLOOKUP(VLOOKUP($B89,'20Trips'!$A$2:$I$22,4,FALSE),'20Trips'!$AB$46:$AH$50,5,FALSE))/1440),1,0)</f>
        <v>0</v>
      </c>
      <c r="AA89" s="2">
        <f>IF(AND(VLOOKUP(AA$1,'20Trips'!$A$3:$F$22,5,FALSE) - VLOOKUP($B89,'20Trips'!$A$3:$G$22,6,FALSE) &gt;= ('20Trips'!$B$25+VLOOKUP(VLOOKUP($B89,'20Trips'!$A$2:$I$22,4,FALSE),'20Trips'!$AB$46:$AH$50,5,FALSE))/1440),1,0)</f>
        <v>0</v>
      </c>
      <c r="AB89" s="2">
        <f>IF(AND(VLOOKUP(AB$1,'20Trips'!$A$3:$F$22,5,FALSE) - VLOOKUP($B89,'20Trips'!$A$3:$G$22,6,FALSE) &gt;= ('20Trips'!$B$25+VLOOKUP(VLOOKUP($B89,'20Trips'!$A$2:$I$22,4,FALSE),'20Trips'!$AB$46:$AH$50,5,FALSE))/1440),1,0)</f>
        <v>0</v>
      </c>
      <c r="AC89" s="2">
        <f>IF(AND(VLOOKUP(AC$1,'20Trips'!$A$3:$F$22,5,FALSE) - VLOOKUP($B89,'20Trips'!$A$3:$G$22,6,FALSE) &gt;= ('20Trips'!$B$25+VLOOKUP(VLOOKUP($B89,'20Trips'!$A$2:$I$22,4,FALSE),'20Trips'!$AB$46:$AH$50,5,FALSE))/1440),1,0)</f>
        <v>0</v>
      </c>
      <c r="AD89" s="2">
        <f>IF(AND(VLOOKUP(AD$1,'20Trips'!$A$3:$F$22,5,FALSE) - VLOOKUP($B89,'20Trips'!$A$3:$G$22,6,FALSE) &gt;= ('20Trips'!$B$25+VLOOKUP(VLOOKUP($B89,'20Trips'!$A$2:$I$22,4,FALSE),'20Trips'!$AB$46:$AH$50,5,FALSE))/1440),1,0)</f>
        <v>0</v>
      </c>
      <c r="AE89" s="2" t="e">
        <f>IF(AND(VLOOKUP(AE$1,'20Trips'!$A$3:$F$22,5,FALSE) - VLOOKUP($B89,'20Trips'!$A$3:$G$22,6,FALSE) &gt;= ('20Trips'!$B$25+VLOOKUP(VLOOKUP($B89,'20Trips'!$A$2:$I$22,4,FALSE),'20Trips'!$AB$46:$AH$50,5,FALSE))/1440),1,0)</f>
        <v>#N/A</v>
      </c>
      <c r="AF89" s="2" t="e">
        <f>IF(AND(VLOOKUP(AF$1,'20Trips'!$A$3:$F$22,5,FALSE) - VLOOKUP($B89,'20Trips'!$A$3:$G$22,6,FALSE) &gt;= ('20Trips'!$B$25+VLOOKUP(VLOOKUP($B89,'20Trips'!$A$2:$I$22,4,FALSE),'20Trips'!$AB$46:$AH$50,5,FALSE))/1440),1,0)</f>
        <v>#N/A</v>
      </c>
      <c r="AG89" s="2" t="e">
        <f>IF(AND(VLOOKUP(AG$1,'20Trips'!$A$3:$F$22,5,FALSE) - VLOOKUP($B89,'20Trips'!$A$3:$G$22,6,FALSE) &gt;= ('20Trips'!$B$25+VLOOKUP(VLOOKUP($B89,'20Trips'!$A$2:$I$22,4,FALSE),'20Trips'!$AB$46:$AH$50,5,FALSE))/1440),1,0)</f>
        <v>#N/A</v>
      </c>
    </row>
    <row r="90" spans="1:33" x14ac:dyDescent="0.25">
      <c r="A90" t="s">
        <v>67</v>
      </c>
      <c r="B90" t="s">
        <v>37</v>
      </c>
      <c r="C90">
        <v>0</v>
      </c>
      <c r="D90" s="2">
        <f>IF(AND(VLOOKUP(D$1,'20Trips'!$A$3:$F$22,5,FALSE) - VLOOKUP($B90,'20Trips'!$A$3:$G$22,6,FALSE) &gt;= ('20Trips'!$B$25+VLOOKUP(VLOOKUP($B90,'20Trips'!$A$2:$I$22,4,FALSE),'20Trips'!$AB$46:$AH$50,5,FALSE))/1440),1,0)</f>
        <v>0</v>
      </c>
      <c r="E90" s="2">
        <f>IF(AND(VLOOKUP(E$1,'20Trips'!$A$3:$F$22,5,FALSE) - VLOOKUP($B90,'20Trips'!$A$3:$G$22,6,FALSE) &gt;= ('20Trips'!$B$25+VLOOKUP(VLOOKUP($B90,'20Trips'!$A$2:$I$22,4,FALSE),'20Trips'!$AB$46:$AH$50,5,FALSE))/1440),1,0)</f>
        <v>0</v>
      </c>
      <c r="F90" s="2">
        <f>IF(AND(VLOOKUP(F$1,'20Trips'!$A$3:$F$22,5,FALSE) - VLOOKUP($B90,'20Trips'!$A$3:$G$22,6,FALSE) &gt;= ('20Trips'!$B$25+VLOOKUP(VLOOKUP($B90,'20Trips'!$A$2:$I$22,4,FALSE),'20Trips'!$AB$46:$AH$50,5,FALSE))/1440),1,0)</f>
        <v>0</v>
      </c>
      <c r="G90" s="2">
        <f>IF(AND(VLOOKUP(G$1,'20Trips'!$A$3:$F$22,5,FALSE) - VLOOKUP($B90,'20Trips'!$A$3:$G$22,6,FALSE) &gt;= ('20Trips'!$B$25+VLOOKUP(VLOOKUP($B90,'20Trips'!$A$2:$I$22,4,FALSE),'20Trips'!$AB$46:$AH$50,5,FALSE))/1440),1,0)</f>
        <v>0</v>
      </c>
      <c r="H90" s="2">
        <f>IF(AND(VLOOKUP(H$1,'20Trips'!$A$3:$F$22,5,FALSE) - VLOOKUP($B90,'20Trips'!$A$3:$G$22,6,FALSE) &gt;= ('20Trips'!$B$25+VLOOKUP(VLOOKUP($B90,'20Trips'!$A$2:$I$22,4,FALSE),'20Trips'!$AB$46:$AH$50,5,FALSE))/1440),1,0)</f>
        <v>0</v>
      </c>
      <c r="I90" s="2" t="e">
        <f>IF(AND(VLOOKUP(I$1,'20Trips'!$A$3:$F$22,5,FALSE) - VLOOKUP($B90,'20Trips'!$A$3:$G$22,6,FALSE) &gt;= ('20Trips'!$B$25+VLOOKUP(VLOOKUP($B90,'20Trips'!$A$2:$I$22,4,FALSE),'20Trips'!$AB$46:$AH$50,5,FALSE))/1440),1,0)</f>
        <v>#N/A</v>
      </c>
      <c r="J90" s="2" t="e">
        <f>IF(AND(VLOOKUP(J$1,'20Trips'!$A$3:$F$22,5,FALSE) - VLOOKUP($B90,'20Trips'!$A$3:$G$22,6,FALSE) &gt;= ('20Trips'!$B$25+VLOOKUP(VLOOKUP($B90,'20Trips'!$A$2:$I$22,4,FALSE),'20Trips'!$AB$46:$AH$50,5,FALSE))/1440),1,0)</f>
        <v>#N/A</v>
      </c>
      <c r="K90" s="2" t="e">
        <f>IF(AND(VLOOKUP(K$1,'20Trips'!$A$3:$F$22,5,FALSE) - VLOOKUP($B90,'20Trips'!$A$3:$G$22,6,FALSE) &gt;= ('20Trips'!$B$25+VLOOKUP(VLOOKUP($B90,'20Trips'!$A$2:$I$22,4,FALSE),'20Trips'!$AB$46:$AH$50,5,FALSE))/1440),1,0)</f>
        <v>#N/A</v>
      </c>
      <c r="L90" s="2">
        <f>IF(AND(VLOOKUP(L$1,'20Trips'!$A$3:$F$22,5,FALSE) - VLOOKUP($B90,'20Trips'!$A$3:$G$22,6,FALSE) &gt;= ('20Trips'!$B$25+VLOOKUP(VLOOKUP($B90,'20Trips'!$A$2:$I$22,4,FALSE),'20Trips'!$AB$46:$AH$50,5,FALSE))/1440),1,0)</f>
        <v>0</v>
      </c>
      <c r="M90" s="2">
        <f>IF(AND(VLOOKUP(M$1,'20Trips'!$A$3:$F$22,5,FALSE) - VLOOKUP($B90,'20Trips'!$A$3:$G$22,6,FALSE) &gt;= ('20Trips'!$B$25+VLOOKUP(VLOOKUP($B90,'20Trips'!$A$2:$I$22,4,FALSE),'20Trips'!$AB$46:$AH$50,5,FALSE))/1440),1,0)</f>
        <v>0</v>
      </c>
      <c r="N90" s="2">
        <f>IF(AND(VLOOKUP(N$1,'20Trips'!$A$3:$F$22,5,FALSE) - VLOOKUP($B90,'20Trips'!$A$3:$G$22,6,FALSE) &gt;= ('20Trips'!$B$25+VLOOKUP(VLOOKUP($B90,'20Trips'!$A$2:$I$22,4,FALSE),'20Trips'!$AB$46:$AH$50,5,FALSE))/1440),1,0)</f>
        <v>0</v>
      </c>
      <c r="O90" s="2">
        <f>IF(AND(VLOOKUP(O$1,'20Trips'!$A$3:$F$22,5,FALSE) - VLOOKUP($B90,'20Trips'!$A$3:$G$22,6,FALSE) &gt;= ('20Trips'!$B$25+VLOOKUP(VLOOKUP($B90,'20Trips'!$A$2:$I$22,4,FALSE),'20Trips'!$AB$46:$AH$50,5,FALSE))/1440),1,0)</f>
        <v>0</v>
      </c>
      <c r="P90" s="2">
        <f>IF(AND(VLOOKUP(P$1,'20Trips'!$A$3:$F$22,5,FALSE) - VLOOKUP($B90,'20Trips'!$A$3:$G$22,6,FALSE) &gt;= ('20Trips'!$B$25+VLOOKUP(VLOOKUP($B90,'20Trips'!$A$2:$I$22,4,FALSE),'20Trips'!$AB$46:$AH$50,5,FALSE))/1440),1,0)</f>
        <v>1</v>
      </c>
      <c r="Q90" s="2" t="e">
        <f>IF(AND(VLOOKUP(Q$1,'20Trips'!$A$3:$F$22,5,FALSE) - VLOOKUP($B90,'20Trips'!$A$3:$G$22,6,FALSE) &gt;= ('20Trips'!$B$25+VLOOKUP(VLOOKUP($B90,'20Trips'!$A$2:$I$22,4,FALSE),'20Trips'!$AB$46:$AH$50,5,FALSE))/1440),1,0)</f>
        <v>#N/A</v>
      </c>
      <c r="R90" s="2">
        <f>IF(AND(VLOOKUP(R$1,'20Trips'!$A$3:$F$22,5,FALSE) - VLOOKUP($B90,'20Trips'!$A$3:$G$22,6,FALSE) &gt;= ('20Trips'!$B$25+VLOOKUP(VLOOKUP($B90,'20Trips'!$A$2:$I$22,4,FALSE),'20Trips'!$AB$46:$AH$50,5,FALSE))/1440),1,0)</f>
        <v>0</v>
      </c>
      <c r="S90" s="2">
        <f>IF(AND(VLOOKUP(S$1,'20Trips'!$A$3:$F$22,5,FALSE) - VLOOKUP($B90,'20Trips'!$A$3:$G$22,6,FALSE) &gt;= ('20Trips'!$B$25+VLOOKUP(VLOOKUP($B90,'20Trips'!$A$2:$I$22,4,FALSE),'20Trips'!$AB$46:$AH$50,5,FALSE))/1440),1,0)</f>
        <v>0</v>
      </c>
      <c r="T90" s="2">
        <f>IF(AND(VLOOKUP(T$1,'20Trips'!$A$3:$F$22,5,FALSE) - VLOOKUP($B90,'20Trips'!$A$3:$G$22,6,FALSE) &gt;= ('20Trips'!$B$25+VLOOKUP(VLOOKUP($B90,'20Trips'!$A$2:$I$22,4,FALSE),'20Trips'!$AB$46:$AH$50,5,FALSE))/1440),1,0)</f>
        <v>0</v>
      </c>
      <c r="U90" s="2">
        <f>IF(AND(VLOOKUP(U$1,'20Trips'!$A$3:$F$22,5,FALSE) - VLOOKUP($B90,'20Trips'!$A$3:$G$22,6,FALSE) &gt;= ('20Trips'!$B$25+VLOOKUP(VLOOKUP($B90,'20Trips'!$A$2:$I$22,4,FALSE),'20Trips'!$AB$46:$AH$50,5,FALSE))/1440),1,0)</f>
        <v>0</v>
      </c>
      <c r="V90" s="2">
        <f>IF(AND(VLOOKUP(V$1,'20Trips'!$A$3:$F$22,5,FALSE) - VLOOKUP($B90,'20Trips'!$A$3:$G$22,6,FALSE) &gt;= ('20Trips'!$B$25+VLOOKUP(VLOOKUP($B90,'20Trips'!$A$2:$I$22,4,FALSE),'20Trips'!$AB$46:$AH$50,5,FALSE))/1440),1,0)</f>
        <v>0</v>
      </c>
      <c r="W90" s="2" t="e">
        <f>IF(AND(VLOOKUP(W$1,'20Trips'!$A$3:$F$22,5,FALSE) - VLOOKUP($B90,'20Trips'!$A$3:$G$22,6,FALSE) &gt;= ('20Trips'!$B$25+VLOOKUP(VLOOKUP($B90,'20Trips'!$A$2:$I$22,4,FALSE),'20Trips'!$AB$46:$AH$50,5,FALSE))/1440),1,0)</f>
        <v>#N/A</v>
      </c>
      <c r="X90" s="2" t="e">
        <f>IF(AND(VLOOKUP(X$1,'20Trips'!$A$3:$F$22,5,FALSE) - VLOOKUP($B90,'20Trips'!$A$3:$G$22,6,FALSE) &gt;= ('20Trips'!$B$25+VLOOKUP(VLOOKUP($B90,'20Trips'!$A$2:$I$22,4,FALSE),'20Trips'!$AB$46:$AH$50,5,FALSE))/1440),1,0)</f>
        <v>#N/A</v>
      </c>
      <c r="Y90" s="2" t="e">
        <f>IF(AND(VLOOKUP(Y$1,'20Trips'!$A$3:$F$22,5,FALSE) - VLOOKUP($B90,'20Trips'!$A$3:$G$22,6,FALSE) &gt;= ('20Trips'!$B$25+VLOOKUP(VLOOKUP($B90,'20Trips'!$A$2:$I$22,4,FALSE),'20Trips'!$AB$46:$AH$50,5,FALSE))/1440),1,0)</f>
        <v>#N/A</v>
      </c>
      <c r="Z90" s="2">
        <f>IF(AND(VLOOKUP(Z$1,'20Trips'!$A$3:$F$22,5,FALSE) - VLOOKUP($B90,'20Trips'!$A$3:$G$22,6,FALSE) &gt;= ('20Trips'!$B$25+VLOOKUP(VLOOKUP($B90,'20Trips'!$A$2:$I$22,4,FALSE),'20Trips'!$AB$46:$AH$50,5,FALSE))/1440),1,0)</f>
        <v>0</v>
      </c>
      <c r="AA90" s="2">
        <f>IF(AND(VLOOKUP(AA$1,'20Trips'!$A$3:$F$22,5,FALSE) - VLOOKUP($B90,'20Trips'!$A$3:$G$22,6,FALSE) &gt;= ('20Trips'!$B$25+VLOOKUP(VLOOKUP($B90,'20Trips'!$A$2:$I$22,4,FALSE),'20Trips'!$AB$46:$AH$50,5,FALSE))/1440),1,0)</f>
        <v>0</v>
      </c>
      <c r="AB90" s="2">
        <f>IF(AND(VLOOKUP(AB$1,'20Trips'!$A$3:$F$22,5,FALSE) - VLOOKUP($B90,'20Trips'!$A$3:$G$22,6,FALSE) &gt;= ('20Trips'!$B$25+VLOOKUP(VLOOKUP($B90,'20Trips'!$A$2:$I$22,4,FALSE),'20Trips'!$AB$46:$AH$50,5,FALSE))/1440),1,0)</f>
        <v>0</v>
      </c>
      <c r="AC90" s="2">
        <f>IF(AND(VLOOKUP(AC$1,'20Trips'!$A$3:$F$22,5,FALSE) - VLOOKUP($B90,'20Trips'!$A$3:$G$22,6,FALSE) &gt;= ('20Trips'!$B$25+VLOOKUP(VLOOKUP($B90,'20Trips'!$A$2:$I$22,4,FALSE),'20Trips'!$AB$46:$AH$50,5,FALSE))/1440),1,0)</f>
        <v>0</v>
      </c>
      <c r="AD90" s="2">
        <f>IF(AND(VLOOKUP(AD$1,'20Trips'!$A$3:$F$22,5,FALSE) - VLOOKUP($B90,'20Trips'!$A$3:$G$22,6,FALSE) &gt;= ('20Trips'!$B$25+VLOOKUP(VLOOKUP($B90,'20Trips'!$A$2:$I$22,4,FALSE),'20Trips'!$AB$46:$AH$50,5,FALSE))/1440),1,0)</f>
        <v>0</v>
      </c>
      <c r="AE90" s="2" t="e">
        <f>IF(AND(VLOOKUP(AE$1,'20Trips'!$A$3:$F$22,5,FALSE) - VLOOKUP($B90,'20Trips'!$A$3:$G$22,6,FALSE) &gt;= ('20Trips'!$B$25+VLOOKUP(VLOOKUP($B90,'20Trips'!$A$2:$I$22,4,FALSE),'20Trips'!$AB$46:$AH$50,5,FALSE))/1440),1,0)</f>
        <v>#N/A</v>
      </c>
      <c r="AF90" s="2" t="e">
        <f>IF(AND(VLOOKUP(AF$1,'20Trips'!$A$3:$F$22,5,FALSE) - VLOOKUP($B90,'20Trips'!$A$3:$G$22,6,FALSE) &gt;= ('20Trips'!$B$25+VLOOKUP(VLOOKUP($B90,'20Trips'!$A$2:$I$22,4,FALSE),'20Trips'!$AB$46:$AH$50,5,FALSE))/1440),1,0)</f>
        <v>#N/A</v>
      </c>
      <c r="AG90" s="2" t="e">
        <f>IF(AND(VLOOKUP(AG$1,'20Trips'!$A$3:$F$22,5,FALSE) - VLOOKUP($B90,'20Trips'!$A$3:$G$22,6,FALSE) &gt;= ('20Trips'!$B$25+VLOOKUP(VLOOKUP($B90,'20Trips'!$A$2:$I$22,4,FALSE),'20Trips'!$AB$46:$AH$50,5,FALSE))/1440),1,0)</f>
        <v>#N/A</v>
      </c>
    </row>
    <row r="91" spans="1:33" x14ac:dyDescent="0.25">
      <c r="A91" t="s">
        <v>67</v>
      </c>
      <c r="B91" t="s">
        <v>38</v>
      </c>
      <c r="C91">
        <v>0</v>
      </c>
      <c r="D91" s="2">
        <f>IF(AND(VLOOKUP(D$1,'20Trips'!$A$3:$F$22,5,FALSE) - VLOOKUP($B91,'20Trips'!$A$3:$G$22,6,FALSE) &gt;= ('20Trips'!$B$25+VLOOKUP(VLOOKUP($B91,'20Trips'!$A$2:$I$22,4,FALSE),'20Trips'!$AB$46:$AH$50,5,FALSE))/1440),1,0)</f>
        <v>0</v>
      </c>
      <c r="E91" s="2">
        <f>IF(AND(VLOOKUP(E$1,'20Trips'!$A$3:$F$22,5,FALSE) - VLOOKUP($B91,'20Trips'!$A$3:$G$22,6,FALSE) &gt;= ('20Trips'!$B$25+VLOOKUP(VLOOKUP($B91,'20Trips'!$A$2:$I$22,4,FALSE),'20Trips'!$AB$46:$AH$50,5,FALSE))/1440),1,0)</f>
        <v>0</v>
      </c>
      <c r="F91" s="2">
        <f>IF(AND(VLOOKUP(F$1,'20Trips'!$A$3:$F$22,5,FALSE) - VLOOKUP($B91,'20Trips'!$A$3:$G$22,6,FALSE) &gt;= ('20Trips'!$B$25+VLOOKUP(VLOOKUP($B91,'20Trips'!$A$2:$I$22,4,FALSE),'20Trips'!$AB$46:$AH$50,5,FALSE))/1440),1,0)</f>
        <v>0</v>
      </c>
      <c r="G91" s="2">
        <f>IF(AND(VLOOKUP(G$1,'20Trips'!$A$3:$F$22,5,FALSE) - VLOOKUP($B91,'20Trips'!$A$3:$G$22,6,FALSE) &gt;= ('20Trips'!$B$25+VLOOKUP(VLOOKUP($B91,'20Trips'!$A$2:$I$22,4,FALSE),'20Trips'!$AB$46:$AH$50,5,FALSE))/1440),1,0)</f>
        <v>0</v>
      </c>
      <c r="H91" s="2">
        <f>IF(AND(VLOOKUP(H$1,'20Trips'!$A$3:$F$22,5,FALSE) - VLOOKUP($B91,'20Trips'!$A$3:$G$22,6,FALSE) &gt;= ('20Trips'!$B$25+VLOOKUP(VLOOKUP($B91,'20Trips'!$A$2:$I$22,4,FALSE),'20Trips'!$AB$46:$AH$50,5,FALSE))/1440),1,0)</f>
        <v>0</v>
      </c>
      <c r="I91" s="2" t="e">
        <f>IF(AND(VLOOKUP(I$1,'20Trips'!$A$3:$F$22,5,FALSE) - VLOOKUP($B91,'20Trips'!$A$3:$G$22,6,FALSE) &gt;= ('20Trips'!$B$25+VLOOKUP(VLOOKUP($B91,'20Trips'!$A$2:$I$22,4,FALSE),'20Trips'!$AB$46:$AH$50,5,FALSE))/1440),1,0)</f>
        <v>#N/A</v>
      </c>
      <c r="J91" s="2" t="e">
        <f>IF(AND(VLOOKUP(J$1,'20Trips'!$A$3:$F$22,5,FALSE) - VLOOKUP($B91,'20Trips'!$A$3:$G$22,6,FALSE) &gt;= ('20Trips'!$B$25+VLOOKUP(VLOOKUP($B91,'20Trips'!$A$2:$I$22,4,FALSE),'20Trips'!$AB$46:$AH$50,5,FALSE))/1440),1,0)</f>
        <v>#N/A</v>
      </c>
      <c r="K91" s="2" t="e">
        <f>IF(AND(VLOOKUP(K$1,'20Trips'!$A$3:$F$22,5,FALSE) - VLOOKUP($B91,'20Trips'!$A$3:$G$22,6,FALSE) &gt;= ('20Trips'!$B$25+VLOOKUP(VLOOKUP($B91,'20Trips'!$A$2:$I$22,4,FALSE),'20Trips'!$AB$46:$AH$50,5,FALSE))/1440),1,0)</f>
        <v>#N/A</v>
      </c>
      <c r="L91" s="2">
        <f>IF(AND(VLOOKUP(L$1,'20Trips'!$A$3:$F$22,5,FALSE) - VLOOKUP($B91,'20Trips'!$A$3:$G$22,6,FALSE) &gt;= ('20Trips'!$B$25+VLOOKUP(VLOOKUP($B91,'20Trips'!$A$2:$I$22,4,FALSE),'20Trips'!$AB$46:$AH$50,5,FALSE))/1440),1,0)</f>
        <v>0</v>
      </c>
      <c r="M91" s="2">
        <f>IF(AND(VLOOKUP(M$1,'20Trips'!$A$3:$F$22,5,FALSE) - VLOOKUP($B91,'20Trips'!$A$3:$G$22,6,FALSE) &gt;= ('20Trips'!$B$25+VLOOKUP(VLOOKUP($B91,'20Trips'!$A$2:$I$22,4,FALSE),'20Trips'!$AB$46:$AH$50,5,FALSE))/1440),1,0)</f>
        <v>0</v>
      </c>
      <c r="N91" s="2">
        <f>IF(AND(VLOOKUP(N$1,'20Trips'!$A$3:$F$22,5,FALSE) - VLOOKUP($B91,'20Trips'!$A$3:$G$22,6,FALSE) &gt;= ('20Trips'!$B$25+VLOOKUP(VLOOKUP($B91,'20Trips'!$A$2:$I$22,4,FALSE),'20Trips'!$AB$46:$AH$50,5,FALSE))/1440),1,0)</f>
        <v>0</v>
      </c>
      <c r="O91" s="2">
        <f>IF(AND(VLOOKUP(O$1,'20Trips'!$A$3:$F$22,5,FALSE) - VLOOKUP($B91,'20Trips'!$A$3:$G$22,6,FALSE) &gt;= ('20Trips'!$B$25+VLOOKUP(VLOOKUP($B91,'20Trips'!$A$2:$I$22,4,FALSE),'20Trips'!$AB$46:$AH$50,5,FALSE))/1440),1,0)</f>
        <v>0</v>
      </c>
      <c r="P91" s="2">
        <f>IF(AND(VLOOKUP(P$1,'20Trips'!$A$3:$F$22,5,FALSE) - VLOOKUP($B91,'20Trips'!$A$3:$G$22,6,FALSE) &gt;= ('20Trips'!$B$25+VLOOKUP(VLOOKUP($B91,'20Trips'!$A$2:$I$22,4,FALSE),'20Trips'!$AB$46:$AH$50,5,FALSE))/1440),1,0)</f>
        <v>0</v>
      </c>
      <c r="Q91" s="2" t="e">
        <f>IF(AND(VLOOKUP(Q$1,'20Trips'!$A$3:$F$22,5,FALSE) - VLOOKUP($B91,'20Trips'!$A$3:$G$22,6,FALSE) &gt;= ('20Trips'!$B$25+VLOOKUP(VLOOKUP($B91,'20Trips'!$A$2:$I$22,4,FALSE),'20Trips'!$AB$46:$AH$50,5,FALSE))/1440),1,0)</f>
        <v>#N/A</v>
      </c>
      <c r="R91" s="2">
        <f>IF(AND(VLOOKUP(R$1,'20Trips'!$A$3:$F$22,5,FALSE) - VLOOKUP($B91,'20Trips'!$A$3:$G$22,6,FALSE) &gt;= ('20Trips'!$B$25+VLOOKUP(VLOOKUP($B91,'20Trips'!$A$2:$I$22,4,FALSE),'20Trips'!$AB$46:$AH$50,5,FALSE))/1440),1,0)</f>
        <v>0</v>
      </c>
      <c r="S91" s="2">
        <f>IF(AND(VLOOKUP(S$1,'20Trips'!$A$3:$F$22,5,FALSE) - VLOOKUP($B91,'20Trips'!$A$3:$G$22,6,FALSE) &gt;= ('20Trips'!$B$25+VLOOKUP(VLOOKUP($B91,'20Trips'!$A$2:$I$22,4,FALSE),'20Trips'!$AB$46:$AH$50,5,FALSE))/1440),1,0)</f>
        <v>0</v>
      </c>
      <c r="T91" s="2">
        <f>IF(AND(VLOOKUP(T$1,'20Trips'!$A$3:$F$22,5,FALSE) - VLOOKUP($B91,'20Trips'!$A$3:$G$22,6,FALSE) &gt;= ('20Trips'!$B$25+VLOOKUP(VLOOKUP($B91,'20Trips'!$A$2:$I$22,4,FALSE),'20Trips'!$AB$46:$AH$50,5,FALSE))/1440),1,0)</f>
        <v>0</v>
      </c>
      <c r="U91" s="2">
        <f>IF(AND(VLOOKUP(U$1,'20Trips'!$A$3:$F$22,5,FALSE) - VLOOKUP($B91,'20Trips'!$A$3:$G$22,6,FALSE) &gt;= ('20Trips'!$B$25+VLOOKUP(VLOOKUP($B91,'20Trips'!$A$2:$I$22,4,FALSE),'20Trips'!$AB$46:$AH$50,5,FALSE))/1440),1,0)</f>
        <v>0</v>
      </c>
      <c r="V91" s="2">
        <f>IF(AND(VLOOKUP(V$1,'20Trips'!$A$3:$F$22,5,FALSE) - VLOOKUP($B91,'20Trips'!$A$3:$G$22,6,FALSE) &gt;= ('20Trips'!$B$25+VLOOKUP(VLOOKUP($B91,'20Trips'!$A$2:$I$22,4,FALSE),'20Trips'!$AB$46:$AH$50,5,FALSE))/1440),1,0)</f>
        <v>0</v>
      </c>
      <c r="W91" s="2" t="e">
        <f>IF(AND(VLOOKUP(W$1,'20Trips'!$A$3:$F$22,5,FALSE) - VLOOKUP($B91,'20Trips'!$A$3:$G$22,6,FALSE) &gt;= ('20Trips'!$B$25+VLOOKUP(VLOOKUP($B91,'20Trips'!$A$2:$I$22,4,FALSE),'20Trips'!$AB$46:$AH$50,5,FALSE))/1440),1,0)</f>
        <v>#N/A</v>
      </c>
      <c r="X91" s="2" t="e">
        <f>IF(AND(VLOOKUP(X$1,'20Trips'!$A$3:$F$22,5,FALSE) - VLOOKUP($B91,'20Trips'!$A$3:$G$22,6,FALSE) &gt;= ('20Trips'!$B$25+VLOOKUP(VLOOKUP($B91,'20Trips'!$A$2:$I$22,4,FALSE),'20Trips'!$AB$46:$AH$50,5,FALSE))/1440),1,0)</f>
        <v>#N/A</v>
      </c>
      <c r="Y91" s="2" t="e">
        <f>IF(AND(VLOOKUP(Y$1,'20Trips'!$A$3:$F$22,5,FALSE) - VLOOKUP($B91,'20Trips'!$A$3:$G$22,6,FALSE) &gt;= ('20Trips'!$B$25+VLOOKUP(VLOOKUP($B91,'20Trips'!$A$2:$I$22,4,FALSE),'20Trips'!$AB$46:$AH$50,5,FALSE))/1440),1,0)</f>
        <v>#N/A</v>
      </c>
      <c r="Z91" s="2">
        <f>IF(AND(VLOOKUP(Z$1,'20Trips'!$A$3:$F$22,5,FALSE) - VLOOKUP($B91,'20Trips'!$A$3:$G$22,6,FALSE) &gt;= ('20Trips'!$B$25+VLOOKUP(VLOOKUP($B91,'20Trips'!$A$2:$I$22,4,FALSE),'20Trips'!$AB$46:$AH$50,5,FALSE))/1440),1,0)</f>
        <v>0</v>
      </c>
      <c r="AA91" s="2">
        <f>IF(AND(VLOOKUP(AA$1,'20Trips'!$A$3:$F$22,5,FALSE) - VLOOKUP($B91,'20Trips'!$A$3:$G$22,6,FALSE) &gt;= ('20Trips'!$B$25+VLOOKUP(VLOOKUP($B91,'20Trips'!$A$2:$I$22,4,FALSE),'20Trips'!$AB$46:$AH$50,5,FALSE))/1440),1,0)</f>
        <v>0</v>
      </c>
      <c r="AB91" s="2">
        <f>IF(AND(VLOOKUP(AB$1,'20Trips'!$A$3:$F$22,5,FALSE) - VLOOKUP($B91,'20Trips'!$A$3:$G$22,6,FALSE) &gt;= ('20Trips'!$B$25+VLOOKUP(VLOOKUP($B91,'20Trips'!$A$2:$I$22,4,FALSE),'20Trips'!$AB$46:$AH$50,5,FALSE))/1440),1,0)</f>
        <v>0</v>
      </c>
      <c r="AC91" s="2">
        <f>IF(AND(VLOOKUP(AC$1,'20Trips'!$A$3:$F$22,5,FALSE) - VLOOKUP($B91,'20Trips'!$A$3:$G$22,6,FALSE) &gt;= ('20Trips'!$B$25+VLOOKUP(VLOOKUP($B91,'20Trips'!$A$2:$I$22,4,FALSE),'20Trips'!$AB$46:$AH$50,5,FALSE))/1440),1,0)</f>
        <v>0</v>
      </c>
      <c r="AD91" s="2">
        <f>IF(AND(VLOOKUP(AD$1,'20Trips'!$A$3:$F$22,5,FALSE) - VLOOKUP($B91,'20Trips'!$A$3:$G$22,6,FALSE) &gt;= ('20Trips'!$B$25+VLOOKUP(VLOOKUP($B91,'20Trips'!$A$2:$I$22,4,FALSE),'20Trips'!$AB$46:$AH$50,5,FALSE))/1440),1,0)</f>
        <v>0</v>
      </c>
      <c r="AE91" s="2" t="e">
        <f>IF(AND(VLOOKUP(AE$1,'20Trips'!$A$3:$F$22,5,FALSE) - VLOOKUP($B91,'20Trips'!$A$3:$G$22,6,FALSE) &gt;= ('20Trips'!$B$25+VLOOKUP(VLOOKUP($B91,'20Trips'!$A$2:$I$22,4,FALSE),'20Trips'!$AB$46:$AH$50,5,FALSE))/1440),1,0)</f>
        <v>#N/A</v>
      </c>
      <c r="AF91" s="2" t="e">
        <f>IF(AND(VLOOKUP(AF$1,'20Trips'!$A$3:$F$22,5,FALSE) - VLOOKUP($B91,'20Trips'!$A$3:$G$22,6,FALSE) &gt;= ('20Trips'!$B$25+VLOOKUP(VLOOKUP($B91,'20Trips'!$A$2:$I$22,4,FALSE),'20Trips'!$AB$46:$AH$50,5,FALSE))/1440),1,0)</f>
        <v>#N/A</v>
      </c>
      <c r="AG91" s="2" t="e">
        <f>IF(AND(VLOOKUP(AG$1,'20Trips'!$A$3:$F$22,5,FALSE) - VLOOKUP($B91,'20Trips'!$A$3:$G$22,6,FALSE) &gt;= ('20Trips'!$B$25+VLOOKUP(VLOOKUP($B91,'20Trips'!$A$2:$I$22,4,FALSE),'20Trips'!$AB$46:$AH$50,5,FALSE))/1440),1,0)</f>
        <v>#N/A</v>
      </c>
    </row>
    <row r="92" spans="1:33" x14ac:dyDescent="0.25">
      <c r="A92" t="s">
        <v>67</v>
      </c>
      <c r="B92" t="s">
        <v>39</v>
      </c>
      <c r="C92">
        <v>0</v>
      </c>
      <c r="D92" s="2" t="e">
        <f>IF(AND(VLOOKUP(D$1,'20Trips'!$A$3:$F$22,5,FALSE) - VLOOKUP($B92,'20Trips'!$A$3:$G$22,6,FALSE) &gt;= ('20Trips'!$B$25+VLOOKUP(VLOOKUP($B92,'20Trips'!$A$2:$I$22,4,FALSE),'20Trips'!$AB$46:$AH$50,5,FALSE))/1440),1,0)</f>
        <v>#N/A</v>
      </c>
      <c r="E92" s="2" t="e">
        <f>IF(AND(VLOOKUP(E$1,'20Trips'!$A$3:$F$22,5,FALSE) - VLOOKUP($B92,'20Trips'!$A$3:$G$22,6,FALSE) &gt;= ('20Trips'!$B$25+VLOOKUP(VLOOKUP($B92,'20Trips'!$A$2:$I$22,4,FALSE),'20Trips'!$AB$46:$AH$50,5,FALSE))/1440),1,0)</f>
        <v>#N/A</v>
      </c>
      <c r="F92" s="2" t="e">
        <f>IF(AND(VLOOKUP(F$1,'20Trips'!$A$3:$F$22,5,FALSE) - VLOOKUP($B92,'20Trips'!$A$3:$G$22,6,FALSE) &gt;= ('20Trips'!$B$25+VLOOKUP(VLOOKUP($B92,'20Trips'!$A$2:$I$22,4,FALSE),'20Trips'!$AB$46:$AH$50,5,FALSE))/1440),1,0)</f>
        <v>#N/A</v>
      </c>
      <c r="G92" s="2" t="e">
        <f>IF(AND(VLOOKUP(G$1,'20Trips'!$A$3:$F$22,5,FALSE) - VLOOKUP($B92,'20Trips'!$A$3:$G$22,6,FALSE) &gt;= ('20Trips'!$B$25+VLOOKUP(VLOOKUP($B92,'20Trips'!$A$2:$I$22,4,FALSE),'20Trips'!$AB$46:$AH$50,5,FALSE))/1440),1,0)</f>
        <v>#N/A</v>
      </c>
      <c r="H92" s="2" t="e">
        <f>IF(AND(VLOOKUP(H$1,'20Trips'!$A$3:$F$22,5,FALSE) - VLOOKUP($B92,'20Trips'!$A$3:$G$22,6,FALSE) &gt;= ('20Trips'!$B$25+VLOOKUP(VLOOKUP($B92,'20Trips'!$A$2:$I$22,4,FALSE),'20Trips'!$AB$46:$AH$50,5,FALSE))/1440),1,0)</f>
        <v>#N/A</v>
      </c>
      <c r="I92" s="2" t="e">
        <f>IF(AND(VLOOKUP(I$1,'20Trips'!$A$3:$F$22,5,FALSE) - VLOOKUP($B92,'20Trips'!$A$3:$G$22,6,FALSE) &gt;= ('20Trips'!$B$25+VLOOKUP(VLOOKUP($B92,'20Trips'!$A$2:$I$22,4,FALSE),'20Trips'!$AB$46:$AH$50,5,FALSE))/1440),1,0)</f>
        <v>#N/A</v>
      </c>
      <c r="J92" s="2" t="e">
        <f>IF(AND(VLOOKUP(J$1,'20Trips'!$A$3:$F$22,5,FALSE) - VLOOKUP($B92,'20Trips'!$A$3:$G$22,6,FALSE) &gt;= ('20Trips'!$B$25+VLOOKUP(VLOOKUP($B92,'20Trips'!$A$2:$I$22,4,FALSE),'20Trips'!$AB$46:$AH$50,5,FALSE))/1440),1,0)</f>
        <v>#N/A</v>
      </c>
      <c r="K92" s="2" t="e">
        <f>IF(AND(VLOOKUP(K$1,'20Trips'!$A$3:$F$22,5,FALSE) - VLOOKUP($B92,'20Trips'!$A$3:$G$22,6,FALSE) &gt;= ('20Trips'!$B$25+VLOOKUP(VLOOKUP($B92,'20Trips'!$A$2:$I$22,4,FALSE),'20Trips'!$AB$46:$AH$50,5,FALSE))/1440),1,0)</f>
        <v>#N/A</v>
      </c>
      <c r="L92" s="2" t="e">
        <f>IF(AND(VLOOKUP(L$1,'20Trips'!$A$3:$F$22,5,FALSE) - VLOOKUP($B92,'20Trips'!$A$3:$G$22,6,FALSE) &gt;= ('20Trips'!$B$25+VLOOKUP(VLOOKUP($B92,'20Trips'!$A$2:$I$22,4,FALSE),'20Trips'!$AB$46:$AH$50,5,FALSE))/1440),1,0)</f>
        <v>#N/A</v>
      </c>
      <c r="M92" s="2" t="e">
        <f>IF(AND(VLOOKUP(M$1,'20Trips'!$A$3:$F$22,5,FALSE) - VLOOKUP($B92,'20Trips'!$A$3:$G$22,6,FALSE) &gt;= ('20Trips'!$B$25+VLOOKUP(VLOOKUP($B92,'20Trips'!$A$2:$I$22,4,FALSE),'20Trips'!$AB$46:$AH$50,5,FALSE))/1440),1,0)</f>
        <v>#N/A</v>
      </c>
      <c r="N92" s="2" t="e">
        <f>IF(AND(VLOOKUP(N$1,'20Trips'!$A$3:$F$22,5,FALSE) - VLOOKUP($B92,'20Trips'!$A$3:$G$22,6,FALSE) &gt;= ('20Trips'!$B$25+VLOOKUP(VLOOKUP($B92,'20Trips'!$A$2:$I$22,4,FALSE),'20Trips'!$AB$46:$AH$50,5,FALSE))/1440),1,0)</f>
        <v>#N/A</v>
      </c>
      <c r="O92" s="2" t="e">
        <f>IF(AND(VLOOKUP(O$1,'20Trips'!$A$3:$F$22,5,FALSE) - VLOOKUP($B92,'20Trips'!$A$3:$G$22,6,FALSE) &gt;= ('20Trips'!$B$25+VLOOKUP(VLOOKUP($B92,'20Trips'!$A$2:$I$22,4,FALSE),'20Trips'!$AB$46:$AH$50,5,FALSE))/1440),1,0)</f>
        <v>#N/A</v>
      </c>
      <c r="P92" s="2" t="e">
        <f>IF(AND(VLOOKUP(P$1,'20Trips'!$A$3:$F$22,5,FALSE) - VLOOKUP($B92,'20Trips'!$A$3:$G$22,6,FALSE) &gt;= ('20Trips'!$B$25+VLOOKUP(VLOOKUP($B92,'20Trips'!$A$2:$I$22,4,FALSE),'20Trips'!$AB$46:$AH$50,5,FALSE))/1440),1,0)</f>
        <v>#N/A</v>
      </c>
      <c r="Q92" s="2" t="e">
        <f>IF(AND(VLOOKUP(Q$1,'20Trips'!$A$3:$F$22,5,FALSE) - VLOOKUP($B92,'20Trips'!$A$3:$G$22,6,FALSE) &gt;= ('20Trips'!$B$25+VLOOKUP(VLOOKUP($B92,'20Trips'!$A$2:$I$22,4,FALSE),'20Trips'!$AB$46:$AH$50,5,FALSE))/1440),1,0)</f>
        <v>#N/A</v>
      </c>
      <c r="R92" s="2" t="e">
        <f>IF(AND(VLOOKUP(R$1,'20Trips'!$A$3:$F$22,5,FALSE) - VLOOKUP($B92,'20Trips'!$A$3:$G$22,6,FALSE) &gt;= ('20Trips'!$B$25+VLOOKUP(VLOOKUP($B92,'20Trips'!$A$2:$I$22,4,FALSE),'20Trips'!$AB$46:$AH$50,5,FALSE))/1440),1,0)</f>
        <v>#N/A</v>
      </c>
      <c r="S92" s="2" t="e">
        <f>IF(AND(VLOOKUP(S$1,'20Trips'!$A$3:$F$22,5,FALSE) - VLOOKUP($B92,'20Trips'!$A$3:$G$22,6,FALSE) &gt;= ('20Trips'!$B$25+VLOOKUP(VLOOKUP($B92,'20Trips'!$A$2:$I$22,4,FALSE),'20Trips'!$AB$46:$AH$50,5,FALSE))/1440),1,0)</f>
        <v>#N/A</v>
      </c>
      <c r="T92" s="2" t="e">
        <f>IF(AND(VLOOKUP(T$1,'20Trips'!$A$3:$F$22,5,FALSE) - VLOOKUP($B92,'20Trips'!$A$3:$G$22,6,FALSE) &gt;= ('20Trips'!$B$25+VLOOKUP(VLOOKUP($B92,'20Trips'!$A$2:$I$22,4,FALSE),'20Trips'!$AB$46:$AH$50,5,FALSE))/1440),1,0)</f>
        <v>#N/A</v>
      </c>
      <c r="U92" s="2" t="e">
        <f>IF(AND(VLOOKUP(U$1,'20Trips'!$A$3:$F$22,5,FALSE) - VLOOKUP($B92,'20Trips'!$A$3:$G$22,6,FALSE) &gt;= ('20Trips'!$B$25+VLOOKUP(VLOOKUP($B92,'20Trips'!$A$2:$I$22,4,FALSE),'20Trips'!$AB$46:$AH$50,5,FALSE))/1440),1,0)</f>
        <v>#N/A</v>
      </c>
      <c r="V92" s="2" t="e">
        <f>IF(AND(VLOOKUP(V$1,'20Trips'!$A$3:$F$22,5,FALSE) - VLOOKUP($B92,'20Trips'!$A$3:$G$22,6,FALSE) &gt;= ('20Trips'!$B$25+VLOOKUP(VLOOKUP($B92,'20Trips'!$A$2:$I$22,4,FALSE),'20Trips'!$AB$46:$AH$50,5,FALSE))/1440),1,0)</f>
        <v>#N/A</v>
      </c>
      <c r="W92" s="2" t="e">
        <f>IF(AND(VLOOKUP(W$1,'20Trips'!$A$3:$F$22,5,FALSE) - VLOOKUP($B92,'20Trips'!$A$3:$G$22,6,FALSE) &gt;= ('20Trips'!$B$25+VLOOKUP(VLOOKUP($B92,'20Trips'!$A$2:$I$22,4,FALSE),'20Trips'!$AB$46:$AH$50,5,FALSE))/1440),1,0)</f>
        <v>#N/A</v>
      </c>
      <c r="X92" s="2" t="e">
        <f>IF(AND(VLOOKUP(X$1,'20Trips'!$A$3:$F$22,5,FALSE) - VLOOKUP($B92,'20Trips'!$A$3:$G$22,6,FALSE) &gt;= ('20Trips'!$B$25+VLOOKUP(VLOOKUP($B92,'20Trips'!$A$2:$I$22,4,FALSE),'20Trips'!$AB$46:$AH$50,5,FALSE))/1440),1,0)</f>
        <v>#N/A</v>
      </c>
      <c r="Y92" s="2" t="e">
        <f>IF(AND(VLOOKUP(Y$1,'20Trips'!$A$3:$F$22,5,FALSE) - VLOOKUP($B92,'20Trips'!$A$3:$G$22,6,FALSE) &gt;= ('20Trips'!$B$25+VLOOKUP(VLOOKUP($B92,'20Trips'!$A$2:$I$22,4,FALSE),'20Trips'!$AB$46:$AH$50,5,FALSE))/1440),1,0)</f>
        <v>#N/A</v>
      </c>
      <c r="Z92" s="2" t="e">
        <f>IF(AND(VLOOKUP(Z$1,'20Trips'!$A$3:$F$22,5,FALSE) - VLOOKUP($B92,'20Trips'!$A$3:$G$22,6,FALSE) &gt;= ('20Trips'!$B$25+VLOOKUP(VLOOKUP($B92,'20Trips'!$A$2:$I$22,4,FALSE),'20Trips'!$AB$46:$AH$50,5,FALSE))/1440),1,0)</f>
        <v>#N/A</v>
      </c>
      <c r="AA92" s="2" t="e">
        <f>IF(AND(VLOOKUP(AA$1,'20Trips'!$A$3:$F$22,5,FALSE) - VLOOKUP($B92,'20Trips'!$A$3:$G$22,6,FALSE) &gt;= ('20Trips'!$B$25+VLOOKUP(VLOOKUP($B92,'20Trips'!$A$2:$I$22,4,FALSE),'20Trips'!$AB$46:$AH$50,5,FALSE))/1440),1,0)</f>
        <v>#N/A</v>
      </c>
      <c r="AB92" s="2" t="e">
        <f>IF(AND(VLOOKUP(AB$1,'20Trips'!$A$3:$F$22,5,FALSE) - VLOOKUP($B92,'20Trips'!$A$3:$G$22,6,FALSE) &gt;= ('20Trips'!$B$25+VLOOKUP(VLOOKUP($B92,'20Trips'!$A$2:$I$22,4,FALSE),'20Trips'!$AB$46:$AH$50,5,FALSE))/1440),1,0)</f>
        <v>#N/A</v>
      </c>
      <c r="AC92" s="2" t="e">
        <f>IF(AND(VLOOKUP(AC$1,'20Trips'!$A$3:$F$22,5,FALSE) - VLOOKUP($B92,'20Trips'!$A$3:$G$22,6,FALSE) &gt;= ('20Trips'!$B$25+VLOOKUP(VLOOKUP($B92,'20Trips'!$A$2:$I$22,4,FALSE),'20Trips'!$AB$46:$AH$50,5,FALSE))/1440),1,0)</f>
        <v>#N/A</v>
      </c>
      <c r="AD92" s="2" t="e">
        <f>IF(AND(VLOOKUP(AD$1,'20Trips'!$A$3:$F$22,5,FALSE) - VLOOKUP($B92,'20Trips'!$A$3:$G$22,6,FALSE) &gt;= ('20Trips'!$B$25+VLOOKUP(VLOOKUP($B92,'20Trips'!$A$2:$I$22,4,FALSE),'20Trips'!$AB$46:$AH$50,5,FALSE))/1440),1,0)</f>
        <v>#N/A</v>
      </c>
      <c r="AE92" s="2" t="e">
        <f>IF(AND(VLOOKUP(AE$1,'20Trips'!$A$3:$F$22,5,FALSE) - VLOOKUP($B92,'20Trips'!$A$3:$G$22,6,FALSE) &gt;= ('20Trips'!$B$25+VLOOKUP(VLOOKUP($B92,'20Trips'!$A$2:$I$22,4,FALSE),'20Trips'!$AB$46:$AH$50,5,FALSE))/1440),1,0)</f>
        <v>#N/A</v>
      </c>
      <c r="AF92" s="2" t="e">
        <f>IF(AND(VLOOKUP(AF$1,'20Trips'!$A$3:$F$22,5,FALSE) - VLOOKUP($B92,'20Trips'!$A$3:$G$22,6,FALSE) &gt;= ('20Trips'!$B$25+VLOOKUP(VLOOKUP($B92,'20Trips'!$A$2:$I$22,4,FALSE),'20Trips'!$AB$46:$AH$50,5,FALSE))/1440),1,0)</f>
        <v>#N/A</v>
      </c>
      <c r="AG92" s="2" t="e">
        <f>IF(AND(VLOOKUP(AG$1,'20Trips'!$A$3:$F$22,5,FALSE) - VLOOKUP($B92,'20Trips'!$A$3:$G$22,6,FALSE) &gt;= ('20Trips'!$B$25+VLOOKUP(VLOOKUP($B92,'20Trips'!$A$2:$I$22,4,FALSE),'20Trips'!$AB$46:$AH$50,5,FALSE))/1440),1,0)</f>
        <v>#N/A</v>
      </c>
    </row>
    <row r="93" spans="1:33" x14ac:dyDescent="0.25">
      <c r="A93" t="s">
        <v>67</v>
      </c>
      <c r="B93" t="s">
        <v>40</v>
      </c>
      <c r="C93">
        <v>0</v>
      </c>
      <c r="D93" s="2" t="e">
        <f>IF(AND(VLOOKUP(D$1,'20Trips'!$A$3:$F$22,5,FALSE) - VLOOKUP($B93,'20Trips'!$A$3:$G$22,6,FALSE) &gt;= ('20Trips'!$B$25+VLOOKUP(VLOOKUP($B93,'20Trips'!$A$2:$I$22,4,FALSE),'20Trips'!$AB$46:$AH$50,5,FALSE))/1440),1,0)</f>
        <v>#N/A</v>
      </c>
      <c r="E93" s="2" t="e">
        <f>IF(AND(VLOOKUP(E$1,'20Trips'!$A$3:$F$22,5,FALSE) - VLOOKUP($B93,'20Trips'!$A$3:$G$22,6,FALSE) &gt;= ('20Trips'!$B$25+VLOOKUP(VLOOKUP($B93,'20Trips'!$A$2:$I$22,4,FALSE),'20Trips'!$AB$46:$AH$50,5,FALSE))/1440),1,0)</f>
        <v>#N/A</v>
      </c>
      <c r="F93" s="2" t="e">
        <f>IF(AND(VLOOKUP(F$1,'20Trips'!$A$3:$F$22,5,FALSE) - VLOOKUP($B93,'20Trips'!$A$3:$G$22,6,FALSE) &gt;= ('20Trips'!$B$25+VLOOKUP(VLOOKUP($B93,'20Trips'!$A$2:$I$22,4,FALSE),'20Trips'!$AB$46:$AH$50,5,FALSE))/1440),1,0)</f>
        <v>#N/A</v>
      </c>
      <c r="G93" s="2" t="e">
        <f>IF(AND(VLOOKUP(G$1,'20Trips'!$A$3:$F$22,5,FALSE) - VLOOKUP($B93,'20Trips'!$A$3:$G$22,6,FALSE) &gt;= ('20Trips'!$B$25+VLOOKUP(VLOOKUP($B93,'20Trips'!$A$2:$I$22,4,FALSE),'20Trips'!$AB$46:$AH$50,5,FALSE))/1440),1,0)</f>
        <v>#N/A</v>
      </c>
      <c r="H93" s="2" t="e">
        <f>IF(AND(VLOOKUP(H$1,'20Trips'!$A$3:$F$22,5,FALSE) - VLOOKUP($B93,'20Trips'!$A$3:$G$22,6,FALSE) &gt;= ('20Trips'!$B$25+VLOOKUP(VLOOKUP($B93,'20Trips'!$A$2:$I$22,4,FALSE),'20Trips'!$AB$46:$AH$50,5,FALSE))/1440),1,0)</f>
        <v>#N/A</v>
      </c>
      <c r="I93" s="2" t="e">
        <f>IF(AND(VLOOKUP(I$1,'20Trips'!$A$3:$F$22,5,FALSE) - VLOOKUP($B93,'20Trips'!$A$3:$G$22,6,FALSE) &gt;= ('20Trips'!$B$25+VLOOKUP(VLOOKUP($B93,'20Trips'!$A$2:$I$22,4,FALSE),'20Trips'!$AB$46:$AH$50,5,FALSE))/1440),1,0)</f>
        <v>#N/A</v>
      </c>
      <c r="J93" s="2" t="e">
        <f>IF(AND(VLOOKUP(J$1,'20Trips'!$A$3:$F$22,5,FALSE) - VLOOKUP($B93,'20Trips'!$A$3:$G$22,6,FALSE) &gt;= ('20Trips'!$B$25+VLOOKUP(VLOOKUP($B93,'20Trips'!$A$2:$I$22,4,FALSE),'20Trips'!$AB$46:$AH$50,5,FALSE))/1440),1,0)</f>
        <v>#N/A</v>
      </c>
      <c r="K93" s="2" t="e">
        <f>IF(AND(VLOOKUP(K$1,'20Trips'!$A$3:$F$22,5,FALSE) - VLOOKUP($B93,'20Trips'!$A$3:$G$22,6,FALSE) &gt;= ('20Trips'!$B$25+VLOOKUP(VLOOKUP($B93,'20Trips'!$A$2:$I$22,4,FALSE),'20Trips'!$AB$46:$AH$50,5,FALSE))/1440),1,0)</f>
        <v>#N/A</v>
      </c>
      <c r="L93" s="2" t="e">
        <f>IF(AND(VLOOKUP(L$1,'20Trips'!$A$3:$F$22,5,FALSE) - VLOOKUP($B93,'20Trips'!$A$3:$G$22,6,FALSE) &gt;= ('20Trips'!$B$25+VLOOKUP(VLOOKUP($B93,'20Trips'!$A$2:$I$22,4,FALSE),'20Trips'!$AB$46:$AH$50,5,FALSE))/1440),1,0)</f>
        <v>#N/A</v>
      </c>
      <c r="M93" s="2" t="e">
        <f>IF(AND(VLOOKUP(M$1,'20Trips'!$A$3:$F$22,5,FALSE) - VLOOKUP($B93,'20Trips'!$A$3:$G$22,6,FALSE) &gt;= ('20Trips'!$B$25+VLOOKUP(VLOOKUP($B93,'20Trips'!$A$2:$I$22,4,FALSE),'20Trips'!$AB$46:$AH$50,5,FALSE))/1440),1,0)</f>
        <v>#N/A</v>
      </c>
      <c r="N93" s="2" t="e">
        <f>IF(AND(VLOOKUP(N$1,'20Trips'!$A$3:$F$22,5,FALSE) - VLOOKUP($B93,'20Trips'!$A$3:$G$22,6,FALSE) &gt;= ('20Trips'!$B$25+VLOOKUP(VLOOKUP($B93,'20Trips'!$A$2:$I$22,4,FALSE),'20Trips'!$AB$46:$AH$50,5,FALSE))/1440),1,0)</f>
        <v>#N/A</v>
      </c>
      <c r="O93" s="2" t="e">
        <f>IF(AND(VLOOKUP(O$1,'20Trips'!$A$3:$F$22,5,FALSE) - VLOOKUP($B93,'20Trips'!$A$3:$G$22,6,FALSE) &gt;= ('20Trips'!$B$25+VLOOKUP(VLOOKUP($B93,'20Trips'!$A$2:$I$22,4,FALSE),'20Trips'!$AB$46:$AH$50,5,FALSE))/1440),1,0)</f>
        <v>#N/A</v>
      </c>
      <c r="P93" s="2" t="e">
        <f>IF(AND(VLOOKUP(P$1,'20Trips'!$A$3:$F$22,5,FALSE) - VLOOKUP($B93,'20Trips'!$A$3:$G$22,6,FALSE) &gt;= ('20Trips'!$B$25+VLOOKUP(VLOOKUP($B93,'20Trips'!$A$2:$I$22,4,FALSE),'20Trips'!$AB$46:$AH$50,5,FALSE))/1440),1,0)</f>
        <v>#N/A</v>
      </c>
      <c r="Q93" s="2" t="e">
        <f>IF(AND(VLOOKUP(Q$1,'20Trips'!$A$3:$F$22,5,FALSE) - VLOOKUP($B93,'20Trips'!$A$3:$G$22,6,FALSE) &gt;= ('20Trips'!$B$25+VLOOKUP(VLOOKUP($B93,'20Trips'!$A$2:$I$22,4,FALSE),'20Trips'!$AB$46:$AH$50,5,FALSE))/1440),1,0)</f>
        <v>#N/A</v>
      </c>
      <c r="R93" s="2" t="e">
        <f>IF(AND(VLOOKUP(R$1,'20Trips'!$A$3:$F$22,5,FALSE) - VLOOKUP($B93,'20Trips'!$A$3:$G$22,6,FALSE) &gt;= ('20Trips'!$B$25+VLOOKUP(VLOOKUP($B93,'20Trips'!$A$2:$I$22,4,FALSE),'20Trips'!$AB$46:$AH$50,5,FALSE))/1440),1,0)</f>
        <v>#N/A</v>
      </c>
      <c r="S93" s="2" t="e">
        <f>IF(AND(VLOOKUP(S$1,'20Trips'!$A$3:$F$22,5,FALSE) - VLOOKUP($B93,'20Trips'!$A$3:$G$22,6,FALSE) &gt;= ('20Trips'!$B$25+VLOOKUP(VLOOKUP($B93,'20Trips'!$A$2:$I$22,4,FALSE),'20Trips'!$AB$46:$AH$50,5,FALSE))/1440),1,0)</f>
        <v>#N/A</v>
      </c>
      <c r="T93" s="2" t="e">
        <f>IF(AND(VLOOKUP(T$1,'20Trips'!$A$3:$F$22,5,FALSE) - VLOOKUP($B93,'20Trips'!$A$3:$G$22,6,FALSE) &gt;= ('20Trips'!$B$25+VLOOKUP(VLOOKUP($B93,'20Trips'!$A$2:$I$22,4,FALSE),'20Trips'!$AB$46:$AH$50,5,FALSE))/1440),1,0)</f>
        <v>#N/A</v>
      </c>
      <c r="U93" s="2" t="e">
        <f>IF(AND(VLOOKUP(U$1,'20Trips'!$A$3:$F$22,5,FALSE) - VLOOKUP($B93,'20Trips'!$A$3:$G$22,6,FALSE) &gt;= ('20Trips'!$B$25+VLOOKUP(VLOOKUP($B93,'20Trips'!$A$2:$I$22,4,FALSE),'20Trips'!$AB$46:$AH$50,5,FALSE))/1440),1,0)</f>
        <v>#N/A</v>
      </c>
      <c r="V93" s="2" t="e">
        <f>IF(AND(VLOOKUP(V$1,'20Trips'!$A$3:$F$22,5,FALSE) - VLOOKUP($B93,'20Trips'!$A$3:$G$22,6,FALSE) &gt;= ('20Trips'!$B$25+VLOOKUP(VLOOKUP($B93,'20Trips'!$A$2:$I$22,4,FALSE),'20Trips'!$AB$46:$AH$50,5,FALSE))/1440),1,0)</f>
        <v>#N/A</v>
      </c>
      <c r="W93" s="2" t="e">
        <f>IF(AND(VLOOKUP(W$1,'20Trips'!$A$3:$F$22,5,FALSE) - VLOOKUP($B93,'20Trips'!$A$3:$G$22,6,FALSE) &gt;= ('20Trips'!$B$25+VLOOKUP(VLOOKUP($B93,'20Trips'!$A$2:$I$22,4,FALSE),'20Trips'!$AB$46:$AH$50,5,FALSE))/1440),1,0)</f>
        <v>#N/A</v>
      </c>
      <c r="X93" s="2" t="e">
        <f>IF(AND(VLOOKUP(X$1,'20Trips'!$A$3:$F$22,5,FALSE) - VLOOKUP($B93,'20Trips'!$A$3:$G$22,6,FALSE) &gt;= ('20Trips'!$B$25+VLOOKUP(VLOOKUP($B93,'20Trips'!$A$2:$I$22,4,FALSE),'20Trips'!$AB$46:$AH$50,5,FALSE))/1440),1,0)</f>
        <v>#N/A</v>
      </c>
      <c r="Y93" s="2" t="e">
        <f>IF(AND(VLOOKUP(Y$1,'20Trips'!$A$3:$F$22,5,FALSE) - VLOOKUP($B93,'20Trips'!$A$3:$G$22,6,FALSE) &gt;= ('20Trips'!$B$25+VLOOKUP(VLOOKUP($B93,'20Trips'!$A$2:$I$22,4,FALSE),'20Trips'!$AB$46:$AH$50,5,FALSE))/1440),1,0)</f>
        <v>#N/A</v>
      </c>
      <c r="Z93" s="2" t="e">
        <f>IF(AND(VLOOKUP(Z$1,'20Trips'!$A$3:$F$22,5,FALSE) - VLOOKUP($B93,'20Trips'!$A$3:$G$22,6,FALSE) &gt;= ('20Trips'!$B$25+VLOOKUP(VLOOKUP($B93,'20Trips'!$A$2:$I$22,4,FALSE),'20Trips'!$AB$46:$AH$50,5,FALSE))/1440),1,0)</f>
        <v>#N/A</v>
      </c>
      <c r="AA93" s="2" t="e">
        <f>IF(AND(VLOOKUP(AA$1,'20Trips'!$A$3:$F$22,5,FALSE) - VLOOKUP($B93,'20Trips'!$A$3:$G$22,6,FALSE) &gt;= ('20Trips'!$B$25+VLOOKUP(VLOOKUP($B93,'20Trips'!$A$2:$I$22,4,FALSE),'20Trips'!$AB$46:$AH$50,5,FALSE))/1440),1,0)</f>
        <v>#N/A</v>
      </c>
      <c r="AB93" s="2" t="e">
        <f>IF(AND(VLOOKUP(AB$1,'20Trips'!$A$3:$F$22,5,FALSE) - VLOOKUP($B93,'20Trips'!$A$3:$G$22,6,FALSE) &gt;= ('20Trips'!$B$25+VLOOKUP(VLOOKUP($B93,'20Trips'!$A$2:$I$22,4,FALSE),'20Trips'!$AB$46:$AH$50,5,FALSE))/1440),1,0)</f>
        <v>#N/A</v>
      </c>
      <c r="AC93" s="2" t="e">
        <f>IF(AND(VLOOKUP(AC$1,'20Trips'!$A$3:$F$22,5,FALSE) - VLOOKUP($B93,'20Trips'!$A$3:$G$22,6,FALSE) &gt;= ('20Trips'!$B$25+VLOOKUP(VLOOKUP($B93,'20Trips'!$A$2:$I$22,4,FALSE),'20Trips'!$AB$46:$AH$50,5,FALSE))/1440),1,0)</f>
        <v>#N/A</v>
      </c>
      <c r="AD93" s="2" t="e">
        <f>IF(AND(VLOOKUP(AD$1,'20Trips'!$A$3:$F$22,5,FALSE) - VLOOKUP($B93,'20Trips'!$A$3:$G$22,6,FALSE) &gt;= ('20Trips'!$B$25+VLOOKUP(VLOOKUP($B93,'20Trips'!$A$2:$I$22,4,FALSE),'20Trips'!$AB$46:$AH$50,5,FALSE))/1440),1,0)</f>
        <v>#N/A</v>
      </c>
      <c r="AE93" s="2" t="e">
        <f>IF(AND(VLOOKUP(AE$1,'20Trips'!$A$3:$F$22,5,FALSE) - VLOOKUP($B93,'20Trips'!$A$3:$G$22,6,FALSE) &gt;= ('20Trips'!$B$25+VLOOKUP(VLOOKUP($B93,'20Trips'!$A$2:$I$22,4,FALSE),'20Trips'!$AB$46:$AH$50,5,FALSE))/1440),1,0)</f>
        <v>#N/A</v>
      </c>
      <c r="AF93" s="2" t="e">
        <f>IF(AND(VLOOKUP(AF$1,'20Trips'!$A$3:$F$22,5,FALSE) - VLOOKUP($B93,'20Trips'!$A$3:$G$22,6,FALSE) &gt;= ('20Trips'!$B$25+VLOOKUP(VLOOKUP($B93,'20Trips'!$A$2:$I$22,4,FALSE),'20Trips'!$AB$46:$AH$50,5,FALSE))/1440),1,0)</f>
        <v>#N/A</v>
      </c>
      <c r="AG93" s="2" t="e">
        <f>IF(AND(VLOOKUP(AG$1,'20Trips'!$A$3:$F$22,5,FALSE) - VLOOKUP($B93,'20Trips'!$A$3:$G$22,6,FALSE) &gt;= ('20Trips'!$B$25+VLOOKUP(VLOOKUP($B93,'20Trips'!$A$2:$I$22,4,FALSE),'20Trips'!$AB$46:$AH$50,5,FALSE))/1440),1,0)</f>
        <v>#N/A</v>
      </c>
    </row>
    <row r="94" spans="1:33" x14ac:dyDescent="0.25">
      <c r="A94" t="s">
        <v>67</v>
      </c>
      <c r="B94" t="s">
        <v>41</v>
      </c>
      <c r="C94">
        <v>0</v>
      </c>
      <c r="D94" s="2" t="e">
        <f>IF(AND(VLOOKUP(D$1,'20Trips'!$A$3:$F$22,5,FALSE) - VLOOKUP($B94,'20Trips'!$A$3:$G$22,6,FALSE) &gt;= ('20Trips'!$B$25+VLOOKUP(VLOOKUP($B94,'20Trips'!$A$2:$I$22,4,FALSE),'20Trips'!$AB$46:$AH$50,5,FALSE))/1440),1,0)</f>
        <v>#N/A</v>
      </c>
      <c r="E94" s="2" t="e">
        <f>IF(AND(VLOOKUP(E$1,'20Trips'!$A$3:$F$22,5,FALSE) - VLOOKUP($B94,'20Trips'!$A$3:$G$22,6,FALSE) &gt;= ('20Trips'!$B$25+VLOOKUP(VLOOKUP($B94,'20Trips'!$A$2:$I$22,4,FALSE),'20Trips'!$AB$46:$AH$50,5,FALSE))/1440),1,0)</f>
        <v>#N/A</v>
      </c>
      <c r="F94" s="2" t="e">
        <f>IF(AND(VLOOKUP(F$1,'20Trips'!$A$3:$F$22,5,FALSE) - VLOOKUP($B94,'20Trips'!$A$3:$G$22,6,FALSE) &gt;= ('20Trips'!$B$25+VLOOKUP(VLOOKUP($B94,'20Trips'!$A$2:$I$22,4,FALSE),'20Trips'!$AB$46:$AH$50,5,FALSE))/1440),1,0)</f>
        <v>#N/A</v>
      </c>
      <c r="G94" s="2" t="e">
        <f>IF(AND(VLOOKUP(G$1,'20Trips'!$A$3:$F$22,5,FALSE) - VLOOKUP($B94,'20Trips'!$A$3:$G$22,6,FALSE) &gt;= ('20Trips'!$B$25+VLOOKUP(VLOOKUP($B94,'20Trips'!$A$2:$I$22,4,FALSE),'20Trips'!$AB$46:$AH$50,5,FALSE))/1440),1,0)</f>
        <v>#N/A</v>
      </c>
      <c r="H94" s="2" t="e">
        <f>IF(AND(VLOOKUP(H$1,'20Trips'!$A$3:$F$22,5,FALSE) - VLOOKUP($B94,'20Trips'!$A$3:$G$22,6,FALSE) &gt;= ('20Trips'!$B$25+VLOOKUP(VLOOKUP($B94,'20Trips'!$A$2:$I$22,4,FALSE),'20Trips'!$AB$46:$AH$50,5,FALSE))/1440),1,0)</f>
        <v>#N/A</v>
      </c>
      <c r="I94" s="2" t="e">
        <f>IF(AND(VLOOKUP(I$1,'20Trips'!$A$3:$F$22,5,FALSE) - VLOOKUP($B94,'20Trips'!$A$3:$G$22,6,FALSE) &gt;= ('20Trips'!$B$25+VLOOKUP(VLOOKUP($B94,'20Trips'!$A$2:$I$22,4,FALSE),'20Trips'!$AB$46:$AH$50,5,FALSE))/1440),1,0)</f>
        <v>#N/A</v>
      </c>
      <c r="J94" s="2" t="e">
        <f>IF(AND(VLOOKUP(J$1,'20Trips'!$A$3:$F$22,5,FALSE) - VLOOKUP($B94,'20Trips'!$A$3:$G$22,6,FALSE) &gt;= ('20Trips'!$B$25+VLOOKUP(VLOOKUP($B94,'20Trips'!$A$2:$I$22,4,FALSE),'20Trips'!$AB$46:$AH$50,5,FALSE))/1440),1,0)</f>
        <v>#N/A</v>
      </c>
      <c r="K94" s="2" t="e">
        <f>IF(AND(VLOOKUP(K$1,'20Trips'!$A$3:$F$22,5,FALSE) - VLOOKUP($B94,'20Trips'!$A$3:$G$22,6,FALSE) &gt;= ('20Trips'!$B$25+VLOOKUP(VLOOKUP($B94,'20Trips'!$A$2:$I$22,4,FALSE),'20Trips'!$AB$46:$AH$50,5,FALSE))/1440),1,0)</f>
        <v>#N/A</v>
      </c>
      <c r="L94" s="2" t="e">
        <f>IF(AND(VLOOKUP(L$1,'20Trips'!$A$3:$F$22,5,FALSE) - VLOOKUP($B94,'20Trips'!$A$3:$G$22,6,FALSE) &gt;= ('20Trips'!$B$25+VLOOKUP(VLOOKUP($B94,'20Trips'!$A$2:$I$22,4,FALSE),'20Trips'!$AB$46:$AH$50,5,FALSE))/1440),1,0)</f>
        <v>#N/A</v>
      </c>
      <c r="M94" s="2" t="e">
        <f>IF(AND(VLOOKUP(M$1,'20Trips'!$A$3:$F$22,5,FALSE) - VLOOKUP($B94,'20Trips'!$A$3:$G$22,6,FALSE) &gt;= ('20Trips'!$B$25+VLOOKUP(VLOOKUP($B94,'20Trips'!$A$2:$I$22,4,FALSE),'20Trips'!$AB$46:$AH$50,5,FALSE))/1440),1,0)</f>
        <v>#N/A</v>
      </c>
      <c r="N94" s="2" t="e">
        <f>IF(AND(VLOOKUP(N$1,'20Trips'!$A$3:$F$22,5,FALSE) - VLOOKUP($B94,'20Trips'!$A$3:$G$22,6,FALSE) &gt;= ('20Trips'!$B$25+VLOOKUP(VLOOKUP($B94,'20Trips'!$A$2:$I$22,4,FALSE),'20Trips'!$AB$46:$AH$50,5,FALSE))/1440),1,0)</f>
        <v>#N/A</v>
      </c>
      <c r="O94" s="2" t="e">
        <f>IF(AND(VLOOKUP(O$1,'20Trips'!$A$3:$F$22,5,FALSE) - VLOOKUP($B94,'20Trips'!$A$3:$G$22,6,FALSE) &gt;= ('20Trips'!$B$25+VLOOKUP(VLOOKUP($B94,'20Trips'!$A$2:$I$22,4,FALSE),'20Trips'!$AB$46:$AH$50,5,FALSE))/1440),1,0)</f>
        <v>#N/A</v>
      </c>
      <c r="P94" s="2" t="e">
        <f>IF(AND(VLOOKUP(P$1,'20Trips'!$A$3:$F$22,5,FALSE) - VLOOKUP($B94,'20Trips'!$A$3:$G$22,6,FALSE) &gt;= ('20Trips'!$B$25+VLOOKUP(VLOOKUP($B94,'20Trips'!$A$2:$I$22,4,FALSE),'20Trips'!$AB$46:$AH$50,5,FALSE))/1440),1,0)</f>
        <v>#N/A</v>
      </c>
      <c r="Q94" s="2" t="e">
        <f>IF(AND(VLOOKUP(Q$1,'20Trips'!$A$3:$F$22,5,FALSE) - VLOOKUP($B94,'20Trips'!$A$3:$G$22,6,FALSE) &gt;= ('20Trips'!$B$25+VLOOKUP(VLOOKUP($B94,'20Trips'!$A$2:$I$22,4,FALSE),'20Trips'!$AB$46:$AH$50,5,FALSE))/1440),1,0)</f>
        <v>#N/A</v>
      </c>
      <c r="R94" s="2" t="e">
        <f>IF(AND(VLOOKUP(R$1,'20Trips'!$A$3:$F$22,5,FALSE) - VLOOKUP($B94,'20Trips'!$A$3:$G$22,6,FALSE) &gt;= ('20Trips'!$B$25+VLOOKUP(VLOOKUP($B94,'20Trips'!$A$2:$I$22,4,FALSE),'20Trips'!$AB$46:$AH$50,5,FALSE))/1440),1,0)</f>
        <v>#N/A</v>
      </c>
      <c r="S94" s="2" t="e">
        <f>IF(AND(VLOOKUP(S$1,'20Trips'!$A$3:$F$22,5,FALSE) - VLOOKUP($B94,'20Trips'!$A$3:$G$22,6,FALSE) &gt;= ('20Trips'!$B$25+VLOOKUP(VLOOKUP($B94,'20Trips'!$A$2:$I$22,4,FALSE),'20Trips'!$AB$46:$AH$50,5,FALSE))/1440),1,0)</f>
        <v>#N/A</v>
      </c>
      <c r="T94" s="2" t="e">
        <f>IF(AND(VLOOKUP(T$1,'20Trips'!$A$3:$F$22,5,FALSE) - VLOOKUP($B94,'20Trips'!$A$3:$G$22,6,FALSE) &gt;= ('20Trips'!$B$25+VLOOKUP(VLOOKUP($B94,'20Trips'!$A$2:$I$22,4,FALSE),'20Trips'!$AB$46:$AH$50,5,FALSE))/1440),1,0)</f>
        <v>#N/A</v>
      </c>
      <c r="U94" s="2" t="e">
        <f>IF(AND(VLOOKUP(U$1,'20Trips'!$A$3:$F$22,5,FALSE) - VLOOKUP($B94,'20Trips'!$A$3:$G$22,6,FALSE) &gt;= ('20Trips'!$B$25+VLOOKUP(VLOOKUP($B94,'20Trips'!$A$2:$I$22,4,FALSE),'20Trips'!$AB$46:$AH$50,5,FALSE))/1440),1,0)</f>
        <v>#N/A</v>
      </c>
      <c r="V94" s="2" t="e">
        <f>IF(AND(VLOOKUP(V$1,'20Trips'!$A$3:$F$22,5,FALSE) - VLOOKUP($B94,'20Trips'!$A$3:$G$22,6,FALSE) &gt;= ('20Trips'!$B$25+VLOOKUP(VLOOKUP($B94,'20Trips'!$A$2:$I$22,4,FALSE),'20Trips'!$AB$46:$AH$50,5,FALSE))/1440),1,0)</f>
        <v>#N/A</v>
      </c>
      <c r="W94" s="2" t="e">
        <f>IF(AND(VLOOKUP(W$1,'20Trips'!$A$3:$F$22,5,FALSE) - VLOOKUP($B94,'20Trips'!$A$3:$G$22,6,FALSE) &gt;= ('20Trips'!$B$25+VLOOKUP(VLOOKUP($B94,'20Trips'!$A$2:$I$22,4,FALSE),'20Trips'!$AB$46:$AH$50,5,FALSE))/1440),1,0)</f>
        <v>#N/A</v>
      </c>
      <c r="X94" s="2" t="e">
        <f>IF(AND(VLOOKUP(X$1,'20Trips'!$A$3:$F$22,5,FALSE) - VLOOKUP($B94,'20Trips'!$A$3:$G$22,6,FALSE) &gt;= ('20Trips'!$B$25+VLOOKUP(VLOOKUP($B94,'20Trips'!$A$2:$I$22,4,FALSE),'20Trips'!$AB$46:$AH$50,5,FALSE))/1440),1,0)</f>
        <v>#N/A</v>
      </c>
      <c r="Y94" s="2" t="e">
        <f>IF(AND(VLOOKUP(Y$1,'20Trips'!$A$3:$F$22,5,FALSE) - VLOOKUP($B94,'20Trips'!$A$3:$G$22,6,FALSE) &gt;= ('20Trips'!$B$25+VLOOKUP(VLOOKUP($B94,'20Trips'!$A$2:$I$22,4,FALSE),'20Trips'!$AB$46:$AH$50,5,FALSE))/1440),1,0)</f>
        <v>#N/A</v>
      </c>
      <c r="Z94" s="2" t="e">
        <f>IF(AND(VLOOKUP(Z$1,'20Trips'!$A$3:$F$22,5,FALSE) - VLOOKUP($B94,'20Trips'!$A$3:$G$22,6,FALSE) &gt;= ('20Trips'!$B$25+VLOOKUP(VLOOKUP($B94,'20Trips'!$A$2:$I$22,4,FALSE),'20Trips'!$AB$46:$AH$50,5,FALSE))/1440),1,0)</f>
        <v>#N/A</v>
      </c>
      <c r="AA94" s="2" t="e">
        <f>IF(AND(VLOOKUP(AA$1,'20Trips'!$A$3:$F$22,5,FALSE) - VLOOKUP($B94,'20Trips'!$A$3:$G$22,6,FALSE) &gt;= ('20Trips'!$B$25+VLOOKUP(VLOOKUP($B94,'20Trips'!$A$2:$I$22,4,FALSE),'20Trips'!$AB$46:$AH$50,5,FALSE))/1440),1,0)</f>
        <v>#N/A</v>
      </c>
      <c r="AB94" s="2" t="e">
        <f>IF(AND(VLOOKUP(AB$1,'20Trips'!$A$3:$F$22,5,FALSE) - VLOOKUP($B94,'20Trips'!$A$3:$G$22,6,FALSE) &gt;= ('20Trips'!$B$25+VLOOKUP(VLOOKUP($B94,'20Trips'!$A$2:$I$22,4,FALSE),'20Trips'!$AB$46:$AH$50,5,FALSE))/1440),1,0)</f>
        <v>#N/A</v>
      </c>
      <c r="AC94" s="2" t="e">
        <f>IF(AND(VLOOKUP(AC$1,'20Trips'!$A$3:$F$22,5,FALSE) - VLOOKUP($B94,'20Trips'!$A$3:$G$22,6,FALSE) &gt;= ('20Trips'!$B$25+VLOOKUP(VLOOKUP($B94,'20Trips'!$A$2:$I$22,4,FALSE),'20Trips'!$AB$46:$AH$50,5,FALSE))/1440),1,0)</f>
        <v>#N/A</v>
      </c>
      <c r="AD94" s="2" t="e">
        <f>IF(AND(VLOOKUP(AD$1,'20Trips'!$A$3:$F$22,5,FALSE) - VLOOKUP($B94,'20Trips'!$A$3:$G$22,6,FALSE) &gt;= ('20Trips'!$B$25+VLOOKUP(VLOOKUP($B94,'20Trips'!$A$2:$I$22,4,FALSE),'20Trips'!$AB$46:$AH$50,5,FALSE))/1440),1,0)</f>
        <v>#N/A</v>
      </c>
      <c r="AE94" s="2" t="e">
        <f>IF(AND(VLOOKUP(AE$1,'20Trips'!$A$3:$F$22,5,FALSE) - VLOOKUP($B94,'20Trips'!$A$3:$G$22,6,FALSE) &gt;= ('20Trips'!$B$25+VLOOKUP(VLOOKUP($B94,'20Trips'!$A$2:$I$22,4,FALSE),'20Trips'!$AB$46:$AH$50,5,FALSE))/1440),1,0)</f>
        <v>#N/A</v>
      </c>
      <c r="AF94" s="2" t="e">
        <f>IF(AND(VLOOKUP(AF$1,'20Trips'!$A$3:$F$22,5,FALSE) - VLOOKUP($B94,'20Trips'!$A$3:$G$22,6,FALSE) &gt;= ('20Trips'!$B$25+VLOOKUP(VLOOKUP($B94,'20Trips'!$A$2:$I$22,4,FALSE),'20Trips'!$AB$46:$AH$50,5,FALSE))/1440),1,0)</f>
        <v>#N/A</v>
      </c>
      <c r="AG94" s="2" t="e">
        <f>IF(AND(VLOOKUP(AG$1,'20Trips'!$A$3:$F$22,5,FALSE) - VLOOKUP($B94,'20Trips'!$A$3:$G$22,6,FALSE) &gt;= ('20Trips'!$B$25+VLOOKUP(VLOOKUP($B94,'20Trips'!$A$2:$I$22,4,FALSE),'20Trips'!$AB$46:$AH$50,5,FALSE))/1440),1,0)</f>
        <v>#N/A</v>
      </c>
    </row>
    <row r="95" spans="1:33" x14ac:dyDescent="0.25">
      <c r="A95" t="s">
        <v>68</v>
      </c>
      <c r="B95" t="s">
        <v>46</v>
      </c>
      <c r="C95">
        <v>0</v>
      </c>
      <c r="D95" s="2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 t="s">
        <v>68</v>
      </c>
      <c r="B96" t="s">
        <v>6</v>
      </c>
      <c r="C96">
        <v>0</v>
      </c>
      <c r="D96" s="2">
        <f>IF(AND(VLOOKUP(D$1,'20Trips'!$A$3:$F$22,5,FALSE) - VLOOKUP($B96,'20Trips'!$A$3:$G$22,6,FALSE) &gt;= ('20Trips'!$B$26+VLOOKUP(VLOOKUP($B96,'20Trips'!$A$2:$I$22,4,FALSE),'20Trips'!$AB$46:$AH$50,6,FALSE))/1440),1,0)</f>
        <v>0</v>
      </c>
      <c r="E96" s="2">
        <f>IF(AND(VLOOKUP(E$1,'20Trips'!$A$3:$F$22,5,FALSE) - VLOOKUP($B96,'20Trips'!$A$3:$G$22,6,FALSE) &gt;= ('20Trips'!$B$26+VLOOKUP(VLOOKUP($B96,'20Trips'!$A$2:$I$22,4,FALSE),'20Trips'!$AB$46:$AH$50,6,FALSE))/1440),1,0)</f>
        <v>0</v>
      </c>
      <c r="F96" s="2">
        <f>IF(AND(VLOOKUP(F$1,'20Trips'!$A$3:$F$22,5,FALSE) - VLOOKUP($B96,'20Trips'!$A$3:$G$22,6,FALSE) &gt;= ('20Trips'!$B$26+VLOOKUP(VLOOKUP($B96,'20Trips'!$A$2:$I$22,4,FALSE),'20Trips'!$AB$46:$AH$50,6,FALSE))/1440),1,0)</f>
        <v>1</v>
      </c>
      <c r="G96" s="2">
        <f>IF(AND(VLOOKUP(G$1,'20Trips'!$A$3:$F$22,5,FALSE) - VLOOKUP($B96,'20Trips'!$A$3:$G$22,6,FALSE) &gt;= ('20Trips'!$B$26+VLOOKUP(VLOOKUP($B96,'20Trips'!$A$2:$I$22,4,FALSE),'20Trips'!$AB$46:$AH$50,6,FALSE))/1440),1,0)</f>
        <v>1</v>
      </c>
      <c r="H96" s="2">
        <f>IF(AND(VLOOKUP(H$1,'20Trips'!$A$3:$F$22,5,FALSE) - VLOOKUP($B96,'20Trips'!$A$3:$G$22,6,FALSE) &gt;= ('20Trips'!$B$26+VLOOKUP(VLOOKUP($B96,'20Trips'!$A$2:$I$22,4,FALSE),'20Trips'!$AB$46:$AH$50,6,FALSE))/1440),1,0)</f>
        <v>1</v>
      </c>
      <c r="I96" s="2" t="e">
        <f>IF(AND(VLOOKUP(I$1,'20Trips'!$A$3:$F$22,5,FALSE) - VLOOKUP($B96,'20Trips'!$A$3:$G$22,6,FALSE) &gt;= ('20Trips'!$B$26+VLOOKUP(VLOOKUP($B96,'20Trips'!$A$2:$I$22,4,FALSE),'20Trips'!$AB$46:$AH$50,6,FALSE))/1440),1,0)</f>
        <v>#N/A</v>
      </c>
      <c r="J96" s="2" t="e">
        <f>IF(AND(VLOOKUP(J$1,'20Trips'!$A$3:$F$22,5,FALSE) - VLOOKUP($B96,'20Trips'!$A$3:$G$22,6,FALSE) &gt;= ('20Trips'!$B$26+VLOOKUP(VLOOKUP($B96,'20Trips'!$A$2:$I$22,4,FALSE),'20Trips'!$AB$46:$AH$50,6,FALSE))/1440),1,0)</f>
        <v>#N/A</v>
      </c>
      <c r="K96" s="2" t="e">
        <f>IF(AND(VLOOKUP(K$1,'20Trips'!$A$3:$F$22,5,FALSE) - VLOOKUP($B96,'20Trips'!$A$3:$G$22,6,FALSE) &gt;= ('20Trips'!$B$26+VLOOKUP(VLOOKUP($B96,'20Trips'!$A$2:$I$22,4,FALSE),'20Trips'!$AB$46:$AH$50,6,FALSE))/1440),1,0)</f>
        <v>#N/A</v>
      </c>
      <c r="L96" s="2">
        <f>IF(AND(VLOOKUP(L$1,'20Trips'!$A$3:$F$22,5,FALSE) - VLOOKUP($B96,'20Trips'!$A$3:$G$22,6,FALSE) &gt;= ('20Trips'!$B$26+VLOOKUP(VLOOKUP($B96,'20Trips'!$A$2:$I$22,4,FALSE),'20Trips'!$AB$46:$AH$50,6,FALSE))/1440),1,0)</f>
        <v>0</v>
      </c>
      <c r="M96" s="2">
        <f>IF(AND(VLOOKUP(M$1,'20Trips'!$A$3:$F$22,5,FALSE) - VLOOKUP($B96,'20Trips'!$A$3:$G$22,6,FALSE) &gt;= ('20Trips'!$B$26+VLOOKUP(VLOOKUP($B96,'20Trips'!$A$2:$I$22,4,FALSE),'20Trips'!$AB$46:$AH$50,6,FALSE))/1440),1,0)</f>
        <v>0</v>
      </c>
      <c r="N96" s="2">
        <f>IF(AND(VLOOKUP(N$1,'20Trips'!$A$3:$F$22,5,FALSE) - VLOOKUP($B96,'20Trips'!$A$3:$G$22,6,FALSE) &gt;= ('20Trips'!$B$26+VLOOKUP(VLOOKUP($B96,'20Trips'!$A$2:$I$22,4,FALSE),'20Trips'!$AB$46:$AH$50,6,FALSE))/1440),1,0)</f>
        <v>0</v>
      </c>
      <c r="O96" s="2">
        <f>IF(AND(VLOOKUP(O$1,'20Trips'!$A$3:$F$22,5,FALSE) - VLOOKUP($B96,'20Trips'!$A$3:$G$22,6,FALSE) &gt;= ('20Trips'!$B$26+VLOOKUP(VLOOKUP($B96,'20Trips'!$A$2:$I$22,4,FALSE),'20Trips'!$AB$46:$AH$50,6,FALSE))/1440),1,0)</f>
        <v>1</v>
      </c>
      <c r="P96" s="2">
        <f>IF(AND(VLOOKUP(P$1,'20Trips'!$A$3:$F$22,5,FALSE) - VLOOKUP($B96,'20Trips'!$A$3:$G$22,6,FALSE) &gt;= ('20Trips'!$B$26+VLOOKUP(VLOOKUP($B96,'20Trips'!$A$2:$I$22,4,FALSE),'20Trips'!$AB$46:$AH$50,6,FALSE))/1440),1,0)</f>
        <v>1</v>
      </c>
      <c r="Q96" s="2" t="e">
        <f>IF(AND(VLOOKUP(Q$1,'20Trips'!$A$3:$F$22,5,FALSE) - VLOOKUP($B96,'20Trips'!$A$3:$G$22,6,FALSE) &gt;= ('20Trips'!$B$26+VLOOKUP(VLOOKUP($B96,'20Trips'!$A$2:$I$22,4,FALSE),'20Trips'!$AB$46:$AH$50,6,FALSE))/1440),1,0)</f>
        <v>#N/A</v>
      </c>
      <c r="R96" s="2">
        <f>IF(AND(VLOOKUP(R$1,'20Trips'!$A$3:$F$22,5,FALSE) - VLOOKUP($B96,'20Trips'!$A$3:$G$22,6,FALSE) &gt;= ('20Trips'!$B$26+VLOOKUP(VLOOKUP($B96,'20Trips'!$A$2:$I$22,4,FALSE),'20Trips'!$AB$46:$AH$50,6,FALSE))/1440),1,0)</f>
        <v>0</v>
      </c>
      <c r="S96" s="2">
        <f>IF(AND(VLOOKUP(S$1,'20Trips'!$A$3:$F$22,5,FALSE) - VLOOKUP($B96,'20Trips'!$A$3:$G$22,6,FALSE) &gt;= ('20Trips'!$B$26+VLOOKUP(VLOOKUP($B96,'20Trips'!$A$2:$I$22,4,FALSE),'20Trips'!$AB$46:$AH$50,6,FALSE))/1440),1,0)</f>
        <v>0</v>
      </c>
      <c r="T96" s="2">
        <f>IF(AND(VLOOKUP(T$1,'20Trips'!$A$3:$F$22,5,FALSE) - VLOOKUP($B96,'20Trips'!$A$3:$G$22,6,FALSE) &gt;= ('20Trips'!$B$26+VLOOKUP(VLOOKUP($B96,'20Trips'!$A$2:$I$22,4,FALSE),'20Trips'!$AB$46:$AH$50,6,FALSE))/1440),1,0)</f>
        <v>0</v>
      </c>
      <c r="U96" s="2">
        <f>IF(AND(VLOOKUP(U$1,'20Trips'!$A$3:$F$22,5,FALSE) - VLOOKUP($B96,'20Trips'!$A$3:$G$22,6,FALSE) &gt;= ('20Trips'!$B$26+VLOOKUP(VLOOKUP($B96,'20Trips'!$A$2:$I$22,4,FALSE),'20Trips'!$AB$46:$AH$50,6,FALSE))/1440),1,0)</f>
        <v>1</v>
      </c>
      <c r="V96" s="2">
        <f>IF(AND(VLOOKUP(V$1,'20Trips'!$A$3:$F$22,5,FALSE) - VLOOKUP($B96,'20Trips'!$A$3:$G$22,6,FALSE) &gt;= ('20Trips'!$B$26+VLOOKUP(VLOOKUP($B96,'20Trips'!$A$2:$I$22,4,FALSE),'20Trips'!$AB$46:$AH$50,6,FALSE))/1440),1,0)</f>
        <v>1</v>
      </c>
      <c r="W96" s="2" t="e">
        <f>IF(AND(VLOOKUP(W$1,'20Trips'!$A$3:$F$22,5,FALSE) - VLOOKUP($B96,'20Trips'!$A$3:$G$22,6,FALSE) &gt;= ('20Trips'!$B$26+VLOOKUP(VLOOKUP($B96,'20Trips'!$A$2:$I$22,4,FALSE),'20Trips'!$AB$46:$AH$50,6,FALSE))/1440),1,0)</f>
        <v>#N/A</v>
      </c>
      <c r="X96" s="2" t="e">
        <f>IF(AND(VLOOKUP(X$1,'20Trips'!$A$3:$F$22,5,FALSE) - VLOOKUP($B96,'20Trips'!$A$3:$G$22,6,FALSE) &gt;= ('20Trips'!$B$26+VLOOKUP(VLOOKUP($B96,'20Trips'!$A$2:$I$22,4,FALSE),'20Trips'!$AB$46:$AH$50,6,FALSE))/1440),1,0)</f>
        <v>#N/A</v>
      </c>
      <c r="Y96" s="2" t="e">
        <f>IF(AND(VLOOKUP(Y$1,'20Trips'!$A$3:$F$22,5,FALSE) - VLOOKUP($B96,'20Trips'!$A$3:$G$22,6,FALSE) &gt;= ('20Trips'!$B$26+VLOOKUP(VLOOKUP($B96,'20Trips'!$A$2:$I$22,4,FALSE),'20Trips'!$AB$46:$AH$50,6,FALSE))/1440),1,0)</f>
        <v>#N/A</v>
      </c>
      <c r="Z96" s="2">
        <f>IF(AND(VLOOKUP(Z$1,'20Trips'!$A$3:$F$22,5,FALSE) - VLOOKUP($B96,'20Trips'!$A$3:$G$22,6,FALSE) &gt;= ('20Trips'!$B$26+VLOOKUP(VLOOKUP($B96,'20Trips'!$A$2:$I$22,4,FALSE),'20Trips'!$AB$46:$AH$50,6,FALSE))/1440),1,0)</f>
        <v>0</v>
      </c>
      <c r="AA96" s="2">
        <f>IF(AND(VLOOKUP(AA$1,'20Trips'!$A$3:$F$22,5,FALSE) - VLOOKUP($B96,'20Trips'!$A$3:$G$22,6,FALSE) &gt;= ('20Trips'!$B$26+VLOOKUP(VLOOKUP($B96,'20Trips'!$A$2:$I$22,4,FALSE),'20Trips'!$AB$46:$AH$50,6,FALSE))/1440),1,0)</f>
        <v>0</v>
      </c>
      <c r="AB96" s="2">
        <f>IF(AND(VLOOKUP(AB$1,'20Trips'!$A$3:$F$22,5,FALSE) - VLOOKUP($B96,'20Trips'!$A$3:$G$22,6,FALSE) &gt;= ('20Trips'!$B$26+VLOOKUP(VLOOKUP($B96,'20Trips'!$A$2:$I$22,4,FALSE),'20Trips'!$AB$46:$AH$50,6,FALSE))/1440),1,0)</f>
        <v>1</v>
      </c>
      <c r="AC96" s="2">
        <f>IF(AND(VLOOKUP(AC$1,'20Trips'!$A$3:$F$22,5,FALSE) - VLOOKUP($B96,'20Trips'!$A$3:$G$22,6,FALSE) &gt;= ('20Trips'!$B$26+VLOOKUP(VLOOKUP($B96,'20Trips'!$A$2:$I$22,4,FALSE),'20Trips'!$AB$46:$AH$50,6,FALSE))/1440),1,0)</f>
        <v>1</v>
      </c>
      <c r="AD96" s="2">
        <f>IF(AND(VLOOKUP(AD$1,'20Trips'!$A$3:$F$22,5,FALSE) - VLOOKUP($B96,'20Trips'!$A$3:$G$22,6,FALSE) &gt;= ('20Trips'!$B$26+VLOOKUP(VLOOKUP($B96,'20Trips'!$A$2:$I$22,4,FALSE),'20Trips'!$AB$46:$AH$50,6,FALSE))/1440),1,0)</f>
        <v>1</v>
      </c>
      <c r="AE96" s="2" t="e">
        <f>IF(AND(VLOOKUP(AE$1,'20Trips'!$A$3:$F$22,5,FALSE) - VLOOKUP($B96,'20Trips'!$A$3:$G$22,6,FALSE) &gt;= ('20Trips'!$B$26+VLOOKUP(VLOOKUP($B96,'20Trips'!$A$2:$I$22,4,FALSE),'20Trips'!$AB$46:$AH$50,6,FALSE))/1440),1,0)</f>
        <v>#N/A</v>
      </c>
      <c r="AF96" s="2" t="e">
        <f>IF(AND(VLOOKUP(AF$1,'20Trips'!$A$3:$F$22,5,FALSE) - VLOOKUP($B96,'20Trips'!$A$3:$G$22,6,FALSE) &gt;= ('20Trips'!$B$26+VLOOKUP(VLOOKUP($B96,'20Trips'!$A$2:$I$22,4,FALSE),'20Trips'!$AB$46:$AH$50,6,FALSE))/1440),1,0)</f>
        <v>#N/A</v>
      </c>
      <c r="AG96" s="2" t="e">
        <f>IF(AND(VLOOKUP(AG$1,'20Trips'!$A$3:$F$22,5,FALSE) - VLOOKUP($B96,'20Trips'!$A$3:$G$22,6,FALSE) &gt;= ('20Trips'!$B$26+VLOOKUP(VLOOKUP($B96,'20Trips'!$A$2:$I$22,4,FALSE),'20Trips'!$AB$46:$AH$50,6,FALSE))/1440),1,0)</f>
        <v>#N/A</v>
      </c>
    </row>
    <row r="97" spans="1:33" x14ac:dyDescent="0.25">
      <c r="A97" t="s">
        <v>68</v>
      </c>
      <c r="B97" t="s">
        <v>9</v>
      </c>
      <c r="C97">
        <v>0</v>
      </c>
      <c r="D97" s="2">
        <f>IF(AND(VLOOKUP(D$1,'20Trips'!$A$3:$F$22,5,FALSE) - VLOOKUP($B97,'20Trips'!$A$3:$G$22,6,FALSE) &gt;= ('20Trips'!$B$26+VLOOKUP(VLOOKUP($B97,'20Trips'!$A$2:$I$22,4,FALSE),'20Trips'!$AB$46:$AH$50,6,FALSE))/1440),1,0)</f>
        <v>0</v>
      </c>
      <c r="E97" s="2">
        <f>IF(AND(VLOOKUP(E$1,'20Trips'!$A$3:$F$22,5,FALSE) - VLOOKUP($B97,'20Trips'!$A$3:$G$22,6,FALSE) &gt;= ('20Trips'!$B$26+VLOOKUP(VLOOKUP($B97,'20Trips'!$A$2:$I$22,4,FALSE),'20Trips'!$AB$46:$AH$50,6,FALSE))/1440),1,0)</f>
        <v>0</v>
      </c>
      <c r="F97" s="2">
        <f>IF(AND(VLOOKUP(F$1,'20Trips'!$A$3:$F$22,5,FALSE) - VLOOKUP($B97,'20Trips'!$A$3:$G$22,6,FALSE) &gt;= ('20Trips'!$B$26+VLOOKUP(VLOOKUP($B97,'20Trips'!$A$2:$I$22,4,FALSE),'20Trips'!$AB$46:$AH$50,6,FALSE))/1440),1,0)</f>
        <v>0</v>
      </c>
      <c r="G97" s="2">
        <f>IF(AND(VLOOKUP(G$1,'20Trips'!$A$3:$F$22,5,FALSE) - VLOOKUP($B97,'20Trips'!$A$3:$G$22,6,FALSE) &gt;= ('20Trips'!$B$26+VLOOKUP(VLOOKUP($B97,'20Trips'!$A$2:$I$22,4,FALSE),'20Trips'!$AB$46:$AH$50,6,FALSE))/1440),1,0)</f>
        <v>0</v>
      </c>
      <c r="H97" s="2">
        <f>IF(AND(VLOOKUP(H$1,'20Trips'!$A$3:$F$22,5,FALSE) - VLOOKUP($B97,'20Trips'!$A$3:$G$22,6,FALSE) &gt;= ('20Trips'!$B$26+VLOOKUP(VLOOKUP($B97,'20Trips'!$A$2:$I$22,4,FALSE),'20Trips'!$AB$46:$AH$50,6,FALSE))/1440),1,0)</f>
        <v>0</v>
      </c>
      <c r="I97" s="2" t="e">
        <f>IF(AND(VLOOKUP(I$1,'20Trips'!$A$3:$F$22,5,FALSE) - VLOOKUP($B97,'20Trips'!$A$3:$G$22,6,FALSE) &gt;= ('20Trips'!$B$26+VLOOKUP(VLOOKUP($B97,'20Trips'!$A$2:$I$22,4,FALSE),'20Trips'!$AB$46:$AH$50,6,FALSE))/1440),1,0)</f>
        <v>#N/A</v>
      </c>
      <c r="J97" s="2" t="e">
        <f>IF(AND(VLOOKUP(J$1,'20Trips'!$A$3:$F$22,5,FALSE) - VLOOKUP($B97,'20Trips'!$A$3:$G$22,6,FALSE) &gt;= ('20Trips'!$B$26+VLOOKUP(VLOOKUP($B97,'20Trips'!$A$2:$I$22,4,FALSE),'20Trips'!$AB$46:$AH$50,6,FALSE))/1440),1,0)</f>
        <v>#N/A</v>
      </c>
      <c r="K97" s="2" t="e">
        <f>IF(AND(VLOOKUP(K$1,'20Trips'!$A$3:$F$22,5,FALSE) - VLOOKUP($B97,'20Trips'!$A$3:$G$22,6,FALSE) &gt;= ('20Trips'!$B$26+VLOOKUP(VLOOKUP($B97,'20Trips'!$A$2:$I$22,4,FALSE),'20Trips'!$AB$46:$AH$50,6,FALSE))/1440),1,0)</f>
        <v>#N/A</v>
      </c>
      <c r="L97" s="2">
        <f>IF(AND(VLOOKUP(L$1,'20Trips'!$A$3:$F$22,5,FALSE) - VLOOKUP($B97,'20Trips'!$A$3:$G$22,6,FALSE) &gt;= ('20Trips'!$B$26+VLOOKUP(VLOOKUP($B97,'20Trips'!$A$2:$I$22,4,FALSE),'20Trips'!$AB$46:$AH$50,6,FALSE))/1440),1,0)</f>
        <v>0</v>
      </c>
      <c r="M97" s="2">
        <f>IF(AND(VLOOKUP(M$1,'20Trips'!$A$3:$F$22,5,FALSE) - VLOOKUP($B97,'20Trips'!$A$3:$G$22,6,FALSE) &gt;= ('20Trips'!$B$26+VLOOKUP(VLOOKUP($B97,'20Trips'!$A$2:$I$22,4,FALSE),'20Trips'!$AB$46:$AH$50,6,FALSE))/1440),1,0)</f>
        <v>0</v>
      </c>
      <c r="N97" s="2">
        <f>IF(AND(VLOOKUP(N$1,'20Trips'!$A$3:$F$22,5,FALSE) - VLOOKUP($B97,'20Trips'!$A$3:$G$22,6,FALSE) &gt;= ('20Trips'!$B$26+VLOOKUP(VLOOKUP($B97,'20Trips'!$A$2:$I$22,4,FALSE),'20Trips'!$AB$46:$AH$50,6,FALSE))/1440),1,0)</f>
        <v>0</v>
      </c>
      <c r="O97" s="2">
        <f>IF(AND(VLOOKUP(O$1,'20Trips'!$A$3:$F$22,5,FALSE) - VLOOKUP($B97,'20Trips'!$A$3:$G$22,6,FALSE) &gt;= ('20Trips'!$B$26+VLOOKUP(VLOOKUP($B97,'20Trips'!$A$2:$I$22,4,FALSE),'20Trips'!$AB$46:$AH$50,6,FALSE))/1440),1,0)</f>
        <v>1</v>
      </c>
      <c r="P97" s="2">
        <f>IF(AND(VLOOKUP(P$1,'20Trips'!$A$3:$F$22,5,FALSE) - VLOOKUP($B97,'20Trips'!$A$3:$G$22,6,FALSE) &gt;= ('20Trips'!$B$26+VLOOKUP(VLOOKUP($B97,'20Trips'!$A$2:$I$22,4,FALSE),'20Trips'!$AB$46:$AH$50,6,FALSE))/1440),1,0)</f>
        <v>1</v>
      </c>
      <c r="Q97" s="2" t="e">
        <f>IF(AND(VLOOKUP(Q$1,'20Trips'!$A$3:$F$22,5,FALSE) - VLOOKUP($B97,'20Trips'!$A$3:$G$22,6,FALSE) &gt;= ('20Trips'!$B$26+VLOOKUP(VLOOKUP($B97,'20Trips'!$A$2:$I$22,4,FALSE),'20Trips'!$AB$46:$AH$50,6,FALSE))/1440),1,0)</f>
        <v>#N/A</v>
      </c>
      <c r="R97" s="2">
        <f>IF(AND(VLOOKUP(R$1,'20Trips'!$A$3:$F$22,5,FALSE) - VLOOKUP($B97,'20Trips'!$A$3:$G$22,6,FALSE) &gt;= ('20Trips'!$B$26+VLOOKUP(VLOOKUP($B97,'20Trips'!$A$2:$I$22,4,FALSE),'20Trips'!$AB$46:$AH$50,6,FALSE))/1440),1,0)</f>
        <v>0</v>
      </c>
      <c r="S97" s="2">
        <f>IF(AND(VLOOKUP(S$1,'20Trips'!$A$3:$F$22,5,FALSE) - VLOOKUP($B97,'20Trips'!$A$3:$G$22,6,FALSE) &gt;= ('20Trips'!$B$26+VLOOKUP(VLOOKUP($B97,'20Trips'!$A$2:$I$22,4,FALSE),'20Trips'!$AB$46:$AH$50,6,FALSE))/1440),1,0)</f>
        <v>0</v>
      </c>
      <c r="T97" s="2">
        <f>IF(AND(VLOOKUP(T$1,'20Trips'!$A$3:$F$22,5,FALSE) - VLOOKUP($B97,'20Trips'!$A$3:$G$22,6,FALSE) &gt;= ('20Trips'!$B$26+VLOOKUP(VLOOKUP($B97,'20Trips'!$A$2:$I$22,4,FALSE),'20Trips'!$AB$46:$AH$50,6,FALSE))/1440),1,0)</f>
        <v>0</v>
      </c>
      <c r="U97" s="2">
        <f>IF(AND(VLOOKUP(U$1,'20Trips'!$A$3:$F$22,5,FALSE) - VLOOKUP($B97,'20Trips'!$A$3:$G$22,6,FALSE) &gt;= ('20Trips'!$B$26+VLOOKUP(VLOOKUP($B97,'20Trips'!$A$2:$I$22,4,FALSE),'20Trips'!$AB$46:$AH$50,6,FALSE))/1440),1,0)</f>
        <v>0</v>
      </c>
      <c r="V97" s="2">
        <f>IF(AND(VLOOKUP(V$1,'20Trips'!$A$3:$F$22,5,FALSE) - VLOOKUP($B97,'20Trips'!$A$3:$G$22,6,FALSE) &gt;= ('20Trips'!$B$26+VLOOKUP(VLOOKUP($B97,'20Trips'!$A$2:$I$22,4,FALSE),'20Trips'!$AB$46:$AH$50,6,FALSE))/1440),1,0)</f>
        <v>0</v>
      </c>
      <c r="W97" s="2" t="e">
        <f>IF(AND(VLOOKUP(W$1,'20Trips'!$A$3:$F$22,5,FALSE) - VLOOKUP($B97,'20Trips'!$A$3:$G$22,6,FALSE) &gt;= ('20Trips'!$B$26+VLOOKUP(VLOOKUP($B97,'20Trips'!$A$2:$I$22,4,FALSE),'20Trips'!$AB$46:$AH$50,6,FALSE))/1440),1,0)</f>
        <v>#N/A</v>
      </c>
      <c r="X97" s="2" t="e">
        <f>IF(AND(VLOOKUP(X$1,'20Trips'!$A$3:$F$22,5,FALSE) - VLOOKUP($B97,'20Trips'!$A$3:$G$22,6,FALSE) &gt;= ('20Trips'!$B$26+VLOOKUP(VLOOKUP($B97,'20Trips'!$A$2:$I$22,4,FALSE),'20Trips'!$AB$46:$AH$50,6,FALSE))/1440),1,0)</f>
        <v>#N/A</v>
      </c>
      <c r="Y97" s="2" t="e">
        <f>IF(AND(VLOOKUP(Y$1,'20Trips'!$A$3:$F$22,5,FALSE) - VLOOKUP($B97,'20Trips'!$A$3:$G$22,6,FALSE) &gt;= ('20Trips'!$B$26+VLOOKUP(VLOOKUP($B97,'20Trips'!$A$2:$I$22,4,FALSE),'20Trips'!$AB$46:$AH$50,6,FALSE))/1440),1,0)</f>
        <v>#N/A</v>
      </c>
      <c r="Z97" s="2">
        <f>IF(AND(VLOOKUP(Z$1,'20Trips'!$A$3:$F$22,5,FALSE) - VLOOKUP($B97,'20Trips'!$A$3:$G$22,6,FALSE) &gt;= ('20Trips'!$B$26+VLOOKUP(VLOOKUP($B97,'20Trips'!$A$2:$I$22,4,FALSE),'20Trips'!$AB$46:$AH$50,6,FALSE))/1440),1,0)</f>
        <v>0</v>
      </c>
      <c r="AA97" s="2">
        <f>IF(AND(VLOOKUP(AA$1,'20Trips'!$A$3:$F$22,5,FALSE) - VLOOKUP($B97,'20Trips'!$A$3:$G$22,6,FALSE) &gt;= ('20Trips'!$B$26+VLOOKUP(VLOOKUP($B97,'20Trips'!$A$2:$I$22,4,FALSE),'20Trips'!$AB$46:$AH$50,6,FALSE))/1440),1,0)</f>
        <v>0</v>
      </c>
      <c r="AB97" s="2">
        <f>IF(AND(VLOOKUP(AB$1,'20Trips'!$A$3:$F$22,5,FALSE) - VLOOKUP($B97,'20Trips'!$A$3:$G$22,6,FALSE) &gt;= ('20Trips'!$B$26+VLOOKUP(VLOOKUP($B97,'20Trips'!$A$2:$I$22,4,FALSE),'20Trips'!$AB$46:$AH$50,6,FALSE))/1440),1,0)</f>
        <v>0</v>
      </c>
      <c r="AC97" s="2">
        <f>IF(AND(VLOOKUP(AC$1,'20Trips'!$A$3:$F$22,5,FALSE) - VLOOKUP($B97,'20Trips'!$A$3:$G$22,6,FALSE) &gt;= ('20Trips'!$B$26+VLOOKUP(VLOOKUP($B97,'20Trips'!$A$2:$I$22,4,FALSE),'20Trips'!$AB$46:$AH$50,6,FALSE))/1440),1,0)</f>
        <v>0</v>
      </c>
      <c r="AD97" s="2">
        <f>IF(AND(VLOOKUP(AD$1,'20Trips'!$A$3:$F$22,5,FALSE) - VLOOKUP($B97,'20Trips'!$A$3:$G$22,6,FALSE) &gt;= ('20Trips'!$B$26+VLOOKUP(VLOOKUP($B97,'20Trips'!$A$2:$I$22,4,FALSE),'20Trips'!$AB$46:$AH$50,6,FALSE))/1440),1,0)</f>
        <v>1</v>
      </c>
      <c r="AE97" s="2" t="e">
        <f>IF(AND(VLOOKUP(AE$1,'20Trips'!$A$3:$F$22,5,FALSE) - VLOOKUP($B97,'20Trips'!$A$3:$G$22,6,FALSE) &gt;= ('20Trips'!$B$26+VLOOKUP(VLOOKUP($B97,'20Trips'!$A$2:$I$22,4,FALSE),'20Trips'!$AB$46:$AH$50,6,FALSE))/1440),1,0)</f>
        <v>#N/A</v>
      </c>
      <c r="AF97" s="2" t="e">
        <f>IF(AND(VLOOKUP(AF$1,'20Trips'!$A$3:$F$22,5,FALSE) - VLOOKUP($B97,'20Trips'!$A$3:$G$22,6,FALSE) &gt;= ('20Trips'!$B$26+VLOOKUP(VLOOKUP($B97,'20Trips'!$A$2:$I$22,4,FALSE),'20Trips'!$AB$46:$AH$50,6,FALSE))/1440),1,0)</f>
        <v>#N/A</v>
      </c>
      <c r="AG97" s="2" t="e">
        <f>IF(AND(VLOOKUP(AG$1,'20Trips'!$A$3:$F$22,5,FALSE) - VLOOKUP($B97,'20Trips'!$A$3:$G$22,6,FALSE) &gt;= ('20Trips'!$B$26+VLOOKUP(VLOOKUP($B97,'20Trips'!$A$2:$I$22,4,FALSE),'20Trips'!$AB$46:$AH$50,6,FALSE))/1440),1,0)</f>
        <v>#N/A</v>
      </c>
    </row>
    <row r="98" spans="1:33" x14ac:dyDescent="0.25">
      <c r="A98" t="s">
        <v>68</v>
      </c>
      <c r="B98" t="s">
        <v>10</v>
      </c>
      <c r="C98">
        <v>0</v>
      </c>
      <c r="D98" s="2">
        <f>IF(AND(VLOOKUP(D$1,'20Trips'!$A$3:$F$22,5,FALSE) - VLOOKUP($B98,'20Trips'!$A$3:$G$22,6,FALSE) &gt;= ('20Trips'!$B$26+VLOOKUP(VLOOKUP($B98,'20Trips'!$A$2:$I$22,4,FALSE),'20Trips'!$AB$46:$AH$50,6,FALSE))/1440),1,0)</f>
        <v>0</v>
      </c>
      <c r="E98" s="2">
        <f>IF(AND(VLOOKUP(E$1,'20Trips'!$A$3:$F$22,5,FALSE) - VLOOKUP($B98,'20Trips'!$A$3:$G$22,6,FALSE) &gt;= ('20Trips'!$B$26+VLOOKUP(VLOOKUP($B98,'20Trips'!$A$2:$I$22,4,FALSE),'20Trips'!$AB$46:$AH$50,6,FALSE))/1440),1,0)</f>
        <v>0</v>
      </c>
      <c r="F98" s="2">
        <f>IF(AND(VLOOKUP(F$1,'20Trips'!$A$3:$F$22,5,FALSE) - VLOOKUP($B98,'20Trips'!$A$3:$G$22,6,FALSE) &gt;= ('20Trips'!$B$26+VLOOKUP(VLOOKUP($B98,'20Trips'!$A$2:$I$22,4,FALSE),'20Trips'!$AB$46:$AH$50,6,FALSE))/1440),1,0)</f>
        <v>0</v>
      </c>
      <c r="G98" s="2">
        <f>IF(AND(VLOOKUP(G$1,'20Trips'!$A$3:$F$22,5,FALSE) - VLOOKUP($B98,'20Trips'!$A$3:$G$22,6,FALSE) &gt;= ('20Trips'!$B$26+VLOOKUP(VLOOKUP($B98,'20Trips'!$A$2:$I$22,4,FALSE),'20Trips'!$AB$46:$AH$50,6,FALSE))/1440),1,0)</f>
        <v>0</v>
      </c>
      <c r="H98" s="2">
        <f>IF(AND(VLOOKUP(H$1,'20Trips'!$A$3:$F$22,5,FALSE) - VLOOKUP($B98,'20Trips'!$A$3:$G$22,6,FALSE) &gt;= ('20Trips'!$B$26+VLOOKUP(VLOOKUP($B98,'20Trips'!$A$2:$I$22,4,FALSE),'20Trips'!$AB$46:$AH$50,6,FALSE))/1440),1,0)</f>
        <v>0</v>
      </c>
      <c r="I98" s="2" t="e">
        <f>IF(AND(VLOOKUP(I$1,'20Trips'!$A$3:$F$22,5,FALSE) - VLOOKUP($B98,'20Trips'!$A$3:$G$22,6,FALSE) &gt;= ('20Trips'!$B$26+VLOOKUP(VLOOKUP($B98,'20Trips'!$A$2:$I$22,4,FALSE),'20Trips'!$AB$46:$AH$50,6,FALSE))/1440),1,0)</f>
        <v>#N/A</v>
      </c>
      <c r="J98" s="2" t="e">
        <f>IF(AND(VLOOKUP(J$1,'20Trips'!$A$3:$F$22,5,FALSE) - VLOOKUP($B98,'20Trips'!$A$3:$G$22,6,FALSE) &gt;= ('20Trips'!$B$26+VLOOKUP(VLOOKUP($B98,'20Trips'!$A$2:$I$22,4,FALSE),'20Trips'!$AB$46:$AH$50,6,FALSE))/1440),1,0)</f>
        <v>#N/A</v>
      </c>
      <c r="K98" s="2" t="e">
        <f>IF(AND(VLOOKUP(K$1,'20Trips'!$A$3:$F$22,5,FALSE) - VLOOKUP($B98,'20Trips'!$A$3:$G$22,6,FALSE) &gt;= ('20Trips'!$B$26+VLOOKUP(VLOOKUP($B98,'20Trips'!$A$2:$I$22,4,FALSE),'20Trips'!$AB$46:$AH$50,6,FALSE))/1440),1,0)</f>
        <v>#N/A</v>
      </c>
      <c r="L98" s="2">
        <f>IF(AND(VLOOKUP(L$1,'20Trips'!$A$3:$F$22,5,FALSE) - VLOOKUP($B98,'20Trips'!$A$3:$G$22,6,FALSE) &gt;= ('20Trips'!$B$26+VLOOKUP(VLOOKUP($B98,'20Trips'!$A$2:$I$22,4,FALSE),'20Trips'!$AB$46:$AH$50,6,FALSE))/1440),1,0)</f>
        <v>0</v>
      </c>
      <c r="M98" s="2">
        <f>IF(AND(VLOOKUP(M$1,'20Trips'!$A$3:$F$22,5,FALSE) - VLOOKUP($B98,'20Trips'!$A$3:$G$22,6,FALSE) &gt;= ('20Trips'!$B$26+VLOOKUP(VLOOKUP($B98,'20Trips'!$A$2:$I$22,4,FALSE),'20Trips'!$AB$46:$AH$50,6,FALSE))/1440),1,0)</f>
        <v>0</v>
      </c>
      <c r="N98" s="2">
        <f>IF(AND(VLOOKUP(N$1,'20Trips'!$A$3:$F$22,5,FALSE) - VLOOKUP($B98,'20Trips'!$A$3:$G$22,6,FALSE) &gt;= ('20Trips'!$B$26+VLOOKUP(VLOOKUP($B98,'20Trips'!$A$2:$I$22,4,FALSE),'20Trips'!$AB$46:$AH$50,6,FALSE))/1440),1,0)</f>
        <v>0</v>
      </c>
      <c r="O98" s="2">
        <f>IF(AND(VLOOKUP(O$1,'20Trips'!$A$3:$F$22,5,FALSE) - VLOOKUP($B98,'20Trips'!$A$3:$G$22,6,FALSE) &gt;= ('20Trips'!$B$26+VLOOKUP(VLOOKUP($B98,'20Trips'!$A$2:$I$22,4,FALSE),'20Trips'!$AB$46:$AH$50,6,FALSE))/1440),1,0)</f>
        <v>1</v>
      </c>
      <c r="P98" s="2">
        <f>IF(AND(VLOOKUP(P$1,'20Trips'!$A$3:$F$22,5,FALSE) - VLOOKUP($B98,'20Trips'!$A$3:$G$22,6,FALSE) &gt;= ('20Trips'!$B$26+VLOOKUP(VLOOKUP($B98,'20Trips'!$A$2:$I$22,4,FALSE),'20Trips'!$AB$46:$AH$50,6,FALSE))/1440),1,0)</f>
        <v>1</v>
      </c>
      <c r="Q98" s="2" t="e">
        <f>IF(AND(VLOOKUP(Q$1,'20Trips'!$A$3:$F$22,5,FALSE) - VLOOKUP($B98,'20Trips'!$A$3:$G$22,6,FALSE) &gt;= ('20Trips'!$B$26+VLOOKUP(VLOOKUP($B98,'20Trips'!$A$2:$I$22,4,FALSE),'20Trips'!$AB$46:$AH$50,6,FALSE))/1440),1,0)</f>
        <v>#N/A</v>
      </c>
      <c r="R98" s="2">
        <f>IF(AND(VLOOKUP(R$1,'20Trips'!$A$3:$F$22,5,FALSE) - VLOOKUP($B98,'20Trips'!$A$3:$G$22,6,FALSE) &gt;= ('20Trips'!$B$26+VLOOKUP(VLOOKUP($B98,'20Trips'!$A$2:$I$22,4,FALSE),'20Trips'!$AB$46:$AH$50,6,FALSE))/1440),1,0)</f>
        <v>0</v>
      </c>
      <c r="S98" s="2">
        <f>IF(AND(VLOOKUP(S$1,'20Trips'!$A$3:$F$22,5,FALSE) - VLOOKUP($B98,'20Trips'!$A$3:$G$22,6,FALSE) &gt;= ('20Trips'!$B$26+VLOOKUP(VLOOKUP($B98,'20Trips'!$A$2:$I$22,4,FALSE),'20Trips'!$AB$46:$AH$50,6,FALSE))/1440),1,0)</f>
        <v>0</v>
      </c>
      <c r="T98" s="2">
        <f>IF(AND(VLOOKUP(T$1,'20Trips'!$A$3:$F$22,5,FALSE) - VLOOKUP($B98,'20Trips'!$A$3:$G$22,6,FALSE) &gt;= ('20Trips'!$B$26+VLOOKUP(VLOOKUP($B98,'20Trips'!$A$2:$I$22,4,FALSE),'20Trips'!$AB$46:$AH$50,6,FALSE))/1440),1,0)</f>
        <v>0</v>
      </c>
      <c r="U98" s="2">
        <f>IF(AND(VLOOKUP(U$1,'20Trips'!$A$3:$F$22,5,FALSE) - VLOOKUP($B98,'20Trips'!$A$3:$G$22,6,FALSE) &gt;= ('20Trips'!$B$26+VLOOKUP(VLOOKUP($B98,'20Trips'!$A$2:$I$22,4,FALSE),'20Trips'!$AB$46:$AH$50,6,FALSE))/1440),1,0)</f>
        <v>0</v>
      </c>
      <c r="V98" s="2">
        <f>IF(AND(VLOOKUP(V$1,'20Trips'!$A$3:$F$22,5,FALSE) - VLOOKUP($B98,'20Trips'!$A$3:$G$22,6,FALSE) &gt;= ('20Trips'!$B$26+VLOOKUP(VLOOKUP($B98,'20Trips'!$A$2:$I$22,4,FALSE),'20Trips'!$AB$46:$AH$50,6,FALSE))/1440),1,0)</f>
        <v>0</v>
      </c>
      <c r="W98" s="2" t="e">
        <f>IF(AND(VLOOKUP(W$1,'20Trips'!$A$3:$F$22,5,FALSE) - VLOOKUP($B98,'20Trips'!$A$3:$G$22,6,FALSE) &gt;= ('20Trips'!$B$26+VLOOKUP(VLOOKUP($B98,'20Trips'!$A$2:$I$22,4,FALSE),'20Trips'!$AB$46:$AH$50,6,FALSE))/1440),1,0)</f>
        <v>#N/A</v>
      </c>
      <c r="X98" s="2" t="e">
        <f>IF(AND(VLOOKUP(X$1,'20Trips'!$A$3:$F$22,5,FALSE) - VLOOKUP($B98,'20Trips'!$A$3:$G$22,6,FALSE) &gt;= ('20Trips'!$B$26+VLOOKUP(VLOOKUP($B98,'20Trips'!$A$2:$I$22,4,FALSE),'20Trips'!$AB$46:$AH$50,6,FALSE))/1440),1,0)</f>
        <v>#N/A</v>
      </c>
      <c r="Y98" s="2" t="e">
        <f>IF(AND(VLOOKUP(Y$1,'20Trips'!$A$3:$F$22,5,FALSE) - VLOOKUP($B98,'20Trips'!$A$3:$G$22,6,FALSE) &gt;= ('20Trips'!$B$26+VLOOKUP(VLOOKUP($B98,'20Trips'!$A$2:$I$22,4,FALSE),'20Trips'!$AB$46:$AH$50,6,FALSE))/1440),1,0)</f>
        <v>#N/A</v>
      </c>
      <c r="Z98" s="2">
        <f>IF(AND(VLOOKUP(Z$1,'20Trips'!$A$3:$F$22,5,FALSE) - VLOOKUP($B98,'20Trips'!$A$3:$G$22,6,FALSE) &gt;= ('20Trips'!$B$26+VLOOKUP(VLOOKUP($B98,'20Trips'!$A$2:$I$22,4,FALSE),'20Trips'!$AB$46:$AH$50,6,FALSE))/1440),1,0)</f>
        <v>0</v>
      </c>
      <c r="AA98" s="2">
        <f>IF(AND(VLOOKUP(AA$1,'20Trips'!$A$3:$F$22,5,FALSE) - VLOOKUP($B98,'20Trips'!$A$3:$G$22,6,FALSE) &gt;= ('20Trips'!$B$26+VLOOKUP(VLOOKUP($B98,'20Trips'!$A$2:$I$22,4,FALSE),'20Trips'!$AB$46:$AH$50,6,FALSE))/1440),1,0)</f>
        <v>0</v>
      </c>
      <c r="AB98" s="2">
        <f>IF(AND(VLOOKUP(AB$1,'20Trips'!$A$3:$F$22,5,FALSE) - VLOOKUP($B98,'20Trips'!$A$3:$G$22,6,FALSE) &gt;= ('20Trips'!$B$26+VLOOKUP(VLOOKUP($B98,'20Trips'!$A$2:$I$22,4,FALSE),'20Trips'!$AB$46:$AH$50,6,FALSE))/1440),1,0)</f>
        <v>0</v>
      </c>
      <c r="AC98" s="2">
        <f>IF(AND(VLOOKUP(AC$1,'20Trips'!$A$3:$F$22,5,FALSE) - VLOOKUP($B98,'20Trips'!$A$3:$G$22,6,FALSE) &gt;= ('20Trips'!$B$26+VLOOKUP(VLOOKUP($B98,'20Trips'!$A$2:$I$22,4,FALSE),'20Trips'!$AB$46:$AH$50,6,FALSE))/1440),1,0)</f>
        <v>0</v>
      </c>
      <c r="AD98" s="2">
        <f>IF(AND(VLOOKUP(AD$1,'20Trips'!$A$3:$F$22,5,FALSE) - VLOOKUP($B98,'20Trips'!$A$3:$G$22,6,FALSE) &gt;= ('20Trips'!$B$26+VLOOKUP(VLOOKUP($B98,'20Trips'!$A$2:$I$22,4,FALSE),'20Trips'!$AB$46:$AH$50,6,FALSE))/1440),1,0)</f>
        <v>0</v>
      </c>
      <c r="AE98" s="2" t="e">
        <f>IF(AND(VLOOKUP(AE$1,'20Trips'!$A$3:$F$22,5,FALSE) - VLOOKUP($B98,'20Trips'!$A$3:$G$22,6,FALSE) &gt;= ('20Trips'!$B$26+VLOOKUP(VLOOKUP($B98,'20Trips'!$A$2:$I$22,4,FALSE),'20Trips'!$AB$46:$AH$50,6,FALSE))/1440),1,0)</f>
        <v>#N/A</v>
      </c>
      <c r="AF98" s="2" t="e">
        <f>IF(AND(VLOOKUP(AF$1,'20Trips'!$A$3:$F$22,5,FALSE) - VLOOKUP($B98,'20Trips'!$A$3:$G$22,6,FALSE) &gt;= ('20Trips'!$B$26+VLOOKUP(VLOOKUP($B98,'20Trips'!$A$2:$I$22,4,FALSE),'20Trips'!$AB$46:$AH$50,6,FALSE))/1440),1,0)</f>
        <v>#N/A</v>
      </c>
      <c r="AG98" s="2" t="e">
        <f>IF(AND(VLOOKUP(AG$1,'20Trips'!$A$3:$F$22,5,FALSE) - VLOOKUP($B98,'20Trips'!$A$3:$G$22,6,FALSE) &gt;= ('20Trips'!$B$26+VLOOKUP(VLOOKUP($B98,'20Trips'!$A$2:$I$22,4,FALSE),'20Trips'!$AB$46:$AH$50,6,FALSE))/1440),1,0)</f>
        <v>#N/A</v>
      </c>
    </row>
    <row r="99" spans="1:33" x14ac:dyDescent="0.25">
      <c r="A99" t="s">
        <v>68</v>
      </c>
      <c r="B99" t="s">
        <v>11</v>
      </c>
      <c r="C99">
        <v>0</v>
      </c>
      <c r="D99" s="2">
        <f>IF(AND(VLOOKUP(D$1,'20Trips'!$A$3:$F$22,5,FALSE) - VLOOKUP($B99,'20Trips'!$A$3:$G$22,6,FALSE) &gt;= ('20Trips'!$B$26+VLOOKUP(VLOOKUP($B99,'20Trips'!$A$2:$I$22,4,FALSE),'20Trips'!$AB$46:$AH$50,6,FALSE))/1440),1,0)</f>
        <v>0</v>
      </c>
      <c r="E99" s="2">
        <f>IF(AND(VLOOKUP(E$1,'20Trips'!$A$3:$F$22,5,FALSE) - VLOOKUP($B99,'20Trips'!$A$3:$G$22,6,FALSE) &gt;= ('20Trips'!$B$26+VLOOKUP(VLOOKUP($B99,'20Trips'!$A$2:$I$22,4,FALSE),'20Trips'!$AB$46:$AH$50,6,FALSE))/1440),1,0)</f>
        <v>0</v>
      </c>
      <c r="F99" s="2">
        <f>IF(AND(VLOOKUP(F$1,'20Trips'!$A$3:$F$22,5,FALSE) - VLOOKUP($B99,'20Trips'!$A$3:$G$22,6,FALSE) &gt;= ('20Trips'!$B$26+VLOOKUP(VLOOKUP($B99,'20Trips'!$A$2:$I$22,4,FALSE),'20Trips'!$AB$46:$AH$50,6,FALSE))/1440),1,0)</f>
        <v>0</v>
      </c>
      <c r="G99" s="2">
        <f>IF(AND(VLOOKUP(G$1,'20Trips'!$A$3:$F$22,5,FALSE) - VLOOKUP($B99,'20Trips'!$A$3:$G$22,6,FALSE) &gt;= ('20Trips'!$B$26+VLOOKUP(VLOOKUP($B99,'20Trips'!$A$2:$I$22,4,FALSE),'20Trips'!$AB$46:$AH$50,6,FALSE))/1440),1,0)</f>
        <v>0</v>
      </c>
      <c r="H99" s="2">
        <f>IF(AND(VLOOKUP(H$1,'20Trips'!$A$3:$F$22,5,FALSE) - VLOOKUP($B99,'20Trips'!$A$3:$G$22,6,FALSE) &gt;= ('20Trips'!$B$26+VLOOKUP(VLOOKUP($B99,'20Trips'!$A$2:$I$22,4,FALSE),'20Trips'!$AB$46:$AH$50,6,FALSE))/1440),1,0)</f>
        <v>0</v>
      </c>
      <c r="I99" s="2" t="e">
        <f>IF(AND(VLOOKUP(I$1,'20Trips'!$A$3:$F$22,5,FALSE) - VLOOKUP($B99,'20Trips'!$A$3:$G$22,6,FALSE) &gt;= ('20Trips'!$B$26+VLOOKUP(VLOOKUP($B99,'20Trips'!$A$2:$I$22,4,FALSE),'20Trips'!$AB$46:$AH$50,6,FALSE))/1440),1,0)</f>
        <v>#N/A</v>
      </c>
      <c r="J99" s="2" t="e">
        <f>IF(AND(VLOOKUP(J$1,'20Trips'!$A$3:$F$22,5,FALSE) - VLOOKUP($B99,'20Trips'!$A$3:$G$22,6,FALSE) &gt;= ('20Trips'!$B$26+VLOOKUP(VLOOKUP($B99,'20Trips'!$A$2:$I$22,4,FALSE),'20Trips'!$AB$46:$AH$50,6,FALSE))/1440),1,0)</f>
        <v>#N/A</v>
      </c>
      <c r="K99" s="2" t="e">
        <f>IF(AND(VLOOKUP(K$1,'20Trips'!$A$3:$F$22,5,FALSE) - VLOOKUP($B99,'20Trips'!$A$3:$G$22,6,FALSE) &gt;= ('20Trips'!$B$26+VLOOKUP(VLOOKUP($B99,'20Trips'!$A$2:$I$22,4,FALSE),'20Trips'!$AB$46:$AH$50,6,FALSE))/1440),1,0)</f>
        <v>#N/A</v>
      </c>
      <c r="L99" s="2">
        <f>IF(AND(VLOOKUP(L$1,'20Trips'!$A$3:$F$22,5,FALSE) - VLOOKUP($B99,'20Trips'!$A$3:$G$22,6,FALSE) &gt;= ('20Trips'!$B$26+VLOOKUP(VLOOKUP($B99,'20Trips'!$A$2:$I$22,4,FALSE),'20Trips'!$AB$46:$AH$50,6,FALSE))/1440),1,0)</f>
        <v>0</v>
      </c>
      <c r="M99" s="2">
        <f>IF(AND(VLOOKUP(M$1,'20Trips'!$A$3:$F$22,5,FALSE) - VLOOKUP($B99,'20Trips'!$A$3:$G$22,6,FALSE) &gt;= ('20Trips'!$B$26+VLOOKUP(VLOOKUP($B99,'20Trips'!$A$2:$I$22,4,FALSE),'20Trips'!$AB$46:$AH$50,6,FALSE))/1440),1,0)</f>
        <v>0</v>
      </c>
      <c r="N99" s="2">
        <f>IF(AND(VLOOKUP(N$1,'20Trips'!$A$3:$F$22,5,FALSE) - VLOOKUP($B99,'20Trips'!$A$3:$G$22,6,FALSE) &gt;= ('20Trips'!$B$26+VLOOKUP(VLOOKUP($B99,'20Trips'!$A$2:$I$22,4,FALSE),'20Trips'!$AB$46:$AH$50,6,FALSE))/1440),1,0)</f>
        <v>0</v>
      </c>
      <c r="O99" s="2">
        <f>IF(AND(VLOOKUP(O$1,'20Trips'!$A$3:$F$22,5,FALSE) - VLOOKUP($B99,'20Trips'!$A$3:$G$22,6,FALSE) &gt;= ('20Trips'!$B$26+VLOOKUP(VLOOKUP($B99,'20Trips'!$A$2:$I$22,4,FALSE),'20Trips'!$AB$46:$AH$50,6,FALSE))/1440),1,0)</f>
        <v>0</v>
      </c>
      <c r="P99" s="2">
        <f>IF(AND(VLOOKUP(P$1,'20Trips'!$A$3:$F$22,5,FALSE) - VLOOKUP($B99,'20Trips'!$A$3:$G$22,6,FALSE) &gt;= ('20Trips'!$B$26+VLOOKUP(VLOOKUP($B99,'20Trips'!$A$2:$I$22,4,FALSE),'20Trips'!$AB$46:$AH$50,6,FALSE))/1440),1,0)</f>
        <v>1</v>
      </c>
      <c r="Q99" s="2" t="e">
        <f>IF(AND(VLOOKUP(Q$1,'20Trips'!$A$3:$F$22,5,FALSE) - VLOOKUP($B99,'20Trips'!$A$3:$G$22,6,FALSE) &gt;= ('20Trips'!$B$26+VLOOKUP(VLOOKUP($B99,'20Trips'!$A$2:$I$22,4,FALSE),'20Trips'!$AB$46:$AH$50,6,FALSE))/1440),1,0)</f>
        <v>#N/A</v>
      </c>
      <c r="R99" s="2">
        <f>IF(AND(VLOOKUP(R$1,'20Trips'!$A$3:$F$22,5,FALSE) - VLOOKUP($B99,'20Trips'!$A$3:$G$22,6,FALSE) &gt;= ('20Trips'!$B$26+VLOOKUP(VLOOKUP($B99,'20Trips'!$A$2:$I$22,4,FALSE),'20Trips'!$AB$46:$AH$50,6,FALSE))/1440),1,0)</f>
        <v>0</v>
      </c>
      <c r="S99" s="2">
        <f>IF(AND(VLOOKUP(S$1,'20Trips'!$A$3:$F$22,5,FALSE) - VLOOKUP($B99,'20Trips'!$A$3:$G$22,6,FALSE) &gt;= ('20Trips'!$B$26+VLOOKUP(VLOOKUP($B99,'20Trips'!$A$2:$I$22,4,FALSE),'20Trips'!$AB$46:$AH$50,6,FALSE))/1440),1,0)</f>
        <v>0</v>
      </c>
      <c r="T99" s="2">
        <f>IF(AND(VLOOKUP(T$1,'20Trips'!$A$3:$F$22,5,FALSE) - VLOOKUP($B99,'20Trips'!$A$3:$G$22,6,FALSE) &gt;= ('20Trips'!$B$26+VLOOKUP(VLOOKUP($B99,'20Trips'!$A$2:$I$22,4,FALSE),'20Trips'!$AB$46:$AH$50,6,FALSE))/1440),1,0)</f>
        <v>0</v>
      </c>
      <c r="U99" s="2">
        <f>IF(AND(VLOOKUP(U$1,'20Trips'!$A$3:$F$22,5,FALSE) - VLOOKUP($B99,'20Trips'!$A$3:$G$22,6,FALSE) &gt;= ('20Trips'!$B$26+VLOOKUP(VLOOKUP($B99,'20Trips'!$A$2:$I$22,4,FALSE),'20Trips'!$AB$46:$AH$50,6,FALSE))/1440),1,0)</f>
        <v>0</v>
      </c>
      <c r="V99" s="2">
        <f>IF(AND(VLOOKUP(V$1,'20Trips'!$A$3:$F$22,5,FALSE) - VLOOKUP($B99,'20Trips'!$A$3:$G$22,6,FALSE) &gt;= ('20Trips'!$B$26+VLOOKUP(VLOOKUP($B99,'20Trips'!$A$2:$I$22,4,FALSE),'20Trips'!$AB$46:$AH$50,6,FALSE))/1440),1,0)</f>
        <v>0</v>
      </c>
      <c r="W99" s="2" t="e">
        <f>IF(AND(VLOOKUP(W$1,'20Trips'!$A$3:$F$22,5,FALSE) - VLOOKUP($B99,'20Trips'!$A$3:$G$22,6,FALSE) &gt;= ('20Trips'!$B$26+VLOOKUP(VLOOKUP($B99,'20Trips'!$A$2:$I$22,4,FALSE),'20Trips'!$AB$46:$AH$50,6,FALSE))/1440),1,0)</f>
        <v>#N/A</v>
      </c>
      <c r="X99" s="2" t="e">
        <f>IF(AND(VLOOKUP(X$1,'20Trips'!$A$3:$F$22,5,FALSE) - VLOOKUP($B99,'20Trips'!$A$3:$G$22,6,FALSE) &gt;= ('20Trips'!$B$26+VLOOKUP(VLOOKUP($B99,'20Trips'!$A$2:$I$22,4,FALSE),'20Trips'!$AB$46:$AH$50,6,FALSE))/1440),1,0)</f>
        <v>#N/A</v>
      </c>
      <c r="Y99" s="2" t="e">
        <f>IF(AND(VLOOKUP(Y$1,'20Trips'!$A$3:$F$22,5,FALSE) - VLOOKUP($B99,'20Trips'!$A$3:$G$22,6,FALSE) &gt;= ('20Trips'!$B$26+VLOOKUP(VLOOKUP($B99,'20Trips'!$A$2:$I$22,4,FALSE),'20Trips'!$AB$46:$AH$50,6,FALSE))/1440),1,0)</f>
        <v>#N/A</v>
      </c>
      <c r="Z99" s="2">
        <f>IF(AND(VLOOKUP(Z$1,'20Trips'!$A$3:$F$22,5,FALSE) - VLOOKUP($B99,'20Trips'!$A$3:$G$22,6,FALSE) &gt;= ('20Trips'!$B$26+VLOOKUP(VLOOKUP($B99,'20Trips'!$A$2:$I$22,4,FALSE),'20Trips'!$AB$46:$AH$50,6,FALSE))/1440),1,0)</f>
        <v>0</v>
      </c>
      <c r="AA99" s="2">
        <f>IF(AND(VLOOKUP(AA$1,'20Trips'!$A$3:$F$22,5,FALSE) - VLOOKUP($B99,'20Trips'!$A$3:$G$22,6,FALSE) &gt;= ('20Trips'!$B$26+VLOOKUP(VLOOKUP($B99,'20Trips'!$A$2:$I$22,4,FALSE),'20Trips'!$AB$46:$AH$50,6,FALSE))/1440),1,0)</f>
        <v>0</v>
      </c>
      <c r="AB99" s="2">
        <f>IF(AND(VLOOKUP(AB$1,'20Trips'!$A$3:$F$22,5,FALSE) - VLOOKUP($B99,'20Trips'!$A$3:$G$22,6,FALSE) &gt;= ('20Trips'!$B$26+VLOOKUP(VLOOKUP($B99,'20Trips'!$A$2:$I$22,4,FALSE),'20Trips'!$AB$46:$AH$50,6,FALSE))/1440),1,0)</f>
        <v>0</v>
      </c>
      <c r="AC99" s="2">
        <f>IF(AND(VLOOKUP(AC$1,'20Trips'!$A$3:$F$22,5,FALSE) - VLOOKUP($B99,'20Trips'!$A$3:$G$22,6,FALSE) &gt;= ('20Trips'!$B$26+VLOOKUP(VLOOKUP($B99,'20Trips'!$A$2:$I$22,4,FALSE),'20Trips'!$AB$46:$AH$50,6,FALSE))/1440),1,0)</f>
        <v>0</v>
      </c>
      <c r="AD99" s="2">
        <f>IF(AND(VLOOKUP(AD$1,'20Trips'!$A$3:$F$22,5,FALSE) - VLOOKUP($B99,'20Trips'!$A$3:$G$22,6,FALSE) &gt;= ('20Trips'!$B$26+VLOOKUP(VLOOKUP($B99,'20Trips'!$A$2:$I$22,4,FALSE),'20Trips'!$AB$46:$AH$50,6,FALSE))/1440),1,0)</f>
        <v>0</v>
      </c>
      <c r="AE99" s="2" t="e">
        <f>IF(AND(VLOOKUP(AE$1,'20Trips'!$A$3:$F$22,5,FALSE) - VLOOKUP($B99,'20Trips'!$A$3:$G$22,6,FALSE) &gt;= ('20Trips'!$B$26+VLOOKUP(VLOOKUP($B99,'20Trips'!$A$2:$I$22,4,FALSE),'20Trips'!$AB$46:$AH$50,6,FALSE))/1440),1,0)</f>
        <v>#N/A</v>
      </c>
      <c r="AF99" s="2" t="e">
        <f>IF(AND(VLOOKUP(AF$1,'20Trips'!$A$3:$F$22,5,FALSE) - VLOOKUP($B99,'20Trips'!$A$3:$G$22,6,FALSE) &gt;= ('20Trips'!$B$26+VLOOKUP(VLOOKUP($B99,'20Trips'!$A$2:$I$22,4,FALSE),'20Trips'!$AB$46:$AH$50,6,FALSE))/1440),1,0)</f>
        <v>#N/A</v>
      </c>
      <c r="AG99" s="2" t="e">
        <f>IF(AND(VLOOKUP(AG$1,'20Trips'!$A$3:$F$22,5,FALSE) - VLOOKUP($B99,'20Trips'!$A$3:$G$22,6,FALSE) &gt;= ('20Trips'!$B$26+VLOOKUP(VLOOKUP($B99,'20Trips'!$A$2:$I$22,4,FALSE),'20Trips'!$AB$46:$AH$50,6,FALSE))/1440),1,0)</f>
        <v>#N/A</v>
      </c>
    </row>
    <row r="100" spans="1:33" x14ac:dyDescent="0.25">
      <c r="A100" t="s">
        <v>68</v>
      </c>
      <c r="B100" t="s">
        <v>12</v>
      </c>
      <c r="C100">
        <v>0</v>
      </c>
      <c r="D100" s="2">
        <f>IF(AND(VLOOKUP(D$1,'20Trips'!$A$3:$F$22,5,FALSE) - VLOOKUP($B100,'20Trips'!$A$3:$G$22,6,FALSE) &gt;= ('20Trips'!$B$26+VLOOKUP(VLOOKUP($B100,'20Trips'!$A$2:$I$22,4,FALSE),'20Trips'!$AB$46:$AH$50,6,FALSE))/1440),1,0)</f>
        <v>0</v>
      </c>
      <c r="E100" s="2">
        <f>IF(AND(VLOOKUP(E$1,'20Trips'!$A$3:$F$22,5,FALSE) - VLOOKUP($B100,'20Trips'!$A$3:$G$22,6,FALSE) &gt;= ('20Trips'!$B$26+VLOOKUP(VLOOKUP($B100,'20Trips'!$A$2:$I$22,4,FALSE),'20Trips'!$AB$46:$AH$50,6,FALSE))/1440),1,0)</f>
        <v>0</v>
      </c>
      <c r="F100" s="2">
        <f>IF(AND(VLOOKUP(F$1,'20Trips'!$A$3:$F$22,5,FALSE) - VLOOKUP($B100,'20Trips'!$A$3:$G$22,6,FALSE) &gt;= ('20Trips'!$B$26+VLOOKUP(VLOOKUP($B100,'20Trips'!$A$2:$I$22,4,FALSE),'20Trips'!$AB$46:$AH$50,6,FALSE))/1440),1,0)</f>
        <v>0</v>
      </c>
      <c r="G100" s="2">
        <f>IF(AND(VLOOKUP(G$1,'20Trips'!$A$3:$F$22,5,FALSE) - VLOOKUP($B100,'20Trips'!$A$3:$G$22,6,FALSE) &gt;= ('20Trips'!$B$26+VLOOKUP(VLOOKUP($B100,'20Trips'!$A$2:$I$22,4,FALSE),'20Trips'!$AB$46:$AH$50,6,FALSE))/1440),1,0)</f>
        <v>0</v>
      </c>
      <c r="H100" s="2">
        <f>IF(AND(VLOOKUP(H$1,'20Trips'!$A$3:$F$22,5,FALSE) - VLOOKUP($B100,'20Trips'!$A$3:$G$22,6,FALSE) &gt;= ('20Trips'!$B$26+VLOOKUP(VLOOKUP($B100,'20Trips'!$A$2:$I$22,4,FALSE),'20Trips'!$AB$46:$AH$50,6,FALSE))/1440),1,0)</f>
        <v>0</v>
      </c>
      <c r="I100" s="2" t="e">
        <f>IF(AND(VLOOKUP(I$1,'20Trips'!$A$3:$F$22,5,FALSE) - VLOOKUP($B100,'20Trips'!$A$3:$G$22,6,FALSE) &gt;= ('20Trips'!$B$26+VLOOKUP(VLOOKUP($B100,'20Trips'!$A$2:$I$22,4,FALSE),'20Trips'!$AB$46:$AH$50,6,FALSE))/1440),1,0)</f>
        <v>#N/A</v>
      </c>
      <c r="J100" s="2" t="e">
        <f>IF(AND(VLOOKUP(J$1,'20Trips'!$A$3:$F$22,5,FALSE) - VLOOKUP($B100,'20Trips'!$A$3:$G$22,6,FALSE) &gt;= ('20Trips'!$B$26+VLOOKUP(VLOOKUP($B100,'20Trips'!$A$2:$I$22,4,FALSE),'20Trips'!$AB$46:$AH$50,6,FALSE))/1440),1,0)</f>
        <v>#N/A</v>
      </c>
      <c r="K100" s="2" t="e">
        <f>IF(AND(VLOOKUP(K$1,'20Trips'!$A$3:$F$22,5,FALSE) - VLOOKUP($B100,'20Trips'!$A$3:$G$22,6,FALSE) &gt;= ('20Trips'!$B$26+VLOOKUP(VLOOKUP($B100,'20Trips'!$A$2:$I$22,4,FALSE),'20Trips'!$AB$46:$AH$50,6,FALSE))/1440),1,0)</f>
        <v>#N/A</v>
      </c>
      <c r="L100" s="2">
        <f>IF(AND(VLOOKUP(L$1,'20Trips'!$A$3:$F$22,5,FALSE) - VLOOKUP($B100,'20Trips'!$A$3:$G$22,6,FALSE) &gt;= ('20Trips'!$B$26+VLOOKUP(VLOOKUP($B100,'20Trips'!$A$2:$I$22,4,FALSE),'20Trips'!$AB$46:$AH$50,6,FALSE))/1440),1,0)</f>
        <v>0</v>
      </c>
      <c r="M100" s="2">
        <f>IF(AND(VLOOKUP(M$1,'20Trips'!$A$3:$F$22,5,FALSE) - VLOOKUP($B100,'20Trips'!$A$3:$G$22,6,FALSE) &gt;= ('20Trips'!$B$26+VLOOKUP(VLOOKUP($B100,'20Trips'!$A$2:$I$22,4,FALSE),'20Trips'!$AB$46:$AH$50,6,FALSE))/1440),1,0)</f>
        <v>0</v>
      </c>
      <c r="N100" s="2">
        <f>IF(AND(VLOOKUP(N$1,'20Trips'!$A$3:$F$22,5,FALSE) - VLOOKUP($B100,'20Trips'!$A$3:$G$22,6,FALSE) &gt;= ('20Trips'!$B$26+VLOOKUP(VLOOKUP($B100,'20Trips'!$A$2:$I$22,4,FALSE),'20Trips'!$AB$46:$AH$50,6,FALSE))/1440),1,0)</f>
        <v>0</v>
      </c>
      <c r="O100" s="2">
        <f>IF(AND(VLOOKUP(O$1,'20Trips'!$A$3:$F$22,5,FALSE) - VLOOKUP($B100,'20Trips'!$A$3:$G$22,6,FALSE) &gt;= ('20Trips'!$B$26+VLOOKUP(VLOOKUP($B100,'20Trips'!$A$2:$I$22,4,FALSE),'20Trips'!$AB$46:$AH$50,6,FALSE))/1440),1,0)</f>
        <v>0</v>
      </c>
      <c r="P100" s="2">
        <f>IF(AND(VLOOKUP(P$1,'20Trips'!$A$3:$F$22,5,FALSE) - VLOOKUP($B100,'20Trips'!$A$3:$G$22,6,FALSE) &gt;= ('20Trips'!$B$26+VLOOKUP(VLOOKUP($B100,'20Trips'!$A$2:$I$22,4,FALSE),'20Trips'!$AB$46:$AH$50,6,FALSE))/1440),1,0)</f>
        <v>0</v>
      </c>
      <c r="Q100" s="2" t="e">
        <f>IF(AND(VLOOKUP(Q$1,'20Trips'!$A$3:$F$22,5,FALSE) - VLOOKUP($B100,'20Trips'!$A$3:$G$22,6,FALSE) &gt;= ('20Trips'!$B$26+VLOOKUP(VLOOKUP($B100,'20Trips'!$A$2:$I$22,4,FALSE),'20Trips'!$AB$46:$AH$50,6,FALSE))/1440),1,0)</f>
        <v>#N/A</v>
      </c>
      <c r="R100" s="2">
        <f>IF(AND(VLOOKUP(R$1,'20Trips'!$A$3:$F$22,5,FALSE) - VLOOKUP($B100,'20Trips'!$A$3:$G$22,6,FALSE) &gt;= ('20Trips'!$B$26+VLOOKUP(VLOOKUP($B100,'20Trips'!$A$2:$I$22,4,FALSE),'20Trips'!$AB$46:$AH$50,6,FALSE))/1440),1,0)</f>
        <v>0</v>
      </c>
      <c r="S100" s="2">
        <f>IF(AND(VLOOKUP(S$1,'20Trips'!$A$3:$F$22,5,FALSE) - VLOOKUP($B100,'20Trips'!$A$3:$G$22,6,FALSE) &gt;= ('20Trips'!$B$26+VLOOKUP(VLOOKUP($B100,'20Trips'!$A$2:$I$22,4,FALSE),'20Trips'!$AB$46:$AH$50,6,FALSE))/1440),1,0)</f>
        <v>0</v>
      </c>
      <c r="T100" s="2">
        <f>IF(AND(VLOOKUP(T$1,'20Trips'!$A$3:$F$22,5,FALSE) - VLOOKUP($B100,'20Trips'!$A$3:$G$22,6,FALSE) &gt;= ('20Trips'!$B$26+VLOOKUP(VLOOKUP($B100,'20Trips'!$A$2:$I$22,4,FALSE),'20Trips'!$AB$46:$AH$50,6,FALSE))/1440),1,0)</f>
        <v>0</v>
      </c>
      <c r="U100" s="2">
        <f>IF(AND(VLOOKUP(U$1,'20Trips'!$A$3:$F$22,5,FALSE) - VLOOKUP($B100,'20Trips'!$A$3:$G$22,6,FALSE) &gt;= ('20Trips'!$B$26+VLOOKUP(VLOOKUP($B100,'20Trips'!$A$2:$I$22,4,FALSE),'20Trips'!$AB$46:$AH$50,6,FALSE))/1440),1,0)</f>
        <v>0</v>
      </c>
      <c r="V100" s="2">
        <f>IF(AND(VLOOKUP(V$1,'20Trips'!$A$3:$F$22,5,FALSE) - VLOOKUP($B100,'20Trips'!$A$3:$G$22,6,FALSE) &gt;= ('20Trips'!$B$26+VLOOKUP(VLOOKUP($B100,'20Trips'!$A$2:$I$22,4,FALSE),'20Trips'!$AB$46:$AH$50,6,FALSE))/1440),1,0)</f>
        <v>0</v>
      </c>
      <c r="W100" s="2" t="e">
        <f>IF(AND(VLOOKUP(W$1,'20Trips'!$A$3:$F$22,5,FALSE) - VLOOKUP($B100,'20Trips'!$A$3:$G$22,6,FALSE) &gt;= ('20Trips'!$B$26+VLOOKUP(VLOOKUP($B100,'20Trips'!$A$2:$I$22,4,FALSE),'20Trips'!$AB$46:$AH$50,6,FALSE))/1440),1,0)</f>
        <v>#N/A</v>
      </c>
      <c r="X100" s="2" t="e">
        <f>IF(AND(VLOOKUP(X$1,'20Trips'!$A$3:$F$22,5,FALSE) - VLOOKUP($B100,'20Trips'!$A$3:$G$22,6,FALSE) &gt;= ('20Trips'!$B$26+VLOOKUP(VLOOKUP($B100,'20Trips'!$A$2:$I$22,4,FALSE),'20Trips'!$AB$46:$AH$50,6,FALSE))/1440),1,0)</f>
        <v>#N/A</v>
      </c>
      <c r="Y100" s="2" t="e">
        <f>IF(AND(VLOOKUP(Y$1,'20Trips'!$A$3:$F$22,5,FALSE) - VLOOKUP($B100,'20Trips'!$A$3:$G$22,6,FALSE) &gt;= ('20Trips'!$B$26+VLOOKUP(VLOOKUP($B100,'20Trips'!$A$2:$I$22,4,FALSE),'20Trips'!$AB$46:$AH$50,6,FALSE))/1440),1,0)</f>
        <v>#N/A</v>
      </c>
      <c r="Z100" s="2">
        <f>IF(AND(VLOOKUP(Z$1,'20Trips'!$A$3:$F$22,5,FALSE) - VLOOKUP($B100,'20Trips'!$A$3:$G$22,6,FALSE) &gt;= ('20Trips'!$B$26+VLOOKUP(VLOOKUP($B100,'20Trips'!$A$2:$I$22,4,FALSE),'20Trips'!$AB$46:$AH$50,6,FALSE))/1440),1,0)</f>
        <v>0</v>
      </c>
      <c r="AA100" s="2">
        <f>IF(AND(VLOOKUP(AA$1,'20Trips'!$A$3:$F$22,5,FALSE) - VLOOKUP($B100,'20Trips'!$A$3:$G$22,6,FALSE) &gt;= ('20Trips'!$B$26+VLOOKUP(VLOOKUP($B100,'20Trips'!$A$2:$I$22,4,FALSE),'20Trips'!$AB$46:$AH$50,6,FALSE))/1440),1,0)</f>
        <v>0</v>
      </c>
      <c r="AB100" s="2">
        <f>IF(AND(VLOOKUP(AB$1,'20Trips'!$A$3:$F$22,5,FALSE) - VLOOKUP($B100,'20Trips'!$A$3:$G$22,6,FALSE) &gt;= ('20Trips'!$B$26+VLOOKUP(VLOOKUP($B100,'20Trips'!$A$2:$I$22,4,FALSE),'20Trips'!$AB$46:$AH$50,6,FALSE))/1440),1,0)</f>
        <v>0</v>
      </c>
      <c r="AC100" s="2">
        <f>IF(AND(VLOOKUP(AC$1,'20Trips'!$A$3:$F$22,5,FALSE) - VLOOKUP($B100,'20Trips'!$A$3:$G$22,6,FALSE) &gt;= ('20Trips'!$B$26+VLOOKUP(VLOOKUP($B100,'20Trips'!$A$2:$I$22,4,FALSE),'20Trips'!$AB$46:$AH$50,6,FALSE))/1440),1,0)</f>
        <v>0</v>
      </c>
      <c r="AD100" s="2">
        <f>IF(AND(VLOOKUP(AD$1,'20Trips'!$A$3:$F$22,5,FALSE) - VLOOKUP($B100,'20Trips'!$A$3:$G$22,6,FALSE) &gt;= ('20Trips'!$B$26+VLOOKUP(VLOOKUP($B100,'20Trips'!$A$2:$I$22,4,FALSE),'20Trips'!$AB$46:$AH$50,6,FALSE))/1440),1,0)</f>
        <v>0</v>
      </c>
      <c r="AE100" s="2" t="e">
        <f>IF(AND(VLOOKUP(AE$1,'20Trips'!$A$3:$F$22,5,FALSE) - VLOOKUP($B100,'20Trips'!$A$3:$G$22,6,FALSE) &gt;= ('20Trips'!$B$26+VLOOKUP(VLOOKUP($B100,'20Trips'!$A$2:$I$22,4,FALSE),'20Trips'!$AB$46:$AH$50,6,FALSE))/1440),1,0)</f>
        <v>#N/A</v>
      </c>
      <c r="AF100" s="2" t="e">
        <f>IF(AND(VLOOKUP(AF$1,'20Trips'!$A$3:$F$22,5,FALSE) - VLOOKUP($B100,'20Trips'!$A$3:$G$22,6,FALSE) &gt;= ('20Trips'!$B$26+VLOOKUP(VLOOKUP($B100,'20Trips'!$A$2:$I$22,4,FALSE),'20Trips'!$AB$46:$AH$50,6,FALSE))/1440),1,0)</f>
        <v>#N/A</v>
      </c>
      <c r="AG100" s="2" t="e">
        <f>IF(AND(VLOOKUP(AG$1,'20Trips'!$A$3:$F$22,5,FALSE) - VLOOKUP($B100,'20Trips'!$A$3:$G$22,6,FALSE) &gt;= ('20Trips'!$B$26+VLOOKUP(VLOOKUP($B100,'20Trips'!$A$2:$I$22,4,FALSE),'20Trips'!$AB$46:$AH$50,6,FALSE))/1440),1,0)</f>
        <v>#N/A</v>
      </c>
    </row>
    <row r="101" spans="1:33" x14ac:dyDescent="0.25">
      <c r="A101" t="s">
        <v>68</v>
      </c>
      <c r="B101" t="s">
        <v>13</v>
      </c>
      <c r="C101">
        <v>0</v>
      </c>
      <c r="D101" s="2" t="e">
        <f>IF(AND(VLOOKUP(D$1,'20Trips'!$A$3:$F$22,5,FALSE) - VLOOKUP($B101,'20Trips'!$A$3:$G$22,6,FALSE) &gt;= ('20Trips'!$B$26+VLOOKUP(VLOOKUP($B101,'20Trips'!$A$2:$I$22,4,FALSE),'20Trips'!$AB$46:$AH$50,6,FALSE))/1440),1,0)</f>
        <v>#N/A</v>
      </c>
      <c r="E101" s="2" t="e">
        <f>IF(AND(VLOOKUP(E$1,'20Trips'!$A$3:$F$22,5,FALSE) - VLOOKUP($B101,'20Trips'!$A$3:$G$22,6,FALSE) &gt;= ('20Trips'!$B$26+VLOOKUP(VLOOKUP($B101,'20Trips'!$A$2:$I$22,4,FALSE),'20Trips'!$AB$46:$AH$50,6,FALSE))/1440),1,0)</f>
        <v>#N/A</v>
      </c>
      <c r="F101" s="2" t="e">
        <f>IF(AND(VLOOKUP(F$1,'20Trips'!$A$3:$F$22,5,FALSE) - VLOOKUP($B101,'20Trips'!$A$3:$G$22,6,FALSE) &gt;= ('20Trips'!$B$26+VLOOKUP(VLOOKUP($B101,'20Trips'!$A$2:$I$22,4,FALSE),'20Trips'!$AB$46:$AH$50,6,FALSE))/1440),1,0)</f>
        <v>#N/A</v>
      </c>
      <c r="G101" s="2" t="e">
        <f>IF(AND(VLOOKUP(G$1,'20Trips'!$A$3:$F$22,5,FALSE) - VLOOKUP($B101,'20Trips'!$A$3:$G$22,6,FALSE) &gt;= ('20Trips'!$B$26+VLOOKUP(VLOOKUP($B101,'20Trips'!$A$2:$I$22,4,FALSE),'20Trips'!$AB$46:$AH$50,6,FALSE))/1440),1,0)</f>
        <v>#N/A</v>
      </c>
      <c r="H101" s="2" t="e">
        <f>IF(AND(VLOOKUP(H$1,'20Trips'!$A$3:$F$22,5,FALSE) - VLOOKUP($B101,'20Trips'!$A$3:$G$22,6,FALSE) &gt;= ('20Trips'!$B$26+VLOOKUP(VLOOKUP($B101,'20Trips'!$A$2:$I$22,4,FALSE),'20Trips'!$AB$46:$AH$50,6,FALSE))/1440),1,0)</f>
        <v>#N/A</v>
      </c>
      <c r="I101" s="2" t="e">
        <f>IF(AND(VLOOKUP(I$1,'20Trips'!$A$3:$F$22,5,FALSE) - VLOOKUP($B101,'20Trips'!$A$3:$G$22,6,FALSE) &gt;= ('20Trips'!$B$26+VLOOKUP(VLOOKUP($B101,'20Trips'!$A$2:$I$22,4,FALSE),'20Trips'!$AB$46:$AH$50,6,FALSE))/1440),1,0)</f>
        <v>#N/A</v>
      </c>
      <c r="J101" s="2" t="e">
        <f>IF(AND(VLOOKUP(J$1,'20Trips'!$A$3:$F$22,5,FALSE) - VLOOKUP($B101,'20Trips'!$A$3:$G$22,6,FALSE) &gt;= ('20Trips'!$B$26+VLOOKUP(VLOOKUP($B101,'20Trips'!$A$2:$I$22,4,FALSE),'20Trips'!$AB$46:$AH$50,6,FALSE))/1440),1,0)</f>
        <v>#N/A</v>
      </c>
      <c r="K101" s="2" t="e">
        <f>IF(AND(VLOOKUP(K$1,'20Trips'!$A$3:$F$22,5,FALSE) - VLOOKUP($B101,'20Trips'!$A$3:$G$22,6,FALSE) &gt;= ('20Trips'!$B$26+VLOOKUP(VLOOKUP($B101,'20Trips'!$A$2:$I$22,4,FALSE),'20Trips'!$AB$46:$AH$50,6,FALSE))/1440),1,0)</f>
        <v>#N/A</v>
      </c>
      <c r="L101" s="2" t="e">
        <f>IF(AND(VLOOKUP(L$1,'20Trips'!$A$3:$F$22,5,FALSE) - VLOOKUP($B101,'20Trips'!$A$3:$G$22,6,FALSE) &gt;= ('20Trips'!$B$26+VLOOKUP(VLOOKUP($B101,'20Trips'!$A$2:$I$22,4,FALSE),'20Trips'!$AB$46:$AH$50,6,FALSE))/1440),1,0)</f>
        <v>#N/A</v>
      </c>
      <c r="M101" s="2" t="e">
        <f>IF(AND(VLOOKUP(M$1,'20Trips'!$A$3:$F$22,5,FALSE) - VLOOKUP($B101,'20Trips'!$A$3:$G$22,6,FALSE) &gt;= ('20Trips'!$B$26+VLOOKUP(VLOOKUP($B101,'20Trips'!$A$2:$I$22,4,FALSE),'20Trips'!$AB$46:$AH$50,6,FALSE))/1440),1,0)</f>
        <v>#N/A</v>
      </c>
      <c r="N101" s="2" t="e">
        <f>IF(AND(VLOOKUP(N$1,'20Trips'!$A$3:$F$22,5,FALSE) - VLOOKUP($B101,'20Trips'!$A$3:$G$22,6,FALSE) &gt;= ('20Trips'!$B$26+VLOOKUP(VLOOKUP($B101,'20Trips'!$A$2:$I$22,4,FALSE),'20Trips'!$AB$46:$AH$50,6,FALSE))/1440),1,0)</f>
        <v>#N/A</v>
      </c>
      <c r="O101" s="2" t="e">
        <f>IF(AND(VLOOKUP(O$1,'20Trips'!$A$3:$F$22,5,FALSE) - VLOOKUP($B101,'20Trips'!$A$3:$G$22,6,FALSE) &gt;= ('20Trips'!$B$26+VLOOKUP(VLOOKUP($B101,'20Trips'!$A$2:$I$22,4,FALSE),'20Trips'!$AB$46:$AH$50,6,FALSE))/1440),1,0)</f>
        <v>#N/A</v>
      </c>
      <c r="P101" s="2" t="e">
        <f>IF(AND(VLOOKUP(P$1,'20Trips'!$A$3:$F$22,5,FALSE) - VLOOKUP($B101,'20Trips'!$A$3:$G$22,6,FALSE) &gt;= ('20Trips'!$B$26+VLOOKUP(VLOOKUP($B101,'20Trips'!$A$2:$I$22,4,FALSE),'20Trips'!$AB$46:$AH$50,6,FALSE))/1440),1,0)</f>
        <v>#N/A</v>
      </c>
      <c r="Q101" s="2" t="e">
        <f>IF(AND(VLOOKUP(Q$1,'20Trips'!$A$3:$F$22,5,FALSE) - VLOOKUP($B101,'20Trips'!$A$3:$G$22,6,FALSE) &gt;= ('20Trips'!$B$26+VLOOKUP(VLOOKUP($B101,'20Trips'!$A$2:$I$22,4,FALSE),'20Trips'!$AB$46:$AH$50,6,FALSE))/1440),1,0)</f>
        <v>#N/A</v>
      </c>
      <c r="R101" s="2" t="e">
        <f>IF(AND(VLOOKUP(R$1,'20Trips'!$A$3:$F$22,5,FALSE) - VLOOKUP($B101,'20Trips'!$A$3:$G$22,6,FALSE) &gt;= ('20Trips'!$B$26+VLOOKUP(VLOOKUP($B101,'20Trips'!$A$2:$I$22,4,FALSE),'20Trips'!$AB$46:$AH$50,6,FALSE))/1440),1,0)</f>
        <v>#N/A</v>
      </c>
      <c r="S101" s="2" t="e">
        <f>IF(AND(VLOOKUP(S$1,'20Trips'!$A$3:$F$22,5,FALSE) - VLOOKUP($B101,'20Trips'!$A$3:$G$22,6,FALSE) &gt;= ('20Trips'!$B$26+VLOOKUP(VLOOKUP($B101,'20Trips'!$A$2:$I$22,4,FALSE),'20Trips'!$AB$46:$AH$50,6,FALSE))/1440),1,0)</f>
        <v>#N/A</v>
      </c>
      <c r="T101" s="2" t="e">
        <f>IF(AND(VLOOKUP(T$1,'20Trips'!$A$3:$F$22,5,FALSE) - VLOOKUP($B101,'20Trips'!$A$3:$G$22,6,FALSE) &gt;= ('20Trips'!$B$26+VLOOKUP(VLOOKUP($B101,'20Trips'!$A$2:$I$22,4,FALSE),'20Trips'!$AB$46:$AH$50,6,FALSE))/1440),1,0)</f>
        <v>#N/A</v>
      </c>
      <c r="U101" s="2" t="e">
        <f>IF(AND(VLOOKUP(U$1,'20Trips'!$A$3:$F$22,5,FALSE) - VLOOKUP($B101,'20Trips'!$A$3:$G$22,6,FALSE) &gt;= ('20Trips'!$B$26+VLOOKUP(VLOOKUP($B101,'20Trips'!$A$2:$I$22,4,FALSE),'20Trips'!$AB$46:$AH$50,6,FALSE))/1440),1,0)</f>
        <v>#N/A</v>
      </c>
      <c r="V101" s="2" t="e">
        <f>IF(AND(VLOOKUP(V$1,'20Trips'!$A$3:$F$22,5,FALSE) - VLOOKUP($B101,'20Trips'!$A$3:$G$22,6,FALSE) &gt;= ('20Trips'!$B$26+VLOOKUP(VLOOKUP($B101,'20Trips'!$A$2:$I$22,4,FALSE),'20Trips'!$AB$46:$AH$50,6,FALSE))/1440),1,0)</f>
        <v>#N/A</v>
      </c>
      <c r="W101" s="2" t="e">
        <f>IF(AND(VLOOKUP(W$1,'20Trips'!$A$3:$F$22,5,FALSE) - VLOOKUP($B101,'20Trips'!$A$3:$G$22,6,FALSE) &gt;= ('20Trips'!$B$26+VLOOKUP(VLOOKUP($B101,'20Trips'!$A$2:$I$22,4,FALSE),'20Trips'!$AB$46:$AH$50,6,FALSE))/1440),1,0)</f>
        <v>#N/A</v>
      </c>
      <c r="X101" s="2" t="e">
        <f>IF(AND(VLOOKUP(X$1,'20Trips'!$A$3:$F$22,5,FALSE) - VLOOKUP($B101,'20Trips'!$A$3:$G$22,6,FALSE) &gt;= ('20Trips'!$B$26+VLOOKUP(VLOOKUP($B101,'20Trips'!$A$2:$I$22,4,FALSE),'20Trips'!$AB$46:$AH$50,6,FALSE))/1440),1,0)</f>
        <v>#N/A</v>
      </c>
      <c r="Y101" s="2" t="e">
        <f>IF(AND(VLOOKUP(Y$1,'20Trips'!$A$3:$F$22,5,FALSE) - VLOOKUP($B101,'20Trips'!$A$3:$G$22,6,FALSE) &gt;= ('20Trips'!$B$26+VLOOKUP(VLOOKUP($B101,'20Trips'!$A$2:$I$22,4,FALSE),'20Trips'!$AB$46:$AH$50,6,FALSE))/1440),1,0)</f>
        <v>#N/A</v>
      </c>
      <c r="Z101" s="2" t="e">
        <f>IF(AND(VLOOKUP(Z$1,'20Trips'!$A$3:$F$22,5,FALSE) - VLOOKUP($B101,'20Trips'!$A$3:$G$22,6,FALSE) &gt;= ('20Trips'!$B$26+VLOOKUP(VLOOKUP($B101,'20Trips'!$A$2:$I$22,4,FALSE),'20Trips'!$AB$46:$AH$50,6,FALSE))/1440),1,0)</f>
        <v>#N/A</v>
      </c>
      <c r="AA101" s="2" t="e">
        <f>IF(AND(VLOOKUP(AA$1,'20Trips'!$A$3:$F$22,5,FALSE) - VLOOKUP($B101,'20Trips'!$A$3:$G$22,6,FALSE) &gt;= ('20Trips'!$B$26+VLOOKUP(VLOOKUP($B101,'20Trips'!$A$2:$I$22,4,FALSE),'20Trips'!$AB$46:$AH$50,6,FALSE))/1440),1,0)</f>
        <v>#N/A</v>
      </c>
      <c r="AB101" s="2" t="e">
        <f>IF(AND(VLOOKUP(AB$1,'20Trips'!$A$3:$F$22,5,FALSE) - VLOOKUP($B101,'20Trips'!$A$3:$G$22,6,FALSE) &gt;= ('20Trips'!$B$26+VLOOKUP(VLOOKUP($B101,'20Trips'!$A$2:$I$22,4,FALSE),'20Trips'!$AB$46:$AH$50,6,FALSE))/1440),1,0)</f>
        <v>#N/A</v>
      </c>
      <c r="AC101" s="2" t="e">
        <f>IF(AND(VLOOKUP(AC$1,'20Trips'!$A$3:$F$22,5,FALSE) - VLOOKUP($B101,'20Trips'!$A$3:$G$22,6,FALSE) &gt;= ('20Trips'!$B$26+VLOOKUP(VLOOKUP($B101,'20Trips'!$A$2:$I$22,4,FALSE),'20Trips'!$AB$46:$AH$50,6,FALSE))/1440),1,0)</f>
        <v>#N/A</v>
      </c>
      <c r="AD101" s="2" t="e">
        <f>IF(AND(VLOOKUP(AD$1,'20Trips'!$A$3:$F$22,5,FALSE) - VLOOKUP($B101,'20Trips'!$A$3:$G$22,6,FALSE) &gt;= ('20Trips'!$B$26+VLOOKUP(VLOOKUP($B101,'20Trips'!$A$2:$I$22,4,FALSE),'20Trips'!$AB$46:$AH$50,6,FALSE))/1440),1,0)</f>
        <v>#N/A</v>
      </c>
      <c r="AE101" s="2" t="e">
        <f>IF(AND(VLOOKUP(AE$1,'20Trips'!$A$3:$F$22,5,FALSE) - VLOOKUP($B101,'20Trips'!$A$3:$G$22,6,FALSE) &gt;= ('20Trips'!$B$26+VLOOKUP(VLOOKUP($B101,'20Trips'!$A$2:$I$22,4,FALSE),'20Trips'!$AB$46:$AH$50,6,FALSE))/1440),1,0)</f>
        <v>#N/A</v>
      </c>
      <c r="AF101" s="2" t="e">
        <f>IF(AND(VLOOKUP(AF$1,'20Trips'!$A$3:$F$22,5,FALSE) - VLOOKUP($B101,'20Trips'!$A$3:$G$22,6,FALSE) &gt;= ('20Trips'!$B$26+VLOOKUP(VLOOKUP($B101,'20Trips'!$A$2:$I$22,4,FALSE),'20Trips'!$AB$46:$AH$50,6,FALSE))/1440),1,0)</f>
        <v>#N/A</v>
      </c>
      <c r="AG101" s="2" t="e">
        <f>IF(AND(VLOOKUP(AG$1,'20Trips'!$A$3:$F$22,5,FALSE) - VLOOKUP($B101,'20Trips'!$A$3:$G$22,6,FALSE) &gt;= ('20Trips'!$B$26+VLOOKUP(VLOOKUP($B101,'20Trips'!$A$2:$I$22,4,FALSE),'20Trips'!$AB$46:$AH$50,6,FALSE))/1440),1,0)</f>
        <v>#N/A</v>
      </c>
    </row>
    <row r="102" spans="1:33" x14ac:dyDescent="0.25">
      <c r="A102" t="s">
        <v>68</v>
      </c>
      <c r="B102" t="s">
        <v>14</v>
      </c>
      <c r="C102">
        <v>0</v>
      </c>
      <c r="D102" s="2" t="e">
        <f>IF(AND(VLOOKUP(D$1,'20Trips'!$A$3:$F$22,5,FALSE) - VLOOKUP($B102,'20Trips'!$A$3:$G$22,6,FALSE) &gt;= ('20Trips'!$B$26+VLOOKUP(VLOOKUP($B102,'20Trips'!$A$2:$I$22,4,FALSE),'20Trips'!$AB$46:$AH$50,6,FALSE))/1440),1,0)</f>
        <v>#N/A</v>
      </c>
      <c r="E102" s="2" t="e">
        <f>IF(AND(VLOOKUP(E$1,'20Trips'!$A$3:$F$22,5,FALSE) - VLOOKUP($B102,'20Trips'!$A$3:$G$22,6,FALSE) &gt;= ('20Trips'!$B$26+VLOOKUP(VLOOKUP($B102,'20Trips'!$A$2:$I$22,4,FALSE),'20Trips'!$AB$46:$AH$50,6,FALSE))/1440),1,0)</f>
        <v>#N/A</v>
      </c>
      <c r="F102" s="2" t="e">
        <f>IF(AND(VLOOKUP(F$1,'20Trips'!$A$3:$F$22,5,FALSE) - VLOOKUP($B102,'20Trips'!$A$3:$G$22,6,FALSE) &gt;= ('20Trips'!$B$26+VLOOKUP(VLOOKUP($B102,'20Trips'!$A$2:$I$22,4,FALSE),'20Trips'!$AB$46:$AH$50,6,FALSE))/1440),1,0)</f>
        <v>#N/A</v>
      </c>
      <c r="G102" s="2" t="e">
        <f>IF(AND(VLOOKUP(G$1,'20Trips'!$A$3:$F$22,5,FALSE) - VLOOKUP($B102,'20Trips'!$A$3:$G$22,6,FALSE) &gt;= ('20Trips'!$B$26+VLOOKUP(VLOOKUP($B102,'20Trips'!$A$2:$I$22,4,FALSE),'20Trips'!$AB$46:$AH$50,6,FALSE))/1440),1,0)</f>
        <v>#N/A</v>
      </c>
      <c r="H102" s="2" t="e">
        <f>IF(AND(VLOOKUP(H$1,'20Trips'!$A$3:$F$22,5,FALSE) - VLOOKUP($B102,'20Trips'!$A$3:$G$22,6,FALSE) &gt;= ('20Trips'!$B$26+VLOOKUP(VLOOKUP($B102,'20Trips'!$A$2:$I$22,4,FALSE),'20Trips'!$AB$46:$AH$50,6,FALSE))/1440),1,0)</f>
        <v>#N/A</v>
      </c>
      <c r="I102" s="2" t="e">
        <f>IF(AND(VLOOKUP(I$1,'20Trips'!$A$3:$F$22,5,FALSE) - VLOOKUP($B102,'20Trips'!$A$3:$G$22,6,FALSE) &gt;= ('20Trips'!$B$26+VLOOKUP(VLOOKUP($B102,'20Trips'!$A$2:$I$22,4,FALSE),'20Trips'!$AB$46:$AH$50,6,FALSE))/1440),1,0)</f>
        <v>#N/A</v>
      </c>
      <c r="J102" s="2" t="e">
        <f>IF(AND(VLOOKUP(J$1,'20Trips'!$A$3:$F$22,5,FALSE) - VLOOKUP($B102,'20Trips'!$A$3:$G$22,6,FALSE) &gt;= ('20Trips'!$B$26+VLOOKUP(VLOOKUP($B102,'20Trips'!$A$2:$I$22,4,FALSE),'20Trips'!$AB$46:$AH$50,6,FALSE))/1440),1,0)</f>
        <v>#N/A</v>
      </c>
      <c r="K102" s="2" t="e">
        <f>IF(AND(VLOOKUP(K$1,'20Trips'!$A$3:$F$22,5,FALSE) - VLOOKUP($B102,'20Trips'!$A$3:$G$22,6,FALSE) &gt;= ('20Trips'!$B$26+VLOOKUP(VLOOKUP($B102,'20Trips'!$A$2:$I$22,4,FALSE),'20Trips'!$AB$46:$AH$50,6,FALSE))/1440),1,0)</f>
        <v>#N/A</v>
      </c>
      <c r="L102" s="2" t="e">
        <f>IF(AND(VLOOKUP(L$1,'20Trips'!$A$3:$F$22,5,FALSE) - VLOOKUP($B102,'20Trips'!$A$3:$G$22,6,FALSE) &gt;= ('20Trips'!$B$26+VLOOKUP(VLOOKUP($B102,'20Trips'!$A$2:$I$22,4,FALSE),'20Trips'!$AB$46:$AH$50,6,FALSE))/1440),1,0)</f>
        <v>#N/A</v>
      </c>
      <c r="M102" s="2" t="e">
        <f>IF(AND(VLOOKUP(M$1,'20Trips'!$A$3:$F$22,5,FALSE) - VLOOKUP($B102,'20Trips'!$A$3:$G$22,6,FALSE) &gt;= ('20Trips'!$B$26+VLOOKUP(VLOOKUP($B102,'20Trips'!$A$2:$I$22,4,FALSE),'20Trips'!$AB$46:$AH$50,6,FALSE))/1440),1,0)</f>
        <v>#N/A</v>
      </c>
      <c r="N102" s="2" t="e">
        <f>IF(AND(VLOOKUP(N$1,'20Trips'!$A$3:$F$22,5,FALSE) - VLOOKUP($B102,'20Trips'!$A$3:$G$22,6,FALSE) &gt;= ('20Trips'!$B$26+VLOOKUP(VLOOKUP($B102,'20Trips'!$A$2:$I$22,4,FALSE),'20Trips'!$AB$46:$AH$50,6,FALSE))/1440),1,0)</f>
        <v>#N/A</v>
      </c>
      <c r="O102" s="2" t="e">
        <f>IF(AND(VLOOKUP(O$1,'20Trips'!$A$3:$F$22,5,FALSE) - VLOOKUP($B102,'20Trips'!$A$3:$G$22,6,FALSE) &gt;= ('20Trips'!$B$26+VLOOKUP(VLOOKUP($B102,'20Trips'!$A$2:$I$22,4,FALSE),'20Trips'!$AB$46:$AH$50,6,FALSE))/1440),1,0)</f>
        <v>#N/A</v>
      </c>
      <c r="P102" s="2" t="e">
        <f>IF(AND(VLOOKUP(P$1,'20Trips'!$A$3:$F$22,5,FALSE) - VLOOKUP($B102,'20Trips'!$A$3:$G$22,6,FALSE) &gt;= ('20Trips'!$B$26+VLOOKUP(VLOOKUP($B102,'20Trips'!$A$2:$I$22,4,FALSE),'20Trips'!$AB$46:$AH$50,6,FALSE))/1440),1,0)</f>
        <v>#N/A</v>
      </c>
      <c r="Q102" s="2" t="e">
        <f>IF(AND(VLOOKUP(Q$1,'20Trips'!$A$3:$F$22,5,FALSE) - VLOOKUP($B102,'20Trips'!$A$3:$G$22,6,FALSE) &gt;= ('20Trips'!$B$26+VLOOKUP(VLOOKUP($B102,'20Trips'!$A$2:$I$22,4,FALSE),'20Trips'!$AB$46:$AH$50,6,FALSE))/1440),1,0)</f>
        <v>#N/A</v>
      </c>
      <c r="R102" s="2" t="e">
        <f>IF(AND(VLOOKUP(R$1,'20Trips'!$A$3:$F$22,5,FALSE) - VLOOKUP($B102,'20Trips'!$A$3:$G$22,6,FALSE) &gt;= ('20Trips'!$B$26+VLOOKUP(VLOOKUP($B102,'20Trips'!$A$2:$I$22,4,FALSE),'20Trips'!$AB$46:$AH$50,6,FALSE))/1440),1,0)</f>
        <v>#N/A</v>
      </c>
      <c r="S102" s="2" t="e">
        <f>IF(AND(VLOOKUP(S$1,'20Trips'!$A$3:$F$22,5,FALSE) - VLOOKUP($B102,'20Trips'!$A$3:$G$22,6,FALSE) &gt;= ('20Trips'!$B$26+VLOOKUP(VLOOKUP($B102,'20Trips'!$A$2:$I$22,4,FALSE),'20Trips'!$AB$46:$AH$50,6,FALSE))/1440),1,0)</f>
        <v>#N/A</v>
      </c>
      <c r="T102" s="2" t="e">
        <f>IF(AND(VLOOKUP(T$1,'20Trips'!$A$3:$F$22,5,FALSE) - VLOOKUP($B102,'20Trips'!$A$3:$G$22,6,FALSE) &gt;= ('20Trips'!$B$26+VLOOKUP(VLOOKUP($B102,'20Trips'!$A$2:$I$22,4,FALSE),'20Trips'!$AB$46:$AH$50,6,FALSE))/1440),1,0)</f>
        <v>#N/A</v>
      </c>
      <c r="U102" s="2" t="e">
        <f>IF(AND(VLOOKUP(U$1,'20Trips'!$A$3:$F$22,5,FALSE) - VLOOKUP($B102,'20Trips'!$A$3:$G$22,6,FALSE) &gt;= ('20Trips'!$B$26+VLOOKUP(VLOOKUP($B102,'20Trips'!$A$2:$I$22,4,FALSE),'20Trips'!$AB$46:$AH$50,6,FALSE))/1440),1,0)</f>
        <v>#N/A</v>
      </c>
      <c r="V102" s="2" t="e">
        <f>IF(AND(VLOOKUP(V$1,'20Trips'!$A$3:$F$22,5,FALSE) - VLOOKUP($B102,'20Trips'!$A$3:$G$22,6,FALSE) &gt;= ('20Trips'!$B$26+VLOOKUP(VLOOKUP($B102,'20Trips'!$A$2:$I$22,4,FALSE),'20Trips'!$AB$46:$AH$50,6,FALSE))/1440),1,0)</f>
        <v>#N/A</v>
      </c>
      <c r="W102" s="2" t="e">
        <f>IF(AND(VLOOKUP(W$1,'20Trips'!$A$3:$F$22,5,FALSE) - VLOOKUP($B102,'20Trips'!$A$3:$G$22,6,FALSE) &gt;= ('20Trips'!$B$26+VLOOKUP(VLOOKUP($B102,'20Trips'!$A$2:$I$22,4,FALSE),'20Trips'!$AB$46:$AH$50,6,FALSE))/1440),1,0)</f>
        <v>#N/A</v>
      </c>
      <c r="X102" s="2" t="e">
        <f>IF(AND(VLOOKUP(X$1,'20Trips'!$A$3:$F$22,5,FALSE) - VLOOKUP($B102,'20Trips'!$A$3:$G$22,6,FALSE) &gt;= ('20Trips'!$B$26+VLOOKUP(VLOOKUP($B102,'20Trips'!$A$2:$I$22,4,FALSE),'20Trips'!$AB$46:$AH$50,6,FALSE))/1440),1,0)</f>
        <v>#N/A</v>
      </c>
      <c r="Y102" s="2" t="e">
        <f>IF(AND(VLOOKUP(Y$1,'20Trips'!$A$3:$F$22,5,FALSE) - VLOOKUP($B102,'20Trips'!$A$3:$G$22,6,FALSE) &gt;= ('20Trips'!$B$26+VLOOKUP(VLOOKUP($B102,'20Trips'!$A$2:$I$22,4,FALSE),'20Trips'!$AB$46:$AH$50,6,FALSE))/1440),1,0)</f>
        <v>#N/A</v>
      </c>
      <c r="Z102" s="2" t="e">
        <f>IF(AND(VLOOKUP(Z$1,'20Trips'!$A$3:$F$22,5,FALSE) - VLOOKUP($B102,'20Trips'!$A$3:$G$22,6,FALSE) &gt;= ('20Trips'!$B$26+VLOOKUP(VLOOKUP($B102,'20Trips'!$A$2:$I$22,4,FALSE),'20Trips'!$AB$46:$AH$50,6,FALSE))/1440),1,0)</f>
        <v>#N/A</v>
      </c>
      <c r="AA102" s="2" t="e">
        <f>IF(AND(VLOOKUP(AA$1,'20Trips'!$A$3:$F$22,5,FALSE) - VLOOKUP($B102,'20Trips'!$A$3:$G$22,6,FALSE) &gt;= ('20Trips'!$B$26+VLOOKUP(VLOOKUP($B102,'20Trips'!$A$2:$I$22,4,FALSE),'20Trips'!$AB$46:$AH$50,6,FALSE))/1440),1,0)</f>
        <v>#N/A</v>
      </c>
      <c r="AB102" s="2" t="e">
        <f>IF(AND(VLOOKUP(AB$1,'20Trips'!$A$3:$F$22,5,FALSE) - VLOOKUP($B102,'20Trips'!$A$3:$G$22,6,FALSE) &gt;= ('20Trips'!$B$26+VLOOKUP(VLOOKUP($B102,'20Trips'!$A$2:$I$22,4,FALSE),'20Trips'!$AB$46:$AH$50,6,FALSE))/1440),1,0)</f>
        <v>#N/A</v>
      </c>
      <c r="AC102" s="2" t="e">
        <f>IF(AND(VLOOKUP(AC$1,'20Trips'!$A$3:$F$22,5,FALSE) - VLOOKUP($B102,'20Trips'!$A$3:$G$22,6,FALSE) &gt;= ('20Trips'!$B$26+VLOOKUP(VLOOKUP($B102,'20Trips'!$A$2:$I$22,4,FALSE),'20Trips'!$AB$46:$AH$50,6,FALSE))/1440),1,0)</f>
        <v>#N/A</v>
      </c>
      <c r="AD102" s="2" t="e">
        <f>IF(AND(VLOOKUP(AD$1,'20Trips'!$A$3:$F$22,5,FALSE) - VLOOKUP($B102,'20Trips'!$A$3:$G$22,6,FALSE) &gt;= ('20Trips'!$B$26+VLOOKUP(VLOOKUP($B102,'20Trips'!$A$2:$I$22,4,FALSE),'20Trips'!$AB$46:$AH$50,6,FALSE))/1440),1,0)</f>
        <v>#N/A</v>
      </c>
      <c r="AE102" s="2" t="e">
        <f>IF(AND(VLOOKUP(AE$1,'20Trips'!$A$3:$F$22,5,FALSE) - VLOOKUP($B102,'20Trips'!$A$3:$G$22,6,FALSE) &gt;= ('20Trips'!$B$26+VLOOKUP(VLOOKUP($B102,'20Trips'!$A$2:$I$22,4,FALSE),'20Trips'!$AB$46:$AH$50,6,FALSE))/1440),1,0)</f>
        <v>#N/A</v>
      </c>
      <c r="AF102" s="2" t="e">
        <f>IF(AND(VLOOKUP(AF$1,'20Trips'!$A$3:$F$22,5,FALSE) - VLOOKUP($B102,'20Trips'!$A$3:$G$22,6,FALSE) &gt;= ('20Trips'!$B$26+VLOOKUP(VLOOKUP($B102,'20Trips'!$A$2:$I$22,4,FALSE),'20Trips'!$AB$46:$AH$50,6,FALSE))/1440),1,0)</f>
        <v>#N/A</v>
      </c>
      <c r="AG102" s="2" t="e">
        <f>IF(AND(VLOOKUP(AG$1,'20Trips'!$A$3:$F$22,5,FALSE) - VLOOKUP($B102,'20Trips'!$A$3:$G$22,6,FALSE) &gt;= ('20Trips'!$B$26+VLOOKUP(VLOOKUP($B102,'20Trips'!$A$2:$I$22,4,FALSE),'20Trips'!$AB$46:$AH$50,6,FALSE))/1440),1,0)</f>
        <v>#N/A</v>
      </c>
    </row>
    <row r="103" spans="1:33" x14ac:dyDescent="0.25">
      <c r="A103" t="s">
        <v>68</v>
      </c>
      <c r="B103" t="s">
        <v>15</v>
      </c>
      <c r="C103">
        <v>0</v>
      </c>
      <c r="D103" s="2" t="e">
        <f>IF(AND(VLOOKUP(D$1,'20Trips'!$A$3:$F$22,5,FALSE) - VLOOKUP($B103,'20Trips'!$A$3:$G$22,6,FALSE) &gt;= ('20Trips'!$B$26+VLOOKUP(VLOOKUP($B103,'20Trips'!$A$2:$I$22,4,FALSE),'20Trips'!$AB$46:$AH$50,6,FALSE))/1440),1,0)</f>
        <v>#N/A</v>
      </c>
      <c r="E103" s="2" t="e">
        <f>IF(AND(VLOOKUP(E$1,'20Trips'!$A$3:$F$22,5,FALSE) - VLOOKUP($B103,'20Trips'!$A$3:$G$22,6,FALSE) &gt;= ('20Trips'!$B$26+VLOOKUP(VLOOKUP($B103,'20Trips'!$A$2:$I$22,4,FALSE),'20Trips'!$AB$46:$AH$50,6,FALSE))/1440),1,0)</f>
        <v>#N/A</v>
      </c>
      <c r="F103" s="2" t="e">
        <f>IF(AND(VLOOKUP(F$1,'20Trips'!$A$3:$F$22,5,FALSE) - VLOOKUP($B103,'20Trips'!$A$3:$G$22,6,FALSE) &gt;= ('20Trips'!$B$26+VLOOKUP(VLOOKUP($B103,'20Trips'!$A$2:$I$22,4,FALSE),'20Trips'!$AB$46:$AH$50,6,FALSE))/1440),1,0)</f>
        <v>#N/A</v>
      </c>
      <c r="G103" s="2" t="e">
        <f>IF(AND(VLOOKUP(G$1,'20Trips'!$A$3:$F$22,5,FALSE) - VLOOKUP($B103,'20Trips'!$A$3:$G$22,6,FALSE) &gt;= ('20Trips'!$B$26+VLOOKUP(VLOOKUP($B103,'20Trips'!$A$2:$I$22,4,FALSE),'20Trips'!$AB$46:$AH$50,6,FALSE))/1440),1,0)</f>
        <v>#N/A</v>
      </c>
      <c r="H103" s="2" t="e">
        <f>IF(AND(VLOOKUP(H$1,'20Trips'!$A$3:$F$22,5,FALSE) - VLOOKUP($B103,'20Trips'!$A$3:$G$22,6,FALSE) &gt;= ('20Trips'!$B$26+VLOOKUP(VLOOKUP($B103,'20Trips'!$A$2:$I$22,4,FALSE),'20Trips'!$AB$46:$AH$50,6,FALSE))/1440),1,0)</f>
        <v>#N/A</v>
      </c>
      <c r="I103" s="2" t="e">
        <f>IF(AND(VLOOKUP(I$1,'20Trips'!$A$3:$F$22,5,FALSE) - VLOOKUP($B103,'20Trips'!$A$3:$G$22,6,FALSE) &gt;= ('20Trips'!$B$26+VLOOKUP(VLOOKUP($B103,'20Trips'!$A$2:$I$22,4,FALSE),'20Trips'!$AB$46:$AH$50,6,FALSE))/1440),1,0)</f>
        <v>#N/A</v>
      </c>
      <c r="J103" s="2" t="e">
        <f>IF(AND(VLOOKUP(J$1,'20Trips'!$A$3:$F$22,5,FALSE) - VLOOKUP($B103,'20Trips'!$A$3:$G$22,6,FALSE) &gt;= ('20Trips'!$B$26+VLOOKUP(VLOOKUP($B103,'20Trips'!$A$2:$I$22,4,FALSE),'20Trips'!$AB$46:$AH$50,6,FALSE))/1440),1,0)</f>
        <v>#N/A</v>
      </c>
      <c r="K103" s="2" t="e">
        <f>IF(AND(VLOOKUP(K$1,'20Trips'!$A$3:$F$22,5,FALSE) - VLOOKUP($B103,'20Trips'!$A$3:$G$22,6,FALSE) &gt;= ('20Trips'!$B$26+VLOOKUP(VLOOKUP($B103,'20Trips'!$A$2:$I$22,4,FALSE),'20Trips'!$AB$46:$AH$50,6,FALSE))/1440),1,0)</f>
        <v>#N/A</v>
      </c>
      <c r="L103" s="2" t="e">
        <f>IF(AND(VLOOKUP(L$1,'20Trips'!$A$3:$F$22,5,FALSE) - VLOOKUP($B103,'20Trips'!$A$3:$G$22,6,FALSE) &gt;= ('20Trips'!$B$26+VLOOKUP(VLOOKUP($B103,'20Trips'!$A$2:$I$22,4,FALSE),'20Trips'!$AB$46:$AH$50,6,FALSE))/1440),1,0)</f>
        <v>#N/A</v>
      </c>
      <c r="M103" s="2" t="e">
        <f>IF(AND(VLOOKUP(M$1,'20Trips'!$A$3:$F$22,5,FALSE) - VLOOKUP($B103,'20Trips'!$A$3:$G$22,6,FALSE) &gt;= ('20Trips'!$B$26+VLOOKUP(VLOOKUP($B103,'20Trips'!$A$2:$I$22,4,FALSE),'20Trips'!$AB$46:$AH$50,6,FALSE))/1440),1,0)</f>
        <v>#N/A</v>
      </c>
      <c r="N103" s="2" t="e">
        <f>IF(AND(VLOOKUP(N$1,'20Trips'!$A$3:$F$22,5,FALSE) - VLOOKUP($B103,'20Trips'!$A$3:$G$22,6,FALSE) &gt;= ('20Trips'!$B$26+VLOOKUP(VLOOKUP($B103,'20Trips'!$A$2:$I$22,4,FALSE),'20Trips'!$AB$46:$AH$50,6,FALSE))/1440),1,0)</f>
        <v>#N/A</v>
      </c>
      <c r="O103" s="2" t="e">
        <f>IF(AND(VLOOKUP(O$1,'20Trips'!$A$3:$F$22,5,FALSE) - VLOOKUP($B103,'20Trips'!$A$3:$G$22,6,FALSE) &gt;= ('20Trips'!$B$26+VLOOKUP(VLOOKUP($B103,'20Trips'!$A$2:$I$22,4,FALSE),'20Trips'!$AB$46:$AH$50,6,FALSE))/1440),1,0)</f>
        <v>#N/A</v>
      </c>
      <c r="P103" s="2" t="e">
        <f>IF(AND(VLOOKUP(P$1,'20Trips'!$A$3:$F$22,5,FALSE) - VLOOKUP($B103,'20Trips'!$A$3:$G$22,6,FALSE) &gt;= ('20Trips'!$B$26+VLOOKUP(VLOOKUP($B103,'20Trips'!$A$2:$I$22,4,FALSE),'20Trips'!$AB$46:$AH$50,6,FALSE))/1440),1,0)</f>
        <v>#N/A</v>
      </c>
      <c r="Q103" s="2" t="e">
        <f>IF(AND(VLOOKUP(Q$1,'20Trips'!$A$3:$F$22,5,FALSE) - VLOOKUP($B103,'20Trips'!$A$3:$G$22,6,FALSE) &gt;= ('20Trips'!$B$26+VLOOKUP(VLOOKUP($B103,'20Trips'!$A$2:$I$22,4,FALSE),'20Trips'!$AB$46:$AH$50,6,FALSE))/1440),1,0)</f>
        <v>#N/A</v>
      </c>
      <c r="R103" s="2" t="e">
        <f>IF(AND(VLOOKUP(R$1,'20Trips'!$A$3:$F$22,5,FALSE) - VLOOKUP($B103,'20Trips'!$A$3:$G$22,6,FALSE) &gt;= ('20Trips'!$B$26+VLOOKUP(VLOOKUP($B103,'20Trips'!$A$2:$I$22,4,FALSE),'20Trips'!$AB$46:$AH$50,6,FALSE))/1440),1,0)</f>
        <v>#N/A</v>
      </c>
      <c r="S103" s="2" t="e">
        <f>IF(AND(VLOOKUP(S$1,'20Trips'!$A$3:$F$22,5,FALSE) - VLOOKUP($B103,'20Trips'!$A$3:$G$22,6,FALSE) &gt;= ('20Trips'!$B$26+VLOOKUP(VLOOKUP($B103,'20Trips'!$A$2:$I$22,4,FALSE),'20Trips'!$AB$46:$AH$50,6,FALSE))/1440),1,0)</f>
        <v>#N/A</v>
      </c>
      <c r="T103" s="2" t="e">
        <f>IF(AND(VLOOKUP(T$1,'20Trips'!$A$3:$F$22,5,FALSE) - VLOOKUP($B103,'20Trips'!$A$3:$G$22,6,FALSE) &gt;= ('20Trips'!$B$26+VLOOKUP(VLOOKUP($B103,'20Trips'!$A$2:$I$22,4,FALSE),'20Trips'!$AB$46:$AH$50,6,FALSE))/1440),1,0)</f>
        <v>#N/A</v>
      </c>
      <c r="U103" s="2" t="e">
        <f>IF(AND(VLOOKUP(U$1,'20Trips'!$A$3:$F$22,5,FALSE) - VLOOKUP($B103,'20Trips'!$A$3:$G$22,6,FALSE) &gt;= ('20Trips'!$B$26+VLOOKUP(VLOOKUP($B103,'20Trips'!$A$2:$I$22,4,FALSE),'20Trips'!$AB$46:$AH$50,6,FALSE))/1440),1,0)</f>
        <v>#N/A</v>
      </c>
      <c r="V103" s="2" t="e">
        <f>IF(AND(VLOOKUP(V$1,'20Trips'!$A$3:$F$22,5,FALSE) - VLOOKUP($B103,'20Trips'!$A$3:$G$22,6,FALSE) &gt;= ('20Trips'!$B$26+VLOOKUP(VLOOKUP($B103,'20Trips'!$A$2:$I$22,4,FALSE),'20Trips'!$AB$46:$AH$50,6,FALSE))/1440),1,0)</f>
        <v>#N/A</v>
      </c>
      <c r="W103" s="2" t="e">
        <f>IF(AND(VLOOKUP(W$1,'20Trips'!$A$3:$F$22,5,FALSE) - VLOOKUP($B103,'20Trips'!$A$3:$G$22,6,FALSE) &gt;= ('20Trips'!$B$26+VLOOKUP(VLOOKUP($B103,'20Trips'!$A$2:$I$22,4,FALSE),'20Trips'!$AB$46:$AH$50,6,FALSE))/1440),1,0)</f>
        <v>#N/A</v>
      </c>
      <c r="X103" s="2" t="e">
        <f>IF(AND(VLOOKUP(X$1,'20Trips'!$A$3:$F$22,5,FALSE) - VLOOKUP($B103,'20Trips'!$A$3:$G$22,6,FALSE) &gt;= ('20Trips'!$B$26+VLOOKUP(VLOOKUP($B103,'20Trips'!$A$2:$I$22,4,FALSE),'20Trips'!$AB$46:$AH$50,6,FALSE))/1440),1,0)</f>
        <v>#N/A</v>
      </c>
      <c r="Y103" s="2" t="e">
        <f>IF(AND(VLOOKUP(Y$1,'20Trips'!$A$3:$F$22,5,FALSE) - VLOOKUP($B103,'20Trips'!$A$3:$G$22,6,FALSE) &gt;= ('20Trips'!$B$26+VLOOKUP(VLOOKUP($B103,'20Trips'!$A$2:$I$22,4,FALSE),'20Trips'!$AB$46:$AH$50,6,FALSE))/1440),1,0)</f>
        <v>#N/A</v>
      </c>
      <c r="Z103" s="2" t="e">
        <f>IF(AND(VLOOKUP(Z$1,'20Trips'!$A$3:$F$22,5,FALSE) - VLOOKUP($B103,'20Trips'!$A$3:$G$22,6,FALSE) &gt;= ('20Trips'!$B$26+VLOOKUP(VLOOKUP($B103,'20Trips'!$A$2:$I$22,4,FALSE),'20Trips'!$AB$46:$AH$50,6,FALSE))/1440),1,0)</f>
        <v>#N/A</v>
      </c>
      <c r="AA103" s="2" t="e">
        <f>IF(AND(VLOOKUP(AA$1,'20Trips'!$A$3:$F$22,5,FALSE) - VLOOKUP($B103,'20Trips'!$A$3:$G$22,6,FALSE) &gt;= ('20Trips'!$B$26+VLOOKUP(VLOOKUP($B103,'20Trips'!$A$2:$I$22,4,FALSE),'20Trips'!$AB$46:$AH$50,6,FALSE))/1440),1,0)</f>
        <v>#N/A</v>
      </c>
      <c r="AB103" s="2" t="e">
        <f>IF(AND(VLOOKUP(AB$1,'20Trips'!$A$3:$F$22,5,FALSE) - VLOOKUP($B103,'20Trips'!$A$3:$G$22,6,FALSE) &gt;= ('20Trips'!$B$26+VLOOKUP(VLOOKUP($B103,'20Trips'!$A$2:$I$22,4,FALSE),'20Trips'!$AB$46:$AH$50,6,FALSE))/1440),1,0)</f>
        <v>#N/A</v>
      </c>
      <c r="AC103" s="2" t="e">
        <f>IF(AND(VLOOKUP(AC$1,'20Trips'!$A$3:$F$22,5,FALSE) - VLOOKUP($B103,'20Trips'!$A$3:$G$22,6,FALSE) &gt;= ('20Trips'!$B$26+VLOOKUP(VLOOKUP($B103,'20Trips'!$A$2:$I$22,4,FALSE),'20Trips'!$AB$46:$AH$50,6,FALSE))/1440),1,0)</f>
        <v>#N/A</v>
      </c>
      <c r="AD103" s="2" t="e">
        <f>IF(AND(VLOOKUP(AD$1,'20Trips'!$A$3:$F$22,5,FALSE) - VLOOKUP($B103,'20Trips'!$A$3:$G$22,6,FALSE) &gt;= ('20Trips'!$B$26+VLOOKUP(VLOOKUP($B103,'20Trips'!$A$2:$I$22,4,FALSE),'20Trips'!$AB$46:$AH$50,6,FALSE))/1440),1,0)</f>
        <v>#N/A</v>
      </c>
      <c r="AE103" s="2" t="e">
        <f>IF(AND(VLOOKUP(AE$1,'20Trips'!$A$3:$F$22,5,FALSE) - VLOOKUP($B103,'20Trips'!$A$3:$G$22,6,FALSE) &gt;= ('20Trips'!$B$26+VLOOKUP(VLOOKUP($B103,'20Trips'!$A$2:$I$22,4,FALSE),'20Trips'!$AB$46:$AH$50,6,FALSE))/1440),1,0)</f>
        <v>#N/A</v>
      </c>
      <c r="AF103" s="2" t="e">
        <f>IF(AND(VLOOKUP(AF$1,'20Trips'!$A$3:$F$22,5,FALSE) - VLOOKUP($B103,'20Trips'!$A$3:$G$22,6,FALSE) &gt;= ('20Trips'!$B$26+VLOOKUP(VLOOKUP($B103,'20Trips'!$A$2:$I$22,4,FALSE),'20Trips'!$AB$46:$AH$50,6,FALSE))/1440),1,0)</f>
        <v>#N/A</v>
      </c>
      <c r="AG103" s="2" t="e">
        <f>IF(AND(VLOOKUP(AG$1,'20Trips'!$A$3:$F$22,5,FALSE) - VLOOKUP($B103,'20Trips'!$A$3:$G$22,6,FALSE) &gt;= ('20Trips'!$B$26+VLOOKUP(VLOOKUP($B103,'20Trips'!$A$2:$I$22,4,FALSE),'20Trips'!$AB$46:$AH$50,6,FALSE))/1440),1,0)</f>
        <v>#N/A</v>
      </c>
    </row>
    <row r="104" spans="1:33" x14ac:dyDescent="0.25">
      <c r="A104" t="s">
        <v>68</v>
      </c>
      <c r="B104" t="s">
        <v>18</v>
      </c>
      <c r="C104">
        <v>0</v>
      </c>
      <c r="D104" s="2">
        <f>IF(AND(VLOOKUP(D$1,'20Trips'!$A$3:$F$22,5,FALSE) - VLOOKUP($B104,'20Trips'!$A$3:$G$22,6,FALSE) &gt;= ('20Trips'!$B$26+VLOOKUP(VLOOKUP($B104,'20Trips'!$A$2:$I$22,4,FALSE),'20Trips'!$AB$46:$AH$50,6,FALSE))/1440),1,0)</f>
        <v>0</v>
      </c>
      <c r="E104" s="2">
        <f>IF(AND(VLOOKUP(E$1,'20Trips'!$A$3:$F$22,5,FALSE) - VLOOKUP($B104,'20Trips'!$A$3:$G$22,6,FALSE) &gt;= ('20Trips'!$B$26+VLOOKUP(VLOOKUP($B104,'20Trips'!$A$2:$I$22,4,FALSE),'20Trips'!$AB$46:$AH$50,6,FALSE))/1440),1,0)</f>
        <v>0</v>
      </c>
      <c r="F104" s="2">
        <f>IF(AND(VLOOKUP(F$1,'20Trips'!$A$3:$F$22,5,FALSE) - VLOOKUP($B104,'20Trips'!$A$3:$G$22,6,FALSE) &gt;= ('20Trips'!$B$26+VLOOKUP(VLOOKUP($B104,'20Trips'!$A$2:$I$22,4,FALSE),'20Trips'!$AB$46:$AH$50,6,FALSE))/1440),1,0)</f>
        <v>1</v>
      </c>
      <c r="G104" s="2">
        <f>IF(AND(VLOOKUP(G$1,'20Trips'!$A$3:$F$22,5,FALSE) - VLOOKUP($B104,'20Trips'!$A$3:$G$22,6,FALSE) &gt;= ('20Trips'!$B$26+VLOOKUP(VLOOKUP($B104,'20Trips'!$A$2:$I$22,4,FALSE),'20Trips'!$AB$46:$AH$50,6,FALSE))/1440),1,0)</f>
        <v>1</v>
      </c>
      <c r="H104" s="2">
        <f>IF(AND(VLOOKUP(H$1,'20Trips'!$A$3:$F$22,5,FALSE) - VLOOKUP($B104,'20Trips'!$A$3:$G$22,6,FALSE) &gt;= ('20Trips'!$B$26+VLOOKUP(VLOOKUP($B104,'20Trips'!$A$2:$I$22,4,FALSE),'20Trips'!$AB$46:$AH$50,6,FALSE))/1440),1,0)</f>
        <v>1</v>
      </c>
      <c r="I104" s="2" t="e">
        <f>IF(AND(VLOOKUP(I$1,'20Trips'!$A$3:$F$22,5,FALSE) - VLOOKUP($B104,'20Trips'!$A$3:$G$22,6,FALSE) &gt;= ('20Trips'!$B$26+VLOOKUP(VLOOKUP($B104,'20Trips'!$A$2:$I$22,4,FALSE),'20Trips'!$AB$46:$AH$50,6,FALSE))/1440),1,0)</f>
        <v>#N/A</v>
      </c>
      <c r="J104" s="2" t="e">
        <f>IF(AND(VLOOKUP(J$1,'20Trips'!$A$3:$F$22,5,FALSE) - VLOOKUP($B104,'20Trips'!$A$3:$G$22,6,FALSE) &gt;= ('20Trips'!$B$26+VLOOKUP(VLOOKUP($B104,'20Trips'!$A$2:$I$22,4,FALSE),'20Trips'!$AB$46:$AH$50,6,FALSE))/1440),1,0)</f>
        <v>#N/A</v>
      </c>
      <c r="K104" s="2" t="e">
        <f>IF(AND(VLOOKUP(K$1,'20Trips'!$A$3:$F$22,5,FALSE) - VLOOKUP($B104,'20Trips'!$A$3:$G$22,6,FALSE) &gt;= ('20Trips'!$B$26+VLOOKUP(VLOOKUP($B104,'20Trips'!$A$2:$I$22,4,FALSE),'20Trips'!$AB$46:$AH$50,6,FALSE))/1440),1,0)</f>
        <v>#N/A</v>
      </c>
      <c r="L104" s="2">
        <f>IF(AND(VLOOKUP(L$1,'20Trips'!$A$3:$F$22,5,FALSE) - VLOOKUP($B104,'20Trips'!$A$3:$G$22,6,FALSE) &gt;= ('20Trips'!$B$26+VLOOKUP(VLOOKUP($B104,'20Trips'!$A$2:$I$22,4,FALSE),'20Trips'!$AB$46:$AH$50,6,FALSE))/1440),1,0)</f>
        <v>0</v>
      </c>
      <c r="M104" s="2">
        <f>IF(AND(VLOOKUP(M$1,'20Trips'!$A$3:$F$22,5,FALSE) - VLOOKUP($B104,'20Trips'!$A$3:$G$22,6,FALSE) &gt;= ('20Trips'!$B$26+VLOOKUP(VLOOKUP($B104,'20Trips'!$A$2:$I$22,4,FALSE),'20Trips'!$AB$46:$AH$50,6,FALSE))/1440),1,0)</f>
        <v>0</v>
      </c>
      <c r="N104" s="2">
        <f>IF(AND(VLOOKUP(N$1,'20Trips'!$A$3:$F$22,5,FALSE) - VLOOKUP($B104,'20Trips'!$A$3:$G$22,6,FALSE) &gt;= ('20Trips'!$B$26+VLOOKUP(VLOOKUP($B104,'20Trips'!$A$2:$I$22,4,FALSE),'20Trips'!$AB$46:$AH$50,6,FALSE))/1440),1,0)</f>
        <v>1</v>
      </c>
      <c r="O104" s="2">
        <f>IF(AND(VLOOKUP(O$1,'20Trips'!$A$3:$F$22,5,FALSE) - VLOOKUP($B104,'20Trips'!$A$3:$G$22,6,FALSE) &gt;= ('20Trips'!$B$26+VLOOKUP(VLOOKUP($B104,'20Trips'!$A$2:$I$22,4,FALSE),'20Trips'!$AB$46:$AH$50,6,FALSE))/1440),1,0)</f>
        <v>1</v>
      </c>
      <c r="P104" s="2">
        <f>IF(AND(VLOOKUP(P$1,'20Trips'!$A$3:$F$22,5,FALSE) - VLOOKUP($B104,'20Trips'!$A$3:$G$22,6,FALSE) &gt;= ('20Trips'!$B$26+VLOOKUP(VLOOKUP($B104,'20Trips'!$A$2:$I$22,4,FALSE),'20Trips'!$AB$46:$AH$50,6,FALSE))/1440),1,0)</f>
        <v>1</v>
      </c>
      <c r="Q104" s="2" t="e">
        <f>IF(AND(VLOOKUP(Q$1,'20Trips'!$A$3:$F$22,5,FALSE) - VLOOKUP($B104,'20Trips'!$A$3:$G$22,6,FALSE) &gt;= ('20Trips'!$B$26+VLOOKUP(VLOOKUP($B104,'20Trips'!$A$2:$I$22,4,FALSE),'20Trips'!$AB$46:$AH$50,6,FALSE))/1440),1,0)</f>
        <v>#N/A</v>
      </c>
      <c r="R104" s="2">
        <f>IF(AND(VLOOKUP(R$1,'20Trips'!$A$3:$F$22,5,FALSE) - VLOOKUP($B104,'20Trips'!$A$3:$G$22,6,FALSE) &gt;= ('20Trips'!$B$26+VLOOKUP(VLOOKUP($B104,'20Trips'!$A$2:$I$22,4,FALSE),'20Trips'!$AB$46:$AH$50,6,FALSE))/1440),1,0)</f>
        <v>0</v>
      </c>
      <c r="S104" s="2">
        <f>IF(AND(VLOOKUP(S$1,'20Trips'!$A$3:$F$22,5,FALSE) - VLOOKUP($B104,'20Trips'!$A$3:$G$22,6,FALSE) &gt;= ('20Trips'!$B$26+VLOOKUP(VLOOKUP($B104,'20Trips'!$A$2:$I$22,4,FALSE),'20Trips'!$AB$46:$AH$50,6,FALSE))/1440),1,0)</f>
        <v>0</v>
      </c>
      <c r="T104" s="2">
        <f>IF(AND(VLOOKUP(T$1,'20Trips'!$A$3:$F$22,5,FALSE) - VLOOKUP($B104,'20Trips'!$A$3:$G$22,6,FALSE) &gt;= ('20Trips'!$B$26+VLOOKUP(VLOOKUP($B104,'20Trips'!$A$2:$I$22,4,FALSE),'20Trips'!$AB$46:$AH$50,6,FALSE))/1440),1,0)</f>
        <v>0</v>
      </c>
      <c r="U104" s="2">
        <f>IF(AND(VLOOKUP(U$1,'20Trips'!$A$3:$F$22,5,FALSE) - VLOOKUP($B104,'20Trips'!$A$3:$G$22,6,FALSE) &gt;= ('20Trips'!$B$26+VLOOKUP(VLOOKUP($B104,'20Trips'!$A$2:$I$22,4,FALSE),'20Trips'!$AB$46:$AH$50,6,FALSE))/1440),1,0)</f>
        <v>1</v>
      </c>
      <c r="V104" s="2">
        <f>IF(AND(VLOOKUP(V$1,'20Trips'!$A$3:$F$22,5,FALSE) - VLOOKUP($B104,'20Trips'!$A$3:$G$22,6,FALSE) &gt;= ('20Trips'!$B$26+VLOOKUP(VLOOKUP($B104,'20Trips'!$A$2:$I$22,4,FALSE),'20Trips'!$AB$46:$AH$50,6,FALSE))/1440),1,0)</f>
        <v>1</v>
      </c>
      <c r="W104" s="2" t="e">
        <f>IF(AND(VLOOKUP(W$1,'20Trips'!$A$3:$F$22,5,FALSE) - VLOOKUP($B104,'20Trips'!$A$3:$G$22,6,FALSE) &gt;= ('20Trips'!$B$26+VLOOKUP(VLOOKUP($B104,'20Trips'!$A$2:$I$22,4,FALSE),'20Trips'!$AB$46:$AH$50,6,FALSE))/1440),1,0)</f>
        <v>#N/A</v>
      </c>
      <c r="X104" s="2" t="e">
        <f>IF(AND(VLOOKUP(X$1,'20Trips'!$A$3:$F$22,5,FALSE) - VLOOKUP($B104,'20Trips'!$A$3:$G$22,6,FALSE) &gt;= ('20Trips'!$B$26+VLOOKUP(VLOOKUP($B104,'20Trips'!$A$2:$I$22,4,FALSE),'20Trips'!$AB$46:$AH$50,6,FALSE))/1440),1,0)</f>
        <v>#N/A</v>
      </c>
      <c r="Y104" s="2" t="e">
        <f>IF(AND(VLOOKUP(Y$1,'20Trips'!$A$3:$F$22,5,FALSE) - VLOOKUP($B104,'20Trips'!$A$3:$G$22,6,FALSE) &gt;= ('20Trips'!$B$26+VLOOKUP(VLOOKUP($B104,'20Trips'!$A$2:$I$22,4,FALSE),'20Trips'!$AB$46:$AH$50,6,FALSE))/1440),1,0)</f>
        <v>#N/A</v>
      </c>
      <c r="Z104" s="2">
        <f>IF(AND(VLOOKUP(Z$1,'20Trips'!$A$3:$F$22,5,FALSE) - VLOOKUP($B104,'20Trips'!$A$3:$G$22,6,FALSE) &gt;= ('20Trips'!$B$26+VLOOKUP(VLOOKUP($B104,'20Trips'!$A$2:$I$22,4,FALSE),'20Trips'!$AB$46:$AH$50,6,FALSE))/1440),1,0)</f>
        <v>0</v>
      </c>
      <c r="AA104" s="2">
        <f>IF(AND(VLOOKUP(AA$1,'20Trips'!$A$3:$F$22,5,FALSE) - VLOOKUP($B104,'20Trips'!$A$3:$G$22,6,FALSE) &gt;= ('20Trips'!$B$26+VLOOKUP(VLOOKUP($B104,'20Trips'!$A$2:$I$22,4,FALSE),'20Trips'!$AB$46:$AH$50,6,FALSE))/1440),1,0)</f>
        <v>0</v>
      </c>
      <c r="AB104" s="2">
        <f>IF(AND(VLOOKUP(AB$1,'20Trips'!$A$3:$F$22,5,FALSE) - VLOOKUP($B104,'20Trips'!$A$3:$G$22,6,FALSE) &gt;= ('20Trips'!$B$26+VLOOKUP(VLOOKUP($B104,'20Trips'!$A$2:$I$22,4,FALSE),'20Trips'!$AB$46:$AH$50,6,FALSE))/1440),1,0)</f>
        <v>1</v>
      </c>
      <c r="AC104" s="2">
        <f>IF(AND(VLOOKUP(AC$1,'20Trips'!$A$3:$F$22,5,FALSE) - VLOOKUP($B104,'20Trips'!$A$3:$G$22,6,FALSE) &gt;= ('20Trips'!$B$26+VLOOKUP(VLOOKUP($B104,'20Trips'!$A$2:$I$22,4,FALSE),'20Trips'!$AB$46:$AH$50,6,FALSE))/1440),1,0)</f>
        <v>1</v>
      </c>
      <c r="AD104" s="2">
        <f>IF(AND(VLOOKUP(AD$1,'20Trips'!$A$3:$F$22,5,FALSE) - VLOOKUP($B104,'20Trips'!$A$3:$G$22,6,FALSE) &gt;= ('20Trips'!$B$26+VLOOKUP(VLOOKUP($B104,'20Trips'!$A$2:$I$22,4,FALSE),'20Trips'!$AB$46:$AH$50,6,FALSE))/1440),1,0)</f>
        <v>1</v>
      </c>
      <c r="AE104" s="2" t="e">
        <f>IF(AND(VLOOKUP(AE$1,'20Trips'!$A$3:$F$22,5,FALSE) - VLOOKUP($B104,'20Trips'!$A$3:$G$22,6,FALSE) &gt;= ('20Trips'!$B$26+VLOOKUP(VLOOKUP($B104,'20Trips'!$A$2:$I$22,4,FALSE),'20Trips'!$AB$46:$AH$50,6,FALSE))/1440),1,0)</f>
        <v>#N/A</v>
      </c>
      <c r="AF104" s="2" t="e">
        <f>IF(AND(VLOOKUP(AF$1,'20Trips'!$A$3:$F$22,5,FALSE) - VLOOKUP($B104,'20Trips'!$A$3:$G$22,6,FALSE) &gt;= ('20Trips'!$B$26+VLOOKUP(VLOOKUP($B104,'20Trips'!$A$2:$I$22,4,FALSE),'20Trips'!$AB$46:$AH$50,6,FALSE))/1440),1,0)</f>
        <v>#N/A</v>
      </c>
      <c r="AG104" s="2" t="e">
        <f>IF(AND(VLOOKUP(AG$1,'20Trips'!$A$3:$F$22,5,FALSE) - VLOOKUP($B104,'20Trips'!$A$3:$G$22,6,FALSE) &gt;= ('20Trips'!$B$26+VLOOKUP(VLOOKUP($B104,'20Trips'!$A$2:$I$22,4,FALSE),'20Trips'!$AB$46:$AH$50,6,FALSE))/1440),1,0)</f>
        <v>#N/A</v>
      </c>
    </row>
    <row r="105" spans="1:33" x14ac:dyDescent="0.25">
      <c r="A105" t="s">
        <v>68</v>
      </c>
      <c r="B105" t="s">
        <v>20</v>
      </c>
      <c r="C105">
        <v>0</v>
      </c>
      <c r="D105" s="2">
        <f>IF(AND(VLOOKUP(D$1,'20Trips'!$A$3:$F$22,5,FALSE) - VLOOKUP($B105,'20Trips'!$A$3:$G$22,6,FALSE) &gt;= ('20Trips'!$B$26+VLOOKUP(VLOOKUP($B105,'20Trips'!$A$2:$I$22,4,FALSE),'20Trips'!$AB$46:$AH$50,6,FALSE))/1440),1,0)</f>
        <v>0</v>
      </c>
      <c r="E105" s="2">
        <f>IF(AND(VLOOKUP(E$1,'20Trips'!$A$3:$F$22,5,FALSE) - VLOOKUP($B105,'20Trips'!$A$3:$G$22,6,FALSE) &gt;= ('20Trips'!$B$26+VLOOKUP(VLOOKUP($B105,'20Trips'!$A$2:$I$22,4,FALSE),'20Trips'!$AB$46:$AH$50,6,FALSE))/1440),1,0)</f>
        <v>0</v>
      </c>
      <c r="F105" s="2">
        <f>IF(AND(VLOOKUP(F$1,'20Trips'!$A$3:$F$22,5,FALSE) - VLOOKUP($B105,'20Trips'!$A$3:$G$22,6,FALSE) &gt;= ('20Trips'!$B$26+VLOOKUP(VLOOKUP($B105,'20Trips'!$A$2:$I$22,4,FALSE),'20Trips'!$AB$46:$AH$50,6,FALSE))/1440),1,0)</f>
        <v>0</v>
      </c>
      <c r="G105" s="2">
        <f>IF(AND(VLOOKUP(G$1,'20Trips'!$A$3:$F$22,5,FALSE) - VLOOKUP($B105,'20Trips'!$A$3:$G$22,6,FALSE) &gt;= ('20Trips'!$B$26+VLOOKUP(VLOOKUP($B105,'20Trips'!$A$2:$I$22,4,FALSE),'20Trips'!$AB$46:$AH$50,6,FALSE))/1440),1,0)</f>
        <v>1</v>
      </c>
      <c r="H105" s="2">
        <f>IF(AND(VLOOKUP(H$1,'20Trips'!$A$3:$F$22,5,FALSE) - VLOOKUP($B105,'20Trips'!$A$3:$G$22,6,FALSE) &gt;= ('20Trips'!$B$26+VLOOKUP(VLOOKUP($B105,'20Trips'!$A$2:$I$22,4,FALSE),'20Trips'!$AB$46:$AH$50,6,FALSE))/1440),1,0)</f>
        <v>1</v>
      </c>
      <c r="I105" s="2" t="e">
        <f>IF(AND(VLOOKUP(I$1,'20Trips'!$A$3:$F$22,5,FALSE) - VLOOKUP($B105,'20Trips'!$A$3:$G$22,6,FALSE) &gt;= ('20Trips'!$B$26+VLOOKUP(VLOOKUP($B105,'20Trips'!$A$2:$I$22,4,FALSE),'20Trips'!$AB$46:$AH$50,6,FALSE))/1440),1,0)</f>
        <v>#N/A</v>
      </c>
      <c r="J105" s="2" t="e">
        <f>IF(AND(VLOOKUP(J$1,'20Trips'!$A$3:$F$22,5,FALSE) - VLOOKUP($B105,'20Trips'!$A$3:$G$22,6,FALSE) &gt;= ('20Trips'!$B$26+VLOOKUP(VLOOKUP($B105,'20Trips'!$A$2:$I$22,4,FALSE),'20Trips'!$AB$46:$AH$50,6,FALSE))/1440),1,0)</f>
        <v>#N/A</v>
      </c>
      <c r="K105" s="2" t="e">
        <f>IF(AND(VLOOKUP(K$1,'20Trips'!$A$3:$F$22,5,FALSE) - VLOOKUP($B105,'20Trips'!$A$3:$G$22,6,FALSE) &gt;= ('20Trips'!$B$26+VLOOKUP(VLOOKUP($B105,'20Trips'!$A$2:$I$22,4,FALSE),'20Trips'!$AB$46:$AH$50,6,FALSE))/1440),1,0)</f>
        <v>#N/A</v>
      </c>
      <c r="L105" s="2">
        <f>IF(AND(VLOOKUP(L$1,'20Trips'!$A$3:$F$22,5,FALSE) - VLOOKUP($B105,'20Trips'!$A$3:$G$22,6,FALSE) &gt;= ('20Trips'!$B$26+VLOOKUP(VLOOKUP($B105,'20Trips'!$A$2:$I$22,4,FALSE),'20Trips'!$AB$46:$AH$50,6,FALSE))/1440),1,0)</f>
        <v>0</v>
      </c>
      <c r="M105" s="2">
        <f>IF(AND(VLOOKUP(M$1,'20Trips'!$A$3:$F$22,5,FALSE) - VLOOKUP($B105,'20Trips'!$A$3:$G$22,6,FALSE) &gt;= ('20Trips'!$B$26+VLOOKUP(VLOOKUP($B105,'20Trips'!$A$2:$I$22,4,FALSE),'20Trips'!$AB$46:$AH$50,6,FALSE))/1440),1,0)</f>
        <v>0</v>
      </c>
      <c r="N105" s="2">
        <f>IF(AND(VLOOKUP(N$1,'20Trips'!$A$3:$F$22,5,FALSE) - VLOOKUP($B105,'20Trips'!$A$3:$G$22,6,FALSE) &gt;= ('20Trips'!$B$26+VLOOKUP(VLOOKUP($B105,'20Trips'!$A$2:$I$22,4,FALSE),'20Trips'!$AB$46:$AH$50,6,FALSE))/1440),1,0)</f>
        <v>0</v>
      </c>
      <c r="O105" s="2">
        <f>IF(AND(VLOOKUP(O$1,'20Trips'!$A$3:$F$22,5,FALSE) - VLOOKUP($B105,'20Trips'!$A$3:$G$22,6,FALSE) &gt;= ('20Trips'!$B$26+VLOOKUP(VLOOKUP($B105,'20Trips'!$A$2:$I$22,4,FALSE),'20Trips'!$AB$46:$AH$50,6,FALSE))/1440),1,0)</f>
        <v>1</v>
      </c>
      <c r="P105" s="2">
        <f>IF(AND(VLOOKUP(P$1,'20Trips'!$A$3:$F$22,5,FALSE) - VLOOKUP($B105,'20Trips'!$A$3:$G$22,6,FALSE) &gt;= ('20Trips'!$B$26+VLOOKUP(VLOOKUP($B105,'20Trips'!$A$2:$I$22,4,FALSE),'20Trips'!$AB$46:$AH$50,6,FALSE))/1440),1,0)</f>
        <v>1</v>
      </c>
      <c r="Q105" s="2" t="e">
        <f>IF(AND(VLOOKUP(Q$1,'20Trips'!$A$3:$F$22,5,FALSE) - VLOOKUP($B105,'20Trips'!$A$3:$G$22,6,FALSE) &gt;= ('20Trips'!$B$26+VLOOKUP(VLOOKUP($B105,'20Trips'!$A$2:$I$22,4,FALSE),'20Trips'!$AB$46:$AH$50,6,FALSE))/1440),1,0)</f>
        <v>#N/A</v>
      </c>
      <c r="R105" s="2">
        <f>IF(AND(VLOOKUP(R$1,'20Trips'!$A$3:$F$22,5,FALSE) - VLOOKUP($B105,'20Trips'!$A$3:$G$22,6,FALSE) &gt;= ('20Trips'!$B$26+VLOOKUP(VLOOKUP($B105,'20Trips'!$A$2:$I$22,4,FALSE),'20Trips'!$AB$46:$AH$50,6,FALSE))/1440),1,0)</f>
        <v>0</v>
      </c>
      <c r="S105" s="2">
        <f>IF(AND(VLOOKUP(S$1,'20Trips'!$A$3:$F$22,5,FALSE) - VLOOKUP($B105,'20Trips'!$A$3:$G$22,6,FALSE) &gt;= ('20Trips'!$B$26+VLOOKUP(VLOOKUP($B105,'20Trips'!$A$2:$I$22,4,FALSE),'20Trips'!$AB$46:$AH$50,6,FALSE))/1440),1,0)</f>
        <v>0</v>
      </c>
      <c r="T105" s="2">
        <f>IF(AND(VLOOKUP(T$1,'20Trips'!$A$3:$F$22,5,FALSE) - VLOOKUP($B105,'20Trips'!$A$3:$G$22,6,FALSE) &gt;= ('20Trips'!$B$26+VLOOKUP(VLOOKUP($B105,'20Trips'!$A$2:$I$22,4,FALSE),'20Trips'!$AB$46:$AH$50,6,FALSE))/1440),1,0)</f>
        <v>0</v>
      </c>
      <c r="U105" s="2">
        <f>IF(AND(VLOOKUP(U$1,'20Trips'!$A$3:$F$22,5,FALSE) - VLOOKUP($B105,'20Trips'!$A$3:$G$22,6,FALSE) &gt;= ('20Trips'!$B$26+VLOOKUP(VLOOKUP($B105,'20Trips'!$A$2:$I$22,4,FALSE),'20Trips'!$AB$46:$AH$50,6,FALSE))/1440),1,0)</f>
        <v>0</v>
      </c>
      <c r="V105" s="2">
        <f>IF(AND(VLOOKUP(V$1,'20Trips'!$A$3:$F$22,5,FALSE) - VLOOKUP($B105,'20Trips'!$A$3:$G$22,6,FALSE) &gt;= ('20Trips'!$B$26+VLOOKUP(VLOOKUP($B105,'20Trips'!$A$2:$I$22,4,FALSE),'20Trips'!$AB$46:$AH$50,6,FALSE))/1440),1,0)</f>
        <v>1</v>
      </c>
      <c r="W105" s="2" t="e">
        <f>IF(AND(VLOOKUP(W$1,'20Trips'!$A$3:$F$22,5,FALSE) - VLOOKUP($B105,'20Trips'!$A$3:$G$22,6,FALSE) &gt;= ('20Trips'!$B$26+VLOOKUP(VLOOKUP($B105,'20Trips'!$A$2:$I$22,4,FALSE),'20Trips'!$AB$46:$AH$50,6,FALSE))/1440),1,0)</f>
        <v>#N/A</v>
      </c>
      <c r="X105" s="2" t="e">
        <f>IF(AND(VLOOKUP(X$1,'20Trips'!$A$3:$F$22,5,FALSE) - VLOOKUP($B105,'20Trips'!$A$3:$G$22,6,FALSE) &gt;= ('20Trips'!$B$26+VLOOKUP(VLOOKUP($B105,'20Trips'!$A$2:$I$22,4,FALSE),'20Trips'!$AB$46:$AH$50,6,FALSE))/1440),1,0)</f>
        <v>#N/A</v>
      </c>
      <c r="Y105" s="2" t="e">
        <f>IF(AND(VLOOKUP(Y$1,'20Trips'!$A$3:$F$22,5,FALSE) - VLOOKUP($B105,'20Trips'!$A$3:$G$22,6,FALSE) &gt;= ('20Trips'!$B$26+VLOOKUP(VLOOKUP($B105,'20Trips'!$A$2:$I$22,4,FALSE),'20Trips'!$AB$46:$AH$50,6,FALSE))/1440),1,0)</f>
        <v>#N/A</v>
      </c>
      <c r="Z105" s="2">
        <f>IF(AND(VLOOKUP(Z$1,'20Trips'!$A$3:$F$22,5,FALSE) - VLOOKUP($B105,'20Trips'!$A$3:$G$22,6,FALSE) &gt;= ('20Trips'!$B$26+VLOOKUP(VLOOKUP($B105,'20Trips'!$A$2:$I$22,4,FALSE),'20Trips'!$AB$46:$AH$50,6,FALSE))/1440),1,0)</f>
        <v>0</v>
      </c>
      <c r="AA105" s="2">
        <f>IF(AND(VLOOKUP(AA$1,'20Trips'!$A$3:$F$22,5,FALSE) - VLOOKUP($B105,'20Trips'!$A$3:$G$22,6,FALSE) &gt;= ('20Trips'!$B$26+VLOOKUP(VLOOKUP($B105,'20Trips'!$A$2:$I$22,4,FALSE),'20Trips'!$AB$46:$AH$50,6,FALSE))/1440),1,0)</f>
        <v>0</v>
      </c>
      <c r="AB105" s="2">
        <f>IF(AND(VLOOKUP(AB$1,'20Trips'!$A$3:$F$22,5,FALSE) - VLOOKUP($B105,'20Trips'!$A$3:$G$22,6,FALSE) &gt;= ('20Trips'!$B$26+VLOOKUP(VLOOKUP($B105,'20Trips'!$A$2:$I$22,4,FALSE),'20Trips'!$AB$46:$AH$50,6,FALSE))/1440),1,0)</f>
        <v>0</v>
      </c>
      <c r="AC105" s="2">
        <f>IF(AND(VLOOKUP(AC$1,'20Trips'!$A$3:$F$22,5,FALSE) - VLOOKUP($B105,'20Trips'!$A$3:$G$22,6,FALSE) &gt;= ('20Trips'!$B$26+VLOOKUP(VLOOKUP($B105,'20Trips'!$A$2:$I$22,4,FALSE),'20Trips'!$AB$46:$AH$50,6,FALSE))/1440),1,0)</f>
        <v>1</v>
      </c>
      <c r="AD105" s="2">
        <f>IF(AND(VLOOKUP(AD$1,'20Trips'!$A$3:$F$22,5,FALSE) - VLOOKUP($B105,'20Trips'!$A$3:$G$22,6,FALSE) &gt;= ('20Trips'!$B$26+VLOOKUP(VLOOKUP($B105,'20Trips'!$A$2:$I$22,4,FALSE),'20Trips'!$AB$46:$AH$50,6,FALSE))/1440),1,0)</f>
        <v>1</v>
      </c>
      <c r="AE105" s="2" t="e">
        <f>IF(AND(VLOOKUP(AE$1,'20Trips'!$A$3:$F$22,5,FALSE) - VLOOKUP($B105,'20Trips'!$A$3:$G$22,6,FALSE) &gt;= ('20Trips'!$B$26+VLOOKUP(VLOOKUP($B105,'20Trips'!$A$2:$I$22,4,FALSE),'20Trips'!$AB$46:$AH$50,6,FALSE))/1440),1,0)</f>
        <v>#N/A</v>
      </c>
      <c r="AF105" s="2" t="e">
        <f>IF(AND(VLOOKUP(AF$1,'20Trips'!$A$3:$F$22,5,FALSE) - VLOOKUP($B105,'20Trips'!$A$3:$G$22,6,FALSE) &gt;= ('20Trips'!$B$26+VLOOKUP(VLOOKUP($B105,'20Trips'!$A$2:$I$22,4,FALSE),'20Trips'!$AB$46:$AH$50,6,FALSE))/1440),1,0)</f>
        <v>#N/A</v>
      </c>
      <c r="AG105" s="2" t="e">
        <f>IF(AND(VLOOKUP(AG$1,'20Trips'!$A$3:$F$22,5,FALSE) - VLOOKUP($B105,'20Trips'!$A$3:$G$22,6,FALSE) &gt;= ('20Trips'!$B$26+VLOOKUP(VLOOKUP($B105,'20Trips'!$A$2:$I$22,4,FALSE),'20Trips'!$AB$46:$AH$50,6,FALSE))/1440),1,0)</f>
        <v>#N/A</v>
      </c>
    </row>
    <row r="106" spans="1:33" x14ac:dyDescent="0.25">
      <c r="A106" t="s">
        <v>68</v>
      </c>
      <c r="B106" t="s">
        <v>21</v>
      </c>
      <c r="C106">
        <v>0</v>
      </c>
      <c r="D106" s="2">
        <f>IF(AND(VLOOKUP(D$1,'20Trips'!$A$3:$F$22,5,FALSE) - VLOOKUP($B106,'20Trips'!$A$3:$G$22,6,FALSE) &gt;= ('20Trips'!$B$26+VLOOKUP(VLOOKUP($B106,'20Trips'!$A$2:$I$22,4,FALSE),'20Trips'!$AB$46:$AH$50,6,FALSE))/1440),1,0)</f>
        <v>0</v>
      </c>
      <c r="E106" s="2">
        <f>IF(AND(VLOOKUP(E$1,'20Trips'!$A$3:$F$22,5,FALSE) - VLOOKUP($B106,'20Trips'!$A$3:$G$22,6,FALSE) &gt;= ('20Trips'!$B$26+VLOOKUP(VLOOKUP($B106,'20Trips'!$A$2:$I$22,4,FALSE),'20Trips'!$AB$46:$AH$50,6,FALSE))/1440),1,0)</f>
        <v>0</v>
      </c>
      <c r="F106" s="2">
        <f>IF(AND(VLOOKUP(F$1,'20Trips'!$A$3:$F$22,5,FALSE) - VLOOKUP($B106,'20Trips'!$A$3:$G$22,6,FALSE) &gt;= ('20Trips'!$B$26+VLOOKUP(VLOOKUP($B106,'20Trips'!$A$2:$I$22,4,FALSE),'20Trips'!$AB$46:$AH$50,6,FALSE))/1440),1,0)</f>
        <v>0</v>
      </c>
      <c r="G106" s="2">
        <f>IF(AND(VLOOKUP(G$1,'20Trips'!$A$3:$F$22,5,FALSE) - VLOOKUP($B106,'20Trips'!$A$3:$G$22,6,FALSE) &gt;= ('20Trips'!$B$26+VLOOKUP(VLOOKUP($B106,'20Trips'!$A$2:$I$22,4,FALSE),'20Trips'!$AB$46:$AH$50,6,FALSE))/1440),1,0)</f>
        <v>0</v>
      </c>
      <c r="H106" s="2">
        <f>IF(AND(VLOOKUP(H$1,'20Trips'!$A$3:$F$22,5,FALSE) - VLOOKUP($B106,'20Trips'!$A$3:$G$22,6,FALSE) &gt;= ('20Trips'!$B$26+VLOOKUP(VLOOKUP($B106,'20Trips'!$A$2:$I$22,4,FALSE),'20Trips'!$AB$46:$AH$50,6,FALSE))/1440),1,0)</f>
        <v>0</v>
      </c>
      <c r="I106" s="2" t="e">
        <f>IF(AND(VLOOKUP(I$1,'20Trips'!$A$3:$F$22,5,FALSE) - VLOOKUP($B106,'20Trips'!$A$3:$G$22,6,FALSE) &gt;= ('20Trips'!$B$26+VLOOKUP(VLOOKUP($B106,'20Trips'!$A$2:$I$22,4,FALSE),'20Trips'!$AB$46:$AH$50,6,FALSE))/1440),1,0)</f>
        <v>#N/A</v>
      </c>
      <c r="J106" s="2" t="e">
        <f>IF(AND(VLOOKUP(J$1,'20Trips'!$A$3:$F$22,5,FALSE) - VLOOKUP($B106,'20Trips'!$A$3:$G$22,6,FALSE) &gt;= ('20Trips'!$B$26+VLOOKUP(VLOOKUP($B106,'20Trips'!$A$2:$I$22,4,FALSE),'20Trips'!$AB$46:$AH$50,6,FALSE))/1440),1,0)</f>
        <v>#N/A</v>
      </c>
      <c r="K106" s="2" t="e">
        <f>IF(AND(VLOOKUP(K$1,'20Trips'!$A$3:$F$22,5,FALSE) - VLOOKUP($B106,'20Trips'!$A$3:$G$22,6,FALSE) &gt;= ('20Trips'!$B$26+VLOOKUP(VLOOKUP($B106,'20Trips'!$A$2:$I$22,4,FALSE),'20Trips'!$AB$46:$AH$50,6,FALSE))/1440),1,0)</f>
        <v>#N/A</v>
      </c>
      <c r="L106" s="2">
        <f>IF(AND(VLOOKUP(L$1,'20Trips'!$A$3:$F$22,5,FALSE) - VLOOKUP($B106,'20Trips'!$A$3:$G$22,6,FALSE) &gt;= ('20Trips'!$B$26+VLOOKUP(VLOOKUP($B106,'20Trips'!$A$2:$I$22,4,FALSE),'20Trips'!$AB$46:$AH$50,6,FALSE))/1440),1,0)</f>
        <v>0</v>
      </c>
      <c r="M106" s="2">
        <f>IF(AND(VLOOKUP(M$1,'20Trips'!$A$3:$F$22,5,FALSE) - VLOOKUP($B106,'20Trips'!$A$3:$G$22,6,FALSE) &gt;= ('20Trips'!$B$26+VLOOKUP(VLOOKUP($B106,'20Trips'!$A$2:$I$22,4,FALSE),'20Trips'!$AB$46:$AH$50,6,FALSE))/1440),1,0)</f>
        <v>0</v>
      </c>
      <c r="N106" s="2">
        <f>IF(AND(VLOOKUP(N$1,'20Trips'!$A$3:$F$22,5,FALSE) - VLOOKUP($B106,'20Trips'!$A$3:$G$22,6,FALSE) &gt;= ('20Trips'!$B$26+VLOOKUP(VLOOKUP($B106,'20Trips'!$A$2:$I$22,4,FALSE),'20Trips'!$AB$46:$AH$50,6,FALSE))/1440),1,0)</f>
        <v>0</v>
      </c>
      <c r="O106" s="2">
        <f>IF(AND(VLOOKUP(O$1,'20Trips'!$A$3:$F$22,5,FALSE) - VLOOKUP($B106,'20Trips'!$A$3:$G$22,6,FALSE) &gt;= ('20Trips'!$B$26+VLOOKUP(VLOOKUP($B106,'20Trips'!$A$2:$I$22,4,FALSE),'20Trips'!$AB$46:$AH$50,6,FALSE))/1440),1,0)</f>
        <v>1</v>
      </c>
      <c r="P106" s="2">
        <f>IF(AND(VLOOKUP(P$1,'20Trips'!$A$3:$F$22,5,FALSE) - VLOOKUP($B106,'20Trips'!$A$3:$G$22,6,FALSE) &gt;= ('20Trips'!$B$26+VLOOKUP(VLOOKUP($B106,'20Trips'!$A$2:$I$22,4,FALSE),'20Trips'!$AB$46:$AH$50,6,FALSE))/1440),1,0)</f>
        <v>1</v>
      </c>
      <c r="Q106" s="2" t="e">
        <f>IF(AND(VLOOKUP(Q$1,'20Trips'!$A$3:$F$22,5,FALSE) - VLOOKUP($B106,'20Trips'!$A$3:$G$22,6,FALSE) &gt;= ('20Trips'!$B$26+VLOOKUP(VLOOKUP($B106,'20Trips'!$A$2:$I$22,4,FALSE),'20Trips'!$AB$46:$AH$50,6,FALSE))/1440),1,0)</f>
        <v>#N/A</v>
      </c>
      <c r="R106" s="2">
        <f>IF(AND(VLOOKUP(R$1,'20Trips'!$A$3:$F$22,5,FALSE) - VLOOKUP($B106,'20Trips'!$A$3:$G$22,6,FALSE) &gt;= ('20Trips'!$B$26+VLOOKUP(VLOOKUP($B106,'20Trips'!$A$2:$I$22,4,FALSE),'20Trips'!$AB$46:$AH$50,6,FALSE))/1440),1,0)</f>
        <v>0</v>
      </c>
      <c r="S106" s="2">
        <f>IF(AND(VLOOKUP(S$1,'20Trips'!$A$3:$F$22,5,FALSE) - VLOOKUP($B106,'20Trips'!$A$3:$G$22,6,FALSE) &gt;= ('20Trips'!$B$26+VLOOKUP(VLOOKUP($B106,'20Trips'!$A$2:$I$22,4,FALSE),'20Trips'!$AB$46:$AH$50,6,FALSE))/1440),1,0)</f>
        <v>0</v>
      </c>
      <c r="T106" s="2">
        <f>IF(AND(VLOOKUP(T$1,'20Trips'!$A$3:$F$22,5,FALSE) - VLOOKUP($B106,'20Trips'!$A$3:$G$22,6,FALSE) &gt;= ('20Trips'!$B$26+VLOOKUP(VLOOKUP($B106,'20Trips'!$A$2:$I$22,4,FALSE),'20Trips'!$AB$46:$AH$50,6,FALSE))/1440),1,0)</f>
        <v>0</v>
      </c>
      <c r="U106" s="2">
        <f>IF(AND(VLOOKUP(U$1,'20Trips'!$A$3:$F$22,5,FALSE) - VLOOKUP($B106,'20Trips'!$A$3:$G$22,6,FALSE) &gt;= ('20Trips'!$B$26+VLOOKUP(VLOOKUP($B106,'20Trips'!$A$2:$I$22,4,FALSE),'20Trips'!$AB$46:$AH$50,6,FALSE))/1440),1,0)</f>
        <v>0</v>
      </c>
      <c r="V106" s="2">
        <f>IF(AND(VLOOKUP(V$1,'20Trips'!$A$3:$F$22,5,FALSE) - VLOOKUP($B106,'20Trips'!$A$3:$G$22,6,FALSE) &gt;= ('20Trips'!$B$26+VLOOKUP(VLOOKUP($B106,'20Trips'!$A$2:$I$22,4,FALSE),'20Trips'!$AB$46:$AH$50,6,FALSE))/1440),1,0)</f>
        <v>0</v>
      </c>
      <c r="W106" s="2" t="e">
        <f>IF(AND(VLOOKUP(W$1,'20Trips'!$A$3:$F$22,5,FALSE) - VLOOKUP($B106,'20Trips'!$A$3:$G$22,6,FALSE) &gt;= ('20Trips'!$B$26+VLOOKUP(VLOOKUP($B106,'20Trips'!$A$2:$I$22,4,FALSE),'20Trips'!$AB$46:$AH$50,6,FALSE))/1440),1,0)</f>
        <v>#N/A</v>
      </c>
      <c r="X106" s="2" t="e">
        <f>IF(AND(VLOOKUP(X$1,'20Trips'!$A$3:$F$22,5,FALSE) - VLOOKUP($B106,'20Trips'!$A$3:$G$22,6,FALSE) &gt;= ('20Trips'!$B$26+VLOOKUP(VLOOKUP($B106,'20Trips'!$A$2:$I$22,4,FALSE),'20Trips'!$AB$46:$AH$50,6,FALSE))/1440),1,0)</f>
        <v>#N/A</v>
      </c>
      <c r="Y106" s="2" t="e">
        <f>IF(AND(VLOOKUP(Y$1,'20Trips'!$A$3:$F$22,5,FALSE) - VLOOKUP($B106,'20Trips'!$A$3:$G$22,6,FALSE) &gt;= ('20Trips'!$B$26+VLOOKUP(VLOOKUP($B106,'20Trips'!$A$2:$I$22,4,FALSE),'20Trips'!$AB$46:$AH$50,6,FALSE))/1440),1,0)</f>
        <v>#N/A</v>
      </c>
      <c r="Z106" s="2">
        <f>IF(AND(VLOOKUP(Z$1,'20Trips'!$A$3:$F$22,5,FALSE) - VLOOKUP($B106,'20Trips'!$A$3:$G$22,6,FALSE) &gt;= ('20Trips'!$B$26+VLOOKUP(VLOOKUP($B106,'20Trips'!$A$2:$I$22,4,FALSE),'20Trips'!$AB$46:$AH$50,6,FALSE))/1440),1,0)</f>
        <v>0</v>
      </c>
      <c r="AA106" s="2">
        <f>IF(AND(VLOOKUP(AA$1,'20Trips'!$A$3:$F$22,5,FALSE) - VLOOKUP($B106,'20Trips'!$A$3:$G$22,6,FALSE) &gt;= ('20Trips'!$B$26+VLOOKUP(VLOOKUP($B106,'20Trips'!$A$2:$I$22,4,FALSE),'20Trips'!$AB$46:$AH$50,6,FALSE))/1440),1,0)</f>
        <v>0</v>
      </c>
      <c r="AB106" s="2">
        <f>IF(AND(VLOOKUP(AB$1,'20Trips'!$A$3:$F$22,5,FALSE) - VLOOKUP($B106,'20Trips'!$A$3:$G$22,6,FALSE) &gt;= ('20Trips'!$B$26+VLOOKUP(VLOOKUP($B106,'20Trips'!$A$2:$I$22,4,FALSE),'20Trips'!$AB$46:$AH$50,6,FALSE))/1440),1,0)</f>
        <v>0</v>
      </c>
      <c r="AC106" s="2">
        <f>IF(AND(VLOOKUP(AC$1,'20Trips'!$A$3:$F$22,5,FALSE) - VLOOKUP($B106,'20Trips'!$A$3:$G$22,6,FALSE) &gt;= ('20Trips'!$B$26+VLOOKUP(VLOOKUP($B106,'20Trips'!$A$2:$I$22,4,FALSE),'20Trips'!$AB$46:$AH$50,6,FALSE))/1440),1,0)</f>
        <v>0</v>
      </c>
      <c r="AD106" s="2">
        <f>IF(AND(VLOOKUP(AD$1,'20Trips'!$A$3:$F$22,5,FALSE) - VLOOKUP($B106,'20Trips'!$A$3:$G$22,6,FALSE) &gt;= ('20Trips'!$B$26+VLOOKUP(VLOOKUP($B106,'20Trips'!$A$2:$I$22,4,FALSE),'20Trips'!$AB$46:$AH$50,6,FALSE))/1440),1,0)</f>
        <v>1</v>
      </c>
      <c r="AE106" s="2" t="e">
        <f>IF(AND(VLOOKUP(AE$1,'20Trips'!$A$3:$F$22,5,FALSE) - VLOOKUP($B106,'20Trips'!$A$3:$G$22,6,FALSE) &gt;= ('20Trips'!$B$26+VLOOKUP(VLOOKUP($B106,'20Trips'!$A$2:$I$22,4,FALSE),'20Trips'!$AB$46:$AH$50,6,FALSE))/1440),1,0)</f>
        <v>#N/A</v>
      </c>
      <c r="AF106" s="2" t="e">
        <f>IF(AND(VLOOKUP(AF$1,'20Trips'!$A$3:$F$22,5,FALSE) - VLOOKUP($B106,'20Trips'!$A$3:$G$22,6,FALSE) &gt;= ('20Trips'!$B$26+VLOOKUP(VLOOKUP($B106,'20Trips'!$A$2:$I$22,4,FALSE),'20Trips'!$AB$46:$AH$50,6,FALSE))/1440),1,0)</f>
        <v>#N/A</v>
      </c>
      <c r="AG106" s="2" t="e">
        <f>IF(AND(VLOOKUP(AG$1,'20Trips'!$A$3:$F$22,5,FALSE) - VLOOKUP($B106,'20Trips'!$A$3:$G$22,6,FALSE) &gt;= ('20Trips'!$B$26+VLOOKUP(VLOOKUP($B106,'20Trips'!$A$2:$I$22,4,FALSE),'20Trips'!$AB$46:$AH$50,6,FALSE))/1440),1,0)</f>
        <v>#N/A</v>
      </c>
    </row>
    <row r="107" spans="1:33" x14ac:dyDescent="0.25">
      <c r="A107" t="s">
        <v>68</v>
      </c>
      <c r="B107" t="s">
        <v>22</v>
      </c>
      <c r="C107">
        <v>0</v>
      </c>
      <c r="D107" s="2">
        <f>IF(AND(VLOOKUP(D$1,'20Trips'!$A$3:$F$22,5,FALSE) - VLOOKUP($B107,'20Trips'!$A$3:$G$22,6,FALSE) &gt;= ('20Trips'!$B$26+VLOOKUP(VLOOKUP($B107,'20Trips'!$A$2:$I$22,4,FALSE),'20Trips'!$AB$46:$AH$50,6,FALSE))/1440),1,0)</f>
        <v>0</v>
      </c>
      <c r="E107" s="2">
        <f>IF(AND(VLOOKUP(E$1,'20Trips'!$A$3:$F$22,5,FALSE) - VLOOKUP($B107,'20Trips'!$A$3:$G$22,6,FALSE) &gt;= ('20Trips'!$B$26+VLOOKUP(VLOOKUP($B107,'20Trips'!$A$2:$I$22,4,FALSE),'20Trips'!$AB$46:$AH$50,6,FALSE))/1440),1,0)</f>
        <v>0</v>
      </c>
      <c r="F107" s="2">
        <f>IF(AND(VLOOKUP(F$1,'20Trips'!$A$3:$F$22,5,FALSE) - VLOOKUP($B107,'20Trips'!$A$3:$G$22,6,FALSE) &gt;= ('20Trips'!$B$26+VLOOKUP(VLOOKUP($B107,'20Trips'!$A$2:$I$22,4,FALSE),'20Trips'!$AB$46:$AH$50,6,FALSE))/1440),1,0)</f>
        <v>0</v>
      </c>
      <c r="G107" s="2">
        <f>IF(AND(VLOOKUP(G$1,'20Trips'!$A$3:$F$22,5,FALSE) - VLOOKUP($B107,'20Trips'!$A$3:$G$22,6,FALSE) &gt;= ('20Trips'!$B$26+VLOOKUP(VLOOKUP($B107,'20Trips'!$A$2:$I$22,4,FALSE),'20Trips'!$AB$46:$AH$50,6,FALSE))/1440),1,0)</f>
        <v>0</v>
      </c>
      <c r="H107" s="2">
        <f>IF(AND(VLOOKUP(H$1,'20Trips'!$A$3:$F$22,5,FALSE) - VLOOKUP($B107,'20Trips'!$A$3:$G$22,6,FALSE) &gt;= ('20Trips'!$B$26+VLOOKUP(VLOOKUP($B107,'20Trips'!$A$2:$I$22,4,FALSE),'20Trips'!$AB$46:$AH$50,6,FALSE))/1440),1,0)</f>
        <v>0</v>
      </c>
      <c r="I107" s="2" t="e">
        <f>IF(AND(VLOOKUP(I$1,'20Trips'!$A$3:$F$22,5,FALSE) - VLOOKUP($B107,'20Trips'!$A$3:$G$22,6,FALSE) &gt;= ('20Trips'!$B$26+VLOOKUP(VLOOKUP($B107,'20Trips'!$A$2:$I$22,4,FALSE),'20Trips'!$AB$46:$AH$50,6,FALSE))/1440),1,0)</f>
        <v>#N/A</v>
      </c>
      <c r="J107" s="2" t="e">
        <f>IF(AND(VLOOKUP(J$1,'20Trips'!$A$3:$F$22,5,FALSE) - VLOOKUP($B107,'20Trips'!$A$3:$G$22,6,FALSE) &gt;= ('20Trips'!$B$26+VLOOKUP(VLOOKUP($B107,'20Trips'!$A$2:$I$22,4,FALSE),'20Trips'!$AB$46:$AH$50,6,FALSE))/1440),1,0)</f>
        <v>#N/A</v>
      </c>
      <c r="K107" s="2" t="e">
        <f>IF(AND(VLOOKUP(K$1,'20Trips'!$A$3:$F$22,5,FALSE) - VLOOKUP($B107,'20Trips'!$A$3:$G$22,6,FALSE) &gt;= ('20Trips'!$B$26+VLOOKUP(VLOOKUP($B107,'20Trips'!$A$2:$I$22,4,FALSE),'20Trips'!$AB$46:$AH$50,6,FALSE))/1440),1,0)</f>
        <v>#N/A</v>
      </c>
      <c r="L107" s="2">
        <f>IF(AND(VLOOKUP(L$1,'20Trips'!$A$3:$F$22,5,FALSE) - VLOOKUP($B107,'20Trips'!$A$3:$G$22,6,FALSE) &gt;= ('20Trips'!$B$26+VLOOKUP(VLOOKUP($B107,'20Trips'!$A$2:$I$22,4,FALSE),'20Trips'!$AB$46:$AH$50,6,FALSE))/1440),1,0)</f>
        <v>0</v>
      </c>
      <c r="M107" s="2">
        <f>IF(AND(VLOOKUP(M$1,'20Trips'!$A$3:$F$22,5,FALSE) - VLOOKUP($B107,'20Trips'!$A$3:$G$22,6,FALSE) &gt;= ('20Trips'!$B$26+VLOOKUP(VLOOKUP($B107,'20Trips'!$A$2:$I$22,4,FALSE),'20Trips'!$AB$46:$AH$50,6,FALSE))/1440),1,0)</f>
        <v>0</v>
      </c>
      <c r="N107" s="2">
        <f>IF(AND(VLOOKUP(N$1,'20Trips'!$A$3:$F$22,5,FALSE) - VLOOKUP($B107,'20Trips'!$A$3:$G$22,6,FALSE) &gt;= ('20Trips'!$B$26+VLOOKUP(VLOOKUP($B107,'20Trips'!$A$2:$I$22,4,FALSE),'20Trips'!$AB$46:$AH$50,6,FALSE))/1440),1,0)</f>
        <v>0</v>
      </c>
      <c r="O107" s="2">
        <f>IF(AND(VLOOKUP(O$1,'20Trips'!$A$3:$F$22,5,FALSE) - VLOOKUP($B107,'20Trips'!$A$3:$G$22,6,FALSE) &gt;= ('20Trips'!$B$26+VLOOKUP(VLOOKUP($B107,'20Trips'!$A$2:$I$22,4,FALSE),'20Trips'!$AB$46:$AH$50,6,FALSE))/1440),1,0)</f>
        <v>0</v>
      </c>
      <c r="P107" s="2">
        <f>IF(AND(VLOOKUP(P$1,'20Trips'!$A$3:$F$22,5,FALSE) - VLOOKUP($B107,'20Trips'!$A$3:$G$22,6,FALSE) &gt;= ('20Trips'!$B$26+VLOOKUP(VLOOKUP($B107,'20Trips'!$A$2:$I$22,4,FALSE),'20Trips'!$AB$46:$AH$50,6,FALSE))/1440),1,0)</f>
        <v>0</v>
      </c>
      <c r="Q107" s="2" t="e">
        <f>IF(AND(VLOOKUP(Q$1,'20Trips'!$A$3:$F$22,5,FALSE) - VLOOKUP($B107,'20Trips'!$A$3:$G$22,6,FALSE) &gt;= ('20Trips'!$B$26+VLOOKUP(VLOOKUP($B107,'20Trips'!$A$2:$I$22,4,FALSE),'20Trips'!$AB$46:$AH$50,6,FALSE))/1440),1,0)</f>
        <v>#N/A</v>
      </c>
      <c r="R107" s="2">
        <f>IF(AND(VLOOKUP(R$1,'20Trips'!$A$3:$F$22,5,FALSE) - VLOOKUP($B107,'20Trips'!$A$3:$G$22,6,FALSE) &gt;= ('20Trips'!$B$26+VLOOKUP(VLOOKUP($B107,'20Trips'!$A$2:$I$22,4,FALSE),'20Trips'!$AB$46:$AH$50,6,FALSE))/1440),1,0)</f>
        <v>0</v>
      </c>
      <c r="S107" s="2">
        <f>IF(AND(VLOOKUP(S$1,'20Trips'!$A$3:$F$22,5,FALSE) - VLOOKUP($B107,'20Trips'!$A$3:$G$22,6,FALSE) &gt;= ('20Trips'!$B$26+VLOOKUP(VLOOKUP($B107,'20Trips'!$A$2:$I$22,4,FALSE),'20Trips'!$AB$46:$AH$50,6,FALSE))/1440),1,0)</f>
        <v>0</v>
      </c>
      <c r="T107" s="2">
        <f>IF(AND(VLOOKUP(T$1,'20Trips'!$A$3:$F$22,5,FALSE) - VLOOKUP($B107,'20Trips'!$A$3:$G$22,6,FALSE) &gt;= ('20Trips'!$B$26+VLOOKUP(VLOOKUP($B107,'20Trips'!$A$2:$I$22,4,FALSE),'20Trips'!$AB$46:$AH$50,6,FALSE))/1440),1,0)</f>
        <v>0</v>
      </c>
      <c r="U107" s="2">
        <f>IF(AND(VLOOKUP(U$1,'20Trips'!$A$3:$F$22,5,FALSE) - VLOOKUP($B107,'20Trips'!$A$3:$G$22,6,FALSE) &gt;= ('20Trips'!$B$26+VLOOKUP(VLOOKUP($B107,'20Trips'!$A$2:$I$22,4,FALSE),'20Trips'!$AB$46:$AH$50,6,FALSE))/1440),1,0)</f>
        <v>0</v>
      </c>
      <c r="V107" s="2">
        <f>IF(AND(VLOOKUP(V$1,'20Trips'!$A$3:$F$22,5,FALSE) - VLOOKUP($B107,'20Trips'!$A$3:$G$22,6,FALSE) &gt;= ('20Trips'!$B$26+VLOOKUP(VLOOKUP($B107,'20Trips'!$A$2:$I$22,4,FALSE),'20Trips'!$AB$46:$AH$50,6,FALSE))/1440),1,0)</f>
        <v>0</v>
      </c>
      <c r="W107" s="2" t="e">
        <f>IF(AND(VLOOKUP(W$1,'20Trips'!$A$3:$F$22,5,FALSE) - VLOOKUP($B107,'20Trips'!$A$3:$G$22,6,FALSE) &gt;= ('20Trips'!$B$26+VLOOKUP(VLOOKUP($B107,'20Trips'!$A$2:$I$22,4,FALSE),'20Trips'!$AB$46:$AH$50,6,FALSE))/1440),1,0)</f>
        <v>#N/A</v>
      </c>
      <c r="X107" s="2" t="e">
        <f>IF(AND(VLOOKUP(X$1,'20Trips'!$A$3:$F$22,5,FALSE) - VLOOKUP($B107,'20Trips'!$A$3:$G$22,6,FALSE) &gt;= ('20Trips'!$B$26+VLOOKUP(VLOOKUP($B107,'20Trips'!$A$2:$I$22,4,FALSE),'20Trips'!$AB$46:$AH$50,6,FALSE))/1440),1,0)</f>
        <v>#N/A</v>
      </c>
      <c r="Y107" s="2" t="e">
        <f>IF(AND(VLOOKUP(Y$1,'20Trips'!$A$3:$F$22,5,FALSE) - VLOOKUP($B107,'20Trips'!$A$3:$G$22,6,FALSE) &gt;= ('20Trips'!$B$26+VLOOKUP(VLOOKUP($B107,'20Trips'!$A$2:$I$22,4,FALSE),'20Trips'!$AB$46:$AH$50,6,FALSE))/1440),1,0)</f>
        <v>#N/A</v>
      </c>
      <c r="Z107" s="2">
        <f>IF(AND(VLOOKUP(Z$1,'20Trips'!$A$3:$F$22,5,FALSE) - VLOOKUP($B107,'20Trips'!$A$3:$G$22,6,FALSE) &gt;= ('20Trips'!$B$26+VLOOKUP(VLOOKUP($B107,'20Trips'!$A$2:$I$22,4,FALSE),'20Trips'!$AB$46:$AH$50,6,FALSE))/1440),1,0)</f>
        <v>0</v>
      </c>
      <c r="AA107" s="2">
        <f>IF(AND(VLOOKUP(AA$1,'20Trips'!$A$3:$F$22,5,FALSE) - VLOOKUP($B107,'20Trips'!$A$3:$G$22,6,FALSE) &gt;= ('20Trips'!$B$26+VLOOKUP(VLOOKUP($B107,'20Trips'!$A$2:$I$22,4,FALSE),'20Trips'!$AB$46:$AH$50,6,FALSE))/1440),1,0)</f>
        <v>0</v>
      </c>
      <c r="AB107" s="2">
        <f>IF(AND(VLOOKUP(AB$1,'20Trips'!$A$3:$F$22,5,FALSE) - VLOOKUP($B107,'20Trips'!$A$3:$G$22,6,FALSE) &gt;= ('20Trips'!$B$26+VLOOKUP(VLOOKUP($B107,'20Trips'!$A$2:$I$22,4,FALSE),'20Trips'!$AB$46:$AH$50,6,FALSE))/1440),1,0)</f>
        <v>0</v>
      </c>
      <c r="AC107" s="2">
        <f>IF(AND(VLOOKUP(AC$1,'20Trips'!$A$3:$F$22,5,FALSE) - VLOOKUP($B107,'20Trips'!$A$3:$G$22,6,FALSE) &gt;= ('20Trips'!$B$26+VLOOKUP(VLOOKUP($B107,'20Trips'!$A$2:$I$22,4,FALSE),'20Trips'!$AB$46:$AH$50,6,FALSE))/1440),1,0)</f>
        <v>0</v>
      </c>
      <c r="AD107" s="2">
        <f>IF(AND(VLOOKUP(AD$1,'20Trips'!$A$3:$F$22,5,FALSE) - VLOOKUP($B107,'20Trips'!$A$3:$G$22,6,FALSE) &gt;= ('20Trips'!$B$26+VLOOKUP(VLOOKUP($B107,'20Trips'!$A$2:$I$22,4,FALSE),'20Trips'!$AB$46:$AH$50,6,FALSE))/1440),1,0)</f>
        <v>0</v>
      </c>
      <c r="AE107" s="2" t="e">
        <f>IF(AND(VLOOKUP(AE$1,'20Trips'!$A$3:$F$22,5,FALSE) - VLOOKUP($B107,'20Trips'!$A$3:$G$22,6,FALSE) &gt;= ('20Trips'!$B$26+VLOOKUP(VLOOKUP($B107,'20Trips'!$A$2:$I$22,4,FALSE),'20Trips'!$AB$46:$AH$50,6,FALSE))/1440),1,0)</f>
        <v>#N/A</v>
      </c>
      <c r="AF107" s="2" t="e">
        <f>IF(AND(VLOOKUP(AF$1,'20Trips'!$A$3:$F$22,5,FALSE) - VLOOKUP($B107,'20Trips'!$A$3:$G$22,6,FALSE) &gt;= ('20Trips'!$B$26+VLOOKUP(VLOOKUP($B107,'20Trips'!$A$2:$I$22,4,FALSE),'20Trips'!$AB$46:$AH$50,6,FALSE))/1440),1,0)</f>
        <v>#N/A</v>
      </c>
      <c r="AG107" s="2" t="e">
        <f>IF(AND(VLOOKUP(AG$1,'20Trips'!$A$3:$F$22,5,FALSE) - VLOOKUP($B107,'20Trips'!$A$3:$G$22,6,FALSE) &gt;= ('20Trips'!$B$26+VLOOKUP(VLOOKUP($B107,'20Trips'!$A$2:$I$22,4,FALSE),'20Trips'!$AB$46:$AH$50,6,FALSE))/1440),1,0)</f>
        <v>#N/A</v>
      </c>
    </row>
    <row r="108" spans="1:33" x14ac:dyDescent="0.25">
      <c r="A108" t="s">
        <v>68</v>
      </c>
      <c r="B108" t="s">
        <v>23</v>
      </c>
      <c r="C108">
        <v>0</v>
      </c>
      <c r="D108" s="2">
        <f>IF(AND(VLOOKUP(D$1,'20Trips'!$A$3:$F$22,5,FALSE) - VLOOKUP($B108,'20Trips'!$A$3:$G$22,6,FALSE) &gt;= ('20Trips'!$B$26+VLOOKUP(VLOOKUP($B108,'20Trips'!$A$2:$I$22,4,FALSE),'20Trips'!$AB$46:$AH$50,6,FALSE))/1440),1,0)</f>
        <v>0</v>
      </c>
      <c r="E108" s="2">
        <f>IF(AND(VLOOKUP(E$1,'20Trips'!$A$3:$F$22,5,FALSE) - VLOOKUP($B108,'20Trips'!$A$3:$G$22,6,FALSE) &gt;= ('20Trips'!$B$26+VLOOKUP(VLOOKUP($B108,'20Trips'!$A$2:$I$22,4,FALSE),'20Trips'!$AB$46:$AH$50,6,FALSE))/1440),1,0)</f>
        <v>0</v>
      </c>
      <c r="F108" s="2">
        <f>IF(AND(VLOOKUP(F$1,'20Trips'!$A$3:$F$22,5,FALSE) - VLOOKUP($B108,'20Trips'!$A$3:$G$22,6,FALSE) &gt;= ('20Trips'!$B$26+VLOOKUP(VLOOKUP($B108,'20Trips'!$A$2:$I$22,4,FALSE),'20Trips'!$AB$46:$AH$50,6,FALSE))/1440),1,0)</f>
        <v>0</v>
      </c>
      <c r="G108" s="2">
        <f>IF(AND(VLOOKUP(G$1,'20Trips'!$A$3:$F$22,5,FALSE) - VLOOKUP($B108,'20Trips'!$A$3:$G$22,6,FALSE) &gt;= ('20Trips'!$B$26+VLOOKUP(VLOOKUP($B108,'20Trips'!$A$2:$I$22,4,FALSE),'20Trips'!$AB$46:$AH$50,6,FALSE))/1440),1,0)</f>
        <v>0</v>
      </c>
      <c r="H108" s="2">
        <f>IF(AND(VLOOKUP(H$1,'20Trips'!$A$3:$F$22,5,FALSE) - VLOOKUP($B108,'20Trips'!$A$3:$G$22,6,FALSE) &gt;= ('20Trips'!$B$26+VLOOKUP(VLOOKUP($B108,'20Trips'!$A$2:$I$22,4,FALSE),'20Trips'!$AB$46:$AH$50,6,FALSE))/1440),1,0)</f>
        <v>0</v>
      </c>
      <c r="I108" s="2" t="e">
        <f>IF(AND(VLOOKUP(I$1,'20Trips'!$A$3:$F$22,5,FALSE) - VLOOKUP($B108,'20Trips'!$A$3:$G$22,6,FALSE) &gt;= ('20Trips'!$B$26+VLOOKUP(VLOOKUP($B108,'20Trips'!$A$2:$I$22,4,FALSE),'20Trips'!$AB$46:$AH$50,6,FALSE))/1440),1,0)</f>
        <v>#N/A</v>
      </c>
      <c r="J108" s="2" t="e">
        <f>IF(AND(VLOOKUP(J$1,'20Trips'!$A$3:$F$22,5,FALSE) - VLOOKUP($B108,'20Trips'!$A$3:$G$22,6,FALSE) &gt;= ('20Trips'!$B$26+VLOOKUP(VLOOKUP($B108,'20Trips'!$A$2:$I$22,4,FALSE),'20Trips'!$AB$46:$AH$50,6,FALSE))/1440),1,0)</f>
        <v>#N/A</v>
      </c>
      <c r="K108" s="2" t="e">
        <f>IF(AND(VLOOKUP(K$1,'20Trips'!$A$3:$F$22,5,FALSE) - VLOOKUP($B108,'20Trips'!$A$3:$G$22,6,FALSE) &gt;= ('20Trips'!$B$26+VLOOKUP(VLOOKUP($B108,'20Trips'!$A$2:$I$22,4,FALSE),'20Trips'!$AB$46:$AH$50,6,FALSE))/1440),1,0)</f>
        <v>#N/A</v>
      </c>
      <c r="L108" s="2">
        <f>IF(AND(VLOOKUP(L$1,'20Trips'!$A$3:$F$22,5,FALSE) - VLOOKUP($B108,'20Trips'!$A$3:$G$22,6,FALSE) &gt;= ('20Trips'!$B$26+VLOOKUP(VLOOKUP($B108,'20Trips'!$A$2:$I$22,4,FALSE),'20Trips'!$AB$46:$AH$50,6,FALSE))/1440),1,0)</f>
        <v>0</v>
      </c>
      <c r="M108" s="2">
        <f>IF(AND(VLOOKUP(M$1,'20Trips'!$A$3:$F$22,5,FALSE) - VLOOKUP($B108,'20Trips'!$A$3:$G$22,6,FALSE) &gt;= ('20Trips'!$B$26+VLOOKUP(VLOOKUP($B108,'20Trips'!$A$2:$I$22,4,FALSE),'20Trips'!$AB$46:$AH$50,6,FALSE))/1440),1,0)</f>
        <v>0</v>
      </c>
      <c r="N108" s="2">
        <f>IF(AND(VLOOKUP(N$1,'20Trips'!$A$3:$F$22,5,FALSE) - VLOOKUP($B108,'20Trips'!$A$3:$G$22,6,FALSE) &gt;= ('20Trips'!$B$26+VLOOKUP(VLOOKUP($B108,'20Trips'!$A$2:$I$22,4,FALSE),'20Trips'!$AB$46:$AH$50,6,FALSE))/1440),1,0)</f>
        <v>0</v>
      </c>
      <c r="O108" s="2">
        <f>IF(AND(VLOOKUP(O$1,'20Trips'!$A$3:$F$22,5,FALSE) - VLOOKUP($B108,'20Trips'!$A$3:$G$22,6,FALSE) &gt;= ('20Trips'!$B$26+VLOOKUP(VLOOKUP($B108,'20Trips'!$A$2:$I$22,4,FALSE),'20Trips'!$AB$46:$AH$50,6,FALSE))/1440),1,0)</f>
        <v>0</v>
      </c>
      <c r="P108" s="2">
        <f>IF(AND(VLOOKUP(P$1,'20Trips'!$A$3:$F$22,5,FALSE) - VLOOKUP($B108,'20Trips'!$A$3:$G$22,6,FALSE) &gt;= ('20Trips'!$B$26+VLOOKUP(VLOOKUP($B108,'20Trips'!$A$2:$I$22,4,FALSE),'20Trips'!$AB$46:$AH$50,6,FALSE))/1440),1,0)</f>
        <v>0</v>
      </c>
      <c r="Q108" s="2" t="e">
        <f>IF(AND(VLOOKUP(Q$1,'20Trips'!$A$3:$F$22,5,FALSE) - VLOOKUP($B108,'20Trips'!$A$3:$G$22,6,FALSE) &gt;= ('20Trips'!$B$26+VLOOKUP(VLOOKUP($B108,'20Trips'!$A$2:$I$22,4,FALSE),'20Trips'!$AB$46:$AH$50,6,FALSE))/1440),1,0)</f>
        <v>#N/A</v>
      </c>
      <c r="R108" s="2">
        <f>IF(AND(VLOOKUP(R$1,'20Trips'!$A$3:$F$22,5,FALSE) - VLOOKUP($B108,'20Trips'!$A$3:$G$22,6,FALSE) &gt;= ('20Trips'!$B$26+VLOOKUP(VLOOKUP($B108,'20Trips'!$A$2:$I$22,4,FALSE),'20Trips'!$AB$46:$AH$50,6,FALSE))/1440),1,0)</f>
        <v>0</v>
      </c>
      <c r="S108" s="2">
        <f>IF(AND(VLOOKUP(S$1,'20Trips'!$A$3:$F$22,5,FALSE) - VLOOKUP($B108,'20Trips'!$A$3:$G$22,6,FALSE) &gt;= ('20Trips'!$B$26+VLOOKUP(VLOOKUP($B108,'20Trips'!$A$2:$I$22,4,FALSE),'20Trips'!$AB$46:$AH$50,6,FALSE))/1440),1,0)</f>
        <v>0</v>
      </c>
      <c r="T108" s="2">
        <f>IF(AND(VLOOKUP(T$1,'20Trips'!$A$3:$F$22,5,FALSE) - VLOOKUP($B108,'20Trips'!$A$3:$G$22,6,FALSE) &gt;= ('20Trips'!$B$26+VLOOKUP(VLOOKUP($B108,'20Trips'!$A$2:$I$22,4,FALSE),'20Trips'!$AB$46:$AH$50,6,FALSE))/1440),1,0)</f>
        <v>0</v>
      </c>
      <c r="U108" s="2">
        <f>IF(AND(VLOOKUP(U$1,'20Trips'!$A$3:$F$22,5,FALSE) - VLOOKUP($B108,'20Trips'!$A$3:$G$22,6,FALSE) &gt;= ('20Trips'!$B$26+VLOOKUP(VLOOKUP($B108,'20Trips'!$A$2:$I$22,4,FALSE),'20Trips'!$AB$46:$AH$50,6,FALSE))/1440),1,0)</f>
        <v>0</v>
      </c>
      <c r="V108" s="2">
        <f>IF(AND(VLOOKUP(V$1,'20Trips'!$A$3:$F$22,5,FALSE) - VLOOKUP($B108,'20Trips'!$A$3:$G$22,6,FALSE) &gt;= ('20Trips'!$B$26+VLOOKUP(VLOOKUP($B108,'20Trips'!$A$2:$I$22,4,FALSE),'20Trips'!$AB$46:$AH$50,6,FALSE))/1440),1,0)</f>
        <v>0</v>
      </c>
      <c r="W108" s="2" t="e">
        <f>IF(AND(VLOOKUP(W$1,'20Trips'!$A$3:$F$22,5,FALSE) - VLOOKUP($B108,'20Trips'!$A$3:$G$22,6,FALSE) &gt;= ('20Trips'!$B$26+VLOOKUP(VLOOKUP($B108,'20Trips'!$A$2:$I$22,4,FALSE),'20Trips'!$AB$46:$AH$50,6,FALSE))/1440),1,0)</f>
        <v>#N/A</v>
      </c>
      <c r="X108" s="2" t="e">
        <f>IF(AND(VLOOKUP(X$1,'20Trips'!$A$3:$F$22,5,FALSE) - VLOOKUP($B108,'20Trips'!$A$3:$G$22,6,FALSE) &gt;= ('20Trips'!$B$26+VLOOKUP(VLOOKUP($B108,'20Trips'!$A$2:$I$22,4,FALSE),'20Trips'!$AB$46:$AH$50,6,FALSE))/1440),1,0)</f>
        <v>#N/A</v>
      </c>
      <c r="Y108" s="2" t="e">
        <f>IF(AND(VLOOKUP(Y$1,'20Trips'!$A$3:$F$22,5,FALSE) - VLOOKUP($B108,'20Trips'!$A$3:$G$22,6,FALSE) &gt;= ('20Trips'!$B$26+VLOOKUP(VLOOKUP($B108,'20Trips'!$A$2:$I$22,4,FALSE),'20Trips'!$AB$46:$AH$50,6,FALSE))/1440),1,0)</f>
        <v>#N/A</v>
      </c>
      <c r="Z108" s="2">
        <f>IF(AND(VLOOKUP(Z$1,'20Trips'!$A$3:$F$22,5,FALSE) - VLOOKUP($B108,'20Trips'!$A$3:$G$22,6,FALSE) &gt;= ('20Trips'!$B$26+VLOOKUP(VLOOKUP($B108,'20Trips'!$A$2:$I$22,4,FALSE),'20Trips'!$AB$46:$AH$50,6,FALSE))/1440),1,0)</f>
        <v>0</v>
      </c>
      <c r="AA108" s="2">
        <f>IF(AND(VLOOKUP(AA$1,'20Trips'!$A$3:$F$22,5,FALSE) - VLOOKUP($B108,'20Trips'!$A$3:$G$22,6,FALSE) &gt;= ('20Trips'!$B$26+VLOOKUP(VLOOKUP($B108,'20Trips'!$A$2:$I$22,4,FALSE),'20Trips'!$AB$46:$AH$50,6,FALSE))/1440),1,0)</f>
        <v>0</v>
      </c>
      <c r="AB108" s="2">
        <f>IF(AND(VLOOKUP(AB$1,'20Trips'!$A$3:$F$22,5,FALSE) - VLOOKUP($B108,'20Trips'!$A$3:$G$22,6,FALSE) &gt;= ('20Trips'!$B$26+VLOOKUP(VLOOKUP($B108,'20Trips'!$A$2:$I$22,4,FALSE),'20Trips'!$AB$46:$AH$50,6,FALSE))/1440),1,0)</f>
        <v>0</v>
      </c>
      <c r="AC108" s="2">
        <f>IF(AND(VLOOKUP(AC$1,'20Trips'!$A$3:$F$22,5,FALSE) - VLOOKUP($B108,'20Trips'!$A$3:$G$22,6,FALSE) &gt;= ('20Trips'!$B$26+VLOOKUP(VLOOKUP($B108,'20Trips'!$A$2:$I$22,4,FALSE),'20Trips'!$AB$46:$AH$50,6,FALSE))/1440),1,0)</f>
        <v>0</v>
      </c>
      <c r="AD108" s="2">
        <f>IF(AND(VLOOKUP(AD$1,'20Trips'!$A$3:$F$22,5,FALSE) - VLOOKUP($B108,'20Trips'!$A$3:$G$22,6,FALSE) &gt;= ('20Trips'!$B$26+VLOOKUP(VLOOKUP($B108,'20Trips'!$A$2:$I$22,4,FALSE),'20Trips'!$AB$46:$AH$50,6,FALSE))/1440),1,0)</f>
        <v>0</v>
      </c>
      <c r="AE108" s="2" t="e">
        <f>IF(AND(VLOOKUP(AE$1,'20Trips'!$A$3:$F$22,5,FALSE) - VLOOKUP($B108,'20Trips'!$A$3:$G$22,6,FALSE) &gt;= ('20Trips'!$B$26+VLOOKUP(VLOOKUP($B108,'20Trips'!$A$2:$I$22,4,FALSE),'20Trips'!$AB$46:$AH$50,6,FALSE))/1440),1,0)</f>
        <v>#N/A</v>
      </c>
      <c r="AF108" s="2" t="e">
        <f>IF(AND(VLOOKUP(AF$1,'20Trips'!$A$3:$F$22,5,FALSE) - VLOOKUP($B108,'20Trips'!$A$3:$G$22,6,FALSE) &gt;= ('20Trips'!$B$26+VLOOKUP(VLOOKUP($B108,'20Trips'!$A$2:$I$22,4,FALSE),'20Trips'!$AB$46:$AH$50,6,FALSE))/1440),1,0)</f>
        <v>#N/A</v>
      </c>
      <c r="AG108" s="2" t="e">
        <f>IF(AND(VLOOKUP(AG$1,'20Trips'!$A$3:$F$22,5,FALSE) - VLOOKUP($B108,'20Trips'!$A$3:$G$22,6,FALSE) &gt;= ('20Trips'!$B$26+VLOOKUP(VLOOKUP($B108,'20Trips'!$A$2:$I$22,4,FALSE),'20Trips'!$AB$46:$AH$50,6,FALSE))/1440),1,0)</f>
        <v>#N/A</v>
      </c>
    </row>
    <row r="109" spans="1:33" x14ac:dyDescent="0.25">
      <c r="A109" t="s">
        <v>68</v>
      </c>
      <c r="B109" t="s">
        <v>24</v>
      </c>
      <c r="C109">
        <v>0</v>
      </c>
      <c r="D109" s="2" t="e">
        <f>IF(AND(VLOOKUP(D$1,'20Trips'!$A$3:$F$22,5,FALSE) - VLOOKUP($B109,'20Trips'!$A$3:$G$22,6,FALSE) &gt;= ('20Trips'!$B$26+VLOOKUP(VLOOKUP($B109,'20Trips'!$A$2:$I$22,4,FALSE),'20Trips'!$AB$46:$AH$50,6,FALSE))/1440),1,0)</f>
        <v>#N/A</v>
      </c>
      <c r="E109" s="2" t="e">
        <f>IF(AND(VLOOKUP(E$1,'20Trips'!$A$3:$F$22,5,FALSE) - VLOOKUP($B109,'20Trips'!$A$3:$G$22,6,FALSE) &gt;= ('20Trips'!$B$26+VLOOKUP(VLOOKUP($B109,'20Trips'!$A$2:$I$22,4,FALSE),'20Trips'!$AB$46:$AH$50,6,FALSE))/1440),1,0)</f>
        <v>#N/A</v>
      </c>
      <c r="F109" s="2" t="e">
        <f>IF(AND(VLOOKUP(F$1,'20Trips'!$A$3:$F$22,5,FALSE) - VLOOKUP($B109,'20Trips'!$A$3:$G$22,6,FALSE) &gt;= ('20Trips'!$B$26+VLOOKUP(VLOOKUP($B109,'20Trips'!$A$2:$I$22,4,FALSE),'20Trips'!$AB$46:$AH$50,6,FALSE))/1440),1,0)</f>
        <v>#N/A</v>
      </c>
      <c r="G109" s="2" t="e">
        <f>IF(AND(VLOOKUP(G$1,'20Trips'!$A$3:$F$22,5,FALSE) - VLOOKUP($B109,'20Trips'!$A$3:$G$22,6,FALSE) &gt;= ('20Trips'!$B$26+VLOOKUP(VLOOKUP($B109,'20Trips'!$A$2:$I$22,4,FALSE),'20Trips'!$AB$46:$AH$50,6,FALSE))/1440),1,0)</f>
        <v>#N/A</v>
      </c>
      <c r="H109" s="2" t="e">
        <f>IF(AND(VLOOKUP(H$1,'20Trips'!$A$3:$F$22,5,FALSE) - VLOOKUP($B109,'20Trips'!$A$3:$G$22,6,FALSE) &gt;= ('20Trips'!$B$26+VLOOKUP(VLOOKUP($B109,'20Trips'!$A$2:$I$22,4,FALSE),'20Trips'!$AB$46:$AH$50,6,FALSE))/1440),1,0)</f>
        <v>#N/A</v>
      </c>
      <c r="I109" s="2" t="e">
        <f>IF(AND(VLOOKUP(I$1,'20Trips'!$A$3:$F$22,5,FALSE) - VLOOKUP($B109,'20Trips'!$A$3:$G$22,6,FALSE) &gt;= ('20Trips'!$B$26+VLOOKUP(VLOOKUP($B109,'20Trips'!$A$2:$I$22,4,FALSE),'20Trips'!$AB$46:$AH$50,6,FALSE))/1440),1,0)</f>
        <v>#N/A</v>
      </c>
      <c r="J109" s="2" t="e">
        <f>IF(AND(VLOOKUP(J$1,'20Trips'!$A$3:$F$22,5,FALSE) - VLOOKUP($B109,'20Trips'!$A$3:$G$22,6,FALSE) &gt;= ('20Trips'!$B$26+VLOOKUP(VLOOKUP($B109,'20Trips'!$A$2:$I$22,4,FALSE),'20Trips'!$AB$46:$AH$50,6,FALSE))/1440),1,0)</f>
        <v>#N/A</v>
      </c>
      <c r="K109" s="2" t="e">
        <f>IF(AND(VLOOKUP(K$1,'20Trips'!$A$3:$F$22,5,FALSE) - VLOOKUP($B109,'20Trips'!$A$3:$G$22,6,FALSE) &gt;= ('20Trips'!$B$26+VLOOKUP(VLOOKUP($B109,'20Trips'!$A$2:$I$22,4,FALSE),'20Trips'!$AB$46:$AH$50,6,FALSE))/1440),1,0)</f>
        <v>#N/A</v>
      </c>
      <c r="L109" s="2" t="e">
        <f>IF(AND(VLOOKUP(L$1,'20Trips'!$A$3:$F$22,5,FALSE) - VLOOKUP($B109,'20Trips'!$A$3:$G$22,6,FALSE) &gt;= ('20Trips'!$B$26+VLOOKUP(VLOOKUP($B109,'20Trips'!$A$2:$I$22,4,FALSE),'20Trips'!$AB$46:$AH$50,6,FALSE))/1440),1,0)</f>
        <v>#N/A</v>
      </c>
      <c r="M109" s="2" t="e">
        <f>IF(AND(VLOOKUP(M$1,'20Trips'!$A$3:$F$22,5,FALSE) - VLOOKUP($B109,'20Trips'!$A$3:$G$22,6,FALSE) &gt;= ('20Trips'!$B$26+VLOOKUP(VLOOKUP($B109,'20Trips'!$A$2:$I$22,4,FALSE),'20Trips'!$AB$46:$AH$50,6,FALSE))/1440),1,0)</f>
        <v>#N/A</v>
      </c>
      <c r="N109" s="2" t="e">
        <f>IF(AND(VLOOKUP(N$1,'20Trips'!$A$3:$F$22,5,FALSE) - VLOOKUP($B109,'20Trips'!$A$3:$G$22,6,FALSE) &gt;= ('20Trips'!$B$26+VLOOKUP(VLOOKUP($B109,'20Trips'!$A$2:$I$22,4,FALSE),'20Trips'!$AB$46:$AH$50,6,FALSE))/1440),1,0)</f>
        <v>#N/A</v>
      </c>
      <c r="O109" s="2" t="e">
        <f>IF(AND(VLOOKUP(O$1,'20Trips'!$A$3:$F$22,5,FALSE) - VLOOKUP($B109,'20Trips'!$A$3:$G$22,6,FALSE) &gt;= ('20Trips'!$B$26+VLOOKUP(VLOOKUP($B109,'20Trips'!$A$2:$I$22,4,FALSE),'20Trips'!$AB$46:$AH$50,6,FALSE))/1440),1,0)</f>
        <v>#N/A</v>
      </c>
      <c r="P109" s="2" t="e">
        <f>IF(AND(VLOOKUP(P$1,'20Trips'!$A$3:$F$22,5,FALSE) - VLOOKUP($B109,'20Trips'!$A$3:$G$22,6,FALSE) &gt;= ('20Trips'!$B$26+VLOOKUP(VLOOKUP($B109,'20Trips'!$A$2:$I$22,4,FALSE),'20Trips'!$AB$46:$AH$50,6,FALSE))/1440),1,0)</f>
        <v>#N/A</v>
      </c>
      <c r="Q109" s="2" t="e">
        <f>IF(AND(VLOOKUP(Q$1,'20Trips'!$A$3:$F$22,5,FALSE) - VLOOKUP($B109,'20Trips'!$A$3:$G$22,6,FALSE) &gt;= ('20Trips'!$B$26+VLOOKUP(VLOOKUP($B109,'20Trips'!$A$2:$I$22,4,FALSE),'20Trips'!$AB$46:$AH$50,6,FALSE))/1440),1,0)</f>
        <v>#N/A</v>
      </c>
      <c r="R109" s="2" t="e">
        <f>IF(AND(VLOOKUP(R$1,'20Trips'!$A$3:$F$22,5,FALSE) - VLOOKUP($B109,'20Trips'!$A$3:$G$22,6,FALSE) &gt;= ('20Trips'!$B$26+VLOOKUP(VLOOKUP($B109,'20Trips'!$A$2:$I$22,4,FALSE),'20Trips'!$AB$46:$AH$50,6,FALSE))/1440),1,0)</f>
        <v>#N/A</v>
      </c>
      <c r="S109" s="2" t="e">
        <f>IF(AND(VLOOKUP(S$1,'20Trips'!$A$3:$F$22,5,FALSE) - VLOOKUP($B109,'20Trips'!$A$3:$G$22,6,FALSE) &gt;= ('20Trips'!$B$26+VLOOKUP(VLOOKUP($B109,'20Trips'!$A$2:$I$22,4,FALSE),'20Trips'!$AB$46:$AH$50,6,FALSE))/1440),1,0)</f>
        <v>#N/A</v>
      </c>
      <c r="T109" s="2" t="e">
        <f>IF(AND(VLOOKUP(T$1,'20Trips'!$A$3:$F$22,5,FALSE) - VLOOKUP($B109,'20Trips'!$A$3:$G$22,6,FALSE) &gt;= ('20Trips'!$B$26+VLOOKUP(VLOOKUP($B109,'20Trips'!$A$2:$I$22,4,FALSE),'20Trips'!$AB$46:$AH$50,6,FALSE))/1440),1,0)</f>
        <v>#N/A</v>
      </c>
      <c r="U109" s="2" t="e">
        <f>IF(AND(VLOOKUP(U$1,'20Trips'!$A$3:$F$22,5,FALSE) - VLOOKUP($B109,'20Trips'!$A$3:$G$22,6,FALSE) &gt;= ('20Trips'!$B$26+VLOOKUP(VLOOKUP($B109,'20Trips'!$A$2:$I$22,4,FALSE),'20Trips'!$AB$46:$AH$50,6,FALSE))/1440),1,0)</f>
        <v>#N/A</v>
      </c>
      <c r="V109" s="2" t="e">
        <f>IF(AND(VLOOKUP(V$1,'20Trips'!$A$3:$F$22,5,FALSE) - VLOOKUP($B109,'20Trips'!$A$3:$G$22,6,FALSE) &gt;= ('20Trips'!$B$26+VLOOKUP(VLOOKUP($B109,'20Trips'!$A$2:$I$22,4,FALSE),'20Trips'!$AB$46:$AH$50,6,FALSE))/1440),1,0)</f>
        <v>#N/A</v>
      </c>
      <c r="W109" s="2" t="e">
        <f>IF(AND(VLOOKUP(W$1,'20Trips'!$A$3:$F$22,5,FALSE) - VLOOKUP($B109,'20Trips'!$A$3:$G$22,6,FALSE) &gt;= ('20Trips'!$B$26+VLOOKUP(VLOOKUP($B109,'20Trips'!$A$2:$I$22,4,FALSE),'20Trips'!$AB$46:$AH$50,6,FALSE))/1440),1,0)</f>
        <v>#N/A</v>
      </c>
      <c r="X109" s="2" t="e">
        <f>IF(AND(VLOOKUP(X$1,'20Trips'!$A$3:$F$22,5,FALSE) - VLOOKUP($B109,'20Trips'!$A$3:$G$22,6,FALSE) &gt;= ('20Trips'!$B$26+VLOOKUP(VLOOKUP($B109,'20Trips'!$A$2:$I$22,4,FALSE),'20Trips'!$AB$46:$AH$50,6,FALSE))/1440),1,0)</f>
        <v>#N/A</v>
      </c>
      <c r="Y109" s="2" t="e">
        <f>IF(AND(VLOOKUP(Y$1,'20Trips'!$A$3:$F$22,5,FALSE) - VLOOKUP($B109,'20Trips'!$A$3:$G$22,6,FALSE) &gt;= ('20Trips'!$B$26+VLOOKUP(VLOOKUP($B109,'20Trips'!$A$2:$I$22,4,FALSE),'20Trips'!$AB$46:$AH$50,6,FALSE))/1440),1,0)</f>
        <v>#N/A</v>
      </c>
      <c r="Z109" s="2" t="e">
        <f>IF(AND(VLOOKUP(Z$1,'20Trips'!$A$3:$F$22,5,FALSE) - VLOOKUP($B109,'20Trips'!$A$3:$G$22,6,FALSE) &gt;= ('20Trips'!$B$26+VLOOKUP(VLOOKUP($B109,'20Trips'!$A$2:$I$22,4,FALSE),'20Trips'!$AB$46:$AH$50,6,FALSE))/1440),1,0)</f>
        <v>#N/A</v>
      </c>
      <c r="AA109" s="2" t="e">
        <f>IF(AND(VLOOKUP(AA$1,'20Trips'!$A$3:$F$22,5,FALSE) - VLOOKUP($B109,'20Trips'!$A$3:$G$22,6,FALSE) &gt;= ('20Trips'!$B$26+VLOOKUP(VLOOKUP($B109,'20Trips'!$A$2:$I$22,4,FALSE),'20Trips'!$AB$46:$AH$50,6,FALSE))/1440),1,0)</f>
        <v>#N/A</v>
      </c>
      <c r="AB109" s="2" t="e">
        <f>IF(AND(VLOOKUP(AB$1,'20Trips'!$A$3:$F$22,5,FALSE) - VLOOKUP($B109,'20Trips'!$A$3:$G$22,6,FALSE) &gt;= ('20Trips'!$B$26+VLOOKUP(VLOOKUP($B109,'20Trips'!$A$2:$I$22,4,FALSE),'20Trips'!$AB$46:$AH$50,6,FALSE))/1440),1,0)</f>
        <v>#N/A</v>
      </c>
      <c r="AC109" s="2" t="e">
        <f>IF(AND(VLOOKUP(AC$1,'20Trips'!$A$3:$F$22,5,FALSE) - VLOOKUP($B109,'20Trips'!$A$3:$G$22,6,FALSE) &gt;= ('20Trips'!$B$26+VLOOKUP(VLOOKUP($B109,'20Trips'!$A$2:$I$22,4,FALSE),'20Trips'!$AB$46:$AH$50,6,FALSE))/1440),1,0)</f>
        <v>#N/A</v>
      </c>
      <c r="AD109" s="2" t="e">
        <f>IF(AND(VLOOKUP(AD$1,'20Trips'!$A$3:$F$22,5,FALSE) - VLOOKUP($B109,'20Trips'!$A$3:$G$22,6,FALSE) &gt;= ('20Trips'!$B$26+VLOOKUP(VLOOKUP($B109,'20Trips'!$A$2:$I$22,4,FALSE),'20Trips'!$AB$46:$AH$50,6,FALSE))/1440),1,0)</f>
        <v>#N/A</v>
      </c>
      <c r="AE109" s="2" t="e">
        <f>IF(AND(VLOOKUP(AE$1,'20Trips'!$A$3:$F$22,5,FALSE) - VLOOKUP($B109,'20Trips'!$A$3:$G$22,6,FALSE) &gt;= ('20Trips'!$B$26+VLOOKUP(VLOOKUP($B109,'20Trips'!$A$2:$I$22,4,FALSE),'20Trips'!$AB$46:$AH$50,6,FALSE))/1440),1,0)</f>
        <v>#N/A</v>
      </c>
      <c r="AF109" s="2" t="e">
        <f>IF(AND(VLOOKUP(AF$1,'20Trips'!$A$3:$F$22,5,FALSE) - VLOOKUP($B109,'20Trips'!$A$3:$G$22,6,FALSE) &gt;= ('20Trips'!$B$26+VLOOKUP(VLOOKUP($B109,'20Trips'!$A$2:$I$22,4,FALSE),'20Trips'!$AB$46:$AH$50,6,FALSE))/1440),1,0)</f>
        <v>#N/A</v>
      </c>
      <c r="AG109" s="2" t="e">
        <f>IF(AND(VLOOKUP(AG$1,'20Trips'!$A$3:$F$22,5,FALSE) - VLOOKUP($B109,'20Trips'!$A$3:$G$22,6,FALSE) &gt;= ('20Trips'!$B$26+VLOOKUP(VLOOKUP($B109,'20Trips'!$A$2:$I$22,4,FALSE),'20Trips'!$AB$46:$AH$50,6,FALSE))/1440),1,0)</f>
        <v>#N/A</v>
      </c>
    </row>
    <row r="110" spans="1:33" x14ac:dyDescent="0.25">
      <c r="A110" t="s">
        <v>68</v>
      </c>
      <c r="B110" t="s">
        <v>26</v>
      </c>
      <c r="C110">
        <v>0</v>
      </c>
      <c r="D110" s="2">
        <f>IF(AND(VLOOKUP(D$1,'20Trips'!$A$3:$F$22,5,FALSE) - VLOOKUP($B110,'20Trips'!$A$3:$G$22,6,FALSE) &gt;= ('20Trips'!$B$26+VLOOKUP(VLOOKUP($B110,'20Trips'!$A$2:$I$22,4,FALSE),'20Trips'!$AB$46:$AH$50,6,FALSE))/1440),1,0)</f>
        <v>0</v>
      </c>
      <c r="E110" s="2">
        <f>IF(AND(VLOOKUP(E$1,'20Trips'!$A$3:$F$22,5,FALSE) - VLOOKUP($B110,'20Trips'!$A$3:$G$22,6,FALSE) &gt;= ('20Trips'!$B$26+VLOOKUP(VLOOKUP($B110,'20Trips'!$A$2:$I$22,4,FALSE),'20Trips'!$AB$46:$AH$50,6,FALSE))/1440),1,0)</f>
        <v>0</v>
      </c>
      <c r="F110" s="2">
        <f>IF(AND(VLOOKUP(F$1,'20Trips'!$A$3:$F$22,5,FALSE) - VLOOKUP($B110,'20Trips'!$A$3:$G$22,6,FALSE) &gt;= ('20Trips'!$B$26+VLOOKUP(VLOOKUP($B110,'20Trips'!$A$2:$I$22,4,FALSE),'20Trips'!$AB$46:$AH$50,6,FALSE))/1440),1,0)</f>
        <v>1</v>
      </c>
      <c r="G110" s="2">
        <f>IF(AND(VLOOKUP(G$1,'20Trips'!$A$3:$F$22,5,FALSE) - VLOOKUP($B110,'20Trips'!$A$3:$G$22,6,FALSE) &gt;= ('20Trips'!$B$26+VLOOKUP(VLOOKUP($B110,'20Trips'!$A$2:$I$22,4,FALSE),'20Trips'!$AB$46:$AH$50,6,FALSE))/1440),1,0)</f>
        <v>1</v>
      </c>
      <c r="H110" s="2">
        <f>IF(AND(VLOOKUP(H$1,'20Trips'!$A$3:$F$22,5,FALSE) - VLOOKUP($B110,'20Trips'!$A$3:$G$22,6,FALSE) &gt;= ('20Trips'!$B$26+VLOOKUP(VLOOKUP($B110,'20Trips'!$A$2:$I$22,4,FALSE),'20Trips'!$AB$46:$AH$50,6,FALSE))/1440),1,0)</f>
        <v>1</v>
      </c>
      <c r="I110" s="2" t="e">
        <f>IF(AND(VLOOKUP(I$1,'20Trips'!$A$3:$F$22,5,FALSE) - VLOOKUP($B110,'20Trips'!$A$3:$G$22,6,FALSE) &gt;= ('20Trips'!$B$26+VLOOKUP(VLOOKUP($B110,'20Trips'!$A$2:$I$22,4,FALSE),'20Trips'!$AB$46:$AH$50,6,FALSE))/1440),1,0)</f>
        <v>#N/A</v>
      </c>
      <c r="J110" s="2" t="e">
        <f>IF(AND(VLOOKUP(J$1,'20Trips'!$A$3:$F$22,5,FALSE) - VLOOKUP($B110,'20Trips'!$A$3:$G$22,6,FALSE) &gt;= ('20Trips'!$B$26+VLOOKUP(VLOOKUP($B110,'20Trips'!$A$2:$I$22,4,FALSE),'20Trips'!$AB$46:$AH$50,6,FALSE))/1440),1,0)</f>
        <v>#N/A</v>
      </c>
      <c r="K110" s="2" t="e">
        <f>IF(AND(VLOOKUP(K$1,'20Trips'!$A$3:$F$22,5,FALSE) - VLOOKUP($B110,'20Trips'!$A$3:$G$22,6,FALSE) &gt;= ('20Trips'!$B$26+VLOOKUP(VLOOKUP($B110,'20Trips'!$A$2:$I$22,4,FALSE),'20Trips'!$AB$46:$AH$50,6,FALSE))/1440),1,0)</f>
        <v>#N/A</v>
      </c>
      <c r="L110" s="2">
        <f>IF(AND(VLOOKUP(L$1,'20Trips'!$A$3:$F$22,5,FALSE) - VLOOKUP($B110,'20Trips'!$A$3:$G$22,6,FALSE) &gt;= ('20Trips'!$B$26+VLOOKUP(VLOOKUP($B110,'20Trips'!$A$2:$I$22,4,FALSE),'20Trips'!$AB$46:$AH$50,6,FALSE))/1440),1,0)</f>
        <v>0</v>
      </c>
      <c r="M110" s="2">
        <f>IF(AND(VLOOKUP(M$1,'20Trips'!$A$3:$F$22,5,FALSE) - VLOOKUP($B110,'20Trips'!$A$3:$G$22,6,FALSE) &gt;= ('20Trips'!$B$26+VLOOKUP(VLOOKUP($B110,'20Trips'!$A$2:$I$22,4,FALSE),'20Trips'!$AB$46:$AH$50,6,FALSE))/1440),1,0)</f>
        <v>0</v>
      </c>
      <c r="N110" s="2">
        <f>IF(AND(VLOOKUP(N$1,'20Trips'!$A$3:$F$22,5,FALSE) - VLOOKUP($B110,'20Trips'!$A$3:$G$22,6,FALSE) &gt;= ('20Trips'!$B$26+VLOOKUP(VLOOKUP($B110,'20Trips'!$A$2:$I$22,4,FALSE),'20Trips'!$AB$46:$AH$50,6,FALSE))/1440),1,0)</f>
        <v>0</v>
      </c>
      <c r="O110" s="2">
        <f>IF(AND(VLOOKUP(O$1,'20Trips'!$A$3:$F$22,5,FALSE) - VLOOKUP($B110,'20Trips'!$A$3:$G$22,6,FALSE) &gt;= ('20Trips'!$B$26+VLOOKUP(VLOOKUP($B110,'20Trips'!$A$2:$I$22,4,FALSE),'20Trips'!$AB$46:$AH$50,6,FALSE))/1440),1,0)</f>
        <v>1</v>
      </c>
      <c r="P110" s="2">
        <f>IF(AND(VLOOKUP(P$1,'20Trips'!$A$3:$F$22,5,FALSE) - VLOOKUP($B110,'20Trips'!$A$3:$G$22,6,FALSE) &gt;= ('20Trips'!$B$26+VLOOKUP(VLOOKUP($B110,'20Trips'!$A$2:$I$22,4,FALSE),'20Trips'!$AB$46:$AH$50,6,FALSE))/1440),1,0)</f>
        <v>1</v>
      </c>
      <c r="Q110" s="2" t="e">
        <f>IF(AND(VLOOKUP(Q$1,'20Trips'!$A$3:$F$22,5,FALSE) - VLOOKUP($B110,'20Trips'!$A$3:$G$22,6,FALSE) &gt;= ('20Trips'!$B$26+VLOOKUP(VLOOKUP($B110,'20Trips'!$A$2:$I$22,4,FALSE),'20Trips'!$AB$46:$AH$50,6,FALSE))/1440),1,0)</f>
        <v>#N/A</v>
      </c>
      <c r="R110" s="2">
        <f>IF(AND(VLOOKUP(R$1,'20Trips'!$A$3:$F$22,5,FALSE) - VLOOKUP($B110,'20Trips'!$A$3:$G$22,6,FALSE) &gt;= ('20Trips'!$B$26+VLOOKUP(VLOOKUP($B110,'20Trips'!$A$2:$I$22,4,FALSE),'20Trips'!$AB$46:$AH$50,6,FALSE))/1440),1,0)</f>
        <v>0</v>
      </c>
      <c r="S110" s="2">
        <f>IF(AND(VLOOKUP(S$1,'20Trips'!$A$3:$F$22,5,FALSE) - VLOOKUP($B110,'20Trips'!$A$3:$G$22,6,FALSE) &gt;= ('20Trips'!$B$26+VLOOKUP(VLOOKUP($B110,'20Trips'!$A$2:$I$22,4,FALSE),'20Trips'!$AB$46:$AH$50,6,FALSE))/1440),1,0)</f>
        <v>0</v>
      </c>
      <c r="T110" s="2">
        <f>IF(AND(VLOOKUP(T$1,'20Trips'!$A$3:$F$22,5,FALSE) - VLOOKUP($B110,'20Trips'!$A$3:$G$22,6,FALSE) &gt;= ('20Trips'!$B$26+VLOOKUP(VLOOKUP($B110,'20Trips'!$A$2:$I$22,4,FALSE),'20Trips'!$AB$46:$AH$50,6,FALSE))/1440),1,0)</f>
        <v>0</v>
      </c>
      <c r="U110" s="2">
        <f>IF(AND(VLOOKUP(U$1,'20Trips'!$A$3:$F$22,5,FALSE) - VLOOKUP($B110,'20Trips'!$A$3:$G$22,6,FALSE) &gt;= ('20Trips'!$B$26+VLOOKUP(VLOOKUP($B110,'20Trips'!$A$2:$I$22,4,FALSE),'20Trips'!$AB$46:$AH$50,6,FALSE))/1440),1,0)</f>
        <v>1</v>
      </c>
      <c r="V110" s="2">
        <f>IF(AND(VLOOKUP(V$1,'20Trips'!$A$3:$F$22,5,FALSE) - VLOOKUP($B110,'20Trips'!$A$3:$G$22,6,FALSE) &gt;= ('20Trips'!$B$26+VLOOKUP(VLOOKUP($B110,'20Trips'!$A$2:$I$22,4,FALSE),'20Trips'!$AB$46:$AH$50,6,FALSE))/1440),1,0)</f>
        <v>1</v>
      </c>
      <c r="W110" s="2" t="e">
        <f>IF(AND(VLOOKUP(W$1,'20Trips'!$A$3:$F$22,5,FALSE) - VLOOKUP($B110,'20Trips'!$A$3:$G$22,6,FALSE) &gt;= ('20Trips'!$B$26+VLOOKUP(VLOOKUP($B110,'20Trips'!$A$2:$I$22,4,FALSE),'20Trips'!$AB$46:$AH$50,6,FALSE))/1440),1,0)</f>
        <v>#N/A</v>
      </c>
      <c r="X110" s="2" t="e">
        <f>IF(AND(VLOOKUP(X$1,'20Trips'!$A$3:$F$22,5,FALSE) - VLOOKUP($B110,'20Trips'!$A$3:$G$22,6,FALSE) &gt;= ('20Trips'!$B$26+VLOOKUP(VLOOKUP($B110,'20Trips'!$A$2:$I$22,4,FALSE),'20Trips'!$AB$46:$AH$50,6,FALSE))/1440),1,0)</f>
        <v>#N/A</v>
      </c>
      <c r="Y110" s="2" t="e">
        <f>IF(AND(VLOOKUP(Y$1,'20Trips'!$A$3:$F$22,5,FALSE) - VLOOKUP($B110,'20Trips'!$A$3:$G$22,6,FALSE) &gt;= ('20Trips'!$B$26+VLOOKUP(VLOOKUP($B110,'20Trips'!$A$2:$I$22,4,FALSE),'20Trips'!$AB$46:$AH$50,6,FALSE))/1440),1,0)</f>
        <v>#N/A</v>
      </c>
      <c r="Z110" s="2">
        <f>IF(AND(VLOOKUP(Z$1,'20Trips'!$A$3:$F$22,5,FALSE) - VLOOKUP($B110,'20Trips'!$A$3:$G$22,6,FALSE) &gt;= ('20Trips'!$B$26+VLOOKUP(VLOOKUP($B110,'20Trips'!$A$2:$I$22,4,FALSE),'20Trips'!$AB$46:$AH$50,6,FALSE))/1440),1,0)</f>
        <v>0</v>
      </c>
      <c r="AA110" s="2">
        <f>IF(AND(VLOOKUP(AA$1,'20Trips'!$A$3:$F$22,5,FALSE) - VLOOKUP($B110,'20Trips'!$A$3:$G$22,6,FALSE) &gt;= ('20Trips'!$B$26+VLOOKUP(VLOOKUP($B110,'20Trips'!$A$2:$I$22,4,FALSE),'20Trips'!$AB$46:$AH$50,6,FALSE))/1440),1,0)</f>
        <v>0</v>
      </c>
      <c r="AB110" s="2">
        <f>IF(AND(VLOOKUP(AB$1,'20Trips'!$A$3:$F$22,5,FALSE) - VLOOKUP($B110,'20Trips'!$A$3:$G$22,6,FALSE) &gt;= ('20Trips'!$B$26+VLOOKUP(VLOOKUP($B110,'20Trips'!$A$2:$I$22,4,FALSE),'20Trips'!$AB$46:$AH$50,6,FALSE))/1440),1,0)</f>
        <v>1</v>
      </c>
      <c r="AC110" s="2">
        <f>IF(AND(VLOOKUP(AC$1,'20Trips'!$A$3:$F$22,5,FALSE) - VLOOKUP($B110,'20Trips'!$A$3:$G$22,6,FALSE) &gt;= ('20Trips'!$B$26+VLOOKUP(VLOOKUP($B110,'20Trips'!$A$2:$I$22,4,FALSE),'20Trips'!$AB$46:$AH$50,6,FALSE))/1440),1,0)</f>
        <v>1</v>
      </c>
      <c r="AD110" s="2">
        <f>IF(AND(VLOOKUP(AD$1,'20Trips'!$A$3:$F$22,5,FALSE) - VLOOKUP($B110,'20Trips'!$A$3:$G$22,6,FALSE) &gt;= ('20Trips'!$B$26+VLOOKUP(VLOOKUP($B110,'20Trips'!$A$2:$I$22,4,FALSE),'20Trips'!$AB$46:$AH$50,6,FALSE))/1440),1,0)</f>
        <v>1</v>
      </c>
      <c r="AE110" s="2" t="e">
        <f>IF(AND(VLOOKUP(AE$1,'20Trips'!$A$3:$F$22,5,FALSE) - VLOOKUP($B110,'20Trips'!$A$3:$G$22,6,FALSE) &gt;= ('20Trips'!$B$26+VLOOKUP(VLOOKUP($B110,'20Trips'!$A$2:$I$22,4,FALSE),'20Trips'!$AB$46:$AH$50,6,FALSE))/1440),1,0)</f>
        <v>#N/A</v>
      </c>
      <c r="AF110" s="2" t="e">
        <f>IF(AND(VLOOKUP(AF$1,'20Trips'!$A$3:$F$22,5,FALSE) - VLOOKUP($B110,'20Trips'!$A$3:$G$22,6,FALSE) &gt;= ('20Trips'!$B$26+VLOOKUP(VLOOKUP($B110,'20Trips'!$A$2:$I$22,4,FALSE),'20Trips'!$AB$46:$AH$50,6,FALSE))/1440),1,0)</f>
        <v>#N/A</v>
      </c>
      <c r="AG110" s="2" t="e">
        <f>IF(AND(VLOOKUP(AG$1,'20Trips'!$A$3:$F$22,5,FALSE) - VLOOKUP($B110,'20Trips'!$A$3:$G$22,6,FALSE) &gt;= ('20Trips'!$B$26+VLOOKUP(VLOOKUP($B110,'20Trips'!$A$2:$I$22,4,FALSE),'20Trips'!$AB$46:$AH$50,6,FALSE))/1440),1,0)</f>
        <v>#N/A</v>
      </c>
    </row>
    <row r="111" spans="1:33" x14ac:dyDescent="0.25">
      <c r="A111" t="s">
        <v>68</v>
      </c>
      <c r="B111" t="s">
        <v>27</v>
      </c>
      <c r="C111">
        <v>0</v>
      </c>
      <c r="D111" s="2">
        <f>IF(AND(VLOOKUP(D$1,'20Trips'!$A$3:$F$22,5,FALSE) - VLOOKUP($B111,'20Trips'!$A$3:$G$22,6,FALSE) &gt;= ('20Trips'!$B$26+VLOOKUP(VLOOKUP($B111,'20Trips'!$A$2:$I$22,4,FALSE),'20Trips'!$AB$46:$AH$50,6,FALSE))/1440),1,0)</f>
        <v>0</v>
      </c>
      <c r="E111" s="2">
        <f>IF(AND(VLOOKUP(E$1,'20Trips'!$A$3:$F$22,5,FALSE) - VLOOKUP($B111,'20Trips'!$A$3:$G$22,6,FALSE) &gt;= ('20Trips'!$B$26+VLOOKUP(VLOOKUP($B111,'20Trips'!$A$2:$I$22,4,FALSE),'20Trips'!$AB$46:$AH$50,6,FALSE))/1440),1,0)</f>
        <v>0</v>
      </c>
      <c r="F111" s="2">
        <f>IF(AND(VLOOKUP(F$1,'20Trips'!$A$3:$F$22,5,FALSE) - VLOOKUP($B111,'20Trips'!$A$3:$G$22,6,FALSE) &gt;= ('20Trips'!$B$26+VLOOKUP(VLOOKUP($B111,'20Trips'!$A$2:$I$22,4,FALSE),'20Trips'!$AB$46:$AH$50,6,FALSE))/1440),1,0)</f>
        <v>0</v>
      </c>
      <c r="G111" s="2">
        <f>IF(AND(VLOOKUP(G$1,'20Trips'!$A$3:$F$22,5,FALSE) - VLOOKUP($B111,'20Trips'!$A$3:$G$22,6,FALSE) &gt;= ('20Trips'!$B$26+VLOOKUP(VLOOKUP($B111,'20Trips'!$A$2:$I$22,4,FALSE),'20Trips'!$AB$46:$AH$50,6,FALSE))/1440),1,0)</f>
        <v>1</v>
      </c>
      <c r="H111" s="2">
        <f>IF(AND(VLOOKUP(H$1,'20Trips'!$A$3:$F$22,5,FALSE) - VLOOKUP($B111,'20Trips'!$A$3:$G$22,6,FALSE) &gt;= ('20Trips'!$B$26+VLOOKUP(VLOOKUP($B111,'20Trips'!$A$2:$I$22,4,FALSE),'20Trips'!$AB$46:$AH$50,6,FALSE))/1440),1,0)</f>
        <v>1</v>
      </c>
      <c r="I111" s="2" t="e">
        <f>IF(AND(VLOOKUP(I$1,'20Trips'!$A$3:$F$22,5,FALSE) - VLOOKUP($B111,'20Trips'!$A$3:$G$22,6,FALSE) &gt;= ('20Trips'!$B$26+VLOOKUP(VLOOKUP($B111,'20Trips'!$A$2:$I$22,4,FALSE),'20Trips'!$AB$46:$AH$50,6,FALSE))/1440),1,0)</f>
        <v>#N/A</v>
      </c>
      <c r="J111" s="2" t="e">
        <f>IF(AND(VLOOKUP(J$1,'20Trips'!$A$3:$F$22,5,FALSE) - VLOOKUP($B111,'20Trips'!$A$3:$G$22,6,FALSE) &gt;= ('20Trips'!$B$26+VLOOKUP(VLOOKUP($B111,'20Trips'!$A$2:$I$22,4,FALSE),'20Trips'!$AB$46:$AH$50,6,FALSE))/1440),1,0)</f>
        <v>#N/A</v>
      </c>
      <c r="K111" s="2" t="e">
        <f>IF(AND(VLOOKUP(K$1,'20Trips'!$A$3:$F$22,5,FALSE) - VLOOKUP($B111,'20Trips'!$A$3:$G$22,6,FALSE) &gt;= ('20Trips'!$B$26+VLOOKUP(VLOOKUP($B111,'20Trips'!$A$2:$I$22,4,FALSE),'20Trips'!$AB$46:$AH$50,6,FALSE))/1440),1,0)</f>
        <v>#N/A</v>
      </c>
      <c r="L111" s="2">
        <f>IF(AND(VLOOKUP(L$1,'20Trips'!$A$3:$F$22,5,FALSE) - VLOOKUP($B111,'20Trips'!$A$3:$G$22,6,FALSE) &gt;= ('20Trips'!$B$26+VLOOKUP(VLOOKUP($B111,'20Trips'!$A$2:$I$22,4,FALSE),'20Trips'!$AB$46:$AH$50,6,FALSE))/1440),1,0)</f>
        <v>0</v>
      </c>
      <c r="M111" s="2">
        <f>IF(AND(VLOOKUP(M$1,'20Trips'!$A$3:$F$22,5,FALSE) - VLOOKUP($B111,'20Trips'!$A$3:$G$22,6,FALSE) &gt;= ('20Trips'!$B$26+VLOOKUP(VLOOKUP($B111,'20Trips'!$A$2:$I$22,4,FALSE),'20Trips'!$AB$46:$AH$50,6,FALSE))/1440),1,0)</f>
        <v>0</v>
      </c>
      <c r="N111" s="2">
        <f>IF(AND(VLOOKUP(N$1,'20Trips'!$A$3:$F$22,5,FALSE) - VLOOKUP($B111,'20Trips'!$A$3:$G$22,6,FALSE) &gt;= ('20Trips'!$B$26+VLOOKUP(VLOOKUP($B111,'20Trips'!$A$2:$I$22,4,FALSE),'20Trips'!$AB$46:$AH$50,6,FALSE))/1440),1,0)</f>
        <v>0</v>
      </c>
      <c r="O111" s="2">
        <f>IF(AND(VLOOKUP(O$1,'20Trips'!$A$3:$F$22,5,FALSE) - VLOOKUP($B111,'20Trips'!$A$3:$G$22,6,FALSE) &gt;= ('20Trips'!$B$26+VLOOKUP(VLOOKUP($B111,'20Trips'!$A$2:$I$22,4,FALSE),'20Trips'!$AB$46:$AH$50,6,FALSE))/1440),1,0)</f>
        <v>1</v>
      </c>
      <c r="P111" s="2">
        <f>IF(AND(VLOOKUP(P$1,'20Trips'!$A$3:$F$22,5,FALSE) - VLOOKUP($B111,'20Trips'!$A$3:$G$22,6,FALSE) &gt;= ('20Trips'!$B$26+VLOOKUP(VLOOKUP($B111,'20Trips'!$A$2:$I$22,4,FALSE),'20Trips'!$AB$46:$AH$50,6,FALSE))/1440),1,0)</f>
        <v>1</v>
      </c>
      <c r="Q111" s="2" t="e">
        <f>IF(AND(VLOOKUP(Q$1,'20Trips'!$A$3:$F$22,5,FALSE) - VLOOKUP($B111,'20Trips'!$A$3:$G$22,6,FALSE) &gt;= ('20Trips'!$B$26+VLOOKUP(VLOOKUP($B111,'20Trips'!$A$2:$I$22,4,FALSE),'20Trips'!$AB$46:$AH$50,6,FALSE))/1440),1,0)</f>
        <v>#N/A</v>
      </c>
      <c r="R111" s="2">
        <f>IF(AND(VLOOKUP(R$1,'20Trips'!$A$3:$F$22,5,FALSE) - VLOOKUP($B111,'20Trips'!$A$3:$G$22,6,FALSE) &gt;= ('20Trips'!$B$26+VLOOKUP(VLOOKUP($B111,'20Trips'!$A$2:$I$22,4,FALSE),'20Trips'!$AB$46:$AH$50,6,FALSE))/1440),1,0)</f>
        <v>0</v>
      </c>
      <c r="S111" s="2">
        <f>IF(AND(VLOOKUP(S$1,'20Trips'!$A$3:$F$22,5,FALSE) - VLOOKUP($B111,'20Trips'!$A$3:$G$22,6,FALSE) &gt;= ('20Trips'!$B$26+VLOOKUP(VLOOKUP($B111,'20Trips'!$A$2:$I$22,4,FALSE),'20Trips'!$AB$46:$AH$50,6,FALSE))/1440),1,0)</f>
        <v>0</v>
      </c>
      <c r="T111" s="2">
        <f>IF(AND(VLOOKUP(T$1,'20Trips'!$A$3:$F$22,5,FALSE) - VLOOKUP($B111,'20Trips'!$A$3:$G$22,6,FALSE) &gt;= ('20Trips'!$B$26+VLOOKUP(VLOOKUP($B111,'20Trips'!$A$2:$I$22,4,FALSE),'20Trips'!$AB$46:$AH$50,6,FALSE))/1440),1,0)</f>
        <v>0</v>
      </c>
      <c r="U111" s="2">
        <f>IF(AND(VLOOKUP(U$1,'20Trips'!$A$3:$F$22,5,FALSE) - VLOOKUP($B111,'20Trips'!$A$3:$G$22,6,FALSE) &gt;= ('20Trips'!$B$26+VLOOKUP(VLOOKUP($B111,'20Trips'!$A$2:$I$22,4,FALSE),'20Trips'!$AB$46:$AH$50,6,FALSE))/1440),1,0)</f>
        <v>0</v>
      </c>
      <c r="V111" s="2">
        <f>IF(AND(VLOOKUP(V$1,'20Trips'!$A$3:$F$22,5,FALSE) - VLOOKUP($B111,'20Trips'!$A$3:$G$22,6,FALSE) &gt;= ('20Trips'!$B$26+VLOOKUP(VLOOKUP($B111,'20Trips'!$A$2:$I$22,4,FALSE),'20Trips'!$AB$46:$AH$50,6,FALSE))/1440),1,0)</f>
        <v>1</v>
      </c>
      <c r="W111" s="2" t="e">
        <f>IF(AND(VLOOKUP(W$1,'20Trips'!$A$3:$F$22,5,FALSE) - VLOOKUP($B111,'20Trips'!$A$3:$G$22,6,FALSE) &gt;= ('20Trips'!$B$26+VLOOKUP(VLOOKUP($B111,'20Trips'!$A$2:$I$22,4,FALSE),'20Trips'!$AB$46:$AH$50,6,FALSE))/1440),1,0)</f>
        <v>#N/A</v>
      </c>
      <c r="X111" s="2" t="e">
        <f>IF(AND(VLOOKUP(X$1,'20Trips'!$A$3:$F$22,5,FALSE) - VLOOKUP($B111,'20Trips'!$A$3:$G$22,6,FALSE) &gt;= ('20Trips'!$B$26+VLOOKUP(VLOOKUP($B111,'20Trips'!$A$2:$I$22,4,FALSE),'20Trips'!$AB$46:$AH$50,6,FALSE))/1440),1,0)</f>
        <v>#N/A</v>
      </c>
      <c r="Y111" s="2" t="e">
        <f>IF(AND(VLOOKUP(Y$1,'20Trips'!$A$3:$F$22,5,FALSE) - VLOOKUP($B111,'20Trips'!$A$3:$G$22,6,FALSE) &gt;= ('20Trips'!$B$26+VLOOKUP(VLOOKUP($B111,'20Trips'!$A$2:$I$22,4,FALSE),'20Trips'!$AB$46:$AH$50,6,FALSE))/1440),1,0)</f>
        <v>#N/A</v>
      </c>
      <c r="Z111" s="2">
        <f>IF(AND(VLOOKUP(Z$1,'20Trips'!$A$3:$F$22,5,FALSE) - VLOOKUP($B111,'20Trips'!$A$3:$G$22,6,FALSE) &gt;= ('20Trips'!$B$26+VLOOKUP(VLOOKUP($B111,'20Trips'!$A$2:$I$22,4,FALSE),'20Trips'!$AB$46:$AH$50,6,FALSE))/1440),1,0)</f>
        <v>0</v>
      </c>
      <c r="AA111" s="2">
        <f>IF(AND(VLOOKUP(AA$1,'20Trips'!$A$3:$F$22,5,FALSE) - VLOOKUP($B111,'20Trips'!$A$3:$G$22,6,FALSE) &gt;= ('20Trips'!$B$26+VLOOKUP(VLOOKUP($B111,'20Trips'!$A$2:$I$22,4,FALSE),'20Trips'!$AB$46:$AH$50,6,FALSE))/1440),1,0)</f>
        <v>0</v>
      </c>
      <c r="AB111" s="2">
        <f>IF(AND(VLOOKUP(AB$1,'20Trips'!$A$3:$F$22,5,FALSE) - VLOOKUP($B111,'20Trips'!$A$3:$G$22,6,FALSE) &gt;= ('20Trips'!$B$26+VLOOKUP(VLOOKUP($B111,'20Trips'!$A$2:$I$22,4,FALSE),'20Trips'!$AB$46:$AH$50,6,FALSE))/1440),1,0)</f>
        <v>0</v>
      </c>
      <c r="AC111" s="2">
        <f>IF(AND(VLOOKUP(AC$1,'20Trips'!$A$3:$F$22,5,FALSE) - VLOOKUP($B111,'20Trips'!$A$3:$G$22,6,FALSE) &gt;= ('20Trips'!$B$26+VLOOKUP(VLOOKUP($B111,'20Trips'!$A$2:$I$22,4,FALSE),'20Trips'!$AB$46:$AH$50,6,FALSE))/1440),1,0)</f>
        <v>1</v>
      </c>
      <c r="AD111" s="2">
        <f>IF(AND(VLOOKUP(AD$1,'20Trips'!$A$3:$F$22,5,FALSE) - VLOOKUP($B111,'20Trips'!$A$3:$G$22,6,FALSE) &gt;= ('20Trips'!$B$26+VLOOKUP(VLOOKUP($B111,'20Trips'!$A$2:$I$22,4,FALSE),'20Trips'!$AB$46:$AH$50,6,FALSE))/1440),1,0)</f>
        <v>1</v>
      </c>
      <c r="AE111" s="2" t="e">
        <f>IF(AND(VLOOKUP(AE$1,'20Trips'!$A$3:$F$22,5,FALSE) - VLOOKUP($B111,'20Trips'!$A$3:$G$22,6,FALSE) &gt;= ('20Trips'!$B$26+VLOOKUP(VLOOKUP($B111,'20Trips'!$A$2:$I$22,4,FALSE),'20Trips'!$AB$46:$AH$50,6,FALSE))/1440),1,0)</f>
        <v>#N/A</v>
      </c>
      <c r="AF111" s="2" t="e">
        <f>IF(AND(VLOOKUP(AF$1,'20Trips'!$A$3:$F$22,5,FALSE) - VLOOKUP($B111,'20Trips'!$A$3:$G$22,6,FALSE) &gt;= ('20Trips'!$B$26+VLOOKUP(VLOOKUP($B111,'20Trips'!$A$2:$I$22,4,FALSE),'20Trips'!$AB$46:$AH$50,6,FALSE))/1440),1,0)</f>
        <v>#N/A</v>
      </c>
      <c r="AG111" s="2" t="e">
        <f>IF(AND(VLOOKUP(AG$1,'20Trips'!$A$3:$F$22,5,FALSE) - VLOOKUP($B111,'20Trips'!$A$3:$G$22,6,FALSE) &gt;= ('20Trips'!$B$26+VLOOKUP(VLOOKUP($B111,'20Trips'!$A$2:$I$22,4,FALSE),'20Trips'!$AB$46:$AH$50,6,FALSE))/1440),1,0)</f>
        <v>#N/A</v>
      </c>
    </row>
    <row r="112" spans="1:33" x14ac:dyDescent="0.25">
      <c r="A112" t="s">
        <v>68</v>
      </c>
      <c r="B112" t="s">
        <v>28</v>
      </c>
      <c r="C112">
        <v>0</v>
      </c>
      <c r="D112" s="2">
        <f>IF(AND(VLOOKUP(D$1,'20Trips'!$A$3:$F$22,5,FALSE) - VLOOKUP($B112,'20Trips'!$A$3:$G$22,6,FALSE) &gt;= ('20Trips'!$B$26+VLOOKUP(VLOOKUP($B112,'20Trips'!$A$2:$I$22,4,FALSE),'20Trips'!$AB$46:$AH$50,6,FALSE))/1440),1,0)</f>
        <v>0</v>
      </c>
      <c r="E112" s="2">
        <f>IF(AND(VLOOKUP(E$1,'20Trips'!$A$3:$F$22,5,FALSE) - VLOOKUP($B112,'20Trips'!$A$3:$G$22,6,FALSE) &gt;= ('20Trips'!$B$26+VLOOKUP(VLOOKUP($B112,'20Trips'!$A$2:$I$22,4,FALSE),'20Trips'!$AB$46:$AH$50,6,FALSE))/1440),1,0)</f>
        <v>0</v>
      </c>
      <c r="F112" s="2">
        <f>IF(AND(VLOOKUP(F$1,'20Trips'!$A$3:$F$22,5,FALSE) - VLOOKUP($B112,'20Trips'!$A$3:$G$22,6,FALSE) &gt;= ('20Trips'!$B$26+VLOOKUP(VLOOKUP($B112,'20Trips'!$A$2:$I$22,4,FALSE),'20Trips'!$AB$46:$AH$50,6,FALSE))/1440),1,0)</f>
        <v>0</v>
      </c>
      <c r="G112" s="2">
        <f>IF(AND(VLOOKUP(G$1,'20Trips'!$A$3:$F$22,5,FALSE) - VLOOKUP($B112,'20Trips'!$A$3:$G$22,6,FALSE) &gt;= ('20Trips'!$B$26+VLOOKUP(VLOOKUP($B112,'20Trips'!$A$2:$I$22,4,FALSE),'20Trips'!$AB$46:$AH$50,6,FALSE))/1440),1,0)</f>
        <v>0</v>
      </c>
      <c r="H112" s="2">
        <f>IF(AND(VLOOKUP(H$1,'20Trips'!$A$3:$F$22,5,FALSE) - VLOOKUP($B112,'20Trips'!$A$3:$G$22,6,FALSE) &gt;= ('20Trips'!$B$26+VLOOKUP(VLOOKUP($B112,'20Trips'!$A$2:$I$22,4,FALSE),'20Trips'!$AB$46:$AH$50,6,FALSE))/1440),1,0)</f>
        <v>0</v>
      </c>
      <c r="I112" s="2" t="e">
        <f>IF(AND(VLOOKUP(I$1,'20Trips'!$A$3:$F$22,5,FALSE) - VLOOKUP($B112,'20Trips'!$A$3:$G$22,6,FALSE) &gt;= ('20Trips'!$B$26+VLOOKUP(VLOOKUP($B112,'20Trips'!$A$2:$I$22,4,FALSE),'20Trips'!$AB$46:$AH$50,6,FALSE))/1440),1,0)</f>
        <v>#N/A</v>
      </c>
      <c r="J112" s="2" t="e">
        <f>IF(AND(VLOOKUP(J$1,'20Trips'!$A$3:$F$22,5,FALSE) - VLOOKUP($B112,'20Trips'!$A$3:$G$22,6,FALSE) &gt;= ('20Trips'!$B$26+VLOOKUP(VLOOKUP($B112,'20Trips'!$A$2:$I$22,4,FALSE),'20Trips'!$AB$46:$AH$50,6,FALSE))/1440),1,0)</f>
        <v>#N/A</v>
      </c>
      <c r="K112" s="2" t="e">
        <f>IF(AND(VLOOKUP(K$1,'20Trips'!$A$3:$F$22,5,FALSE) - VLOOKUP($B112,'20Trips'!$A$3:$G$22,6,FALSE) &gt;= ('20Trips'!$B$26+VLOOKUP(VLOOKUP($B112,'20Trips'!$A$2:$I$22,4,FALSE),'20Trips'!$AB$46:$AH$50,6,FALSE))/1440),1,0)</f>
        <v>#N/A</v>
      </c>
      <c r="L112" s="2">
        <f>IF(AND(VLOOKUP(L$1,'20Trips'!$A$3:$F$22,5,FALSE) - VLOOKUP($B112,'20Trips'!$A$3:$G$22,6,FALSE) &gt;= ('20Trips'!$B$26+VLOOKUP(VLOOKUP($B112,'20Trips'!$A$2:$I$22,4,FALSE),'20Trips'!$AB$46:$AH$50,6,FALSE))/1440),1,0)</f>
        <v>0</v>
      </c>
      <c r="M112" s="2">
        <f>IF(AND(VLOOKUP(M$1,'20Trips'!$A$3:$F$22,5,FALSE) - VLOOKUP($B112,'20Trips'!$A$3:$G$22,6,FALSE) &gt;= ('20Trips'!$B$26+VLOOKUP(VLOOKUP($B112,'20Trips'!$A$2:$I$22,4,FALSE),'20Trips'!$AB$46:$AH$50,6,FALSE))/1440),1,0)</f>
        <v>0</v>
      </c>
      <c r="N112" s="2">
        <f>IF(AND(VLOOKUP(N$1,'20Trips'!$A$3:$F$22,5,FALSE) - VLOOKUP($B112,'20Trips'!$A$3:$G$22,6,FALSE) &gt;= ('20Trips'!$B$26+VLOOKUP(VLOOKUP($B112,'20Trips'!$A$2:$I$22,4,FALSE),'20Trips'!$AB$46:$AH$50,6,FALSE))/1440),1,0)</f>
        <v>0</v>
      </c>
      <c r="O112" s="2">
        <f>IF(AND(VLOOKUP(O$1,'20Trips'!$A$3:$F$22,5,FALSE) - VLOOKUP($B112,'20Trips'!$A$3:$G$22,6,FALSE) &gt;= ('20Trips'!$B$26+VLOOKUP(VLOOKUP($B112,'20Trips'!$A$2:$I$22,4,FALSE),'20Trips'!$AB$46:$AH$50,6,FALSE))/1440),1,0)</f>
        <v>1</v>
      </c>
      <c r="P112" s="2">
        <f>IF(AND(VLOOKUP(P$1,'20Trips'!$A$3:$F$22,5,FALSE) - VLOOKUP($B112,'20Trips'!$A$3:$G$22,6,FALSE) &gt;= ('20Trips'!$B$26+VLOOKUP(VLOOKUP($B112,'20Trips'!$A$2:$I$22,4,FALSE),'20Trips'!$AB$46:$AH$50,6,FALSE))/1440),1,0)</f>
        <v>1</v>
      </c>
      <c r="Q112" s="2" t="e">
        <f>IF(AND(VLOOKUP(Q$1,'20Trips'!$A$3:$F$22,5,FALSE) - VLOOKUP($B112,'20Trips'!$A$3:$G$22,6,FALSE) &gt;= ('20Trips'!$B$26+VLOOKUP(VLOOKUP($B112,'20Trips'!$A$2:$I$22,4,FALSE),'20Trips'!$AB$46:$AH$50,6,FALSE))/1440),1,0)</f>
        <v>#N/A</v>
      </c>
      <c r="R112" s="2">
        <f>IF(AND(VLOOKUP(R$1,'20Trips'!$A$3:$F$22,5,FALSE) - VLOOKUP($B112,'20Trips'!$A$3:$G$22,6,FALSE) &gt;= ('20Trips'!$B$26+VLOOKUP(VLOOKUP($B112,'20Trips'!$A$2:$I$22,4,FALSE),'20Trips'!$AB$46:$AH$50,6,FALSE))/1440),1,0)</f>
        <v>0</v>
      </c>
      <c r="S112" s="2">
        <f>IF(AND(VLOOKUP(S$1,'20Trips'!$A$3:$F$22,5,FALSE) - VLOOKUP($B112,'20Trips'!$A$3:$G$22,6,FALSE) &gt;= ('20Trips'!$B$26+VLOOKUP(VLOOKUP($B112,'20Trips'!$A$2:$I$22,4,FALSE),'20Trips'!$AB$46:$AH$50,6,FALSE))/1440),1,0)</f>
        <v>0</v>
      </c>
      <c r="T112" s="2">
        <f>IF(AND(VLOOKUP(T$1,'20Trips'!$A$3:$F$22,5,FALSE) - VLOOKUP($B112,'20Trips'!$A$3:$G$22,6,FALSE) &gt;= ('20Trips'!$B$26+VLOOKUP(VLOOKUP($B112,'20Trips'!$A$2:$I$22,4,FALSE),'20Trips'!$AB$46:$AH$50,6,FALSE))/1440),1,0)</f>
        <v>0</v>
      </c>
      <c r="U112" s="2">
        <f>IF(AND(VLOOKUP(U$1,'20Trips'!$A$3:$F$22,5,FALSE) - VLOOKUP($B112,'20Trips'!$A$3:$G$22,6,FALSE) &gt;= ('20Trips'!$B$26+VLOOKUP(VLOOKUP($B112,'20Trips'!$A$2:$I$22,4,FALSE),'20Trips'!$AB$46:$AH$50,6,FALSE))/1440),1,0)</f>
        <v>0</v>
      </c>
      <c r="V112" s="2">
        <f>IF(AND(VLOOKUP(V$1,'20Trips'!$A$3:$F$22,5,FALSE) - VLOOKUP($B112,'20Trips'!$A$3:$G$22,6,FALSE) &gt;= ('20Trips'!$B$26+VLOOKUP(VLOOKUP($B112,'20Trips'!$A$2:$I$22,4,FALSE),'20Trips'!$AB$46:$AH$50,6,FALSE))/1440),1,0)</f>
        <v>0</v>
      </c>
      <c r="W112" s="2" t="e">
        <f>IF(AND(VLOOKUP(W$1,'20Trips'!$A$3:$F$22,5,FALSE) - VLOOKUP($B112,'20Trips'!$A$3:$G$22,6,FALSE) &gt;= ('20Trips'!$B$26+VLOOKUP(VLOOKUP($B112,'20Trips'!$A$2:$I$22,4,FALSE),'20Trips'!$AB$46:$AH$50,6,FALSE))/1440),1,0)</f>
        <v>#N/A</v>
      </c>
      <c r="X112" s="2" t="e">
        <f>IF(AND(VLOOKUP(X$1,'20Trips'!$A$3:$F$22,5,FALSE) - VLOOKUP($B112,'20Trips'!$A$3:$G$22,6,FALSE) &gt;= ('20Trips'!$B$26+VLOOKUP(VLOOKUP($B112,'20Trips'!$A$2:$I$22,4,FALSE),'20Trips'!$AB$46:$AH$50,6,FALSE))/1440),1,0)</f>
        <v>#N/A</v>
      </c>
      <c r="Y112" s="2" t="e">
        <f>IF(AND(VLOOKUP(Y$1,'20Trips'!$A$3:$F$22,5,FALSE) - VLOOKUP($B112,'20Trips'!$A$3:$G$22,6,FALSE) &gt;= ('20Trips'!$B$26+VLOOKUP(VLOOKUP($B112,'20Trips'!$A$2:$I$22,4,FALSE),'20Trips'!$AB$46:$AH$50,6,FALSE))/1440),1,0)</f>
        <v>#N/A</v>
      </c>
      <c r="Z112" s="2">
        <f>IF(AND(VLOOKUP(Z$1,'20Trips'!$A$3:$F$22,5,FALSE) - VLOOKUP($B112,'20Trips'!$A$3:$G$22,6,FALSE) &gt;= ('20Trips'!$B$26+VLOOKUP(VLOOKUP($B112,'20Trips'!$A$2:$I$22,4,FALSE),'20Trips'!$AB$46:$AH$50,6,FALSE))/1440),1,0)</f>
        <v>0</v>
      </c>
      <c r="AA112" s="2">
        <f>IF(AND(VLOOKUP(AA$1,'20Trips'!$A$3:$F$22,5,FALSE) - VLOOKUP($B112,'20Trips'!$A$3:$G$22,6,FALSE) &gt;= ('20Trips'!$B$26+VLOOKUP(VLOOKUP($B112,'20Trips'!$A$2:$I$22,4,FALSE),'20Trips'!$AB$46:$AH$50,6,FALSE))/1440),1,0)</f>
        <v>0</v>
      </c>
      <c r="AB112" s="2">
        <f>IF(AND(VLOOKUP(AB$1,'20Trips'!$A$3:$F$22,5,FALSE) - VLOOKUP($B112,'20Trips'!$A$3:$G$22,6,FALSE) &gt;= ('20Trips'!$B$26+VLOOKUP(VLOOKUP($B112,'20Trips'!$A$2:$I$22,4,FALSE),'20Trips'!$AB$46:$AH$50,6,FALSE))/1440),1,0)</f>
        <v>0</v>
      </c>
      <c r="AC112" s="2">
        <f>IF(AND(VLOOKUP(AC$1,'20Trips'!$A$3:$F$22,5,FALSE) - VLOOKUP($B112,'20Trips'!$A$3:$G$22,6,FALSE) &gt;= ('20Trips'!$B$26+VLOOKUP(VLOOKUP($B112,'20Trips'!$A$2:$I$22,4,FALSE),'20Trips'!$AB$46:$AH$50,6,FALSE))/1440),1,0)</f>
        <v>0</v>
      </c>
      <c r="AD112" s="2">
        <f>IF(AND(VLOOKUP(AD$1,'20Trips'!$A$3:$F$22,5,FALSE) - VLOOKUP($B112,'20Trips'!$A$3:$G$22,6,FALSE) &gt;= ('20Trips'!$B$26+VLOOKUP(VLOOKUP($B112,'20Trips'!$A$2:$I$22,4,FALSE),'20Trips'!$AB$46:$AH$50,6,FALSE))/1440),1,0)</f>
        <v>1</v>
      </c>
      <c r="AE112" s="2" t="e">
        <f>IF(AND(VLOOKUP(AE$1,'20Trips'!$A$3:$F$22,5,FALSE) - VLOOKUP($B112,'20Trips'!$A$3:$G$22,6,FALSE) &gt;= ('20Trips'!$B$26+VLOOKUP(VLOOKUP($B112,'20Trips'!$A$2:$I$22,4,FALSE),'20Trips'!$AB$46:$AH$50,6,FALSE))/1440),1,0)</f>
        <v>#N/A</v>
      </c>
      <c r="AF112" s="2" t="e">
        <f>IF(AND(VLOOKUP(AF$1,'20Trips'!$A$3:$F$22,5,FALSE) - VLOOKUP($B112,'20Trips'!$A$3:$G$22,6,FALSE) &gt;= ('20Trips'!$B$26+VLOOKUP(VLOOKUP($B112,'20Trips'!$A$2:$I$22,4,FALSE),'20Trips'!$AB$46:$AH$50,6,FALSE))/1440),1,0)</f>
        <v>#N/A</v>
      </c>
      <c r="AG112" s="2" t="e">
        <f>IF(AND(VLOOKUP(AG$1,'20Trips'!$A$3:$F$22,5,FALSE) - VLOOKUP($B112,'20Trips'!$A$3:$G$22,6,FALSE) &gt;= ('20Trips'!$B$26+VLOOKUP(VLOOKUP($B112,'20Trips'!$A$2:$I$22,4,FALSE),'20Trips'!$AB$46:$AH$50,6,FALSE))/1440),1,0)</f>
        <v>#N/A</v>
      </c>
    </row>
    <row r="113" spans="1:33" x14ac:dyDescent="0.25">
      <c r="A113" t="s">
        <v>68</v>
      </c>
      <c r="B113" t="s">
        <v>29</v>
      </c>
      <c r="C113">
        <v>0</v>
      </c>
      <c r="D113" s="2">
        <f>IF(AND(VLOOKUP(D$1,'20Trips'!$A$3:$F$22,5,FALSE) - VLOOKUP($B113,'20Trips'!$A$3:$G$22,6,FALSE) &gt;= ('20Trips'!$B$26+VLOOKUP(VLOOKUP($B113,'20Trips'!$A$2:$I$22,4,FALSE),'20Trips'!$AB$46:$AH$50,6,FALSE))/1440),1,0)</f>
        <v>0</v>
      </c>
      <c r="E113" s="2">
        <f>IF(AND(VLOOKUP(E$1,'20Trips'!$A$3:$F$22,5,FALSE) - VLOOKUP($B113,'20Trips'!$A$3:$G$22,6,FALSE) &gt;= ('20Trips'!$B$26+VLOOKUP(VLOOKUP($B113,'20Trips'!$A$2:$I$22,4,FALSE),'20Trips'!$AB$46:$AH$50,6,FALSE))/1440),1,0)</f>
        <v>0</v>
      </c>
      <c r="F113" s="2">
        <f>IF(AND(VLOOKUP(F$1,'20Trips'!$A$3:$F$22,5,FALSE) - VLOOKUP($B113,'20Trips'!$A$3:$G$22,6,FALSE) &gt;= ('20Trips'!$B$26+VLOOKUP(VLOOKUP($B113,'20Trips'!$A$2:$I$22,4,FALSE),'20Trips'!$AB$46:$AH$50,6,FALSE))/1440),1,0)</f>
        <v>0</v>
      </c>
      <c r="G113" s="2">
        <f>IF(AND(VLOOKUP(G$1,'20Trips'!$A$3:$F$22,5,FALSE) - VLOOKUP($B113,'20Trips'!$A$3:$G$22,6,FALSE) &gt;= ('20Trips'!$B$26+VLOOKUP(VLOOKUP($B113,'20Trips'!$A$2:$I$22,4,FALSE),'20Trips'!$AB$46:$AH$50,6,FALSE))/1440),1,0)</f>
        <v>0</v>
      </c>
      <c r="H113" s="2">
        <f>IF(AND(VLOOKUP(H$1,'20Trips'!$A$3:$F$22,5,FALSE) - VLOOKUP($B113,'20Trips'!$A$3:$G$22,6,FALSE) &gt;= ('20Trips'!$B$26+VLOOKUP(VLOOKUP($B113,'20Trips'!$A$2:$I$22,4,FALSE),'20Trips'!$AB$46:$AH$50,6,FALSE))/1440),1,0)</f>
        <v>0</v>
      </c>
      <c r="I113" s="2" t="e">
        <f>IF(AND(VLOOKUP(I$1,'20Trips'!$A$3:$F$22,5,FALSE) - VLOOKUP($B113,'20Trips'!$A$3:$G$22,6,FALSE) &gt;= ('20Trips'!$B$26+VLOOKUP(VLOOKUP($B113,'20Trips'!$A$2:$I$22,4,FALSE),'20Trips'!$AB$46:$AH$50,6,FALSE))/1440),1,0)</f>
        <v>#N/A</v>
      </c>
      <c r="J113" s="2" t="e">
        <f>IF(AND(VLOOKUP(J$1,'20Trips'!$A$3:$F$22,5,FALSE) - VLOOKUP($B113,'20Trips'!$A$3:$G$22,6,FALSE) &gt;= ('20Trips'!$B$26+VLOOKUP(VLOOKUP($B113,'20Trips'!$A$2:$I$22,4,FALSE),'20Trips'!$AB$46:$AH$50,6,FALSE))/1440),1,0)</f>
        <v>#N/A</v>
      </c>
      <c r="K113" s="2" t="e">
        <f>IF(AND(VLOOKUP(K$1,'20Trips'!$A$3:$F$22,5,FALSE) - VLOOKUP($B113,'20Trips'!$A$3:$G$22,6,FALSE) &gt;= ('20Trips'!$B$26+VLOOKUP(VLOOKUP($B113,'20Trips'!$A$2:$I$22,4,FALSE),'20Trips'!$AB$46:$AH$50,6,FALSE))/1440),1,0)</f>
        <v>#N/A</v>
      </c>
      <c r="L113" s="2">
        <f>IF(AND(VLOOKUP(L$1,'20Trips'!$A$3:$F$22,5,FALSE) - VLOOKUP($B113,'20Trips'!$A$3:$G$22,6,FALSE) &gt;= ('20Trips'!$B$26+VLOOKUP(VLOOKUP($B113,'20Trips'!$A$2:$I$22,4,FALSE),'20Trips'!$AB$46:$AH$50,6,FALSE))/1440),1,0)</f>
        <v>0</v>
      </c>
      <c r="M113" s="2">
        <f>IF(AND(VLOOKUP(M$1,'20Trips'!$A$3:$F$22,5,FALSE) - VLOOKUP($B113,'20Trips'!$A$3:$G$22,6,FALSE) &gt;= ('20Trips'!$B$26+VLOOKUP(VLOOKUP($B113,'20Trips'!$A$2:$I$22,4,FALSE),'20Trips'!$AB$46:$AH$50,6,FALSE))/1440),1,0)</f>
        <v>0</v>
      </c>
      <c r="N113" s="2">
        <f>IF(AND(VLOOKUP(N$1,'20Trips'!$A$3:$F$22,5,FALSE) - VLOOKUP($B113,'20Trips'!$A$3:$G$22,6,FALSE) &gt;= ('20Trips'!$B$26+VLOOKUP(VLOOKUP($B113,'20Trips'!$A$2:$I$22,4,FALSE),'20Trips'!$AB$46:$AH$50,6,FALSE))/1440),1,0)</f>
        <v>0</v>
      </c>
      <c r="O113" s="2">
        <f>IF(AND(VLOOKUP(O$1,'20Trips'!$A$3:$F$22,5,FALSE) - VLOOKUP($B113,'20Trips'!$A$3:$G$22,6,FALSE) &gt;= ('20Trips'!$B$26+VLOOKUP(VLOOKUP($B113,'20Trips'!$A$2:$I$22,4,FALSE),'20Trips'!$AB$46:$AH$50,6,FALSE))/1440),1,0)</f>
        <v>1</v>
      </c>
      <c r="P113" s="2">
        <f>IF(AND(VLOOKUP(P$1,'20Trips'!$A$3:$F$22,5,FALSE) - VLOOKUP($B113,'20Trips'!$A$3:$G$22,6,FALSE) &gt;= ('20Trips'!$B$26+VLOOKUP(VLOOKUP($B113,'20Trips'!$A$2:$I$22,4,FALSE),'20Trips'!$AB$46:$AH$50,6,FALSE))/1440),1,0)</f>
        <v>1</v>
      </c>
      <c r="Q113" s="2" t="e">
        <f>IF(AND(VLOOKUP(Q$1,'20Trips'!$A$3:$F$22,5,FALSE) - VLOOKUP($B113,'20Trips'!$A$3:$G$22,6,FALSE) &gt;= ('20Trips'!$B$26+VLOOKUP(VLOOKUP($B113,'20Trips'!$A$2:$I$22,4,FALSE),'20Trips'!$AB$46:$AH$50,6,FALSE))/1440),1,0)</f>
        <v>#N/A</v>
      </c>
      <c r="R113" s="2">
        <f>IF(AND(VLOOKUP(R$1,'20Trips'!$A$3:$F$22,5,FALSE) - VLOOKUP($B113,'20Trips'!$A$3:$G$22,6,FALSE) &gt;= ('20Trips'!$B$26+VLOOKUP(VLOOKUP($B113,'20Trips'!$A$2:$I$22,4,FALSE),'20Trips'!$AB$46:$AH$50,6,FALSE))/1440),1,0)</f>
        <v>0</v>
      </c>
      <c r="S113" s="2">
        <f>IF(AND(VLOOKUP(S$1,'20Trips'!$A$3:$F$22,5,FALSE) - VLOOKUP($B113,'20Trips'!$A$3:$G$22,6,FALSE) &gt;= ('20Trips'!$B$26+VLOOKUP(VLOOKUP($B113,'20Trips'!$A$2:$I$22,4,FALSE),'20Trips'!$AB$46:$AH$50,6,FALSE))/1440),1,0)</f>
        <v>0</v>
      </c>
      <c r="T113" s="2">
        <f>IF(AND(VLOOKUP(T$1,'20Trips'!$A$3:$F$22,5,FALSE) - VLOOKUP($B113,'20Trips'!$A$3:$G$22,6,FALSE) &gt;= ('20Trips'!$B$26+VLOOKUP(VLOOKUP($B113,'20Trips'!$A$2:$I$22,4,FALSE),'20Trips'!$AB$46:$AH$50,6,FALSE))/1440),1,0)</f>
        <v>0</v>
      </c>
      <c r="U113" s="2">
        <f>IF(AND(VLOOKUP(U$1,'20Trips'!$A$3:$F$22,5,FALSE) - VLOOKUP($B113,'20Trips'!$A$3:$G$22,6,FALSE) &gt;= ('20Trips'!$B$26+VLOOKUP(VLOOKUP($B113,'20Trips'!$A$2:$I$22,4,FALSE),'20Trips'!$AB$46:$AH$50,6,FALSE))/1440),1,0)</f>
        <v>0</v>
      </c>
      <c r="V113" s="2">
        <f>IF(AND(VLOOKUP(V$1,'20Trips'!$A$3:$F$22,5,FALSE) - VLOOKUP($B113,'20Trips'!$A$3:$G$22,6,FALSE) &gt;= ('20Trips'!$B$26+VLOOKUP(VLOOKUP($B113,'20Trips'!$A$2:$I$22,4,FALSE),'20Trips'!$AB$46:$AH$50,6,FALSE))/1440),1,0)</f>
        <v>0</v>
      </c>
      <c r="W113" s="2" t="e">
        <f>IF(AND(VLOOKUP(W$1,'20Trips'!$A$3:$F$22,5,FALSE) - VLOOKUP($B113,'20Trips'!$A$3:$G$22,6,FALSE) &gt;= ('20Trips'!$B$26+VLOOKUP(VLOOKUP($B113,'20Trips'!$A$2:$I$22,4,FALSE),'20Trips'!$AB$46:$AH$50,6,FALSE))/1440),1,0)</f>
        <v>#N/A</v>
      </c>
      <c r="X113" s="2" t="e">
        <f>IF(AND(VLOOKUP(X$1,'20Trips'!$A$3:$F$22,5,FALSE) - VLOOKUP($B113,'20Trips'!$A$3:$G$22,6,FALSE) &gt;= ('20Trips'!$B$26+VLOOKUP(VLOOKUP($B113,'20Trips'!$A$2:$I$22,4,FALSE),'20Trips'!$AB$46:$AH$50,6,FALSE))/1440),1,0)</f>
        <v>#N/A</v>
      </c>
      <c r="Y113" s="2" t="e">
        <f>IF(AND(VLOOKUP(Y$1,'20Trips'!$A$3:$F$22,5,FALSE) - VLOOKUP($B113,'20Trips'!$A$3:$G$22,6,FALSE) &gt;= ('20Trips'!$B$26+VLOOKUP(VLOOKUP($B113,'20Trips'!$A$2:$I$22,4,FALSE),'20Trips'!$AB$46:$AH$50,6,FALSE))/1440),1,0)</f>
        <v>#N/A</v>
      </c>
      <c r="Z113" s="2">
        <f>IF(AND(VLOOKUP(Z$1,'20Trips'!$A$3:$F$22,5,FALSE) - VLOOKUP($B113,'20Trips'!$A$3:$G$22,6,FALSE) &gt;= ('20Trips'!$B$26+VLOOKUP(VLOOKUP($B113,'20Trips'!$A$2:$I$22,4,FALSE),'20Trips'!$AB$46:$AH$50,6,FALSE))/1440),1,0)</f>
        <v>0</v>
      </c>
      <c r="AA113" s="2">
        <f>IF(AND(VLOOKUP(AA$1,'20Trips'!$A$3:$F$22,5,FALSE) - VLOOKUP($B113,'20Trips'!$A$3:$G$22,6,FALSE) &gt;= ('20Trips'!$B$26+VLOOKUP(VLOOKUP($B113,'20Trips'!$A$2:$I$22,4,FALSE),'20Trips'!$AB$46:$AH$50,6,FALSE))/1440),1,0)</f>
        <v>0</v>
      </c>
      <c r="AB113" s="2">
        <f>IF(AND(VLOOKUP(AB$1,'20Trips'!$A$3:$F$22,5,FALSE) - VLOOKUP($B113,'20Trips'!$A$3:$G$22,6,FALSE) &gt;= ('20Trips'!$B$26+VLOOKUP(VLOOKUP($B113,'20Trips'!$A$2:$I$22,4,FALSE),'20Trips'!$AB$46:$AH$50,6,FALSE))/1440),1,0)</f>
        <v>0</v>
      </c>
      <c r="AC113" s="2">
        <f>IF(AND(VLOOKUP(AC$1,'20Trips'!$A$3:$F$22,5,FALSE) - VLOOKUP($B113,'20Trips'!$A$3:$G$22,6,FALSE) &gt;= ('20Trips'!$B$26+VLOOKUP(VLOOKUP($B113,'20Trips'!$A$2:$I$22,4,FALSE),'20Trips'!$AB$46:$AH$50,6,FALSE))/1440),1,0)</f>
        <v>0</v>
      </c>
      <c r="AD113" s="2">
        <f>IF(AND(VLOOKUP(AD$1,'20Trips'!$A$3:$F$22,5,FALSE) - VLOOKUP($B113,'20Trips'!$A$3:$G$22,6,FALSE) &gt;= ('20Trips'!$B$26+VLOOKUP(VLOOKUP($B113,'20Trips'!$A$2:$I$22,4,FALSE),'20Trips'!$AB$46:$AH$50,6,FALSE))/1440),1,0)</f>
        <v>0</v>
      </c>
      <c r="AE113" s="2" t="e">
        <f>IF(AND(VLOOKUP(AE$1,'20Trips'!$A$3:$F$22,5,FALSE) - VLOOKUP($B113,'20Trips'!$A$3:$G$22,6,FALSE) &gt;= ('20Trips'!$B$26+VLOOKUP(VLOOKUP($B113,'20Trips'!$A$2:$I$22,4,FALSE),'20Trips'!$AB$46:$AH$50,6,FALSE))/1440),1,0)</f>
        <v>#N/A</v>
      </c>
      <c r="AF113" s="2" t="e">
        <f>IF(AND(VLOOKUP(AF$1,'20Trips'!$A$3:$F$22,5,FALSE) - VLOOKUP($B113,'20Trips'!$A$3:$G$22,6,FALSE) &gt;= ('20Trips'!$B$26+VLOOKUP(VLOOKUP($B113,'20Trips'!$A$2:$I$22,4,FALSE),'20Trips'!$AB$46:$AH$50,6,FALSE))/1440),1,0)</f>
        <v>#N/A</v>
      </c>
      <c r="AG113" s="2" t="e">
        <f>IF(AND(VLOOKUP(AG$1,'20Trips'!$A$3:$F$22,5,FALSE) - VLOOKUP($B113,'20Trips'!$A$3:$G$22,6,FALSE) &gt;= ('20Trips'!$B$26+VLOOKUP(VLOOKUP($B113,'20Trips'!$A$2:$I$22,4,FALSE),'20Trips'!$AB$46:$AH$50,6,FALSE))/1440),1,0)</f>
        <v>#N/A</v>
      </c>
    </row>
    <row r="114" spans="1:33" x14ac:dyDescent="0.25">
      <c r="A114" t="s">
        <v>68</v>
      </c>
      <c r="B114" t="s">
        <v>30</v>
      </c>
      <c r="C114">
        <v>0</v>
      </c>
      <c r="D114" s="2">
        <f>IF(AND(VLOOKUP(D$1,'20Trips'!$A$3:$F$22,5,FALSE) - VLOOKUP($B114,'20Trips'!$A$3:$G$22,6,FALSE) &gt;= ('20Trips'!$B$26+VLOOKUP(VLOOKUP($B114,'20Trips'!$A$2:$I$22,4,FALSE),'20Trips'!$AB$46:$AH$50,6,FALSE))/1440),1,0)</f>
        <v>0</v>
      </c>
      <c r="E114" s="2">
        <f>IF(AND(VLOOKUP(E$1,'20Trips'!$A$3:$F$22,5,FALSE) - VLOOKUP($B114,'20Trips'!$A$3:$G$22,6,FALSE) &gt;= ('20Trips'!$B$26+VLOOKUP(VLOOKUP($B114,'20Trips'!$A$2:$I$22,4,FALSE),'20Trips'!$AB$46:$AH$50,6,FALSE))/1440),1,0)</f>
        <v>0</v>
      </c>
      <c r="F114" s="2">
        <f>IF(AND(VLOOKUP(F$1,'20Trips'!$A$3:$F$22,5,FALSE) - VLOOKUP($B114,'20Trips'!$A$3:$G$22,6,FALSE) &gt;= ('20Trips'!$B$26+VLOOKUP(VLOOKUP($B114,'20Trips'!$A$2:$I$22,4,FALSE),'20Trips'!$AB$46:$AH$50,6,FALSE))/1440),1,0)</f>
        <v>0</v>
      </c>
      <c r="G114" s="2">
        <f>IF(AND(VLOOKUP(G$1,'20Trips'!$A$3:$F$22,5,FALSE) - VLOOKUP($B114,'20Trips'!$A$3:$G$22,6,FALSE) &gt;= ('20Trips'!$B$26+VLOOKUP(VLOOKUP($B114,'20Trips'!$A$2:$I$22,4,FALSE),'20Trips'!$AB$46:$AH$50,6,FALSE))/1440),1,0)</f>
        <v>0</v>
      </c>
      <c r="H114" s="2">
        <f>IF(AND(VLOOKUP(H$1,'20Trips'!$A$3:$F$22,5,FALSE) - VLOOKUP($B114,'20Trips'!$A$3:$G$22,6,FALSE) &gt;= ('20Trips'!$B$26+VLOOKUP(VLOOKUP($B114,'20Trips'!$A$2:$I$22,4,FALSE),'20Trips'!$AB$46:$AH$50,6,FALSE))/1440),1,0)</f>
        <v>0</v>
      </c>
      <c r="I114" s="2" t="e">
        <f>IF(AND(VLOOKUP(I$1,'20Trips'!$A$3:$F$22,5,FALSE) - VLOOKUP($B114,'20Trips'!$A$3:$G$22,6,FALSE) &gt;= ('20Trips'!$B$26+VLOOKUP(VLOOKUP($B114,'20Trips'!$A$2:$I$22,4,FALSE),'20Trips'!$AB$46:$AH$50,6,FALSE))/1440),1,0)</f>
        <v>#N/A</v>
      </c>
      <c r="J114" s="2" t="e">
        <f>IF(AND(VLOOKUP(J$1,'20Trips'!$A$3:$F$22,5,FALSE) - VLOOKUP($B114,'20Trips'!$A$3:$G$22,6,FALSE) &gt;= ('20Trips'!$B$26+VLOOKUP(VLOOKUP($B114,'20Trips'!$A$2:$I$22,4,FALSE),'20Trips'!$AB$46:$AH$50,6,FALSE))/1440),1,0)</f>
        <v>#N/A</v>
      </c>
      <c r="K114" s="2" t="e">
        <f>IF(AND(VLOOKUP(K$1,'20Trips'!$A$3:$F$22,5,FALSE) - VLOOKUP($B114,'20Trips'!$A$3:$G$22,6,FALSE) &gt;= ('20Trips'!$B$26+VLOOKUP(VLOOKUP($B114,'20Trips'!$A$2:$I$22,4,FALSE),'20Trips'!$AB$46:$AH$50,6,FALSE))/1440),1,0)</f>
        <v>#N/A</v>
      </c>
      <c r="L114" s="2">
        <f>IF(AND(VLOOKUP(L$1,'20Trips'!$A$3:$F$22,5,FALSE) - VLOOKUP($B114,'20Trips'!$A$3:$G$22,6,FALSE) &gt;= ('20Trips'!$B$26+VLOOKUP(VLOOKUP($B114,'20Trips'!$A$2:$I$22,4,FALSE),'20Trips'!$AB$46:$AH$50,6,FALSE))/1440),1,0)</f>
        <v>0</v>
      </c>
      <c r="M114" s="2">
        <f>IF(AND(VLOOKUP(M$1,'20Trips'!$A$3:$F$22,5,FALSE) - VLOOKUP($B114,'20Trips'!$A$3:$G$22,6,FALSE) &gt;= ('20Trips'!$B$26+VLOOKUP(VLOOKUP($B114,'20Trips'!$A$2:$I$22,4,FALSE),'20Trips'!$AB$46:$AH$50,6,FALSE))/1440),1,0)</f>
        <v>0</v>
      </c>
      <c r="N114" s="2">
        <f>IF(AND(VLOOKUP(N$1,'20Trips'!$A$3:$F$22,5,FALSE) - VLOOKUP($B114,'20Trips'!$A$3:$G$22,6,FALSE) &gt;= ('20Trips'!$B$26+VLOOKUP(VLOOKUP($B114,'20Trips'!$A$2:$I$22,4,FALSE),'20Trips'!$AB$46:$AH$50,6,FALSE))/1440),1,0)</f>
        <v>0</v>
      </c>
      <c r="O114" s="2">
        <f>IF(AND(VLOOKUP(O$1,'20Trips'!$A$3:$F$22,5,FALSE) - VLOOKUP($B114,'20Trips'!$A$3:$G$22,6,FALSE) &gt;= ('20Trips'!$B$26+VLOOKUP(VLOOKUP($B114,'20Trips'!$A$2:$I$22,4,FALSE),'20Trips'!$AB$46:$AH$50,6,FALSE))/1440),1,0)</f>
        <v>0</v>
      </c>
      <c r="P114" s="2">
        <f>IF(AND(VLOOKUP(P$1,'20Trips'!$A$3:$F$22,5,FALSE) - VLOOKUP($B114,'20Trips'!$A$3:$G$22,6,FALSE) &gt;= ('20Trips'!$B$26+VLOOKUP(VLOOKUP($B114,'20Trips'!$A$2:$I$22,4,FALSE),'20Trips'!$AB$46:$AH$50,6,FALSE))/1440),1,0)</f>
        <v>1</v>
      </c>
      <c r="Q114" s="2" t="e">
        <f>IF(AND(VLOOKUP(Q$1,'20Trips'!$A$3:$F$22,5,FALSE) - VLOOKUP($B114,'20Trips'!$A$3:$G$22,6,FALSE) &gt;= ('20Trips'!$B$26+VLOOKUP(VLOOKUP($B114,'20Trips'!$A$2:$I$22,4,FALSE),'20Trips'!$AB$46:$AH$50,6,FALSE))/1440),1,0)</f>
        <v>#N/A</v>
      </c>
      <c r="R114" s="2">
        <f>IF(AND(VLOOKUP(R$1,'20Trips'!$A$3:$F$22,5,FALSE) - VLOOKUP($B114,'20Trips'!$A$3:$G$22,6,FALSE) &gt;= ('20Trips'!$B$26+VLOOKUP(VLOOKUP($B114,'20Trips'!$A$2:$I$22,4,FALSE),'20Trips'!$AB$46:$AH$50,6,FALSE))/1440),1,0)</f>
        <v>0</v>
      </c>
      <c r="S114" s="2">
        <f>IF(AND(VLOOKUP(S$1,'20Trips'!$A$3:$F$22,5,FALSE) - VLOOKUP($B114,'20Trips'!$A$3:$G$22,6,FALSE) &gt;= ('20Trips'!$B$26+VLOOKUP(VLOOKUP($B114,'20Trips'!$A$2:$I$22,4,FALSE),'20Trips'!$AB$46:$AH$50,6,FALSE))/1440),1,0)</f>
        <v>0</v>
      </c>
      <c r="T114" s="2">
        <f>IF(AND(VLOOKUP(T$1,'20Trips'!$A$3:$F$22,5,FALSE) - VLOOKUP($B114,'20Trips'!$A$3:$G$22,6,FALSE) &gt;= ('20Trips'!$B$26+VLOOKUP(VLOOKUP($B114,'20Trips'!$A$2:$I$22,4,FALSE),'20Trips'!$AB$46:$AH$50,6,FALSE))/1440),1,0)</f>
        <v>0</v>
      </c>
      <c r="U114" s="2">
        <f>IF(AND(VLOOKUP(U$1,'20Trips'!$A$3:$F$22,5,FALSE) - VLOOKUP($B114,'20Trips'!$A$3:$G$22,6,FALSE) &gt;= ('20Trips'!$B$26+VLOOKUP(VLOOKUP($B114,'20Trips'!$A$2:$I$22,4,FALSE),'20Trips'!$AB$46:$AH$50,6,FALSE))/1440),1,0)</f>
        <v>0</v>
      </c>
      <c r="V114" s="2">
        <f>IF(AND(VLOOKUP(V$1,'20Trips'!$A$3:$F$22,5,FALSE) - VLOOKUP($B114,'20Trips'!$A$3:$G$22,6,FALSE) &gt;= ('20Trips'!$B$26+VLOOKUP(VLOOKUP($B114,'20Trips'!$A$2:$I$22,4,FALSE),'20Trips'!$AB$46:$AH$50,6,FALSE))/1440),1,0)</f>
        <v>0</v>
      </c>
      <c r="W114" s="2" t="e">
        <f>IF(AND(VLOOKUP(W$1,'20Trips'!$A$3:$F$22,5,FALSE) - VLOOKUP($B114,'20Trips'!$A$3:$G$22,6,FALSE) &gt;= ('20Trips'!$B$26+VLOOKUP(VLOOKUP($B114,'20Trips'!$A$2:$I$22,4,FALSE),'20Trips'!$AB$46:$AH$50,6,FALSE))/1440),1,0)</f>
        <v>#N/A</v>
      </c>
      <c r="X114" s="2" t="e">
        <f>IF(AND(VLOOKUP(X$1,'20Trips'!$A$3:$F$22,5,FALSE) - VLOOKUP($B114,'20Trips'!$A$3:$G$22,6,FALSE) &gt;= ('20Trips'!$B$26+VLOOKUP(VLOOKUP($B114,'20Trips'!$A$2:$I$22,4,FALSE),'20Trips'!$AB$46:$AH$50,6,FALSE))/1440),1,0)</f>
        <v>#N/A</v>
      </c>
      <c r="Y114" s="2" t="e">
        <f>IF(AND(VLOOKUP(Y$1,'20Trips'!$A$3:$F$22,5,FALSE) - VLOOKUP($B114,'20Trips'!$A$3:$G$22,6,FALSE) &gt;= ('20Trips'!$B$26+VLOOKUP(VLOOKUP($B114,'20Trips'!$A$2:$I$22,4,FALSE),'20Trips'!$AB$46:$AH$50,6,FALSE))/1440),1,0)</f>
        <v>#N/A</v>
      </c>
      <c r="Z114" s="2">
        <f>IF(AND(VLOOKUP(Z$1,'20Trips'!$A$3:$F$22,5,FALSE) - VLOOKUP($B114,'20Trips'!$A$3:$G$22,6,FALSE) &gt;= ('20Trips'!$B$26+VLOOKUP(VLOOKUP($B114,'20Trips'!$A$2:$I$22,4,FALSE),'20Trips'!$AB$46:$AH$50,6,FALSE))/1440),1,0)</f>
        <v>0</v>
      </c>
      <c r="AA114" s="2">
        <f>IF(AND(VLOOKUP(AA$1,'20Trips'!$A$3:$F$22,5,FALSE) - VLOOKUP($B114,'20Trips'!$A$3:$G$22,6,FALSE) &gt;= ('20Trips'!$B$26+VLOOKUP(VLOOKUP($B114,'20Trips'!$A$2:$I$22,4,FALSE),'20Trips'!$AB$46:$AH$50,6,FALSE))/1440),1,0)</f>
        <v>0</v>
      </c>
      <c r="AB114" s="2">
        <f>IF(AND(VLOOKUP(AB$1,'20Trips'!$A$3:$F$22,5,FALSE) - VLOOKUP($B114,'20Trips'!$A$3:$G$22,6,FALSE) &gt;= ('20Trips'!$B$26+VLOOKUP(VLOOKUP($B114,'20Trips'!$A$2:$I$22,4,FALSE),'20Trips'!$AB$46:$AH$50,6,FALSE))/1440),1,0)</f>
        <v>0</v>
      </c>
      <c r="AC114" s="2">
        <f>IF(AND(VLOOKUP(AC$1,'20Trips'!$A$3:$F$22,5,FALSE) - VLOOKUP($B114,'20Trips'!$A$3:$G$22,6,FALSE) &gt;= ('20Trips'!$B$26+VLOOKUP(VLOOKUP($B114,'20Trips'!$A$2:$I$22,4,FALSE),'20Trips'!$AB$46:$AH$50,6,FALSE))/1440),1,0)</f>
        <v>0</v>
      </c>
      <c r="AD114" s="2">
        <f>IF(AND(VLOOKUP(AD$1,'20Trips'!$A$3:$F$22,5,FALSE) - VLOOKUP($B114,'20Trips'!$A$3:$G$22,6,FALSE) &gt;= ('20Trips'!$B$26+VLOOKUP(VLOOKUP($B114,'20Trips'!$A$2:$I$22,4,FALSE),'20Trips'!$AB$46:$AH$50,6,FALSE))/1440),1,0)</f>
        <v>0</v>
      </c>
      <c r="AE114" s="2" t="e">
        <f>IF(AND(VLOOKUP(AE$1,'20Trips'!$A$3:$F$22,5,FALSE) - VLOOKUP($B114,'20Trips'!$A$3:$G$22,6,FALSE) &gt;= ('20Trips'!$B$26+VLOOKUP(VLOOKUP($B114,'20Trips'!$A$2:$I$22,4,FALSE),'20Trips'!$AB$46:$AH$50,6,FALSE))/1440),1,0)</f>
        <v>#N/A</v>
      </c>
      <c r="AF114" s="2" t="e">
        <f>IF(AND(VLOOKUP(AF$1,'20Trips'!$A$3:$F$22,5,FALSE) - VLOOKUP($B114,'20Trips'!$A$3:$G$22,6,FALSE) &gt;= ('20Trips'!$B$26+VLOOKUP(VLOOKUP($B114,'20Trips'!$A$2:$I$22,4,FALSE),'20Trips'!$AB$46:$AH$50,6,FALSE))/1440),1,0)</f>
        <v>#N/A</v>
      </c>
      <c r="AG114" s="2" t="e">
        <f>IF(AND(VLOOKUP(AG$1,'20Trips'!$A$3:$F$22,5,FALSE) - VLOOKUP($B114,'20Trips'!$A$3:$G$22,6,FALSE) &gt;= ('20Trips'!$B$26+VLOOKUP(VLOOKUP($B114,'20Trips'!$A$2:$I$22,4,FALSE),'20Trips'!$AB$46:$AH$50,6,FALSE))/1440),1,0)</f>
        <v>#N/A</v>
      </c>
    </row>
    <row r="115" spans="1:33" x14ac:dyDescent="0.25">
      <c r="A115" t="s">
        <v>68</v>
      </c>
      <c r="B115" t="s">
        <v>31</v>
      </c>
      <c r="C115">
        <v>0</v>
      </c>
      <c r="D115" s="2" t="e">
        <f>IF(AND(VLOOKUP(D$1,'20Trips'!$A$3:$F$22,5,FALSE) - VLOOKUP($B115,'20Trips'!$A$3:$G$22,6,FALSE) &gt;= ('20Trips'!$B$26+VLOOKUP(VLOOKUP($B115,'20Trips'!$A$2:$I$22,4,FALSE),'20Trips'!$AB$46:$AH$50,6,FALSE))/1440),1,0)</f>
        <v>#N/A</v>
      </c>
      <c r="E115" s="2" t="e">
        <f>IF(AND(VLOOKUP(E$1,'20Trips'!$A$3:$F$22,5,FALSE) - VLOOKUP($B115,'20Trips'!$A$3:$G$22,6,FALSE) &gt;= ('20Trips'!$B$26+VLOOKUP(VLOOKUP($B115,'20Trips'!$A$2:$I$22,4,FALSE),'20Trips'!$AB$46:$AH$50,6,FALSE))/1440),1,0)</f>
        <v>#N/A</v>
      </c>
      <c r="F115" s="2" t="e">
        <f>IF(AND(VLOOKUP(F$1,'20Trips'!$A$3:$F$22,5,FALSE) - VLOOKUP($B115,'20Trips'!$A$3:$G$22,6,FALSE) &gt;= ('20Trips'!$B$26+VLOOKUP(VLOOKUP($B115,'20Trips'!$A$2:$I$22,4,FALSE),'20Trips'!$AB$46:$AH$50,6,FALSE))/1440),1,0)</f>
        <v>#N/A</v>
      </c>
      <c r="G115" s="2" t="e">
        <f>IF(AND(VLOOKUP(G$1,'20Trips'!$A$3:$F$22,5,FALSE) - VLOOKUP($B115,'20Trips'!$A$3:$G$22,6,FALSE) &gt;= ('20Trips'!$B$26+VLOOKUP(VLOOKUP($B115,'20Trips'!$A$2:$I$22,4,FALSE),'20Trips'!$AB$46:$AH$50,6,FALSE))/1440),1,0)</f>
        <v>#N/A</v>
      </c>
      <c r="H115" s="2" t="e">
        <f>IF(AND(VLOOKUP(H$1,'20Trips'!$A$3:$F$22,5,FALSE) - VLOOKUP($B115,'20Trips'!$A$3:$G$22,6,FALSE) &gt;= ('20Trips'!$B$26+VLOOKUP(VLOOKUP($B115,'20Trips'!$A$2:$I$22,4,FALSE),'20Trips'!$AB$46:$AH$50,6,FALSE))/1440),1,0)</f>
        <v>#N/A</v>
      </c>
      <c r="I115" s="2" t="e">
        <f>IF(AND(VLOOKUP(I$1,'20Trips'!$A$3:$F$22,5,FALSE) - VLOOKUP($B115,'20Trips'!$A$3:$G$22,6,FALSE) &gt;= ('20Trips'!$B$26+VLOOKUP(VLOOKUP($B115,'20Trips'!$A$2:$I$22,4,FALSE),'20Trips'!$AB$46:$AH$50,6,FALSE))/1440),1,0)</f>
        <v>#N/A</v>
      </c>
      <c r="J115" s="2" t="e">
        <f>IF(AND(VLOOKUP(J$1,'20Trips'!$A$3:$F$22,5,FALSE) - VLOOKUP($B115,'20Trips'!$A$3:$G$22,6,FALSE) &gt;= ('20Trips'!$B$26+VLOOKUP(VLOOKUP($B115,'20Trips'!$A$2:$I$22,4,FALSE),'20Trips'!$AB$46:$AH$50,6,FALSE))/1440),1,0)</f>
        <v>#N/A</v>
      </c>
      <c r="K115" s="2" t="e">
        <f>IF(AND(VLOOKUP(K$1,'20Trips'!$A$3:$F$22,5,FALSE) - VLOOKUP($B115,'20Trips'!$A$3:$G$22,6,FALSE) &gt;= ('20Trips'!$B$26+VLOOKUP(VLOOKUP($B115,'20Trips'!$A$2:$I$22,4,FALSE),'20Trips'!$AB$46:$AH$50,6,FALSE))/1440),1,0)</f>
        <v>#N/A</v>
      </c>
      <c r="L115" s="2" t="e">
        <f>IF(AND(VLOOKUP(L$1,'20Trips'!$A$3:$F$22,5,FALSE) - VLOOKUP($B115,'20Trips'!$A$3:$G$22,6,FALSE) &gt;= ('20Trips'!$B$26+VLOOKUP(VLOOKUP($B115,'20Trips'!$A$2:$I$22,4,FALSE),'20Trips'!$AB$46:$AH$50,6,FALSE))/1440),1,0)</f>
        <v>#N/A</v>
      </c>
      <c r="M115" s="2" t="e">
        <f>IF(AND(VLOOKUP(M$1,'20Trips'!$A$3:$F$22,5,FALSE) - VLOOKUP($B115,'20Trips'!$A$3:$G$22,6,FALSE) &gt;= ('20Trips'!$B$26+VLOOKUP(VLOOKUP($B115,'20Trips'!$A$2:$I$22,4,FALSE),'20Trips'!$AB$46:$AH$50,6,FALSE))/1440),1,0)</f>
        <v>#N/A</v>
      </c>
      <c r="N115" s="2" t="e">
        <f>IF(AND(VLOOKUP(N$1,'20Trips'!$A$3:$F$22,5,FALSE) - VLOOKUP($B115,'20Trips'!$A$3:$G$22,6,FALSE) &gt;= ('20Trips'!$B$26+VLOOKUP(VLOOKUP($B115,'20Trips'!$A$2:$I$22,4,FALSE),'20Trips'!$AB$46:$AH$50,6,FALSE))/1440),1,0)</f>
        <v>#N/A</v>
      </c>
      <c r="O115" s="2" t="e">
        <f>IF(AND(VLOOKUP(O$1,'20Trips'!$A$3:$F$22,5,FALSE) - VLOOKUP($B115,'20Trips'!$A$3:$G$22,6,FALSE) &gt;= ('20Trips'!$B$26+VLOOKUP(VLOOKUP($B115,'20Trips'!$A$2:$I$22,4,FALSE),'20Trips'!$AB$46:$AH$50,6,FALSE))/1440),1,0)</f>
        <v>#N/A</v>
      </c>
      <c r="P115" s="2" t="e">
        <f>IF(AND(VLOOKUP(P$1,'20Trips'!$A$3:$F$22,5,FALSE) - VLOOKUP($B115,'20Trips'!$A$3:$G$22,6,FALSE) &gt;= ('20Trips'!$B$26+VLOOKUP(VLOOKUP($B115,'20Trips'!$A$2:$I$22,4,FALSE),'20Trips'!$AB$46:$AH$50,6,FALSE))/1440),1,0)</f>
        <v>#N/A</v>
      </c>
      <c r="Q115" s="2" t="e">
        <f>IF(AND(VLOOKUP(Q$1,'20Trips'!$A$3:$F$22,5,FALSE) - VLOOKUP($B115,'20Trips'!$A$3:$G$22,6,FALSE) &gt;= ('20Trips'!$B$26+VLOOKUP(VLOOKUP($B115,'20Trips'!$A$2:$I$22,4,FALSE),'20Trips'!$AB$46:$AH$50,6,FALSE))/1440),1,0)</f>
        <v>#N/A</v>
      </c>
      <c r="R115" s="2" t="e">
        <f>IF(AND(VLOOKUP(R$1,'20Trips'!$A$3:$F$22,5,FALSE) - VLOOKUP($B115,'20Trips'!$A$3:$G$22,6,FALSE) &gt;= ('20Trips'!$B$26+VLOOKUP(VLOOKUP($B115,'20Trips'!$A$2:$I$22,4,FALSE),'20Trips'!$AB$46:$AH$50,6,FALSE))/1440),1,0)</f>
        <v>#N/A</v>
      </c>
      <c r="S115" s="2" t="e">
        <f>IF(AND(VLOOKUP(S$1,'20Trips'!$A$3:$F$22,5,FALSE) - VLOOKUP($B115,'20Trips'!$A$3:$G$22,6,FALSE) &gt;= ('20Trips'!$B$26+VLOOKUP(VLOOKUP($B115,'20Trips'!$A$2:$I$22,4,FALSE),'20Trips'!$AB$46:$AH$50,6,FALSE))/1440),1,0)</f>
        <v>#N/A</v>
      </c>
      <c r="T115" s="2" t="e">
        <f>IF(AND(VLOOKUP(T$1,'20Trips'!$A$3:$F$22,5,FALSE) - VLOOKUP($B115,'20Trips'!$A$3:$G$22,6,FALSE) &gt;= ('20Trips'!$B$26+VLOOKUP(VLOOKUP($B115,'20Trips'!$A$2:$I$22,4,FALSE),'20Trips'!$AB$46:$AH$50,6,FALSE))/1440),1,0)</f>
        <v>#N/A</v>
      </c>
      <c r="U115" s="2" t="e">
        <f>IF(AND(VLOOKUP(U$1,'20Trips'!$A$3:$F$22,5,FALSE) - VLOOKUP($B115,'20Trips'!$A$3:$G$22,6,FALSE) &gt;= ('20Trips'!$B$26+VLOOKUP(VLOOKUP($B115,'20Trips'!$A$2:$I$22,4,FALSE),'20Trips'!$AB$46:$AH$50,6,FALSE))/1440),1,0)</f>
        <v>#N/A</v>
      </c>
      <c r="V115" s="2" t="e">
        <f>IF(AND(VLOOKUP(V$1,'20Trips'!$A$3:$F$22,5,FALSE) - VLOOKUP($B115,'20Trips'!$A$3:$G$22,6,FALSE) &gt;= ('20Trips'!$B$26+VLOOKUP(VLOOKUP($B115,'20Trips'!$A$2:$I$22,4,FALSE),'20Trips'!$AB$46:$AH$50,6,FALSE))/1440),1,0)</f>
        <v>#N/A</v>
      </c>
      <c r="W115" s="2" t="e">
        <f>IF(AND(VLOOKUP(W$1,'20Trips'!$A$3:$F$22,5,FALSE) - VLOOKUP($B115,'20Trips'!$A$3:$G$22,6,FALSE) &gt;= ('20Trips'!$B$26+VLOOKUP(VLOOKUP($B115,'20Trips'!$A$2:$I$22,4,FALSE),'20Trips'!$AB$46:$AH$50,6,FALSE))/1440),1,0)</f>
        <v>#N/A</v>
      </c>
      <c r="X115" s="2" t="e">
        <f>IF(AND(VLOOKUP(X$1,'20Trips'!$A$3:$F$22,5,FALSE) - VLOOKUP($B115,'20Trips'!$A$3:$G$22,6,FALSE) &gt;= ('20Trips'!$B$26+VLOOKUP(VLOOKUP($B115,'20Trips'!$A$2:$I$22,4,FALSE),'20Trips'!$AB$46:$AH$50,6,FALSE))/1440),1,0)</f>
        <v>#N/A</v>
      </c>
      <c r="Y115" s="2" t="e">
        <f>IF(AND(VLOOKUP(Y$1,'20Trips'!$A$3:$F$22,5,FALSE) - VLOOKUP($B115,'20Trips'!$A$3:$G$22,6,FALSE) &gt;= ('20Trips'!$B$26+VLOOKUP(VLOOKUP($B115,'20Trips'!$A$2:$I$22,4,FALSE),'20Trips'!$AB$46:$AH$50,6,FALSE))/1440),1,0)</f>
        <v>#N/A</v>
      </c>
      <c r="Z115" s="2" t="e">
        <f>IF(AND(VLOOKUP(Z$1,'20Trips'!$A$3:$F$22,5,FALSE) - VLOOKUP($B115,'20Trips'!$A$3:$G$22,6,FALSE) &gt;= ('20Trips'!$B$26+VLOOKUP(VLOOKUP($B115,'20Trips'!$A$2:$I$22,4,FALSE),'20Trips'!$AB$46:$AH$50,6,FALSE))/1440),1,0)</f>
        <v>#N/A</v>
      </c>
      <c r="AA115" s="2" t="e">
        <f>IF(AND(VLOOKUP(AA$1,'20Trips'!$A$3:$F$22,5,FALSE) - VLOOKUP($B115,'20Trips'!$A$3:$G$22,6,FALSE) &gt;= ('20Trips'!$B$26+VLOOKUP(VLOOKUP($B115,'20Trips'!$A$2:$I$22,4,FALSE),'20Trips'!$AB$46:$AH$50,6,FALSE))/1440),1,0)</f>
        <v>#N/A</v>
      </c>
      <c r="AB115" s="2" t="e">
        <f>IF(AND(VLOOKUP(AB$1,'20Trips'!$A$3:$F$22,5,FALSE) - VLOOKUP($B115,'20Trips'!$A$3:$G$22,6,FALSE) &gt;= ('20Trips'!$B$26+VLOOKUP(VLOOKUP($B115,'20Trips'!$A$2:$I$22,4,FALSE),'20Trips'!$AB$46:$AH$50,6,FALSE))/1440),1,0)</f>
        <v>#N/A</v>
      </c>
      <c r="AC115" s="2" t="e">
        <f>IF(AND(VLOOKUP(AC$1,'20Trips'!$A$3:$F$22,5,FALSE) - VLOOKUP($B115,'20Trips'!$A$3:$G$22,6,FALSE) &gt;= ('20Trips'!$B$26+VLOOKUP(VLOOKUP($B115,'20Trips'!$A$2:$I$22,4,FALSE),'20Trips'!$AB$46:$AH$50,6,FALSE))/1440),1,0)</f>
        <v>#N/A</v>
      </c>
      <c r="AD115" s="2" t="e">
        <f>IF(AND(VLOOKUP(AD$1,'20Trips'!$A$3:$F$22,5,FALSE) - VLOOKUP($B115,'20Trips'!$A$3:$G$22,6,FALSE) &gt;= ('20Trips'!$B$26+VLOOKUP(VLOOKUP($B115,'20Trips'!$A$2:$I$22,4,FALSE),'20Trips'!$AB$46:$AH$50,6,FALSE))/1440),1,0)</f>
        <v>#N/A</v>
      </c>
      <c r="AE115" s="2" t="e">
        <f>IF(AND(VLOOKUP(AE$1,'20Trips'!$A$3:$F$22,5,FALSE) - VLOOKUP($B115,'20Trips'!$A$3:$G$22,6,FALSE) &gt;= ('20Trips'!$B$26+VLOOKUP(VLOOKUP($B115,'20Trips'!$A$2:$I$22,4,FALSE),'20Trips'!$AB$46:$AH$50,6,FALSE))/1440),1,0)</f>
        <v>#N/A</v>
      </c>
      <c r="AF115" s="2" t="e">
        <f>IF(AND(VLOOKUP(AF$1,'20Trips'!$A$3:$F$22,5,FALSE) - VLOOKUP($B115,'20Trips'!$A$3:$G$22,6,FALSE) &gt;= ('20Trips'!$B$26+VLOOKUP(VLOOKUP($B115,'20Trips'!$A$2:$I$22,4,FALSE),'20Trips'!$AB$46:$AH$50,6,FALSE))/1440),1,0)</f>
        <v>#N/A</v>
      </c>
      <c r="AG115" s="2" t="e">
        <f>IF(AND(VLOOKUP(AG$1,'20Trips'!$A$3:$F$22,5,FALSE) - VLOOKUP($B115,'20Trips'!$A$3:$G$22,6,FALSE) &gt;= ('20Trips'!$B$26+VLOOKUP(VLOOKUP($B115,'20Trips'!$A$2:$I$22,4,FALSE),'20Trips'!$AB$46:$AH$50,6,FALSE))/1440),1,0)</f>
        <v>#N/A</v>
      </c>
    </row>
    <row r="116" spans="1:33" x14ac:dyDescent="0.25">
      <c r="A116" t="s">
        <v>68</v>
      </c>
      <c r="B116" t="s">
        <v>32</v>
      </c>
      <c r="C116">
        <v>0</v>
      </c>
      <c r="D116" s="2" t="e">
        <f>IF(AND(VLOOKUP(D$1,'20Trips'!$A$3:$F$22,5,FALSE) - VLOOKUP($B116,'20Trips'!$A$3:$G$22,6,FALSE) &gt;= ('20Trips'!$B$26+VLOOKUP(VLOOKUP($B116,'20Trips'!$A$2:$I$22,4,FALSE),'20Trips'!$AB$46:$AH$50,6,FALSE))/1440),1,0)</f>
        <v>#N/A</v>
      </c>
      <c r="E116" s="2" t="e">
        <f>IF(AND(VLOOKUP(E$1,'20Trips'!$A$3:$F$22,5,FALSE) - VLOOKUP($B116,'20Trips'!$A$3:$G$22,6,FALSE) &gt;= ('20Trips'!$B$26+VLOOKUP(VLOOKUP($B116,'20Trips'!$A$2:$I$22,4,FALSE),'20Trips'!$AB$46:$AH$50,6,FALSE))/1440),1,0)</f>
        <v>#N/A</v>
      </c>
      <c r="F116" s="2" t="e">
        <f>IF(AND(VLOOKUP(F$1,'20Trips'!$A$3:$F$22,5,FALSE) - VLOOKUP($B116,'20Trips'!$A$3:$G$22,6,FALSE) &gt;= ('20Trips'!$B$26+VLOOKUP(VLOOKUP($B116,'20Trips'!$A$2:$I$22,4,FALSE),'20Trips'!$AB$46:$AH$50,6,FALSE))/1440),1,0)</f>
        <v>#N/A</v>
      </c>
      <c r="G116" s="2" t="e">
        <f>IF(AND(VLOOKUP(G$1,'20Trips'!$A$3:$F$22,5,FALSE) - VLOOKUP($B116,'20Trips'!$A$3:$G$22,6,FALSE) &gt;= ('20Trips'!$B$26+VLOOKUP(VLOOKUP($B116,'20Trips'!$A$2:$I$22,4,FALSE),'20Trips'!$AB$46:$AH$50,6,FALSE))/1440),1,0)</f>
        <v>#N/A</v>
      </c>
      <c r="H116" s="2" t="e">
        <f>IF(AND(VLOOKUP(H$1,'20Trips'!$A$3:$F$22,5,FALSE) - VLOOKUP($B116,'20Trips'!$A$3:$G$22,6,FALSE) &gt;= ('20Trips'!$B$26+VLOOKUP(VLOOKUP($B116,'20Trips'!$A$2:$I$22,4,FALSE),'20Trips'!$AB$46:$AH$50,6,FALSE))/1440),1,0)</f>
        <v>#N/A</v>
      </c>
      <c r="I116" s="2" t="e">
        <f>IF(AND(VLOOKUP(I$1,'20Trips'!$A$3:$F$22,5,FALSE) - VLOOKUP($B116,'20Trips'!$A$3:$G$22,6,FALSE) &gt;= ('20Trips'!$B$26+VLOOKUP(VLOOKUP($B116,'20Trips'!$A$2:$I$22,4,FALSE),'20Trips'!$AB$46:$AH$50,6,FALSE))/1440),1,0)</f>
        <v>#N/A</v>
      </c>
      <c r="J116" s="2" t="e">
        <f>IF(AND(VLOOKUP(J$1,'20Trips'!$A$3:$F$22,5,FALSE) - VLOOKUP($B116,'20Trips'!$A$3:$G$22,6,FALSE) &gt;= ('20Trips'!$B$26+VLOOKUP(VLOOKUP($B116,'20Trips'!$A$2:$I$22,4,FALSE),'20Trips'!$AB$46:$AH$50,6,FALSE))/1440),1,0)</f>
        <v>#N/A</v>
      </c>
      <c r="K116" s="2" t="e">
        <f>IF(AND(VLOOKUP(K$1,'20Trips'!$A$3:$F$22,5,FALSE) - VLOOKUP($B116,'20Trips'!$A$3:$G$22,6,FALSE) &gt;= ('20Trips'!$B$26+VLOOKUP(VLOOKUP($B116,'20Trips'!$A$2:$I$22,4,FALSE),'20Trips'!$AB$46:$AH$50,6,FALSE))/1440),1,0)</f>
        <v>#N/A</v>
      </c>
      <c r="L116" s="2" t="e">
        <f>IF(AND(VLOOKUP(L$1,'20Trips'!$A$3:$F$22,5,FALSE) - VLOOKUP($B116,'20Trips'!$A$3:$G$22,6,FALSE) &gt;= ('20Trips'!$B$26+VLOOKUP(VLOOKUP($B116,'20Trips'!$A$2:$I$22,4,FALSE),'20Trips'!$AB$46:$AH$50,6,FALSE))/1440),1,0)</f>
        <v>#N/A</v>
      </c>
      <c r="M116" s="2" t="e">
        <f>IF(AND(VLOOKUP(M$1,'20Trips'!$A$3:$F$22,5,FALSE) - VLOOKUP($B116,'20Trips'!$A$3:$G$22,6,FALSE) &gt;= ('20Trips'!$B$26+VLOOKUP(VLOOKUP($B116,'20Trips'!$A$2:$I$22,4,FALSE),'20Trips'!$AB$46:$AH$50,6,FALSE))/1440),1,0)</f>
        <v>#N/A</v>
      </c>
      <c r="N116" s="2" t="e">
        <f>IF(AND(VLOOKUP(N$1,'20Trips'!$A$3:$F$22,5,FALSE) - VLOOKUP($B116,'20Trips'!$A$3:$G$22,6,FALSE) &gt;= ('20Trips'!$B$26+VLOOKUP(VLOOKUP($B116,'20Trips'!$A$2:$I$22,4,FALSE),'20Trips'!$AB$46:$AH$50,6,FALSE))/1440),1,0)</f>
        <v>#N/A</v>
      </c>
      <c r="O116" s="2" t="e">
        <f>IF(AND(VLOOKUP(O$1,'20Trips'!$A$3:$F$22,5,FALSE) - VLOOKUP($B116,'20Trips'!$A$3:$G$22,6,FALSE) &gt;= ('20Trips'!$B$26+VLOOKUP(VLOOKUP($B116,'20Trips'!$A$2:$I$22,4,FALSE),'20Trips'!$AB$46:$AH$50,6,FALSE))/1440),1,0)</f>
        <v>#N/A</v>
      </c>
      <c r="P116" s="2" t="e">
        <f>IF(AND(VLOOKUP(P$1,'20Trips'!$A$3:$F$22,5,FALSE) - VLOOKUP($B116,'20Trips'!$A$3:$G$22,6,FALSE) &gt;= ('20Trips'!$B$26+VLOOKUP(VLOOKUP($B116,'20Trips'!$A$2:$I$22,4,FALSE),'20Trips'!$AB$46:$AH$50,6,FALSE))/1440),1,0)</f>
        <v>#N/A</v>
      </c>
      <c r="Q116" s="2" t="e">
        <f>IF(AND(VLOOKUP(Q$1,'20Trips'!$A$3:$F$22,5,FALSE) - VLOOKUP($B116,'20Trips'!$A$3:$G$22,6,FALSE) &gt;= ('20Trips'!$B$26+VLOOKUP(VLOOKUP($B116,'20Trips'!$A$2:$I$22,4,FALSE),'20Trips'!$AB$46:$AH$50,6,FALSE))/1440),1,0)</f>
        <v>#N/A</v>
      </c>
      <c r="R116" s="2" t="e">
        <f>IF(AND(VLOOKUP(R$1,'20Trips'!$A$3:$F$22,5,FALSE) - VLOOKUP($B116,'20Trips'!$A$3:$G$22,6,FALSE) &gt;= ('20Trips'!$B$26+VLOOKUP(VLOOKUP($B116,'20Trips'!$A$2:$I$22,4,FALSE),'20Trips'!$AB$46:$AH$50,6,FALSE))/1440),1,0)</f>
        <v>#N/A</v>
      </c>
      <c r="S116" s="2" t="e">
        <f>IF(AND(VLOOKUP(S$1,'20Trips'!$A$3:$F$22,5,FALSE) - VLOOKUP($B116,'20Trips'!$A$3:$G$22,6,FALSE) &gt;= ('20Trips'!$B$26+VLOOKUP(VLOOKUP($B116,'20Trips'!$A$2:$I$22,4,FALSE),'20Trips'!$AB$46:$AH$50,6,FALSE))/1440),1,0)</f>
        <v>#N/A</v>
      </c>
      <c r="T116" s="2" t="e">
        <f>IF(AND(VLOOKUP(T$1,'20Trips'!$A$3:$F$22,5,FALSE) - VLOOKUP($B116,'20Trips'!$A$3:$G$22,6,FALSE) &gt;= ('20Trips'!$B$26+VLOOKUP(VLOOKUP($B116,'20Trips'!$A$2:$I$22,4,FALSE),'20Trips'!$AB$46:$AH$50,6,FALSE))/1440),1,0)</f>
        <v>#N/A</v>
      </c>
      <c r="U116" s="2" t="e">
        <f>IF(AND(VLOOKUP(U$1,'20Trips'!$A$3:$F$22,5,FALSE) - VLOOKUP($B116,'20Trips'!$A$3:$G$22,6,FALSE) &gt;= ('20Trips'!$B$26+VLOOKUP(VLOOKUP($B116,'20Trips'!$A$2:$I$22,4,FALSE),'20Trips'!$AB$46:$AH$50,6,FALSE))/1440),1,0)</f>
        <v>#N/A</v>
      </c>
      <c r="V116" s="2" t="e">
        <f>IF(AND(VLOOKUP(V$1,'20Trips'!$A$3:$F$22,5,FALSE) - VLOOKUP($B116,'20Trips'!$A$3:$G$22,6,FALSE) &gt;= ('20Trips'!$B$26+VLOOKUP(VLOOKUP($B116,'20Trips'!$A$2:$I$22,4,FALSE),'20Trips'!$AB$46:$AH$50,6,FALSE))/1440),1,0)</f>
        <v>#N/A</v>
      </c>
      <c r="W116" s="2" t="e">
        <f>IF(AND(VLOOKUP(W$1,'20Trips'!$A$3:$F$22,5,FALSE) - VLOOKUP($B116,'20Trips'!$A$3:$G$22,6,FALSE) &gt;= ('20Trips'!$B$26+VLOOKUP(VLOOKUP($B116,'20Trips'!$A$2:$I$22,4,FALSE),'20Trips'!$AB$46:$AH$50,6,FALSE))/1440),1,0)</f>
        <v>#N/A</v>
      </c>
      <c r="X116" s="2" t="e">
        <f>IF(AND(VLOOKUP(X$1,'20Trips'!$A$3:$F$22,5,FALSE) - VLOOKUP($B116,'20Trips'!$A$3:$G$22,6,FALSE) &gt;= ('20Trips'!$B$26+VLOOKUP(VLOOKUP($B116,'20Trips'!$A$2:$I$22,4,FALSE),'20Trips'!$AB$46:$AH$50,6,FALSE))/1440),1,0)</f>
        <v>#N/A</v>
      </c>
      <c r="Y116" s="2" t="e">
        <f>IF(AND(VLOOKUP(Y$1,'20Trips'!$A$3:$F$22,5,FALSE) - VLOOKUP($B116,'20Trips'!$A$3:$G$22,6,FALSE) &gt;= ('20Trips'!$B$26+VLOOKUP(VLOOKUP($B116,'20Trips'!$A$2:$I$22,4,FALSE),'20Trips'!$AB$46:$AH$50,6,FALSE))/1440),1,0)</f>
        <v>#N/A</v>
      </c>
      <c r="Z116" s="2" t="e">
        <f>IF(AND(VLOOKUP(Z$1,'20Trips'!$A$3:$F$22,5,FALSE) - VLOOKUP($B116,'20Trips'!$A$3:$G$22,6,FALSE) &gt;= ('20Trips'!$B$26+VLOOKUP(VLOOKUP($B116,'20Trips'!$A$2:$I$22,4,FALSE),'20Trips'!$AB$46:$AH$50,6,FALSE))/1440),1,0)</f>
        <v>#N/A</v>
      </c>
      <c r="AA116" s="2" t="e">
        <f>IF(AND(VLOOKUP(AA$1,'20Trips'!$A$3:$F$22,5,FALSE) - VLOOKUP($B116,'20Trips'!$A$3:$G$22,6,FALSE) &gt;= ('20Trips'!$B$26+VLOOKUP(VLOOKUP($B116,'20Trips'!$A$2:$I$22,4,FALSE),'20Trips'!$AB$46:$AH$50,6,FALSE))/1440),1,0)</f>
        <v>#N/A</v>
      </c>
      <c r="AB116" s="2" t="e">
        <f>IF(AND(VLOOKUP(AB$1,'20Trips'!$A$3:$F$22,5,FALSE) - VLOOKUP($B116,'20Trips'!$A$3:$G$22,6,FALSE) &gt;= ('20Trips'!$B$26+VLOOKUP(VLOOKUP($B116,'20Trips'!$A$2:$I$22,4,FALSE),'20Trips'!$AB$46:$AH$50,6,FALSE))/1440),1,0)</f>
        <v>#N/A</v>
      </c>
      <c r="AC116" s="2" t="e">
        <f>IF(AND(VLOOKUP(AC$1,'20Trips'!$A$3:$F$22,5,FALSE) - VLOOKUP($B116,'20Trips'!$A$3:$G$22,6,FALSE) &gt;= ('20Trips'!$B$26+VLOOKUP(VLOOKUP($B116,'20Trips'!$A$2:$I$22,4,FALSE),'20Trips'!$AB$46:$AH$50,6,FALSE))/1440),1,0)</f>
        <v>#N/A</v>
      </c>
      <c r="AD116" s="2" t="e">
        <f>IF(AND(VLOOKUP(AD$1,'20Trips'!$A$3:$F$22,5,FALSE) - VLOOKUP($B116,'20Trips'!$A$3:$G$22,6,FALSE) &gt;= ('20Trips'!$B$26+VLOOKUP(VLOOKUP($B116,'20Trips'!$A$2:$I$22,4,FALSE),'20Trips'!$AB$46:$AH$50,6,FALSE))/1440),1,0)</f>
        <v>#N/A</v>
      </c>
      <c r="AE116" s="2" t="e">
        <f>IF(AND(VLOOKUP(AE$1,'20Trips'!$A$3:$F$22,5,FALSE) - VLOOKUP($B116,'20Trips'!$A$3:$G$22,6,FALSE) &gt;= ('20Trips'!$B$26+VLOOKUP(VLOOKUP($B116,'20Trips'!$A$2:$I$22,4,FALSE),'20Trips'!$AB$46:$AH$50,6,FALSE))/1440),1,0)</f>
        <v>#N/A</v>
      </c>
      <c r="AF116" s="2" t="e">
        <f>IF(AND(VLOOKUP(AF$1,'20Trips'!$A$3:$F$22,5,FALSE) - VLOOKUP($B116,'20Trips'!$A$3:$G$22,6,FALSE) &gt;= ('20Trips'!$B$26+VLOOKUP(VLOOKUP($B116,'20Trips'!$A$2:$I$22,4,FALSE),'20Trips'!$AB$46:$AH$50,6,FALSE))/1440),1,0)</f>
        <v>#N/A</v>
      </c>
      <c r="AG116" s="2" t="e">
        <f>IF(AND(VLOOKUP(AG$1,'20Trips'!$A$3:$F$22,5,FALSE) - VLOOKUP($B116,'20Trips'!$A$3:$G$22,6,FALSE) &gt;= ('20Trips'!$B$26+VLOOKUP(VLOOKUP($B116,'20Trips'!$A$2:$I$22,4,FALSE),'20Trips'!$AB$46:$AH$50,6,FALSE))/1440),1,0)</f>
        <v>#N/A</v>
      </c>
    </row>
    <row r="117" spans="1:33" x14ac:dyDescent="0.25">
      <c r="A117" t="s">
        <v>68</v>
      </c>
      <c r="B117" t="s">
        <v>33</v>
      </c>
      <c r="C117">
        <v>0</v>
      </c>
      <c r="D117" s="2" t="e">
        <f>IF(AND(VLOOKUP(D$1,'20Trips'!$A$3:$F$22,5,FALSE) - VLOOKUP($B117,'20Trips'!$A$3:$G$22,6,FALSE) &gt;= ('20Trips'!$B$26+VLOOKUP(VLOOKUP($B117,'20Trips'!$A$2:$I$22,4,FALSE),'20Trips'!$AB$46:$AH$50,6,FALSE))/1440),1,0)</f>
        <v>#N/A</v>
      </c>
      <c r="E117" s="2" t="e">
        <f>IF(AND(VLOOKUP(E$1,'20Trips'!$A$3:$F$22,5,FALSE) - VLOOKUP($B117,'20Trips'!$A$3:$G$22,6,FALSE) &gt;= ('20Trips'!$B$26+VLOOKUP(VLOOKUP($B117,'20Trips'!$A$2:$I$22,4,FALSE),'20Trips'!$AB$46:$AH$50,6,FALSE))/1440),1,0)</f>
        <v>#N/A</v>
      </c>
      <c r="F117" s="2" t="e">
        <f>IF(AND(VLOOKUP(F$1,'20Trips'!$A$3:$F$22,5,FALSE) - VLOOKUP($B117,'20Trips'!$A$3:$G$22,6,FALSE) &gt;= ('20Trips'!$B$26+VLOOKUP(VLOOKUP($B117,'20Trips'!$A$2:$I$22,4,FALSE),'20Trips'!$AB$46:$AH$50,6,FALSE))/1440),1,0)</f>
        <v>#N/A</v>
      </c>
      <c r="G117" s="2" t="e">
        <f>IF(AND(VLOOKUP(G$1,'20Trips'!$A$3:$F$22,5,FALSE) - VLOOKUP($B117,'20Trips'!$A$3:$G$22,6,FALSE) &gt;= ('20Trips'!$B$26+VLOOKUP(VLOOKUP($B117,'20Trips'!$A$2:$I$22,4,FALSE),'20Trips'!$AB$46:$AH$50,6,FALSE))/1440),1,0)</f>
        <v>#N/A</v>
      </c>
      <c r="H117" s="2" t="e">
        <f>IF(AND(VLOOKUP(H$1,'20Trips'!$A$3:$F$22,5,FALSE) - VLOOKUP($B117,'20Trips'!$A$3:$G$22,6,FALSE) &gt;= ('20Trips'!$B$26+VLOOKUP(VLOOKUP($B117,'20Trips'!$A$2:$I$22,4,FALSE),'20Trips'!$AB$46:$AH$50,6,FALSE))/1440),1,0)</f>
        <v>#N/A</v>
      </c>
      <c r="I117" s="2" t="e">
        <f>IF(AND(VLOOKUP(I$1,'20Trips'!$A$3:$F$22,5,FALSE) - VLOOKUP($B117,'20Trips'!$A$3:$G$22,6,FALSE) &gt;= ('20Trips'!$B$26+VLOOKUP(VLOOKUP($B117,'20Trips'!$A$2:$I$22,4,FALSE),'20Trips'!$AB$46:$AH$50,6,FALSE))/1440),1,0)</f>
        <v>#N/A</v>
      </c>
      <c r="J117" s="2" t="e">
        <f>IF(AND(VLOOKUP(J$1,'20Trips'!$A$3:$F$22,5,FALSE) - VLOOKUP($B117,'20Trips'!$A$3:$G$22,6,FALSE) &gt;= ('20Trips'!$B$26+VLOOKUP(VLOOKUP($B117,'20Trips'!$A$2:$I$22,4,FALSE),'20Trips'!$AB$46:$AH$50,6,FALSE))/1440),1,0)</f>
        <v>#N/A</v>
      </c>
      <c r="K117" s="2" t="e">
        <f>IF(AND(VLOOKUP(K$1,'20Trips'!$A$3:$F$22,5,FALSE) - VLOOKUP($B117,'20Trips'!$A$3:$G$22,6,FALSE) &gt;= ('20Trips'!$B$26+VLOOKUP(VLOOKUP($B117,'20Trips'!$A$2:$I$22,4,FALSE),'20Trips'!$AB$46:$AH$50,6,FALSE))/1440),1,0)</f>
        <v>#N/A</v>
      </c>
      <c r="L117" s="2" t="e">
        <f>IF(AND(VLOOKUP(L$1,'20Trips'!$A$3:$F$22,5,FALSE) - VLOOKUP($B117,'20Trips'!$A$3:$G$22,6,FALSE) &gt;= ('20Trips'!$B$26+VLOOKUP(VLOOKUP($B117,'20Trips'!$A$2:$I$22,4,FALSE),'20Trips'!$AB$46:$AH$50,6,FALSE))/1440),1,0)</f>
        <v>#N/A</v>
      </c>
      <c r="M117" s="2" t="e">
        <f>IF(AND(VLOOKUP(M$1,'20Trips'!$A$3:$F$22,5,FALSE) - VLOOKUP($B117,'20Trips'!$A$3:$G$22,6,FALSE) &gt;= ('20Trips'!$B$26+VLOOKUP(VLOOKUP($B117,'20Trips'!$A$2:$I$22,4,FALSE),'20Trips'!$AB$46:$AH$50,6,FALSE))/1440),1,0)</f>
        <v>#N/A</v>
      </c>
      <c r="N117" s="2" t="e">
        <f>IF(AND(VLOOKUP(N$1,'20Trips'!$A$3:$F$22,5,FALSE) - VLOOKUP($B117,'20Trips'!$A$3:$G$22,6,FALSE) &gt;= ('20Trips'!$B$26+VLOOKUP(VLOOKUP($B117,'20Trips'!$A$2:$I$22,4,FALSE),'20Trips'!$AB$46:$AH$50,6,FALSE))/1440),1,0)</f>
        <v>#N/A</v>
      </c>
      <c r="O117" s="2" t="e">
        <f>IF(AND(VLOOKUP(O$1,'20Trips'!$A$3:$F$22,5,FALSE) - VLOOKUP($B117,'20Trips'!$A$3:$G$22,6,FALSE) &gt;= ('20Trips'!$B$26+VLOOKUP(VLOOKUP($B117,'20Trips'!$A$2:$I$22,4,FALSE),'20Trips'!$AB$46:$AH$50,6,FALSE))/1440),1,0)</f>
        <v>#N/A</v>
      </c>
      <c r="P117" s="2" t="e">
        <f>IF(AND(VLOOKUP(P$1,'20Trips'!$A$3:$F$22,5,FALSE) - VLOOKUP($B117,'20Trips'!$A$3:$G$22,6,FALSE) &gt;= ('20Trips'!$B$26+VLOOKUP(VLOOKUP($B117,'20Trips'!$A$2:$I$22,4,FALSE),'20Trips'!$AB$46:$AH$50,6,FALSE))/1440),1,0)</f>
        <v>#N/A</v>
      </c>
      <c r="Q117" s="2" t="e">
        <f>IF(AND(VLOOKUP(Q$1,'20Trips'!$A$3:$F$22,5,FALSE) - VLOOKUP($B117,'20Trips'!$A$3:$G$22,6,FALSE) &gt;= ('20Trips'!$B$26+VLOOKUP(VLOOKUP($B117,'20Trips'!$A$2:$I$22,4,FALSE),'20Trips'!$AB$46:$AH$50,6,FALSE))/1440),1,0)</f>
        <v>#N/A</v>
      </c>
      <c r="R117" s="2" t="e">
        <f>IF(AND(VLOOKUP(R$1,'20Trips'!$A$3:$F$22,5,FALSE) - VLOOKUP($B117,'20Trips'!$A$3:$G$22,6,FALSE) &gt;= ('20Trips'!$B$26+VLOOKUP(VLOOKUP($B117,'20Trips'!$A$2:$I$22,4,FALSE),'20Trips'!$AB$46:$AH$50,6,FALSE))/1440),1,0)</f>
        <v>#N/A</v>
      </c>
      <c r="S117" s="2" t="e">
        <f>IF(AND(VLOOKUP(S$1,'20Trips'!$A$3:$F$22,5,FALSE) - VLOOKUP($B117,'20Trips'!$A$3:$G$22,6,FALSE) &gt;= ('20Trips'!$B$26+VLOOKUP(VLOOKUP($B117,'20Trips'!$A$2:$I$22,4,FALSE),'20Trips'!$AB$46:$AH$50,6,FALSE))/1440),1,0)</f>
        <v>#N/A</v>
      </c>
      <c r="T117" s="2" t="e">
        <f>IF(AND(VLOOKUP(T$1,'20Trips'!$A$3:$F$22,5,FALSE) - VLOOKUP($B117,'20Trips'!$A$3:$G$22,6,FALSE) &gt;= ('20Trips'!$B$26+VLOOKUP(VLOOKUP($B117,'20Trips'!$A$2:$I$22,4,FALSE),'20Trips'!$AB$46:$AH$50,6,FALSE))/1440),1,0)</f>
        <v>#N/A</v>
      </c>
      <c r="U117" s="2" t="e">
        <f>IF(AND(VLOOKUP(U$1,'20Trips'!$A$3:$F$22,5,FALSE) - VLOOKUP($B117,'20Trips'!$A$3:$G$22,6,FALSE) &gt;= ('20Trips'!$B$26+VLOOKUP(VLOOKUP($B117,'20Trips'!$A$2:$I$22,4,FALSE),'20Trips'!$AB$46:$AH$50,6,FALSE))/1440),1,0)</f>
        <v>#N/A</v>
      </c>
      <c r="V117" s="2" t="e">
        <f>IF(AND(VLOOKUP(V$1,'20Trips'!$A$3:$F$22,5,FALSE) - VLOOKUP($B117,'20Trips'!$A$3:$G$22,6,FALSE) &gt;= ('20Trips'!$B$26+VLOOKUP(VLOOKUP($B117,'20Trips'!$A$2:$I$22,4,FALSE),'20Trips'!$AB$46:$AH$50,6,FALSE))/1440),1,0)</f>
        <v>#N/A</v>
      </c>
      <c r="W117" s="2" t="e">
        <f>IF(AND(VLOOKUP(W$1,'20Trips'!$A$3:$F$22,5,FALSE) - VLOOKUP($B117,'20Trips'!$A$3:$G$22,6,FALSE) &gt;= ('20Trips'!$B$26+VLOOKUP(VLOOKUP($B117,'20Trips'!$A$2:$I$22,4,FALSE),'20Trips'!$AB$46:$AH$50,6,FALSE))/1440),1,0)</f>
        <v>#N/A</v>
      </c>
      <c r="X117" s="2" t="e">
        <f>IF(AND(VLOOKUP(X$1,'20Trips'!$A$3:$F$22,5,FALSE) - VLOOKUP($B117,'20Trips'!$A$3:$G$22,6,FALSE) &gt;= ('20Trips'!$B$26+VLOOKUP(VLOOKUP($B117,'20Trips'!$A$2:$I$22,4,FALSE),'20Trips'!$AB$46:$AH$50,6,FALSE))/1440),1,0)</f>
        <v>#N/A</v>
      </c>
      <c r="Y117" s="2" t="e">
        <f>IF(AND(VLOOKUP(Y$1,'20Trips'!$A$3:$F$22,5,FALSE) - VLOOKUP($B117,'20Trips'!$A$3:$G$22,6,FALSE) &gt;= ('20Trips'!$B$26+VLOOKUP(VLOOKUP($B117,'20Trips'!$A$2:$I$22,4,FALSE),'20Trips'!$AB$46:$AH$50,6,FALSE))/1440),1,0)</f>
        <v>#N/A</v>
      </c>
      <c r="Z117" s="2" t="e">
        <f>IF(AND(VLOOKUP(Z$1,'20Trips'!$A$3:$F$22,5,FALSE) - VLOOKUP($B117,'20Trips'!$A$3:$G$22,6,FALSE) &gt;= ('20Trips'!$B$26+VLOOKUP(VLOOKUP($B117,'20Trips'!$A$2:$I$22,4,FALSE),'20Trips'!$AB$46:$AH$50,6,FALSE))/1440),1,0)</f>
        <v>#N/A</v>
      </c>
      <c r="AA117" s="2" t="e">
        <f>IF(AND(VLOOKUP(AA$1,'20Trips'!$A$3:$F$22,5,FALSE) - VLOOKUP($B117,'20Trips'!$A$3:$G$22,6,FALSE) &gt;= ('20Trips'!$B$26+VLOOKUP(VLOOKUP($B117,'20Trips'!$A$2:$I$22,4,FALSE),'20Trips'!$AB$46:$AH$50,6,FALSE))/1440),1,0)</f>
        <v>#N/A</v>
      </c>
      <c r="AB117" s="2" t="e">
        <f>IF(AND(VLOOKUP(AB$1,'20Trips'!$A$3:$F$22,5,FALSE) - VLOOKUP($B117,'20Trips'!$A$3:$G$22,6,FALSE) &gt;= ('20Trips'!$B$26+VLOOKUP(VLOOKUP($B117,'20Trips'!$A$2:$I$22,4,FALSE),'20Trips'!$AB$46:$AH$50,6,FALSE))/1440),1,0)</f>
        <v>#N/A</v>
      </c>
      <c r="AC117" s="2" t="e">
        <f>IF(AND(VLOOKUP(AC$1,'20Trips'!$A$3:$F$22,5,FALSE) - VLOOKUP($B117,'20Trips'!$A$3:$G$22,6,FALSE) &gt;= ('20Trips'!$B$26+VLOOKUP(VLOOKUP($B117,'20Trips'!$A$2:$I$22,4,FALSE),'20Trips'!$AB$46:$AH$50,6,FALSE))/1440),1,0)</f>
        <v>#N/A</v>
      </c>
      <c r="AD117" s="2" t="e">
        <f>IF(AND(VLOOKUP(AD$1,'20Trips'!$A$3:$F$22,5,FALSE) - VLOOKUP($B117,'20Trips'!$A$3:$G$22,6,FALSE) &gt;= ('20Trips'!$B$26+VLOOKUP(VLOOKUP($B117,'20Trips'!$A$2:$I$22,4,FALSE),'20Trips'!$AB$46:$AH$50,6,FALSE))/1440),1,0)</f>
        <v>#N/A</v>
      </c>
      <c r="AE117" s="2" t="e">
        <f>IF(AND(VLOOKUP(AE$1,'20Trips'!$A$3:$F$22,5,FALSE) - VLOOKUP($B117,'20Trips'!$A$3:$G$22,6,FALSE) &gt;= ('20Trips'!$B$26+VLOOKUP(VLOOKUP($B117,'20Trips'!$A$2:$I$22,4,FALSE),'20Trips'!$AB$46:$AH$50,6,FALSE))/1440),1,0)</f>
        <v>#N/A</v>
      </c>
      <c r="AF117" s="2" t="e">
        <f>IF(AND(VLOOKUP(AF$1,'20Trips'!$A$3:$F$22,5,FALSE) - VLOOKUP($B117,'20Trips'!$A$3:$G$22,6,FALSE) &gt;= ('20Trips'!$B$26+VLOOKUP(VLOOKUP($B117,'20Trips'!$A$2:$I$22,4,FALSE),'20Trips'!$AB$46:$AH$50,6,FALSE))/1440),1,0)</f>
        <v>#N/A</v>
      </c>
      <c r="AG117" s="2" t="e">
        <f>IF(AND(VLOOKUP(AG$1,'20Trips'!$A$3:$F$22,5,FALSE) - VLOOKUP($B117,'20Trips'!$A$3:$G$22,6,FALSE) &gt;= ('20Trips'!$B$26+VLOOKUP(VLOOKUP($B117,'20Trips'!$A$2:$I$22,4,FALSE),'20Trips'!$AB$46:$AH$50,6,FALSE))/1440),1,0)</f>
        <v>#N/A</v>
      </c>
    </row>
    <row r="118" spans="1:33" x14ac:dyDescent="0.25">
      <c r="A118" t="s">
        <v>68</v>
      </c>
      <c r="B118" t="s">
        <v>34</v>
      </c>
      <c r="C118">
        <v>0</v>
      </c>
      <c r="D118" s="2">
        <f>IF(AND(VLOOKUP(D$1,'20Trips'!$A$3:$F$22,5,FALSE) - VLOOKUP($B118,'20Trips'!$A$3:$G$22,6,FALSE) &gt;= ('20Trips'!$B$26+VLOOKUP(VLOOKUP($B118,'20Trips'!$A$2:$I$22,4,FALSE),'20Trips'!$AB$46:$AH$50,6,FALSE))/1440),1,0)</f>
        <v>0</v>
      </c>
      <c r="E118" s="2">
        <f>IF(AND(VLOOKUP(E$1,'20Trips'!$A$3:$F$22,5,FALSE) - VLOOKUP($B118,'20Trips'!$A$3:$G$22,6,FALSE) &gt;= ('20Trips'!$B$26+VLOOKUP(VLOOKUP($B118,'20Trips'!$A$2:$I$22,4,FALSE),'20Trips'!$AB$46:$AH$50,6,FALSE))/1440),1,0)</f>
        <v>0</v>
      </c>
      <c r="F118" s="2">
        <f>IF(AND(VLOOKUP(F$1,'20Trips'!$A$3:$F$22,5,FALSE) - VLOOKUP($B118,'20Trips'!$A$3:$G$22,6,FALSE) &gt;= ('20Trips'!$B$26+VLOOKUP(VLOOKUP($B118,'20Trips'!$A$2:$I$22,4,FALSE),'20Trips'!$AB$46:$AH$50,6,FALSE))/1440),1,0)</f>
        <v>0</v>
      </c>
      <c r="G118" s="2">
        <f>IF(AND(VLOOKUP(G$1,'20Trips'!$A$3:$F$22,5,FALSE) - VLOOKUP($B118,'20Trips'!$A$3:$G$22,6,FALSE) &gt;= ('20Trips'!$B$26+VLOOKUP(VLOOKUP($B118,'20Trips'!$A$2:$I$22,4,FALSE),'20Trips'!$AB$46:$AH$50,6,FALSE))/1440),1,0)</f>
        <v>1</v>
      </c>
      <c r="H118" s="2">
        <f>IF(AND(VLOOKUP(H$1,'20Trips'!$A$3:$F$22,5,FALSE) - VLOOKUP($B118,'20Trips'!$A$3:$G$22,6,FALSE) &gt;= ('20Trips'!$B$26+VLOOKUP(VLOOKUP($B118,'20Trips'!$A$2:$I$22,4,FALSE),'20Trips'!$AB$46:$AH$50,6,FALSE))/1440),1,0)</f>
        <v>1</v>
      </c>
      <c r="I118" s="2" t="e">
        <f>IF(AND(VLOOKUP(I$1,'20Trips'!$A$3:$F$22,5,FALSE) - VLOOKUP($B118,'20Trips'!$A$3:$G$22,6,FALSE) &gt;= ('20Trips'!$B$26+VLOOKUP(VLOOKUP($B118,'20Trips'!$A$2:$I$22,4,FALSE),'20Trips'!$AB$46:$AH$50,6,FALSE))/1440),1,0)</f>
        <v>#N/A</v>
      </c>
      <c r="J118" s="2" t="e">
        <f>IF(AND(VLOOKUP(J$1,'20Trips'!$A$3:$F$22,5,FALSE) - VLOOKUP($B118,'20Trips'!$A$3:$G$22,6,FALSE) &gt;= ('20Trips'!$B$26+VLOOKUP(VLOOKUP($B118,'20Trips'!$A$2:$I$22,4,FALSE),'20Trips'!$AB$46:$AH$50,6,FALSE))/1440),1,0)</f>
        <v>#N/A</v>
      </c>
      <c r="K118" s="2" t="e">
        <f>IF(AND(VLOOKUP(K$1,'20Trips'!$A$3:$F$22,5,FALSE) - VLOOKUP($B118,'20Trips'!$A$3:$G$22,6,FALSE) &gt;= ('20Trips'!$B$26+VLOOKUP(VLOOKUP($B118,'20Trips'!$A$2:$I$22,4,FALSE),'20Trips'!$AB$46:$AH$50,6,FALSE))/1440),1,0)</f>
        <v>#N/A</v>
      </c>
      <c r="L118" s="2">
        <f>IF(AND(VLOOKUP(L$1,'20Trips'!$A$3:$F$22,5,FALSE) - VLOOKUP($B118,'20Trips'!$A$3:$G$22,6,FALSE) &gt;= ('20Trips'!$B$26+VLOOKUP(VLOOKUP($B118,'20Trips'!$A$2:$I$22,4,FALSE),'20Trips'!$AB$46:$AH$50,6,FALSE))/1440),1,0)</f>
        <v>0</v>
      </c>
      <c r="M118" s="2">
        <f>IF(AND(VLOOKUP(M$1,'20Trips'!$A$3:$F$22,5,FALSE) - VLOOKUP($B118,'20Trips'!$A$3:$G$22,6,FALSE) &gt;= ('20Trips'!$B$26+VLOOKUP(VLOOKUP($B118,'20Trips'!$A$2:$I$22,4,FALSE),'20Trips'!$AB$46:$AH$50,6,FALSE))/1440),1,0)</f>
        <v>0</v>
      </c>
      <c r="N118" s="2">
        <f>IF(AND(VLOOKUP(N$1,'20Trips'!$A$3:$F$22,5,FALSE) - VLOOKUP($B118,'20Trips'!$A$3:$G$22,6,FALSE) &gt;= ('20Trips'!$B$26+VLOOKUP(VLOOKUP($B118,'20Trips'!$A$2:$I$22,4,FALSE),'20Trips'!$AB$46:$AH$50,6,FALSE))/1440),1,0)</f>
        <v>0</v>
      </c>
      <c r="O118" s="2">
        <f>IF(AND(VLOOKUP(O$1,'20Trips'!$A$3:$F$22,5,FALSE) - VLOOKUP($B118,'20Trips'!$A$3:$G$22,6,FALSE) &gt;= ('20Trips'!$B$26+VLOOKUP(VLOOKUP($B118,'20Trips'!$A$2:$I$22,4,FALSE),'20Trips'!$AB$46:$AH$50,6,FALSE))/1440),1,0)</f>
        <v>1</v>
      </c>
      <c r="P118" s="2">
        <f>IF(AND(VLOOKUP(P$1,'20Trips'!$A$3:$F$22,5,FALSE) - VLOOKUP($B118,'20Trips'!$A$3:$G$22,6,FALSE) &gt;= ('20Trips'!$B$26+VLOOKUP(VLOOKUP($B118,'20Trips'!$A$2:$I$22,4,FALSE),'20Trips'!$AB$46:$AH$50,6,FALSE))/1440),1,0)</f>
        <v>1</v>
      </c>
      <c r="Q118" s="2" t="e">
        <f>IF(AND(VLOOKUP(Q$1,'20Trips'!$A$3:$F$22,5,FALSE) - VLOOKUP($B118,'20Trips'!$A$3:$G$22,6,FALSE) &gt;= ('20Trips'!$B$26+VLOOKUP(VLOOKUP($B118,'20Trips'!$A$2:$I$22,4,FALSE),'20Trips'!$AB$46:$AH$50,6,FALSE))/1440),1,0)</f>
        <v>#N/A</v>
      </c>
      <c r="R118" s="2">
        <f>IF(AND(VLOOKUP(R$1,'20Trips'!$A$3:$F$22,5,FALSE) - VLOOKUP($B118,'20Trips'!$A$3:$G$22,6,FALSE) &gt;= ('20Trips'!$B$26+VLOOKUP(VLOOKUP($B118,'20Trips'!$A$2:$I$22,4,FALSE),'20Trips'!$AB$46:$AH$50,6,FALSE))/1440),1,0)</f>
        <v>0</v>
      </c>
      <c r="S118" s="2">
        <f>IF(AND(VLOOKUP(S$1,'20Trips'!$A$3:$F$22,5,FALSE) - VLOOKUP($B118,'20Trips'!$A$3:$G$22,6,FALSE) &gt;= ('20Trips'!$B$26+VLOOKUP(VLOOKUP($B118,'20Trips'!$A$2:$I$22,4,FALSE),'20Trips'!$AB$46:$AH$50,6,FALSE))/1440),1,0)</f>
        <v>0</v>
      </c>
      <c r="T118" s="2">
        <f>IF(AND(VLOOKUP(T$1,'20Trips'!$A$3:$F$22,5,FALSE) - VLOOKUP($B118,'20Trips'!$A$3:$G$22,6,FALSE) &gt;= ('20Trips'!$B$26+VLOOKUP(VLOOKUP($B118,'20Trips'!$A$2:$I$22,4,FALSE),'20Trips'!$AB$46:$AH$50,6,FALSE))/1440),1,0)</f>
        <v>0</v>
      </c>
      <c r="U118" s="2">
        <f>IF(AND(VLOOKUP(U$1,'20Trips'!$A$3:$F$22,5,FALSE) - VLOOKUP($B118,'20Trips'!$A$3:$G$22,6,FALSE) &gt;= ('20Trips'!$B$26+VLOOKUP(VLOOKUP($B118,'20Trips'!$A$2:$I$22,4,FALSE),'20Trips'!$AB$46:$AH$50,6,FALSE))/1440),1,0)</f>
        <v>0</v>
      </c>
      <c r="V118" s="2">
        <f>IF(AND(VLOOKUP(V$1,'20Trips'!$A$3:$F$22,5,FALSE) - VLOOKUP($B118,'20Trips'!$A$3:$G$22,6,FALSE) &gt;= ('20Trips'!$B$26+VLOOKUP(VLOOKUP($B118,'20Trips'!$A$2:$I$22,4,FALSE),'20Trips'!$AB$46:$AH$50,6,FALSE))/1440),1,0)</f>
        <v>1</v>
      </c>
      <c r="W118" s="2" t="e">
        <f>IF(AND(VLOOKUP(W$1,'20Trips'!$A$3:$F$22,5,FALSE) - VLOOKUP($B118,'20Trips'!$A$3:$G$22,6,FALSE) &gt;= ('20Trips'!$B$26+VLOOKUP(VLOOKUP($B118,'20Trips'!$A$2:$I$22,4,FALSE),'20Trips'!$AB$46:$AH$50,6,FALSE))/1440),1,0)</f>
        <v>#N/A</v>
      </c>
      <c r="X118" s="2" t="e">
        <f>IF(AND(VLOOKUP(X$1,'20Trips'!$A$3:$F$22,5,FALSE) - VLOOKUP($B118,'20Trips'!$A$3:$G$22,6,FALSE) &gt;= ('20Trips'!$B$26+VLOOKUP(VLOOKUP($B118,'20Trips'!$A$2:$I$22,4,FALSE),'20Trips'!$AB$46:$AH$50,6,FALSE))/1440),1,0)</f>
        <v>#N/A</v>
      </c>
      <c r="Y118" s="2" t="e">
        <f>IF(AND(VLOOKUP(Y$1,'20Trips'!$A$3:$F$22,5,FALSE) - VLOOKUP($B118,'20Trips'!$A$3:$G$22,6,FALSE) &gt;= ('20Trips'!$B$26+VLOOKUP(VLOOKUP($B118,'20Trips'!$A$2:$I$22,4,FALSE),'20Trips'!$AB$46:$AH$50,6,FALSE))/1440),1,0)</f>
        <v>#N/A</v>
      </c>
      <c r="Z118" s="2">
        <f>IF(AND(VLOOKUP(Z$1,'20Trips'!$A$3:$F$22,5,FALSE) - VLOOKUP($B118,'20Trips'!$A$3:$G$22,6,FALSE) &gt;= ('20Trips'!$B$26+VLOOKUP(VLOOKUP($B118,'20Trips'!$A$2:$I$22,4,FALSE),'20Trips'!$AB$46:$AH$50,6,FALSE))/1440),1,0)</f>
        <v>0</v>
      </c>
      <c r="AA118" s="2">
        <f>IF(AND(VLOOKUP(AA$1,'20Trips'!$A$3:$F$22,5,FALSE) - VLOOKUP($B118,'20Trips'!$A$3:$G$22,6,FALSE) &gt;= ('20Trips'!$B$26+VLOOKUP(VLOOKUP($B118,'20Trips'!$A$2:$I$22,4,FALSE),'20Trips'!$AB$46:$AH$50,6,FALSE))/1440),1,0)</f>
        <v>0</v>
      </c>
      <c r="AB118" s="2">
        <f>IF(AND(VLOOKUP(AB$1,'20Trips'!$A$3:$F$22,5,FALSE) - VLOOKUP($B118,'20Trips'!$A$3:$G$22,6,FALSE) &gt;= ('20Trips'!$B$26+VLOOKUP(VLOOKUP($B118,'20Trips'!$A$2:$I$22,4,FALSE),'20Trips'!$AB$46:$AH$50,6,FALSE))/1440),1,0)</f>
        <v>1</v>
      </c>
      <c r="AC118" s="2">
        <f>IF(AND(VLOOKUP(AC$1,'20Trips'!$A$3:$F$22,5,FALSE) - VLOOKUP($B118,'20Trips'!$A$3:$G$22,6,FALSE) &gt;= ('20Trips'!$B$26+VLOOKUP(VLOOKUP($B118,'20Trips'!$A$2:$I$22,4,FALSE),'20Trips'!$AB$46:$AH$50,6,FALSE))/1440),1,0)</f>
        <v>1</v>
      </c>
      <c r="AD118" s="2">
        <f>IF(AND(VLOOKUP(AD$1,'20Trips'!$A$3:$F$22,5,FALSE) - VLOOKUP($B118,'20Trips'!$A$3:$G$22,6,FALSE) &gt;= ('20Trips'!$B$26+VLOOKUP(VLOOKUP($B118,'20Trips'!$A$2:$I$22,4,FALSE),'20Trips'!$AB$46:$AH$50,6,FALSE))/1440),1,0)</f>
        <v>1</v>
      </c>
      <c r="AE118" s="2" t="e">
        <f>IF(AND(VLOOKUP(AE$1,'20Trips'!$A$3:$F$22,5,FALSE) - VLOOKUP($B118,'20Trips'!$A$3:$G$22,6,FALSE) &gt;= ('20Trips'!$B$26+VLOOKUP(VLOOKUP($B118,'20Trips'!$A$2:$I$22,4,FALSE),'20Trips'!$AB$46:$AH$50,6,FALSE))/1440),1,0)</f>
        <v>#N/A</v>
      </c>
      <c r="AF118" s="2" t="e">
        <f>IF(AND(VLOOKUP(AF$1,'20Trips'!$A$3:$F$22,5,FALSE) - VLOOKUP($B118,'20Trips'!$A$3:$G$22,6,FALSE) &gt;= ('20Trips'!$B$26+VLOOKUP(VLOOKUP($B118,'20Trips'!$A$2:$I$22,4,FALSE),'20Trips'!$AB$46:$AH$50,6,FALSE))/1440),1,0)</f>
        <v>#N/A</v>
      </c>
      <c r="AG118" s="2" t="e">
        <f>IF(AND(VLOOKUP(AG$1,'20Trips'!$A$3:$F$22,5,FALSE) - VLOOKUP($B118,'20Trips'!$A$3:$G$22,6,FALSE) &gt;= ('20Trips'!$B$26+VLOOKUP(VLOOKUP($B118,'20Trips'!$A$2:$I$22,4,FALSE),'20Trips'!$AB$46:$AH$50,6,FALSE))/1440),1,0)</f>
        <v>#N/A</v>
      </c>
    </row>
    <row r="119" spans="1:33" x14ac:dyDescent="0.25">
      <c r="A119" t="s">
        <v>68</v>
      </c>
      <c r="B119" t="s">
        <v>35</v>
      </c>
      <c r="C119">
        <v>0</v>
      </c>
      <c r="D119" s="2">
        <f>IF(AND(VLOOKUP(D$1,'20Trips'!$A$3:$F$22,5,FALSE) - VLOOKUP($B119,'20Trips'!$A$3:$G$22,6,FALSE) &gt;= ('20Trips'!$B$26+VLOOKUP(VLOOKUP($B119,'20Trips'!$A$2:$I$22,4,FALSE),'20Trips'!$AB$46:$AH$50,6,FALSE))/1440),1,0)</f>
        <v>0</v>
      </c>
      <c r="E119" s="2">
        <f>IF(AND(VLOOKUP(E$1,'20Trips'!$A$3:$F$22,5,FALSE) - VLOOKUP($B119,'20Trips'!$A$3:$G$22,6,FALSE) &gt;= ('20Trips'!$B$26+VLOOKUP(VLOOKUP($B119,'20Trips'!$A$2:$I$22,4,FALSE),'20Trips'!$AB$46:$AH$50,6,FALSE))/1440),1,0)</f>
        <v>0</v>
      </c>
      <c r="F119" s="2">
        <f>IF(AND(VLOOKUP(F$1,'20Trips'!$A$3:$F$22,5,FALSE) - VLOOKUP($B119,'20Trips'!$A$3:$G$22,6,FALSE) &gt;= ('20Trips'!$B$26+VLOOKUP(VLOOKUP($B119,'20Trips'!$A$2:$I$22,4,FALSE),'20Trips'!$AB$46:$AH$50,6,FALSE))/1440),1,0)</f>
        <v>0</v>
      </c>
      <c r="G119" s="2">
        <f>IF(AND(VLOOKUP(G$1,'20Trips'!$A$3:$F$22,5,FALSE) - VLOOKUP($B119,'20Trips'!$A$3:$G$22,6,FALSE) &gt;= ('20Trips'!$B$26+VLOOKUP(VLOOKUP($B119,'20Trips'!$A$2:$I$22,4,FALSE),'20Trips'!$AB$46:$AH$50,6,FALSE))/1440),1,0)</f>
        <v>0</v>
      </c>
      <c r="H119" s="2">
        <f>IF(AND(VLOOKUP(H$1,'20Trips'!$A$3:$F$22,5,FALSE) - VLOOKUP($B119,'20Trips'!$A$3:$G$22,6,FALSE) &gt;= ('20Trips'!$B$26+VLOOKUP(VLOOKUP($B119,'20Trips'!$A$2:$I$22,4,FALSE),'20Trips'!$AB$46:$AH$50,6,FALSE))/1440),1,0)</f>
        <v>0</v>
      </c>
      <c r="I119" s="2" t="e">
        <f>IF(AND(VLOOKUP(I$1,'20Trips'!$A$3:$F$22,5,FALSE) - VLOOKUP($B119,'20Trips'!$A$3:$G$22,6,FALSE) &gt;= ('20Trips'!$B$26+VLOOKUP(VLOOKUP($B119,'20Trips'!$A$2:$I$22,4,FALSE),'20Trips'!$AB$46:$AH$50,6,FALSE))/1440),1,0)</f>
        <v>#N/A</v>
      </c>
      <c r="J119" s="2" t="e">
        <f>IF(AND(VLOOKUP(J$1,'20Trips'!$A$3:$F$22,5,FALSE) - VLOOKUP($B119,'20Trips'!$A$3:$G$22,6,FALSE) &gt;= ('20Trips'!$B$26+VLOOKUP(VLOOKUP($B119,'20Trips'!$A$2:$I$22,4,FALSE),'20Trips'!$AB$46:$AH$50,6,FALSE))/1440),1,0)</f>
        <v>#N/A</v>
      </c>
      <c r="K119" s="2" t="e">
        <f>IF(AND(VLOOKUP(K$1,'20Trips'!$A$3:$F$22,5,FALSE) - VLOOKUP($B119,'20Trips'!$A$3:$G$22,6,FALSE) &gt;= ('20Trips'!$B$26+VLOOKUP(VLOOKUP($B119,'20Trips'!$A$2:$I$22,4,FALSE),'20Trips'!$AB$46:$AH$50,6,FALSE))/1440),1,0)</f>
        <v>#N/A</v>
      </c>
      <c r="L119" s="2">
        <f>IF(AND(VLOOKUP(L$1,'20Trips'!$A$3:$F$22,5,FALSE) - VLOOKUP($B119,'20Trips'!$A$3:$G$22,6,FALSE) &gt;= ('20Trips'!$B$26+VLOOKUP(VLOOKUP($B119,'20Trips'!$A$2:$I$22,4,FALSE),'20Trips'!$AB$46:$AH$50,6,FALSE))/1440),1,0)</f>
        <v>0</v>
      </c>
      <c r="M119" s="2">
        <f>IF(AND(VLOOKUP(M$1,'20Trips'!$A$3:$F$22,5,FALSE) - VLOOKUP($B119,'20Trips'!$A$3:$G$22,6,FALSE) &gt;= ('20Trips'!$B$26+VLOOKUP(VLOOKUP($B119,'20Trips'!$A$2:$I$22,4,FALSE),'20Trips'!$AB$46:$AH$50,6,FALSE))/1440),1,0)</f>
        <v>0</v>
      </c>
      <c r="N119" s="2">
        <f>IF(AND(VLOOKUP(N$1,'20Trips'!$A$3:$F$22,5,FALSE) - VLOOKUP($B119,'20Trips'!$A$3:$G$22,6,FALSE) &gt;= ('20Trips'!$B$26+VLOOKUP(VLOOKUP($B119,'20Trips'!$A$2:$I$22,4,FALSE),'20Trips'!$AB$46:$AH$50,6,FALSE))/1440),1,0)</f>
        <v>0</v>
      </c>
      <c r="O119" s="2">
        <f>IF(AND(VLOOKUP(O$1,'20Trips'!$A$3:$F$22,5,FALSE) - VLOOKUP($B119,'20Trips'!$A$3:$G$22,6,FALSE) &gt;= ('20Trips'!$B$26+VLOOKUP(VLOOKUP($B119,'20Trips'!$A$2:$I$22,4,FALSE),'20Trips'!$AB$46:$AH$50,6,FALSE))/1440),1,0)</f>
        <v>1</v>
      </c>
      <c r="P119" s="2">
        <f>IF(AND(VLOOKUP(P$1,'20Trips'!$A$3:$F$22,5,FALSE) - VLOOKUP($B119,'20Trips'!$A$3:$G$22,6,FALSE) &gt;= ('20Trips'!$B$26+VLOOKUP(VLOOKUP($B119,'20Trips'!$A$2:$I$22,4,FALSE),'20Trips'!$AB$46:$AH$50,6,FALSE))/1440),1,0)</f>
        <v>1</v>
      </c>
      <c r="Q119" s="2" t="e">
        <f>IF(AND(VLOOKUP(Q$1,'20Trips'!$A$3:$F$22,5,FALSE) - VLOOKUP($B119,'20Trips'!$A$3:$G$22,6,FALSE) &gt;= ('20Trips'!$B$26+VLOOKUP(VLOOKUP($B119,'20Trips'!$A$2:$I$22,4,FALSE),'20Trips'!$AB$46:$AH$50,6,FALSE))/1440),1,0)</f>
        <v>#N/A</v>
      </c>
      <c r="R119" s="2">
        <f>IF(AND(VLOOKUP(R$1,'20Trips'!$A$3:$F$22,5,FALSE) - VLOOKUP($B119,'20Trips'!$A$3:$G$22,6,FALSE) &gt;= ('20Trips'!$B$26+VLOOKUP(VLOOKUP($B119,'20Trips'!$A$2:$I$22,4,FALSE),'20Trips'!$AB$46:$AH$50,6,FALSE))/1440),1,0)</f>
        <v>0</v>
      </c>
      <c r="S119" s="2">
        <f>IF(AND(VLOOKUP(S$1,'20Trips'!$A$3:$F$22,5,FALSE) - VLOOKUP($B119,'20Trips'!$A$3:$G$22,6,FALSE) &gt;= ('20Trips'!$B$26+VLOOKUP(VLOOKUP($B119,'20Trips'!$A$2:$I$22,4,FALSE),'20Trips'!$AB$46:$AH$50,6,FALSE))/1440),1,0)</f>
        <v>0</v>
      </c>
      <c r="T119" s="2">
        <f>IF(AND(VLOOKUP(T$1,'20Trips'!$A$3:$F$22,5,FALSE) - VLOOKUP($B119,'20Trips'!$A$3:$G$22,6,FALSE) &gt;= ('20Trips'!$B$26+VLOOKUP(VLOOKUP($B119,'20Trips'!$A$2:$I$22,4,FALSE),'20Trips'!$AB$46:$AH$50,6,FALSE))/1440),1,0)</f>
        <v>0</v>
      </c>
      <c r="U119" s="2">
        <f>IF(AND(VLOOKUP(U$1,'20Trips'!$A$3:$F$22,5,FALSE) - VLOOKUP($B119,'20Trips'!$A$3:$G$22,6,FALSE) &gt;= ('20Trips'!$B$26+VLOOKUP(VLOOKUP($B119,'20Trips'!$A$2:$I$22,4,FALSE),'20Trips'!$AB$46:$AH$50,6,FALSE))/1440),1,0)</f>
        <v>0</v>
      </c>
      <c r="V119" s="2">
        <f>IF(AND(VLOOKUP(V$1,'20Trips'!$A$3:$F$22,5,FALSE) - VLOOKUP($B119,'20Trips'!$A$3:$G$22,6,FALSE) &gt;= ('20Trips'!$B$26+VLOOKUP(VLOOKUP($B119,'20Trips'!$A$2:$I$22,4,FALSE),'20Trips'!$AB$46:$AH$50,6,FALSE))/1440),1,0)</f>
        <v>0</v>
      </c>
      <c r="W119" s="2" t="e">
        <f>IF(AND(VLOOKUP(W$1,'20Trips'!$A$3:$F$22,5,FALSE) - VLOOKUP($B119,'20Trips'!$A$3:$G$22,6,FALSE) &gt;= ('20Trips'!$B$26+VLOOKUP(VLOOKUP($B119,'20Trips'!$A$2:$I$22,4,FALSE),'20Trips'!$AB$46:$AH$50,6,FALSE))/1440),1,0)</f>
        <v>#N/A</v>
      </c>
      <c r="X119" s="2" t="e">
        <f>IF(AND(VLOOKUP(X$1,'20Trips'!$A$3:$F$22,5,FALSE) - VLOOKUP($B119,'20Trips'!$A$3:$G$22,6,FALSE) &gt;= ('20Trips'!$B$26+VLOOKUP(VLOOKUP($B119,'20Trips'!$A$2:$I$22,4,FALSE),'20Trips'!$AB$46:$AH$50,6,FALSE))/1440),1,0)</f>
        <v>#N/A</v>
      </c>
      <c r="Y119" s="2" t="e">
        <f>IF(AND(VLOOKUP(Y$1,'20Trips'!$A$3:$F$22,5,FALSE) - VLOOKUP($B119,'20Trips'!$A$3:$G$22,6,FALSE) &gt;= ('20Trips'!$B$26+VLOOKUP(VLOOKUP($B119,'20Trips'!$A$2:$I$22,4,FALSE),'20Trips'!$AB$46:$AH$50,6,FALSE))/1440),1,0)</f>
        <v>#N/A</v>
      </c>
      <c r="Z119" s="2">
        <f>IF(AND(VLOOKUP(Z$1,'20Trips'!$A$3:$F$22,5,FALSE) - VLOOKUP($B119,'20Trips'!$A$3:$G$22,6,FALSE) &gt;= ('20Trips'!$B$26+VLOOKUP(VLOOKUP($B119,'20Trips'!$A$2:$I$22,4,FALSE),'20Trips'!$AB$46:$AH$50,6,FALSE))/1440),1,0)</f>
        <v>0</v>
      </c>
      <c r="AA119" s="2">
        <f>IF(AND(VLOOKUP(AA$1,'20Trips'!$A$3:$F$22,5,FALSE) - VLOOKUP($B119,'20Trips'!$A$3:$G$22,6,FALSE) &gt;= ('20Trips'!$B$26+VLOOKUP(VLOOKUP($B119,'20Trips'!$A$2:$I$22,4,FALSE),'20Trips'!$AB$46:$AH$50,6,FALSE))/1440),1,0)</f>
        <v>0</v>
      </c>
      <c r="AB119" s="2">
        <f>IF(AND(VLOOKUP(AB$1,'20Trips'!$A$3:$F$22,5,FALSE) - VLOOKUP($B119,'20Trips'!$A$3:$G$22,6,FALSE) &gt;= ('20Trips'!$B$26+VLOOKUP(VLOOKUP($B119,'20Trips'!$A$2:$I$22,4,FALSE),'20Trips'!$AB$46:$AH$50,6,FALSE))/1440),1,0)</f>
        <v>0</v>
      </c>
      <c r="AC119" s="2">
        <f>IF(AND(VLOOKUP(AC$1,'20Trips'!$A$3:$F$22,5,FALSE) - VLOOKUP($B119,'20Trips'!$A$3:$G$22,6,FALSE) &gt;= ('20Trips'!$B$26+VLOOKUP(VLOOKUP($B119,'20Trips'!$A$2:$I$22,4,FALSE),'20Trips'!$AB$46:$AH$50,6,FALSE))/1440),1,0)</f>
        <v>0</v>
      </c>
      <c r="AD119" s="2">
        <f>IF(AND(VLOOKUP(AD$1,'20Trips'!$A$3:$F$22,5,FALSE) - VLOOKUP($B119,'20Trips'!$A$3:$G$22,6,FALSE) &gt;= ('20Trips'!$B$26+VLOOKUP(VLOOKUP($B119,'20Trips'!$A$2:$I$22,4,FALSE),'20Trips'!$AB$46:$AH$50,6,FALSE))/1440),1,0)</f>
        <v>1</v>
      </c>
      <c r="AE119" s="2" t="e">
        <f>IF(AND(VLOOKUP(AE$1,'20Trips'!$A$3:$F$22,5,FALSE) - VLOOKUP($B119,'20Trips'!$A$3:$G$22,6,FALSE) &gt;= ('20Trips'!$B$26+VLOOKUP(VLOOKUP($B119,'20Trips'!$A$2:$I$22,4,FALSE),'20Trips'!$AB$46:$AH$50,6,FALSE))/1440),1,0)</f>
        <v>#N/A</v>
      </c>
      <c r="AF119" s="2" t="e">
        <f>IF(AND(VLOOKUP(AF$1,'20Trips'!$A$3:$F$22,5,FALSE) - VLOOKUP($B119,'20Trips'!$A$3:$G$22,6,FALSE) &gt;= ('20Trips'!$B$26+VLOOKUP(VLOOKUP($B119,'20Trips'!$A$2:$I$22,4,FALSE),'20Trips'!$AB$46:$AH$50,6,FALSE))/1440),1,0)</f>
        <v>#N/A</v>
      </c>
      <c r="AG119" s="2" t="e">
        <f>IF(AND(VLOOKUP(AG$1,'20Trips'!$A$3:$F$22,5,FALSE) - VLOOKUP($B119,'20Trips'!$A$3:$G$22,6,FALSE) &gt;= ('20Trips'!$B$26+VLOOKUP(VLOOKUP($B119,'20Trips'!$A$2:$I$22,4,FALSE),'20Trips'!$AB$46:$AH$50,6,FALSE))/1440),1,0)</f>
        <v>#N/A</v>
      </c>
    </row>
    <row r="120" spans="1:33" x14ac:dyDescent="0.25">
      <c r="A120" t="s">
        <v>68</v>
      </c>
      <c r="B120" t="s">
        <v>36</v>
      </c>
      <c r="C120">
        <v>0</v>
      </c>
      <c r="D120" s="2">
        <f>IF(AND(VLOOKUP(D$1,'20Trips'!$A$3:$F$22,5,FALSE) - VLOOKUP($B120,'20Trips'!$A$3:$G$22,6,FALSE) &gt;= ('20Trips'!$B$26+VLOOKUP(VLOOKUP($B120,'20Trips'!$A$2:$I$22,4,FALSE),'20Trips'!$AB$46:$AH$50,6,FALSE))/1440),1,0)</f>
        <v>0</v>
      </c>
      <c r="E120" s="2">
        <f>IF(AND(VLOOKUP(E$1,'20Trips'!$A$3:$F$22,5,FALSE) - VLOOKUP($B120,'20Trips'!$A$3:$G$22,6,FALSE) &gt;= ('20Trips'!$B$26+VLOOKUP(VLOOKUP($B120,'20Trips'!$A$2:$I$22,4,FALSE),'20Trips'!$AB$46:$AH$50,6,FALSE))/1440),1,0)</f>
        <v>0</v>
      </c>
      <c r="F120" s="2">
        <f>IF(AND(VLOOKUP(F$1,'20Trips'!$A$3:$F$22,5,FALSE) - VLOOKUP($B120,'20Trips'!$A$3:$G$22,6,FALSE) &gt;= ('20Trips'!$B$26+VLOOKUP(VLOOKUP($B120,'20Trips'!$A$2:$I$22,4,FALSE),'20Trips'!$AB$46:$AH$50,6,FALSE))/1440),1,0)</f>
        <v>0</v>
      </c>
      <c r="G120" s="2">
        <f>IF(AND(VLOOKUP(G$1,'20Trips'!$A$3:$F$22,5,FALSE) - VLOOKUP($B120,'20Trips'!$A$3:$G$22,6,FALSE) &gt;= ('20Trips'!$B$26+VLOOKUP(VLOOKUP($B120,'20Trips'!$A$2:$I$22,4,FALSE),'20Trips'!$AB$46:$AH$50,6,FALSE))/1440),1,0)</f>
        <v>0</v>
      </c>
      <c r="H120" s="2">
        <f>IF(AND(VLOOKUP(H$1,'20Trips'!$A$3:$F$22,5,FALSE) - VLOOKUP($B120,'20Trips'!$A$3:$G$22,6,FALSE) &gt;= ('20Trips'!$B$26+VLOOKUP(VLOOKUP($B120,'20Trips'!$A$2:$I$22,4,FALSE),'20Trips'!$AB$46:$AH$50,6,FALSE))/1440),1,0)</f>
        <v>0</v>
      </c>
      <c r="I120" s="2" t="e">
        <f>IF(AND(VLOOKUP(I$1,'20Trips'!$A$3:$F$22,5,FALSE) - VLOOKUP($B120,'20Trips'!$A$3:$G$22,6,FALSE) &gt;= ('20Trips'!$B$26+VLOOKUP(VLOOKUP($B120,'20Trips'!$A$2:$I$22,4,FALSE),'20Trips'!$AB$46:$AH$50,6,FALSE))/1440),1,0)</f>
        <v>#N/A</v>
      </c>
      <c r="J120" s="2" t="e">
        <f>IF(AND(VLOOKUP(J$1,'20Trips'!$A$3:$F$22,5,FALSE) - VLOOKUP($B120,'20Trips'!$A$3:$G$22,6,FALSE) &gt;= ('20Trips'!$B$26+VLOOKUP(VLOOKUP($B120,'20Trips'!$A$2:$I$22,4,FALSE),'20Trips'!$AB$46:$AH$50,6,FALSE))/1440),1,0)</f>
        <v>#N/A</v>
      </c>
      <c r="K120" s="2" t="e">
        <f>IF(AND(VLOOKUP(K$1,'20Trips'!$A$3:$F$22,5,FALSE) - VLOOKUP($B120,'20Trips'!$A$3:$G$22,6,FALSE) &gt;= ('20Trips'!$B$26+VLOOKUP(VLOOKUP($B120,'20Trips'!$A$2:$I$22,4,FALSE),'20Trips'!$AB$46:$AH$50,6,FALSE))/1440),1,0)</f>
        <v>#N/A</v>
      </c>
      <c r="L120" s="2">
        <f>IF(AND(VLOOKUP(L$1,'20Trips'!$A$3:$F$22,5,FALSE) - VLOOKUP($B120,'20Trips'!$A$3:$G$22,6,FALSE) &gt;= ('20Trips'!$B$26+VLOOKUP(VLOOKUP($B120,'20Trips'!$A$2:$I$22,4,FALSE),'20Trips'!$AB$46:$AH$50,6,FALSE))/1440),1,0)</f>
        <v>0</v>
      </c>
      <c r="M120" s="2">
        <f>IF(AND(VLOOKUP(M$1,'20Trips'!$A$3:$F$22,5,FALSE) - VLOOKUP($B120,'20Trips'!$A$3:$G$22,6,FALSE) &gt;= ('20Trips'!$B$26+VLOOKUP(VLOOKUP($B120,'20Trips'!$A$2:$I$22,4,FALSE),'20Trips'!$AB$46:$AH$50,6,FALSE))/1440),1,0)</f>
        <v>0</v>
      </c>
      <c r="N120" s="2">
        <f>IF(AND(VLOOKUP(N$1,'20Trips'!$A$3:$F$22,5,FALSE) - VLOOKUP($B120,'20Trips'!$A$3:$G$22,6,FALSE) &gt;= ('20Trips'!$B$26+VLOOKUP(VLOOKUP($B120,'20Trips'!$A$2:$I$22,4,FALSE),'20Trips'!$AB$46:$AH$50,6,FALSE))/1440),1,0)</f>
        <v>0</v>
      </c>
      <c r="O120" s="2">
        <f>IF(AND(VLOOKUP(O$1,'20Trips'!$A$3:$F$22,5,FALSE) - VLOOKUP($B120,'20Trips'!$A$3:$G$22,6,FALSE) &gt;= ('20Trips'!$B$26+VLOOKUP(VLOOKUP($B120,'20Trips'!$A$2:$I$22,4,FALSE),'20Trips'!$AB$46:$AH$50,6,FALSE))/1440),1,0)</f>
        <v>1</v>
      </c>
      <c r="P120" s="2">
        <f>IF(AND(VLOOKUP(P$1,'20Trips'!$A$3:$F$22,5,FALSE) - VLOOKUP($B120,'20Trips'!$A$3:$G$22,6,FALSE) &gt;= ('20Trips'!$B$26+VLOOKUP(VLOOKUP($B120,'20Trips'!$A$2:$I$22,4,FALSE),'20Trips'!$AB$46:$AH$50,6,FALSE))/1440),1,0)</f>
        <v>1</v>
      </c>
      <c r="Q120" s="2" t="e">
        <f>IF(AND(VLOOKUP(Q$1,'20Trips'!$A$3:$F$22,5,FALSE) - VLOOKUP($B120,'20Trips'!$A$3:$G$22,6,FALSE) &gt;= ('20Trips'!$B$26+VLOOKUP(VLOOKUP($B120,'20Trips'!$A$2:$I$22,4,FALSE),'20Trips'!$AB$46:$AH$50,6,FALSE))/1440),1,0)</f>
        <v>#N/A</v>
      </c>
      <c r="R120" s="2">
        <f>IF(AND(VLOOKUP(R$1,'20Trips'!$A$3:$F$22,5,FALSE) - VLOOKUP($B120,'20Trips'!$A$3:$G$22,6,FALSE) &gt;= ('20Trips'!$B$26+VLOOKUP(VLOOKUP($B120,'20Trips'!$A$2:$I$22,4,FALSE),'20Trips'!$AB$46:$AH$50,6,FALSE))/1440),1,0)</f>
        <v>0</v>
      </c>
      <c r="S120" s="2">
        <f>IF(AND(VLOOKUP(S$1,'20Trips'!$A$3:$F$22,5,FALSE) - VLOOKUP($B120,'20Trips'!$A$3:$G$22,6,FALSE) &gt;= ('20Trips'!$B$26+VLOOKUP(VLOOKUP($B120,'20Trips'!$A$2:$I$22,4,FALSE),'20Trips'!$AB$46:$AH$50,6,FALSE))/1440),1,0)</f>
        <v>0</v>
      </c>
      <c r="T120" s="2">
        <f>IF(AND(VLOOKUP(T$1,'20Trips'!$A$3:$F$22,5,FALSE) - VLOOKUP($B120,'20Trips'!$A$3:$G$22,6,FALSE) &gt;= ('20Trips'!$B$26+VLOOKUP(VLOOKUP($B120,'20Trips'!$A$2:$I$22,4,FALSE),'20Trips'!$AB$46:$AH$50,6,FALSE))/1440),1,0)</f>
        <v>0</v>
      </c>
      <c r="U120" s="2">
        <f>IF(AND(VLOOKUP(U$1,'20Trips'!$A$3:$F$22,5,FALSE) - VLOOKUP($B120,'20Trips'!$A$3:$G$22,6,FALSE) &gt;= ('20Trips'!$B$26+VLOOKUP(VLOOKUP($B120,'20Trips'!$A$2:$I$22,4,FALSE),'20Trips'!$AB$46:$AH$50,6,FALSE))/1440),1,0)</f>
        <v>0</v>
      </c>
      <c r="V120" s="2">
        <f>IF(AND(VLOOKUP(V$1,'20Trips'!$A$3:$F$22,5,FALSE) - VLOOKUP($B120,'20Trips'!$A$3:$G$22,6,FALSE) &gt;= ('20Trips'!$B$26+VLOOKUP(VLOOKUP($B120,'20Trips'!$A$2:$I$22,4,FALSE),'20Trips'!$AB$46:$AH$50,6,FALSE))/1440),1,0)</f>
        <v>0</v>
      </c>
      <c r="W120" s="2" t="e">
        <f>IF(AND(VLOOKUP(W$1,'20Trips'!$A$3:$F$22,5,FALSE) - VLOOKUP($B120,'20Trips'!$A$3:$G$22,6,FALSE) &gt;= ('20Trips'!$B$26+VLOOKUP(VLOOKUP($B120,'20Trips'!$A$2:$I$22,4,FALSE),'20Trips'!$AB$46:$AH$50,6,FALSE))/1440),1,0)</f>
        <v>#N/A</v>
      </c>
      <c r="X120" s="2" t="e">
        <f>IF(AND(VLOOKUP(X$1,'20Trips'!$A$3:$F$22,5,FALSE) - VLOOKUP($B120,'20Trips'!$A$3:$G$22,6,FALSE) &gt;= ('20Trips'!$B$26+VLOOKUP(VLOOKUP($B120,'20Trips'!$A$2:$I$22,4,FALSE),'20Trips'!$AB$46:$AH$50,6,FALSE))/1440),1,0)</f>
        <v>#N/A</v>
      </c>
      <c r="Y120" s="2" t="e">
        <f>IF(AND(VLOOKUP(Y$1,'20Trips'!$A$3:$F$22,5,FALSE) - VLOOKUP($B120,'20Trips'!$A$3:$G$22,6,FALSE) &gt;= ('20Trips'!$B$26+VLOOKUP(VLOOKUP($B120,'20Trips'!$A$2:$I$22,4,FALSE),'20Trips'!$AB$46:$AH$50,6,FALSE))/1440),1,0)</f>
        <v>#N/A</v>
      </c>
      <c r="Z120" s="2">
        <f>IF(AND(VLOOKUP(Z$1,'20Trips'!$A$3:$F$22,5,FALSE) - VLOOKUP($B120,'20Trips'!$A$3:$G$22,6,FALSE) &gt;= ('20Trips'!$B$26+VLOOKUP(VLOOKUP($B120,'20Trips'!$A$2:$I$22,4,FALSE),'20Trips'!$AB$46:$AH$50,6,FALSE))/1440),1,0)</f>
        <v>0</v>
      </c>
      <c r="AA120" s="2">
        <f>IF(AND(VLOOKUP(AA$1,'20Trips'!$A$3:$F$22,5,FALSE) - VLOOKUP($B120,'20Trips'!$A$3:$G$22,6,FALSE) &gt;= ('20Trips'!$B$26+VLOOKUP(VLOOKUP($B120,'20Trips'!$A$2:$I$22,4,FALSE),'20Trips'!$AB$46:$AH$50,6,FALSE))/1440),1,0)</f>
        <v>0</v>
      </c>
      <c r="AB120" s="2">
        <f>IF(AND(VLOOKUP(AB$1,'20Trips'!$A$3:$F$22,5,FALSE) - VLOOKUP($B120,'20Trips'!$A$3:$G$22,6,FALSE) &gt;= ('20Trips'!$B$26+VLOOKUP(VLOOKUP($B120,'20Trips'!$A$2:$I$22,4,FALSE),'20Trips'!$AB$46:$AH$50,6,FALSE))/1440),1,0)</f>
        <v>0</v>
      </c>
      <c r="AC120" s="2">
        <f>IF(AND(VLOOKUP(AC$1,'20Trips'!$A$3:$F$22,5,FALSE) - VLOOKUP($B120,'20Trips'!$A$3:$G$22,6,FALSE) &gt;= ('20Trips'!$B$26+VLOOKUP(VLOOKUP($B120,'20Trips'!$A$2:$I$22,4,FALSE),'20Trips'!$AB$46:$AH$50,6,FALSE))/1440),1,0)</f>
        <v>0</v>
      </c>
      <c r="AD120" s="2">
        <f>IF(AND(VLOOKUP(AD$1,'20Trips'!$A$3:$F$22,5,FALSE) - VLOOKUP($B120,'20Trips'!$A$3:$G$22,6,FALSE) &gt;= ('20Trips'!$B$26+VLOOKUP(VLOOKUP($B120,'20Trips'!$A$2:$I$22,4,FALSE),'20Trips'!$AB$46:$AH$50,6,FALSE))/1440),1,0)</f>
        <v>0</v>
      </c>
      <c r="AE120" s="2" t="e">
        <f>IF(AND(VLOOKUP(AE$1,'20Trips'!$A$3:$F$22,5,FALSE) - VLOOKUP($B120,'20Trips'!$A$3:$G$22,6,FALSE) &gt;= ('20Trips'!$B$26+VLOOKUP(VLOOKUP($B120,'20Trips'!$A$2:$I$22,4,FALSE),'20Trips'!$AB$46:$AH$50,6,FALSE))/1440),1,0)</f>
        <v>#N/A</v>
      </c>
      <c r="AF120" s="2" t="e">
        <f>IF(AND(VLOOKUP(AF$1,'20Trips'!$A$3:$F$22,5,FALSE) - VLOOKUP($B120,'20Trips'!$A$3:$G$22,6,FALSE) &gt;= ('20Trips'!$B$26+VLOOKUP(VLOOKUP($B120,'20Trips'!$A$2:$I$22,4,FALSE),'20Trips'!$AB$46:$AH$50,6,FALSE))/1440),1,0)</f>
        <v>#N/A</v>
      </c>
      <c r="AG120" s="2" t="e">
        <f>IF(AND(VLOOKUP(AG$1,'20Trips'!$A$3:$F$22,5,FALSE) - VLOOKUP($B120,'20Trips'!$A$3:$G$22,6,FALSE) &gt;= ('20Trips'!$B$26+VLOOKUP(VLOOKUP($B120,'20Trips'!$A$2:$I$22,4,FALSE),'20Trips'!$AB$46:$AH$50,6,FALSE))/1440),1,0)</f>
        <v>#N/A</v>
      </c>
    </row>
    <row r="121" spans="1:33" x14ac:dyDescent="0.25">
      <c r="A121" t="s">
        <v>68</v>
      </c>
      <c r="B121" t="s">
        <v>37</v>
      </c>
      <c r="C121">
        <v>0</v>
      </c>
      <c r="D121" s="2">
        <f>IF(AND(VLOOKUP(D$1,'20Trips'!$A$3:$F$22,5,FALSE) - VLOOKUP($B121,'20Trips'!$A$3:$G$22,6,FALSE) &gt;= ('20Trips'!$B$26+VLOOKUP(VLOOKUP($B121,'20Trips'!$A$2:$I$22,4,FALSE),'20Trips'!$AB$46:$AH$50,6,FALSE))/1440),1,0)</f>
        <v>0</v>
      </c>
      <c r="E121" s="2">
        <f>IF(AND(VLOOKUP(E$1,'20Trips'!$A$3:$F$22,5,FALSE) - VLOOKUP($B121,'20Trips'!$A$3:$G$22,6,FALSE) &gt;= ('20Trips'!$B$26+VLOOKUP(VLOOKUP($B121,'20Trips'!$A$2:$I$22,4,FALSE),'20Trips'!$AB$46:$AH$50,6,FALSE))/1440),1,0)</f>
        <v>0</v>
      </c>
      <c r="F121" s="2">
        <f>IF(AND(VLOOKUP(F$1,'20Trips'!$A$3:$F$22,5,FALSE) - VLOOKUP($B121,'20Trips'!$A$3:$G$22,6,FALSE) &gt;= ('20Trips'!$B$26+VLOOKUP(VLOOKUP($B121,'20Trips'!$A$2:$I$22,4,FALSE),'20Trips'!$AB$46:$AH$50,6,FALSE))/1440),1,0)</f>
        <v>0</v>
      </c>
      <c r="G121" s="2">
        <f>IF(AND(VLOOKUP(G$1,'20Trips'!$A$3:$F$22,5,FALSE) - VLOOKUP($B121,'20Trips'!$A$3:$G$22,6,FALSE) &gt;= ('20Trips'!$B$26+VLOOKUP(VLOOKUP($B121,'20Trips'!$A$2:$I$22,4,FALSE),'20Trips'!$AB$46:$AH$50,6,FALSE))/1440),1,0)</f>
        <v>0</v>
      </c>
      <c r="H121" s="2">
        <f>IF(AND(VLOOKUP(H$1,'20Trips'!$A$3:$F$22,5,FALSE) - VLOOKUP($B121,'20Trips'!$A$3:$G$22,6,FALSE) &gt;= ('20Trips'!$B$26+VLOOKUP(VLOOKUP($B121,'20Trips'!$A$2:$I$22,4,FALSE),'20Trips'!$AB$46:$AH$50,6,FALSE))/1440),1,0)</f>
        <v>0</v>
      </c>
      <c r="I121" s="2" t="e">
        <f>IF(AND(VLOOKUP(I$1,'20Trips'!$A$3:$F$22,5,FALSE) - VLOOKUP($B121,'20Trips'!$A$3:$G$22,6,FALSE) &gt;= ('20Trips'!$B$26+VLOOKUP(VLOOKUP($B121,'20Trips'!$A$2:$I$22,4,FALSE),'20Trips'!$AB$46:$AH$50,6,FALSE))/1440),1,0)</f>
        <v>#N/A</v>
      </c>
      <c r="J121" s="2" t="e">
        <f>IF(AND(VLOOKUP(J$1,'20Trips'!$A$3:$F$22,5,FALSE) - VLOOKUP($B121,'20Trips'!$A$3:$G$22,6,FALSE) &gt;= ('20Trips'!$B$26+VLOOKUP(VLOOKUP($B121,'20Trips'!$A$2:$I$22,4,FALSE),'20Trips'!$AB$46:$AH$50,6,FALSE))/1440),1,0)</f>
        <v>#N/A</v>
      </c>
      <c r="K121" s="2" t="e">
        <f>IF(AND(VLOOKUP(K$1,'20Trips'!$A$3:$F$22,5,FALSE) - VLOOKUP($B121,'20Trips'!$A$3:$G$22,6,FALSE) &gt;= ('20Trips'!$B$26+VLOOKUP(VLOOKUP($B121,'20Trips'!$A$2:$I$22,4,FALSE),'20Trips'!$AB$46:$AH$50,6,FALSE))/1440),1,0)</f>
        <v>#N/A</v>
      </c>
      <c r="L121" s="2">
        <f>IF(AND(VLOOKUP(L$1,'20Trips'!$A$3:$F$22,5,FALSE) - VLOOKUP($B121,'20Trips'!$A$3:$G$22,6,FALSE) &gt;= ('20Trips'!$B$26+VLOOKUP(VLOOKUP($B121,'20Trips'!$A$2:$I$22,4,FALSE),'20Trips'!$AB$46:$AH$50,6,FALSE))/1440),1,0)</f>
        <v>0</v>
      </c>
      <c r="M121" s="2">
        <f>IF(AND(VLOOKUP(M$1,'20Trips'!$A$3:$F$22,5,FALSE) - VLOOKUP($B121,'20Trips'!$A$3:$G$22,6,FALSE) &gt;= ('20Trips'!$B$26+VLOOKUP(VLOOKUP($B121,'20Trips'!$A$2:$I$22,4,FALSE),'20Trips'!$AB$46:$AH$50,6,FALSE))/1440),1,0)</f>
        <v>0</v>
      </c>
      <c r="N121" s="2">
        <f>IF(AND(VLOOKUP(N$1,'20Trips'!$A$3:$F$22,5,FALSE) - VLOOKUP($B121,'20Trips'!$A$3:$G$22,6,FALSE) &gt;= ('20Trips'!$B$26+VLOOKUP(VLOOKUP($B121,'20Trips'!$A$2:$I$22,4,FALSE),'20Trips'!$AB$46:$AH$50,6,FALSE))/1440),1,0)</f>
        <v>0</v>
      </c>
      <c r="O121" s="2">
        <f>IF(AND(VLOOKUP(O$1,'20Trips'!$A$3:$F$22,5,FALSE) - VLOOKUP($B121,'20Trips'!$A$3:$G$22,6,FALSE) &gt;= ('20Trips'!$B$26+VLOOKUP(VLOOKUP($B121,'20Trips'!$A$2:$I$22,4,FALSE),'20Trips'!$AB$46:$AH$50,6,FALSE))/1440),1,0)</f>
        <v>0</v>
      </c>
      <c r="P121" s="2">
        <f>IF(AND(VLOOKUP(P$1,'20Trips'!$A$3:$F$22,5,FALSE) - VLOOKUP($B121,'20Trips'!$A$3:$G$22,6,FALSE) &gt;= ('20Trips'!$B$26+VLOOKUP(VLOOKUP($B121,'20Trips'!$A$2:$I$22,4,FALSE),'20Trips'!$AB$46:$AH$50,6,FALSE))/1440),1,0)</f>
        <v>1</v>
      </c>
      <c r="Q121" s="2" t="e">
        <f>IF(AND(VLOOKUP(Q$1,'20Trips'!$A$3:$F$22,5,FALSE) - VLOOKUP($B121,'20Trips'!$A$3:$G$22,6,FALSE) &gt;= ('20Trips'!$B$26+VLOOKUP(VLOOKUP($B121,'20Trips'!$A$2:$I$22,4,FALSE),'20Trips'!$AB$46:$AH$50,6,FALSE))/1440),1,0)</f>
        <v>#N/A</v>
      </c>
      <c r="R121" s="2">
        <f>IF(AND(VLOOKUP(R$1,'20Trips'!$A$3:$F$22,5,FALSE) - VLOOKUP($B121,'20Trips'!$A$3:$G$22,6,FALSE) &gt;= ('20Trips'!$B$26+VLOOKUP(VLOOKUP($B121,'20Trips'!$A$2:$I$22,4,FALSE),'20Trips'!$AB$46:$AH$50,6,FALSE))/1440),1,0)</f>
        <v>0</v>
      </c>
      <c r="S121" s="2">
        <f>IF(AND(VLOOKUP(S$1,'20Trips'!$A$3:$F$22,5,FALSE) - VLOOKUP($B121,'20Trips'!$A$3:$G$22,6,FALSE) &gt;= ('20Trips'!$B$26+VLOOKUP(VLOOKUP($B121,'20Trips'!$A$2:$I$22,4,FALSE),'20Trips'!$AB$46:$AH$50,6,FALSE))/1440),1,0)</f>
        <v>0</v>
      </c>
      <c r="T121" s="2">
        <f>IF(AND(VLOOKUP(T$1,'20Trips'!$A$3:$F$22,5,FALSE) - VLOOKUP($B121,'20Trips'!$A$3:$G$22,6,FALSE) &gt;= ('20Trips'!$B$26+VLOOKUP(VLOOKUP($B121,'20Trips'!$A$2:$I$22,4,FALSE),'20Trips'!$AB$46:$AH$50,6,FALSE))/1440),1,0)</f>
        <v>0</v>
      </c>
      <c r="U121" s="2">
        <f>IF(AND(VLOOKUP(U$1,'20Trips'!$A$3:$F$22,5,FALSE) - VLOOKUP($B121,'20Trips'!$A$3:$G$22,6,FALSE) &gt;= ('20Trips'!$B$26+VLOOKUP(VLOOKUP($B121,'20Trips'!$A$2:$I$22,4,FALSE),'20Trips'!$AB$46:$AH$50,6,FALSE))/1440),1,0)</f>
        <v>0</v>
      </c>
      <c r="V121" s="2">
        <f>IF(AND(VLOOKUP(V$1,'20Trips'!$A$3:$F$22,5,FALSE) - VLOOKUP($B121,'20Trips'!$A$3:$G$22,6,FALSE) &gt;= ('20Trips'!$B$26+VLOOKUP(VLOOKUP($B121,'20Trips'!$A$2:$I$22,4,FALSE),'20Trips'!$AB$46:$AH$50,6,FALSE))/1440),1,0)</f>
        <v>0</v>
      </c>
      <c r="W121" s="2" t="e">
        <f>IF(AND(VLOOKUP(W$1,'20Trips'!$A$3:$F$22,5,FALSE) - VLOOKUP($B121,'20Trips'!$A$3:$G$22,6,FALSE) &gt;= ('20Trips'!$B$26+VLOOKUP(VLOOKUP($B121,'20Trips'!$A$2:$I$22,4,FALSE),'20Trips'!$AB$46:$AH$50,6,FALSE))/1440),1,0)</f>
        <v>#N/A</v>
      </c>
      <c r="X121" s="2" t="e">
        <f>IF(AND(VLOOKUP(X$1,'20Trips'!$A$3:$F$22,5,FALSE) - VLOOKUP($B121,'20Trips'!$A$3:$G$22,6,FALSE) &gt;= ('20Trips'!$B$26+VLOOKUP(VLOOKUP($B121,'20Trips'!$A$2:$I$22,4,FALSE),'20Trips'!$AB$46:$AH$50,6,FALSE))/1440),1,0)</f>
        <v>#N/A</v>
      </c>
      <c r="Y121" s="2" t="e">
        <f>IF(AND(VLOOKUP(Y$1,'20Trips'!$A$3:$F$22,5,FALSE) - VLOOKUP($B121,'20Trips'!$A$3:$G$22,6,FALSE) &gt;= ('20Trips'!$B$26+VLOOKUP(VLOOKUP($B121,'20Trips'!$A$2:$I$22,4,FALSE),'20Trips'!$AB$46:$AH$50,6,FALSE))/1440),1,0)</f>
        <v>#N/A</v>
      </c>
      <c r="Z121" s="2">
        <f>IF(AND(VLOOKUP(Z$1,'20Trips'!$A$3:$F$22,5,FALSE) - VLOOKUP($B121,'20Trips'!$A$3:$G$22,6,FALSE) &gt;= ('20Trips'!$B$26+VLOOKUP(VLOOKUP($B121,'20Trips'!$A$2:$I$22,4,FALSE),'20Trips'!$AB$46:$AH$50,6,FALSE))/1440),1,0)</f>
        <v>0</v>
      </c>
      <c r="AA121" s="2">
        <f>IF(AND(VLOOKUP(AA$1,'20Trips'!$A$3:$F$22,5,FALSE) - VLOOKUP($B121,'20Trips'!$A$3:$G$22,6,FALSE) &gt;= ('20Trips'!$B$26+VLOOKUP(VLOOKUP($B121,'20Trips'!$A$2:$I$22,4,FALSE),'20Trips'!$AB$46:$AH$50,6,FALSE))/1440),1,0)</f>
        <v>0</v>
      </c>
      <c r="AB121" s="2">
        <f>IF(AND(VLOOKUP(AB$1,'20Trips'!$A$3:$F$22,5,FALSE) - VLOOKUP($B121,'20Trips'!$A$3:$G$22,6,FALSE) &gt;= ('20Trips'!$B$26+VLOOKUP(VLOOKUP($B121,'20Trips'!$A$2:$I$22,4,FALSE),'20Trips'!$AB$46:$AH$50,6,FALSE))/1440),1,0)</f>
        <v>0</v>
      </c>
      <c r="AC121" s="2">
        <f>IF(AND(VLOOKUP(AC$1,'20Trips'!$A$3:$F$22,5,FALSE) - VLOOKUP($B121,'20Trips'!$A$3:$G$22,6,FALSE) &gt;= ('20Trips'!$B$26+VLOOKUP(VLOOKUP($B121,'20Trips'!$A$2:$I$22,4,FALSE),'20Trips'!$AB$46:$AH$50,6,FALSE))/1440),1,0)</f>
        <v>0</v>
      </c>
      <c r="AD121" s="2">
        <f>IF(AND(VLOOKUP(AD$1,'20Trips'!$A$3:$F$22,5,FALSE) - VLOOKUP($B121,'20Trips'!$A$3:$G$22,6,FALSE) &gt;= ('20Trips'!$B$26+VLOOKUP(VLOOKUP($B121,'20Trips'!$A$2:$I$22,4,FALSE),'20Trips'!$AB$46:$AH$50,6,FALSE))/1440),1,0)</f>
        <v>0</v>
      </c>
      <c r="AE121" s="2" t="e">
        <f>IF(AND(VLOOKUP(AE$1,'20Trips'!$A$3:$F$22,5,FALSE) - VLOOKUP($B121,'20Trips'!$A$3:$G$22,6,FALSE) &gt;= ('20Trips'!$B$26+VLOOKUP(VLOOKUP($B121,'20Trips'!$A$2:$I$22,4,FALSE),'20Trips'!$AB$46:$AH$50,6,FALSE))/1440),1,0)</f>
        <v>#N/A</v>
      </c>
      <c r="AF121" s="2" t="e">
        <f>IF(AND(VLOOKUP(AF$1,'20Trips'!$A$3:$F$22,5,FALSE) - VLOOKUP($B121,'20Trips'!$A$3:$G$22,6,FALSE) &gt;= ('20Trips'!$B$26+VLOOKUP(VLOOKUP($B121,'20Trips'!$A$2:$I$22,4,FALSE),'20Trips'!$AB$46:$AH$50,6,FALSE))/1440),1,0)</f>
        <v>#N/A</v>
      </c>
      <c r="AG121" s="2" t="e">
        <f>IF(AND(VLOOKUP(AG$1,'20Trips'!$A$3:$F$22,5,FALSE) - VLOOKUP($B121,'20Trips'!$A$3:$G$22,6,FALSE) &gt;= ('20Trips'!$B$26+VLOOKUP(VLOOKUP($B121,'20Trips'!$A$2:$I$22,4,FALSE),'20Trips'!$AB$46:$AH$50,6,FALSE))/1440),1,0)</f>
        <v>#N/A</v>
      </c>
    </row>
    <row r="122" spans="1:33" x14ac:dyDescent="0.25">
      <c r="A122" t="s">
        <v>68</v>
      </c>
      <c r="B122" t="s">
        <v>38</v>
      </c>
      <c r="C122">
        <v>0</v>
      </c>
      <c r="D122" s="2">
        <f>IF(AND(VLOOKUP(D$1,'20Trips'!$A$3:$F$22,5,FALSE) - VLOOKUP($B122,'20Trips'!$A$3:$G$22,6,FALSE) &gt;= ('20Trips'!$B$26+VLOOKUP(VLOOKUP($B122,'20Trips'!$A$2:$I$22,4,FALSE),'20Trips'!$AB$46:$AH$50,6,FALSE))/1440),1,0)</f>
        <v>0</v>
      </c>
      <c r="E122" s="2">
        <f>IF(AND(VLOOKUP(E$1,'20Trips'!$A$3:$F$22,5,FALSE) - VLOOKUP($B122,'20Trips'!$A$3:$G$22,6,FALSE) &gt;= ('20Trips'!$B$26+VLOOKUP(VLOOKUP($B122,'20Trips'!$A$2:$I$22,4,FALSE),'20Trips'!$AB$46:$AH$50,6,FALSE))/1440),1,0)</f>
        <v>0</v>
      </c>
      <c r="F122" s="2">
        <f>IF(AND(VLOOKUP(F$1,'20Trips'!$A$3:$F$22,5,FALSE) - VLOOKUP($B122,'20Trips'!$A$3:$G$22,6,FALSE) &gt;= ('20Trips'!$B$26+VLOOKUP(VLOOKUP($B122,'20Trips'!$A$2:$I$22,4,FALSE),'20Trips'!$AB$46:$AH$50,6,FALSE))/1440),1,0)</f>
        <v>0</v>
      </c>
      <c r="G122" s="2">
        <f>IF(AND(VLOOKUP(G$1,'20Trips'!$A$3:$F$22,5,FALSE) - VLOOKUP($B122,'20Trips'!$A$3:$G$22,6,FALSE) &gt;= ('20Trips'!$B$26+VLOOKUP(VLOOKUP($B122,'20Trips'!$A$2:$I$22,4,FALSE),'20Trips'!$AB$46:$AH$50,6,FALSE))/1440),1,0)</f>
        <v>0</v>
      </c>
      <c r="H122" s="2">
        <f>IF(AND(VLOOKUP(H$1,'20Trips'!$A$3:$F$22,5,FALSE) - VLOOKUP($B122,'20Trips'!$A$3:$G$22,6,FALSE) &gt;= ('20Trips'!$B$26+VLOOKUP(VLOOKUP($B122,'20Trips'!$A$2:$I$22,4,FALSE),'20Trips'!$AB$46:$AH$50,6,FALSE))/1440),1,0)</f>
        <v>0</v>
      </c>
      <c r="I122" s="2" t="e">
        <f>IF(AND(VLOOKUP(I$1,'20Trips'!$A$3:$F$22,5,FALSE) - VLOOKUP($B122,'20Trips'!$A$3:$G$22,6,FALSE) &gt;= ('20Trips'!$B$26+VLOOKUP(VLOOKUP($B122,'20Trips'!$A$2:$I$22,4,FALSE),'20Trips'!$AB$46:$AH$50,6,FALSE))/1440),1,0)</f>
        <v>#N/A</v>
      </c>
      <c r="J122" s="2" t="e">
        <f>IF(AND(VLOOKUP(J$1,'20Trips'!$A$3:$F$22,5,FALSE) - VLOOKUP($B122,'20Trips'!$A$3:$G$22,6,FALSE) &gt;= ('20Trips'!$B$26+VLOOKUP(VLOOKUP($B122,'20Trips'!$A$2:$I$22,4,FALSE),'20Trips'!$AB$46:$AH$50,6,FALSE))/1440),1,0)</f>
        <v>#N/A</v>
      </c>
      <c r="K122" s="2" t="e">
        <f>IF(AND(VLOOKUP(K$1,'20Trips'!$A$3:$F$22,5,FALSE) - VLOOKUP($B122,'20Trips'!$A$3:$G$22,6,FALSE) &gt;= ('20Trips'!$B$26+VLOOKUP(VLOOKUP($B122,'20Trips'!$A$2:$I$22,4,FALSE),'20Trips'!$AB$46:$AH$50,6,FALSE))/1440),1,0)</f>
        <v>#N/A</v>
      </c>
      <c r="L122" s="2">
        <f>IF(AND(VLOOKUP(L$1,'20Trips'!$A$3:$F$22,5,FALSE) - VLOOKUP($B122,'20Trips'!$A$3:$G$22,6,FALSE) &gt;= ('20Trips'!$B$26+VLOOKUP(VLOOKUP($B122,'20Trips'!$A$2:$I$22,4,FALSE),'20Trips'!$AB$46:$AH$50,6,FALSE))/1440),1,0)</f>
        <v>0</v>
      </c>
      <c r="M122" s="2">
        <f>IF(AND(VLOOKUP(M$1,'20Trips'!$A$3:$F$22,5,FALSE) - VLOOKUP($B122,'20Trips'!$A$3:$G$22,6,FALSE) &gt;= ('20Trips'!$B$26+VLOOKUP(VLOOKUP($B122,'20Trips'!$A$2:$I$22,4,FALSE),'20Trips'!$AB$46:$AH$50,6,FALSE))/1440),1,0)</f>
        <v>0</v>
      </c>
      <c r="N122" s="2">
        <f>IF(AND(VLOOKUP(N$1,'20Trips'!$A$3:$F$22,5,FALSE) - VLOOKUP($B122,'20Trips'!$A$3:$G$22,6,FALSE) &gt;= ('20Trips'!$B$26+VLOOKUP(VLOOKUP($B122,'20Trips'!$A$2:$I$22,4,FALSE),'20Trips'!$AB$46:$AH$50,6,FALSE))/1440),1,0)</f>
        <v>0</v>
      </c>
      <c r="O122" s="2">
        <f>IF(AND(VLOOKUP(O$1,'20Trips'!$A$3:$F$22,5,FALSE) - VLOOKUP($B122,'20Trips'!$A$3:$G$22,6,FALSE) &gt;= ('20Trips'!$B$26+VLOOKUP(VLOOKUP($B122,'20Trips'!$A$2:$I$22,4,FALSE),'20Trips'!$AB$46:$AH$50,6,FALSE))/1440),1,0)</f>
        <v>0</v>
      </c>
      <c r="P122" s="2">
        <f>IF(AND(VLOOKUP(P$1,'20Trips'!$A$3:$F$22,5,FALSE) - VLOOKUP($B122,'20Trips'!$A$3:$G$22,6,FALSE) &gt;= ('20Trips'!$B$26+VLOOKUP(VLOOKUP($B122,'20Trips'!$A$2:$I$22,4,FALSE),'20Trips'!$AB$46:$AH$50,6,FALSE))/1440),1,0)</f>
        <v>0</v>
      </c>
      <c r="Q122" s="2" t="e">
        <f>IF(AND(VLOOKUP(Q$1,'20Trips'!$A$3:$F$22,5,FALSE) - VLOOKUP($B122,'20Trips'!$A$3:$G$22,6,FALSE) &gt;= ('20Trips'!$B$26+VLOOKUP(VLOOKUP($B122,'20Trips'!$A$2:$I$22,4,FALSE),'20Trips'!$AB$46:$AH$50,6,FALSE))/1440),1,0)</f>
        <v>#N/A</v>
      </c>
      <c r="R122" s="2">
        <f>IF(AND(VLOOKUP(R$1,'20Trips'!$A$3:$F$22,5,FALSE) - VLOOKUP($B122,'20Trips'!$A$3:$G$22,6,FALSE) &gt;= ('20Trips'!$B$26+VLOOKUP(VLOOKUP($B122,'20Trips'!$A$2:$I$22,4,FALSE),'20Trips'!$AB$46:$AH$50,6,FALSE))/1440),1,0)</f>
        <v>0</v>
      </c>
      <c r="S122" s="2">
        <f>IF(AND(VLOOKUP(S$1,'20Trips'!$A$3:$F$22,5,FALSE) - VLOOKUP($B122,'20Trips'!$A$3:$G$22,6,FALSE) &gt;= ('20Trips'!$B$26+VLOOKUP(VLOOKUP($B122,'20Trips'!$A$2:$I$22,4,FALSE),'20Trips'!$AB$46:$AH$50,6,FALSE))/1440),1,0)</f>
        <v>0</v>
      </c>
      <c r="T122" s="2">
        <f>IF(AND(VLOOKUP(T$1,'20Trips'!$A$3:$F$22,5,FALSE) - VLOOKUP($B122,'20Trips'!$A$3:$G$22,6,FALSE) &gt;= ('20Trips'!$B$26+VLOOKUP(VLOOKUP($B122,'20Trips'!$A$2:$I$22,4,FALSE),'20Trips'!$AB$46:$AH$50,6,FALSE))/1440),1,0)</f>
        <v>0</v>
      </c>
      <c r="U122" s="2">
        <f>IF(AND(VLOOKUP(U$1,'20Trips'!$A$3:$F$22,5,FALSE) - VLOOKUP($B122,'20Trips'!$A$3:$G$22,6,FALSE) &gt;= ('20Trips'!$B$26+VLOOKUP(VLOOKUP($B122,'20Trips'!$A$2:$I$22,4,FALSE),'20Trips'!$AB$46:$AH$50,6,FALSE))/1440),1,0)</f>
        <v>0</v>
      </c>
      <c r="V122" s="2">
        <f>IF(AND(VLOOKUP(V$1,'20Trips'!$A$3:$F$22,5,FALSE) - VLOOKUP($B122,'20Trips'!$A$3:$G$22,6,FALSE) &gt;= ('20Trips'!$B$26+VLOOKUP(VLOOKUP($B122,'20Trips'!$A$2:$I$22,4,FALSE),'20Trips'!$AB$46:$AH$50,6,FALSE))/1440),1,0)</f>
        <v>0</v>
      </c>
      <c r="W122" s="2" t="e">
        <f>IF(AND(VLOOKUP(W$1,'20Trips'!$A$3:$F$22,5,FALSE) - VLOOKUP($B122,'20Trips'!$A$3:$G$22,6,FALSE) &gt;= ('20Trips'!$B$26+VLOOKUP(VLOOKUP($B122,'20Trips'!$A$2:$I$22,4,FALSE),'20Trips'!$AB$46:$AH$50,6,FALSE))/1440),1,0)</f>
        <v>#N/A</v>
      </c>
      <c r="X122" s="2" t="e">
        <f>IF(AND(VLOOKUP(X$1,'20Trips'!$A$3:$F$22,5,FALSE) - VLOOKUP($B122,'20Trips'!$A$3:$G$22,6,FALSE) &gt;= ('20Trips'!$B$26+VLOOKUP(VLOOKUP($B122,'20Trips'!$A$2:$I$22,4,FALSE),'20Trips'!$AB$46:$AH$50,6,FALSE))/1440),1,0)</f>
        <v>#N/A</v>
      </c>
      <c r="Y122" s="2" t="e">
        <f>IF(AND(VLOOKUP(Y$1,'20Trips'!$A$3:$F$22,5,FALSE) - VLOOKUP($B122,'20Trips'!$A$3:$G$22,6,FALSE) &gt;= ('20Trips'!$B$26+VLOOKUP(VLOOKUP($B122,'20Trips'!$A$2:$I$22,4,FALSE),'20Trips'!$AB$46:$AH$50,6,FALSE))/1440),1,0)</f>
        <v>#N/A</v>
      </c>
      <c r="Z122" s="2">
        <f>IF(AND(VLOOKUP(Z$1,'20Trips'!$A$3:$F$22,5,FALSE) - VLOOKUP($B122,'20Trips'!$A$3:$G$22,6,FALSE) &gt;= ('20Trips'!$B$26+VLOOKUP(VLOOKUP($B122,'20Trips'!$A$2:$I$22,4,FALSE),'20Trips'!$AB$46:$AH$50,6,FALSE))/1440),1,0)</f>
        <v>0</v>
      </c>
      <c r="AA122" s="2">
        <f>IF(AND(VLOOKUP(AA$1,'20Trips'!$A$3:$F$22,5,FALSE) - VLOOKUP($B122,'20Trips'!$A$3:$G$22,6,FALSE) &gt;= ('20Trips'!$B$26+VLOOKUP(VLOOKUP($B122,'20Trips'!$A$2:$I$22,4,FALSE),'20Trips'!$AB$46:$AH$50,6,FALSE))/1440),1,0)</f>
        <v>0</v>
      </c>
      <c r="AB122" s="2">
        <f>IF(AND(VLOOKUP(AB$1,'20Trips'!$A$3:$F$22,5,FALSE) - VLOOKUP($B122,'20Trips'!$A$3:$G$22,6,FALSE) &gt;= ('20Trips'!$B$26+VLOOKUP(VLOOKUP($B122,'20Trips'!$A$2:$I$22,4,FALSE),'20Trips'!$AB$46:$AH$50,6,FALSE))/1440),1,0)</f>
        <v>0</v>
      </c>
      <c r="AC122" s="2">
        <f>IF(AND(VLOOKUP(AC$1,'20Trips'!$A$3:$F$22,5,FALSE) - VLOOKUP($B122,'20Trips'!$A$3:$G$22,6,FALSE) &gt;= ('20Trips'!$B$26+VLOOKUP(VLOOKUP($B122,'20Trips'!$A$2:$I$22,4,FALSE),'20Trips'!$AB$46:$AH$50,6,FALSE))/1440),1,0)</f>
        <v>0</v>
      </c>
      <c r="AD122" s="2">
        <f>IF(AND(VLOOKUP(AD$1,'20Trips'!$A$3:$F$22,5,FALSE) - VLOOKUP($B122,'20Trips'!$A$3:$G$22,6,FALSE) &gt;= ('20Trips'!$B$26+VLOOKUP(VLOOKUP($B122,'20Trips'!$A$2:$I$22,4,FALSE),'20Trips'!$AB$46:$AH$50,6,FALSE))/1440),1,0)</f>
        <v>0</v>
      </c>
      <c r="AE122" s="2" t="e">
        <f>IF(AND(VLOOKUP(AE$1,'20Trips'!$A$3:$F$22,5,FALSE) - VLOOKUP($B122,'20Trips'!$A$3:$G$22,6,FALSE) &gt;= ('20Trips'!$B$26+VLOOKUP(VLOOKUP($B122,'20Trips'!$A$2:$I$22,4,FALSE),'20Trips'!$AB$46:$AH$50,6,FALSE))/1440),1,0)</f>
        <v>#N/A</v>
      </c>
      <c r="AF122" s="2" t="e">
        <f>IF(AND(VLOOKUP(AF$1,'20Trips'!$A$3:$F$22,5,FALSE) - VLOOKUP($B122,'20Trips'!$A$3:$G$22,6,FALSE) &gt;= ('20Trips'!$B$26+VLOOKUP(VLOOKUP($B122,'20Trips'!$A$2:$I$22,4,FALSE),'20Trips'!$AB$46:$AH$50,6,FALSE))/1440),1,0)</f>
        <v>#N/A</v>
      </c>
      <c r="AG122" s="2" t="e">
        <f>IF(AND(VLOOKUP(AG$1,'20Trips'!$A$3:$F$22,5,FALSE) - VLOOKUP($B122,'20Trips'!$A$3:$G$22,6,FALSE) &gt;= ('20Trips'!$B$26+VLOOKUP(VLOOKUP($B122,'20Trips'!$A$2:$I$22,4,FALSE),'20Trips'!$AB$46:$AH$50,6,FALSE))/1440),1,0)</f>
        <v>#N/A</v>
      </c>
    </row>
    <row r="123" spans="1:33" x14ac:dyDescent="0.25">
      <c r="A123" t="s">
        <v>68</v>
      </c>
      <c r="B123" t="s">
        <v>39</v>
      </c>
      <c r="C123">
        <v>0</v>
      </c>
      <c r="D123" s="2" t="e">
        <f>IF(AND(VLOOKUP(D$1,'20Trips'!$A$3:$F$22,5,FALSE) - VLOOKUP($B123,'20Trips'!$A$3:$G$22,6,FALSE) &gt;= ('20Trips'!$B$26+VLOOKUP(VLOOKUP($B123,'20Trips'!$A$2:$I$22,4,FALSE),'20Trips'!$AB$46:$AH$50,6,FALSE))/1440),1,0)</f>
        <v>#N/A</v>
      </c>
      <c r="E123" s="2" t="e">
        <f>IF(AND(VLOOKUP(E$1,'20Trips'!$A$3:$F$22,5,FALSE) - VLOOKUP($B123,'20Trips'!$A$3:$G$22,6,FALSE) &gt;= ('20Trips'!$B$26+VLOOKUP(VLOOKUP($B123,'20Trips'!$A$2:$I$22,4,FALSE),'20Trips'!$AB$46:$AH$50,6,FALSE))/1440),1,0)</f>
        <v>#N/A</v>
      </c>
      <c r="F123" s="2" t="e">
        <f>IF(AND(VLOOKUP(F$1,'20Trips'!$A$3:$F$22,5,FALSE) - VLOOKUP($B123,'20Trips'!$A$3:$G$22,6,FALSE) &gt;= ('20Trips'!$B$26+VLOOKUP(VLOOKUP($B123,'20Trips'!$A$2:$I$22,4,FALSE),'20Trips'!$AB$46:$AH$50,6,FALSE))/1440),1,0)</f>
        <v>#N/A</v>
      </c>
      <c r="G123" s="2" t="e">
        <f>IF(AND(VLOOKUP(G$1,'20Trips'!$A$3:$F$22,5,FALSE) - VLOOKUP($B123,'20Trips'!$A$3:$G$22,6,FALSE) &gt;= ('20Trips'!$B$26+VLOOKUP(VLOOKUP($B123,'20Trips'!$A$2:$I$22,4,FALSE),'20Trips'!$AB$46:$AH$50,6,FALSE))/1440),1,0)</f>
        <v>#N/A</v>
      </c>
      <c r="H123" s="2" t="e">
        <f>IF(AND(VLOOKUP(H$1,'20Trips'!$A$3:$F$22,5,FALSE) - VLOOKUP($B123,'20Trips'!$A$3:$G$22,6,FALSE) &gt;= ('20Trips'!$B$26+VLOOKUP(VLOOKUP($B123,'20Trips'!$A$2:$I$22,4,FALSE),'20Trips'!$AB$46:$AH$50,6,FALSE))/1440),1,0)</f>
        <v>#N/A</v>
      </c>
      <c r="I123" s="2" t="e">
        <f>IF(AND(VLOOKUP(I$1,'20Trips'!$A$3:$F$22,5,FALSE) - VLOOKUP($B123,'20Trips'!$A$3:$G$22,6,FALSE) &gt;= ('20Trips'!$B$26+VLOOKUP(VLOOKUP($B123,'20Trips'!$A$2:$I$22,4,FALSE),'20Trips'!$AB$46:$AH$50,6,FALSE))/1440),1,0)</f>
        <v>#N/A</v>
      </c>
      <c r="J123" s="2" t="e">
        <f>IF(AND(VLOOKUP(J$1,'20Trips'!$A$3:$F$22,5,FALSE) - VLOOKUP($B123,'20Trips'!$A$3:$G$22,6,FALSE) &gt;= ('20Trips'!$B$26+VLOOKUP(VLOOKUP($B123,'20Trips'!$A$2:$I$22,4,FALSE),'20Trips'!$AB$46:$AH$50,6,FALSE))/1440),1,0)</f>
        <v>#N/A</v>
      </c>
      <c r="K123" s="2" t="e">
        <f>IF(AND(VLOOKUP(K$1,'20Trips'!$A$3:$F$22,5,FALSE) - VLOOKUP($B123,'20Trips'!$A$3:$G$22,6,FALSE) &gt;= ('20Trips'!$B$26+VLOOKUP(VLOOKUP($B123,'20Trips'!$A$2:$I$22,4,FALSE),'20Trips'!$AB$46:$AH$50,6,FALSE))/1440),1,0)</f>
        <v>#N/A</v>
      </c>
      <c r="L123" s="2" t="e">
        <f>IF(AND(VLOOKUP(L$1,'20Trips'!$A$3:$F$22,5,FALSE) - VLOOKUP($B123,'20Trips'!$A$3:$G$22,6,FALSE) &gt;= ('20Trips'!$B$26+VLOOKUP(VLOOKUP($B123,'20Trips'!$A$2:$I$22,4,FALSE),'20Trips'!$AB$46:$AH$50,6,FALSE))/1440),1,0)</f>
        <v>#N/A</v>
      </c>
      <c r="M123" s="2" t="e">
        <f>IF(AND(VLOOKUP(M$1,'20Trips'!$A$3:$F$22,5,FALSE) - VLOOKUP($B123,'20Trips'!$A$3:$G$22,6,FALSE) &gt;= ('20Trips'!$B$26+VLOOKUP(VLOOKUP($B123,'20Trips'!$A$2:$I$22,4,FALSE),'20Trips'!$AB$46:$AH$50,6,FALSE))/1440),1,0)</f>
        <v>#N/A</v>
      </c>
      <c r="N123" s="2" t="e">
        <f>IF(AND(VLOOKUP(N$1,'20Trips'!$A$3:$F$22,5,FALSE) - VLOOKUP($B123,'20Trips'!$A$3:$G$22,6,FALSE) &gt;= ('20Trips'!$B$26+VLOOKUP(VLOOKUP($B123,'20Trips'!$A$2:$I$22,4,FALSE),'20Trips'!$AB$46:$AH$50,6,FALSE))/1440),1,0)</f>
        <v>#N/A</v>
      </c>
      <c r="O123" s="2" t="e">
        <f>IF(AND(VLOOKUP(O$1,'20Trips'!$A$3:$F$22,5,FALSE) - VLOOKUP($B123,'20Trips'!$A$3:$G$22,6,FALSE) &gt;= ('20Trips'!$B$26+VLOOKUP(VLOOKUP($B123,'20Trips'!$A$2:$I$22,4,FALSE),'20Trips'!$AB$46:$AH$50,6,FALSE))/1440),1,0)</f>
        <v>#N/A</v>
      </c>
      <c r="P123" s="2" t="e">
        <f>IF(AND(VLOOKUP(P$1,'20Trips'!$A$3:$F$22,5,FALSE) - VLOOKUP($B123,'20Trips'!$A$3:$G$22,6,FALSE) &gt;= ('20Trips'!$B$26+VLOOKUP(VLOOKUP($B123,'20Trips'!$A$2:$I$22,4,FALSE),'20Trips'!$AB$46:$AH$50,6,FALSE))/1440),1,0)</f>
        <v>#N/A</v>
      </c>
      <c r="Q123" s="2" t="e">
        <f>IF(AND(VLOOKUP(Q$1,'20Trips'!$A$3:$F$22,5,FALSE) - VLOOKUP($B123,'20Trips'!$A$3:$G$22,6,FALSE) &gt;= ('20Trips'!$B$26+VLOOKUP(VLOOKUP($B123,'20Trips'!$A$2:$I$22,4,FALSE),'20Trips'!$AB$46:$AH$50,6,FALSE))/1440),1,0)</f>
        <v>#N/A</v>
      </c>
      <c r="R123" s="2" t="e">
        <f>IF(AND(VLOOKUP(R$1,'20Trips'!$A$3:$F$22,5,FALSE) - VLOOKUP($B123,'20Trips'!$A$3:$G$22,6,FALSE) &gt;= ('20Trips'!$B$26+VLOOKUP(VLOOKUP($B123,'20Trips'!$A$2:$I$22,4,FALSE),'20Trips'!$AB$46:$AH$50,6,FALSE))/1440),1,0)</f>
        <v>#N/A</v>
      </c>
      <c r="S123" s="2" t="e">
        <f>IF(AND(VLOOKUP(S$1,'20Trips'!$A$3:$F$22,5,FALSE) - VLOOKUP($B123,'20Trips'!$A$3:$G$22,6,FALSE) &gt;= ('20Trips'!$B$26+VLOOKUP(VLOOKUP($B123,'20Trips'!$A$2:$I$22,4,FALSE),'20Trips'!$AB$46:$AH$50,6,FALSE))/1440),1,0)</f>
        <v>#N/A</v>
      </c>
      <c r="T123" s="2" t="e">
        <f>IF(AND(VLOOKUP(T$1,'20Trips'!$A$3:$F$22,5,FALSE) - VLOOKUP($B123,'20Trips'!$A$3:$G$22,6,FALSE) &gt;= ('20Trips'!$B$26+VLOOKUP(VLOOKUP($B123,'20Trips'!$A$2:$I$22,4,FALSE),'20Trips'!$AB$46:$AH$50,6,FALSE))/1440),1,0)</f>
        <v>#N/A</v>
      </c>
      <c r="U123" s="2" t="e">
        <f>IF(AND(VLOOKUP(U$1,'20Trips'!$A$3:$F$22,5,FALSE) - VLOOKUP($B123,'20Trips'!$A$3:$G$22,6,FALSE) &gt;= ('20Trips'!$B$26+VLOOKUP(VLOOKUP($B123,'20Trips'!$A$2:$I$22,4,FALSE),'20Trips'!$AB$46:$AH$50,6,FALSE))/1440),1,0)</f>
        <v>#N/A</v>
      </c>
      <c r="V123" s="2" t="e">
        <f>IF(AND(VLOOKUP(V$1,'20Trips'!$A$3:$F$22,5,FALSE) - VLOOKUP($B123,'20Trips'!$A$3:$G$22,6,FALSE) &gt;= ('20Trips'!$B$26+VLOOKUP(VLOOKUP($B123,'20Trips'!$A$2:$I$22,4,FALSE),'20Trips'!$AB$46:$AH$50,6,FALSE))/1440),1,0)</f>
        <v>#N/A</v>
      </c>
      <c r="W123" s="2" t="e">
        <f>IF(AND(VLOOKUP(W$1,'20Trips'!$A$3:$F$22,5,FALSE) - VLOOKUP($B123,'20Trips'!$A$3:$G$22,6,FALSE) &gt;= ('20Trips'!$B$26+VLOOKUP(VLOOKUP($B123,'20Trips'!$A$2:$I$22,4,FALSE),'20Trips'!$AB$46:$AH$50,6,FALSE))/1440),1,0)</f>
        <v>#N/A</v>
      </c>
      <c r="X123" s="2" t="e">
        <f>IF(AND(VLOOKUP(X$1,'20Trips'!$A$3:$F$22,5,FALSE) - VLOOKUP($B123,'20Trips'!$A$3:$G$22,6,FALSE) &gt;= ('20Trips'!$B$26+VLOOKUP(VLOOKUP($B123,'20Trips'!$A$2:$I$22,4,FALSE),'20Trips'!$AB$46:$AH$50,6,FALSE))/1440),1,0)</f>
        <v>#N/A</v>
      </c>
      <c r="Y123" s="2" t="e">
        <f>IF(AND(VLOOKUP(Y$1,'20Trips'!$A$3:$F$22,5,FALSE) - VLOOKUP($B123,'20Trips'!$A$3:$G$22,6,FALSE) &gt;= ('20Trips'!$B$26+VLOOKUP(VLOOKUP($B123,'20Trips'!$A$2:$I$22,4,FALSE),'20Trips'!$AB$46:$AH$50,6,FALSE))/1440),1,0)</f>
        <v>#N/A</v>
      </c>
      <c r="Z123" s="2" t="e">
        <f>IF(AND(VLOOKUP(Z$1,'20Trips'!$A$3:$F$22,5,FALSE) - VLOOKUP($B123,'20Trips'!$A$3:$G$22,6,FALSE) &gt;= ('20Trips'!$B$26+VLOOKUP(VLOOKUP($B123,'20Trips'!$A$2:$I$22,4,FALSE),'20Trips'!$AB$46:$AH$50,6,FALSE))/1440),1,0)</f>
        <v>#N/A</v>
      </c>
      <c r="AA123" s="2" t="e">
        <f>IF(AND(VLOOKUP(AA$1,'20Trips'!$A$3:$F$22,5,FALSE) - VLOOKUP($B123,'20Trips'!$A$3:$G$22,6,FALSE) &gt;= ('20Trips'!$B$26+VLOOKUP(VLOOKUP($B123,'20Trips'!$A$2:$I$22,4,FALSE),'20Trips'!$AB$46:$AH$50,6,FALSE))/1440),1,0)</f>
        <v>#N/A</v>
      </c>
      <c r="AB123" s="2" t="e">
        <f>IF(AND(VLOOKUP(AB$1,'20Trips'!$A$3:$F$22,5,FALSE) - VLOOKUP($B123,'20Trips'!$A$3:$G$22,6,FALSE) &gt;= ('20Trips'!$B$26+VLOOKUP(VLOOKUP($B123,'20Trips'!$A$2:$I$22,4,FALSE),'20Trips'!$AB$46:$AH$50,6,FALSE))/1440),1,0)</f>
        <v>#N/A</v>
      </c>
      <c r="AC123" s="2" t="e">
        <f>IF(AND(VLOOKUP(AC$1,'20Trips'!$A$3:$F$22,5,FALSE) - VLOOKUP($B123,'20Trips'!$A$3:$G$22,6,FALSE) &gt;= ('20Trips'!$B$26+VLOOKUP(VLOOKUP($B123,'20Trips'!$A$2:$I$22,4,FALSE),'20Trips'!$AB$46:$AH$50,6,FALSE))/1440),1,0)</f>
        <v>#N/A</v>
      </c>
      <c r="AD123" s="2" t="e">
        <f>IF(AND(VLOOKUP(AD$1,'20Trips'!$A$3:$F$22,5,FALSE) - VLOOKUP($B123,'20Trips'!$A$3:$G$22,6,FALSE) &gt;= ('20Trips'!$B$26+VLOOKUP(VLOOKUP($B123,'20Trips'!$A$2:$I$22,4,FALSE),'20Trips'!$AB$46:$AH$50,6,FALSE))/1440),1,0)</f>
        <v>#N/A</v>
      </c>
      <c r="AE123" s="2" t="e">
        <f>IF(AND(VLOOKUP(AE$1,'20Trips'!$A$3:$F$22,5,FALSE) - VLOOKUP($B123,'20Trips'!$A$3:$G$22,6,FALSE) &gt;= ('20Trips'!$B$26+VLOOKUP(VLOOKUP($B123,'20Trips'!$A$2:$I$22,4,FALSE),'20Trips'!$AB$46:$AH$50,6,FALSE))/1440),1,0)</f>
        <v>#N/A</v>
      </c>
      <c r="AF123" s="2" t="e">
        <f>IF(AND(VLOOKUP(AF$1,'20Trips'!$A$3:$F$22,5,FALSE) - VLOOKUP($B123,'20Trips'!$A$3:$G$22,6,FALSE) &gt;= ('20Trips'!$B$26+VLOOKUP(VLOOKUP($B123,'20Trips'!$A$2:$I$22,4,FALSE),'20Trips'!$AB$46:$AH$50,6,FALSE))/1440),1,0)</f>
        <v>#N/A</v>
      </c>
      <c r="AG123" s="2" t="e">
        <f>IF(AND(VLOOKUP(AG$1,'20Trips'!$A$3:$F$22,5,FALSE) - VLOOKUP($B123,'20Trips'!$A$3:$G$22,6,FALSE) &gt;= ('20Trips'!$B$26+VLOOKUP(VLOOKUP($B123,'20Trips'!$A$2:$I$22,4,FALSE),'20Trips'!$AB$46:$AH$50,6,FALSE))/1440),1,0)</f>
        <v>#N/A</v>
      </c>
    </row>
    <row r="124" spans="1:33" x14ac:dyDescent="0.25">
      <c r="A124" t="s">
        <v>68</v>
      </c>
      <c r="B124" t="s">
        <v>40</v>
      </c>
      <c r="C124">
        <v>0</v>
      </c>
      <c r="D124" s="2" t="e">
        <f>IF(AND(VLOOKUP(D$1,'20Trips'!$A$3:$F$22,5,FALSE) - VLOOKUP($B124,'20Trips'!$A$3:$G$22,6,FALSE) &gt;= ('20Trips'!$B$26+VLOOKUP(VLOOKUP($B124,'20Trips'!$A$2:$I$22,4,FALSE),'20Trips'!$AB$46:$AH$50,6,FALSE))/1440),1,0)</f>
        <v>#N/A</v>
      </c>
      <c r="E124" s="2" t="e">
        <f>IF(AND(VLOOKUP(E$1,'20Trips'!$A$3:$F$22,5,FALSE) - VLOOKUP($B124,'20Trips'!$A$3:$G$22,6,FALSE) &gt;= ('20Trips'!$B$26+VLOOKUP(VLOOKUP($B124,'20Trips'!$A$2:$I$22,4,FALSE),'20Trips'!$AB$46:$AH$50,6,FALSE))/1440),1,0)</f>
        <v>#N/A</v>
      </c>
      <c r="F124" s="2" t="e">
        <f>IF(AND(VLOOKUP(F$1,'20Trips'!$A$3:$F$22,5,FALSE) - VLOOKUP($B124,'20Trips'!$A$3:$G$22,6,FALSE) &gt;= ('20Trips'!$B$26+VLOOKUP(VLOOKUP($B124,'20Trips'!$A$2:$I$22,4,FALSE),'20Trips'!$AB$46:$AH$50,6,FALSE))/1440),1,0)</f>
        <v>#N/A</v>
      </c>
      <c r="G124" s="2" t="e">
        <f>IF(AND(VLOOKUP(G$1,'20Trips'!$A$3:$F$22,5,FALSE) - VLOOKUP($B124,'20Trips'!$A$3:$G$22,6,FALSE) &gt;= ('20Trips'!$B$26+VLOOKUP(VLOOKUP($B124,'20Trips'!$A$2:$I$22,4,FALSE),'20Trips'!$AB$46:$AH$50,6,FALSE))/1440),1,0)</f>
        <v>#N/A</v>
      </c>
      <c r="H124" s="2" t="e">
        <f>IF(AND(VLOOKUP(H$1,'20Trips'!$A$3:$F$22,5,FALSE) - VLOOKUP($B124,'20Trips'!$A$3:$G$22,6,FALSE) &gt;= ('20Trips'!$B$26+VLOOKUP(VLOOKUP($B124,'20Trips'!$A$2:$I$22,4,FALSE),'20Trips'!$AB$46:$AH$50,6,FALSE))/1440),1,0)</f>
        <v>#N/A</v>
      </c>
      <c r="I124" s="2" t="e">
        <f>IF(AND(VLOOKUP(I$1,'20Trips'!$A$3:$F$22,5,FALSE) - VLOOKUP($B124,'20Trips'!$A$3:$G$22,6,FALSE) &gt;= ('20Trips'!$B$26+VLOOKUP(VLOOKUP($B124,'20Trips'!$A$2:$I$22,4,FALSE),'20Trips'!$AB$46:$AH$50,6,FALSE))/1440),1,0)</f>
        <v>#N/A</v>
      </c>
      <c r="J124" s="2" t="e">
        <f>IF(AND(VLOOKUP(J$1,'20Trips'!$A$3:$F$22,5,FALSE) - VLOOKUP($B124,'20Trips'!$A$3:$G$22,6,FALSE) &gt;= ('20Trips'!$B$26+VLOOKUP(VLOOKUP($B124,'20Trips'!$A$2:$I$22,4,FALSE),'20Trips'!$AB$46:$AH$50,6,FALSE))/1440),1,0)</f>
        <v>#N/A</v>
      </c>
      <c r="K124" s="2" t="e">
        <f>IF(AND(VLOOKUP(K$1,'20Trips'!$A$3:$F$22,5,FALSE) - VLOOKUP($B124,'20Trips'!$A$3:$G$22,6,FALSE) &gt;= ('20Trips'!$B$26+VLOOKUP(VLOOKUP($B124,'20Trips'!$A$2:$I$22,4,FALSE),'20Trips'!$AB$46:$AH$50,6,FALSE))/1440),1,0)</f>
        <v>#N/A</v>
      </c>
      <c r="L124" s="2" t="e">
        <f>IF(AND(VLOOKUP(L$1,'20Trips'!$A$3:$F$22,5,FALSE) - VLOOKUP($B124,'20Trips'!$A$3:$G$22,6,FALSE) &gt;= ('20Trips'!$B$26+VLOOKUP(VLOOKUP($B124,'20Trips'!$A$2:$I$22,4,FALSE),'20Trips'!$AB$46:$AH$50,6,FALSE))/1440),1,0)</f>
        <v>#N/A</v>
      </c>
      <c r="M124" s="2" t="e">
        <f>IF(AND(VLOOKUP(M$1,'20Trips'!$A$3:$F$22,5,FALSE) - VLOOKUP($B124,'20Trips'!$A$3:$G$22,6,FALSE) &gt;= ('20Trips'!$B$26+VLOOKUP(VLOOKUP($B124,'20Trips'!$A$2:$I$22,4,FALSE),'20Trips'!$AB$46:$AH$50,6,FALSE))/1440),1,0)</f>
        <v>#N/A</v>
      </c>
      <c r="N124" s="2" t="e">
        <f>IF(AND(VLOOKUP(N$1,'20Trips'!$A$3:$F$22,5,FALSE) - VLOOKUP($B124,'20Trips'!$A$3:$G$22,6,FALSE) &gt;= ('20Trips'!$B$26+VLOOKUP(VLOOKUP($B124,'20Trips'!$A$2:$I$22,4,FALSE),'20Trips'!$AB$46:$AH$50,6,FALSE))/1440),1,0)</f>
        <v>#N/A</v>
      </c>
      <c r="O124" s="2" t="e">
        <f>IF(AND(VLOOKUP(O$1,'20Trips'!$A$3:$F$22,5,FALSE) - VLOOKUP($B124,'20Trips'!$A$3:$G$22,6,FALSE) &gt;= ('20Trips'!$B$26+VLOOKUP(VLOOKUP($B124,'20Trips'!$A$2:$I$22,4,FALSE),'20Trips'!$AB$46:$AH$50,6,FALSE))/1440),1,0)</f>
        <v>#N/A</v>
      </c>
      <c r="P124" s="2" t="e">
        <f>IF(AND(VLOOKUP(P$1,'20Trips'!$A$3:$F$22,5,FALSE) - VLOOKUP($B124,'20Trips'!$A$3:$G$22,6,FALSE) &gt;= ('20Trips'!$B$26+VLOOKUP(VLOOKUP($B124,'20Trips'!$A$2:$I$22,4,FALSE),'20Trips'!$AB$46:$AH$50,6,FALSE))/1440),1,0)</f>
        <v>#N/A</v>
      </c>
      <c r="Q124" s="2" t="e">
        <f>IF(AND(VLOOKUP(Q$1,'20Trips'!$A$3:$F$22,5,FALSE) - VLOOKUP($B124,'20Trips'!$A$3:$G$22,6,FALSE) &gt;= ('20Trips'!$B$26+VLOOKUP(VLOOKUP($B124,'20Trips'!$A$2:$I$22,4,FALSE),'20Trips'!$AB$46:$AH$50,6,FALSE))/1440),1,0)</f>
        <v>#N/A</v>
      </c>
      <c r="R124" s="2" t="e">
        <f>IF(AND(VLOOKUP(R$1,'20Trips'!$A$3:$F$22,5,FALSE) - VLOOKUP($B124,'20Trips'!$A$3:$G$22,6,FALSE) &gt;= ('20Trips'!$B$26+VLOOKUP(VLOOKUP($B124,'20Trips'!$A$2:$I$22,4,FALSE),'20Trips'!$AB$46:$AH$50,6,FALSE))/1440),1,0)</f>
        <v>#N/A</v>
      </c>
      <c r="S124" s="2" t="e">
        <f>IF(AND(VLOOKUP(S$1,'20Trips'!$A$3:$F$22,5,FALSE) - VLOOKUP($B124,'20Trips'!$A$3:$G$22,6,FALSE) &gt;= ('20Trips'!$B$26+VLOOKUP(VLOOKUP($B124,'20Trips'!$A$2:$I$22,4,FALSE),'20Trips'!$AB$46:$AH$50,6,FALSE))/1440),1,0)</f>
        <v>#N/A</v>
      </c>
      <c r="T124" s="2" t="e">
        <f>IF(AND(VLOOKUP(T$1,'20Trips'!$A$3:$F$22,5,FALSE) - VLOOKUP($B124,'20Trips'!$A$3:$G$22,6,FALSE) &gt;= ('20Trips'!$B$26+VLOOKUP(VLOOKUP($B124,'20Trips'!$A$2:$I$22,4,FALSE),'20Trips'!$AB$46:$AH$50,6,FALSE))/1440),1,0)</f>
        <v>#N/A</v>
      </c>
      <c r="U124" s="2" t="e">
        <f>IF(AND(VLOOKUP(U$1,'20Trips'!$A$3:$F$22,5,FALSE) - VLOOKUP($B124,'20Trips'!$A$3:$G$22,6,FALSE) &gt;= ('20Trips'!$B$26+VLOOKUP(VLOOKUP($B124,'20Trips'!$A$2:$I$22,4,FALSE),'20Trips'!$AB$46:$AH$50,6,FALSE))/1440),1,0)</f>
        <v>#N/A</v>
      </c>
      <c r="V124" s="2" t="e">
        <f>IF(AND(VLOOKUP(V$1,'20Trips'!$A$3:$F$22,5,FALSE) - VLOOKUP($B124,'20Trips'!$A$3:$G$22,6,FALSE) &gt;= ('20Trips'!$B$26+VLOOKUP(VLOOKUP($B124,'20Trips'!$A$2:$I$22,4,FALSE),'20Trips'!$AB$46:$AH$50,6,FALSE))/1440),1,0)</f>
        <v>#N/A</v>
      </c>
      <c r="W124" s="2" t="e">
        <f>IF(AND(VLOOKUP(W$1,'20Trips'!$A$3:$F$22,5,FALSE) - VLOOKUP($B124,'20Trips'!$A$3:$G$22,6,FALSE) &gt;= ('20Trips'!$B$26+VLOOKUP(VLOOKUP($B124,'20Trips'!$A$2:$I$22,4,FALSE),'20Trips'!$AB$46:$AH$50,6,FALSE))/1440),1,0)</f>
        <v>#N/A</v>
      </c>
      <c r="X124" s="2" t="e">
        <f>IF(AND(VLOOKUP(X$1,'20Trips'!$A$3:$F$22,5,FALSE) - VLOOKUP($B124,'20Trips'!$A$3:$G$22,6,FALSE) &gt;= ('20Trips'!$B$26+VLOOKUP(VLOOKUP($B124,'20Trips'!$A$2:$I$22,4,FALSE),'20Trips'!$AB$46:$AH$50,6,FALSE))/1440),1,0)</f>
        <v>#N/A</v>
      </c>
      <c r="Y124" s="2" t="e">
        <f>IF(AND(VLOOKUP(Y$1,'20Trips'!$A$3:$F$22,5,FALSE) - VLOOKUP($B124,'20Trips'!$A$3:$G$22,6,FALSE) &gt;= ('20Trips'!$B$26+VLOOKUP(VLOOKUP($B124,'20Trips'!$A$2:$I$22,4,FALSE),'20Trips'!$AB$46:$AH$50,6,FALSE))/1440),1,0)</f>
        <v>#N/A</v>
      </c>
      <c r="Z124" s="2" t="e">
        <f>IF(AND(VLOOKUP(Z$1,'20Trips'!$A$3:$F$22,5,FALSE) - VLOOKUP($B124,'20Trips'!$A$3:$G$22,6,FALSE) &gt;= ('20Trips'!$B$26+VLOOKUP(VLOOKUP($B124,'20Trips'!$A$2:$I$22,4,FALSE),'20Trips'!$AB$46:$AH$50,6,FALSE))/1440),1,0)</f>
        <v>#N/A</v>
      </c>
      <c r="AA124" s="2" t="e">
        <f>IF(AND(VLOOKUP(AA$1,'20Trips'!$A$3:$F$22,5,FALSE) - VLOOKUP($B124,'20Trips'!$A$3:$G$22,6,FALSE) &gt;= ('20Trips'!$B$26+VLOOKUP(VLOOKUP($B124,'20Trips'!$A$2:$I$22,4,FALSE),'20Trips'!$AB$46:$AH$50,6,FALSE))/1440),1,0)</f>
        <v>#N/A</v>
      </c>
      <c r="AB124" s="2" t="e">
        <f>IF(AND(VLOOKUP(AB$1,'20Trips'!$A$3:$F$22,5,FALSE) - VLOOKUP($B124,'20Trips'!$A$3:$G$22,6,FALSE) &gt;= ('20Trips'!$B$26+VLOOKUP(VLOOKUP($B124,'20Trips'!$A$2:$I$22,4,FALSE),'20Trips'!$AB$46:$AH$50,6,FALSE))/1440),1,0)</f>
        <v>#N/A</v>
      </c>
      <c r="AC124" s="2" t="e">
        <f>IF(AND(VLOOKUP(AC$1,'20Trips'!$A$3:$F$22,5,FALSE) - VLOOKUP($B124,'20Trips'!$A$3:$G$22,6,FALSE) &gt;= ('20Trips'!$B$26+VLOOKUP(VLOOKUP($B124,'20Trips'!$A$2:$I$22,4,FALSE),'20Trips'!$AB$46:$AH$50,6,FALSE))/1440),1,0)</f>
        <v>#N/A</v>
      </c>
      <c r="AD124" s="2" t="e">
        <f>IF(AND(VLOOKUP(AD$1,'20Trips'!$A$3:$F$22,5,FALSE) - VLOOKUP($B124,'20Trips'!$A$3:$G$22,6,FALSE) &gt;= ('20Trips'!$B$26+VLOOKUP(VLOOKUP($B124,'20Trips'!$A$2:$I$22,4,FALSE),'20Trips'!$AB$46:$AH$50,6,FALSE))/1440),1,0)</f>
        <v>#N/A</v>
      </c>
      <c r="AE124" s="2" t="e">
        <f>IF(AND(VLOOKUP(AE$1,'20Trips'!$A$3:$F$22,5,FALSE) - VLOOKUP($B124,'20Trips'!$A$3:$G$22,6,FALSE) &gt;= ('20Trips'!$B$26+VLOOKUP(VLOOKUP($B124,'20Trips'!$A$2:$I$22,4,FALSE),'20Trips'!$AB$46:$AH$50,6,FALSE))/1440),1,0)</f>
        <v>#N/A</v>
      </c>
      <c r="AF124" s="2" t="e">
        <f>IF(AND(VLOOKUP(AF$1,'20Trips'!$A$3:$F$22,5,FALSE) - VLOOKUP($B124,'20Trips'!$A$3:$G$22,6,FALSE) &gt;= ('20Trips'!$B$26+VLOOKUP(VLOOKUP($B124,'20Trips'!$A$2:$I$22,4,FALSE),'20Trips'!$AB$46:$AH$50,6,FALSE))/1440),1,0)</f>
        <v>#N/A</v>
      </c>
      <c r="AG124" s="2" t="e">
        <f>IF(AND(VLOOKUP(AG$1,'20Trips'!$A$3:$F$22,5,FALSE) - VLOOKUP($B124,'20Trips'!$A$3:$G$22,6,FALSE) &gt;= ('20Trips'!$B$26+VLOOKUP(VLOOKUP($B124,'20Trips'!$A$2:$I$22,4,FALSE),'20Trips'!$AB$46:$AH$50,6,FALSE))/1440),1,0)</f>
        <v>#N/A</v>
      </c>
    </row>
    <row r="125" spans="1:33" x14ac:dyDescent="0.25">
      <c r="A125" t="s">
        <v>68</v>
      </c>
      <c r="B125" t="s">
        <v>41</v>
      </c>
      <c r="C125">
        <v>0</v>
      </c>
      <c r="D125" s="2" t="e">
        <f>IF(AND(VLOOKUP(D$1,'20Trips'!$A$3:$F$22,5,FALSE) - VLOOKUP($B125,'20Trips'!$A$3:$G$22,6,FALSE) &gt;= ('20Trips'!$B$26+VLOOKUP(VLOOKUP($B125,'20Trips'!$A$2:$I$22,4,FALSE),'20Trips'!$AB$46:$AH$50,6,FALSE))/1440),1,0)</f>
        <v>#N/A</v>
      </c>
      <c r="E125" s="2" t="e">
        <f>IF(AND(VLOOKUP(E$1,'20Trips'!$A$3:$F$22,5,FALSE) - VLOOKUP($B125,'20Trips'!$A$3:$G$22,6,FALSE) &gt;= ('20Trips'!$B$26+VLOOKUP(VLOOKUP($B125,'20Trips'!$A$2:$I$22,4,FALSE),'20Trips'!$AB$46:$AH$50,6,FALSE))/1440),1,0)</f>
        <v>#N/A</v>
      </c>
      <c r="F125" s="2" t="e">
        <f>IF(AND(VLOOKUP(F$1,'20Trips'!$A$3:$F$22,5,FALSE) - VLOOKUP($B125,'20Trips'!$A$3:$G$22,6,FALSE) &gt;= ('20Trips'!$B$26+VLOOKUP(VLOOKUP($B125,'20Trips'!$A$2:$I$22,4,FALSE),'20Trips'!$AB$46:$AH$50,6,FALSE))/1440),1,0)</f>
        <v>#N/A</v>
      </c>
      <c r="G125" s="2" t="e">
        <f>IF(AND(VLOOKUP(G$1,'20Trips'!$A$3:$F$22,5,FALSE) - VLOOKUP($B125,'20Trips'!$A$3:$G$22,6,FALSE) &gt;= ('20Trips'!$B$26+VLOOKUP(VLOOKUP($B125,'20Trips'!$A$2:$I$22,4,FALSE),'20Trips'!$AB$46:$AH$50,6,FALSE))/1440),1,0)</f>
        <v>#N/A</v>
      </c>
      <c r="H125" s="2" t="e">
        <f>IF(AND(VLOOKUP(H$1,'20Trips'!$A$3:$F$22,5,FALSE) - VLOOKUP($B125,'20Trips'!$A$3:$G$22,6,FALSE) &gt;= ('20Trips'!$B$26+VLOOKUP(VLOOKUP($B125,'20Trips'!$A$2:$I$22,4,FALSE),'20Trips'!$AB$46:$AH$50,6,FALSE))/1440),1,0)</f>
        <v>#N/A</v>
      </c>
      <c r="I125" s="2" t="e">
        <f>IF(AND(VLOOKUP(I$1,'20Trips'!$A$3:$F$22,5,FALSE) - VLOOKUP($B125,'20Trips'!$A$3:$G$22,6,FALSE) &gt;= ('20Trips'!$B$26+VLOOKUP(VLOOKUP($B125,'20Trips'!$A$2:$I$22,4,FALSE),'20Trips'!$AB$46:$AH$50,6,FALSE))/1440),1,0)</f>
        <v>#N/A</v>
      </c>
      <c r="J125" s="2" t="e">
        <f>IF(AND(VLOOKUP(J$1,'20Trips'!$A$3:$F$22,5,FALSE) - VLOOKUP($B125,'20Trips'!$A$3:$G$22,6,FALSE) &gt;= ('20Trips'!$B$26+VLOOKUP(VLOOKUP($B125,'20Trips'!$A$2:$I$22,4,FALSE),'20Trips'!$AB$46:$AH$50,6,FALSE))/1440),1,0)</f>
        <v>#N/A</v>
      </c>
      <c r="K125" s="2" t="e">
        <f>IF(AND(VLOOKUP(K$1,'20Trips'!$A$3:$F$22,5,FALSE) - VLOOKUP($B125,'20Trips'!$A$3:$G$22,6,FALSE) &gt;= ('20Trips'!$B$26+VLOOKUP(VLOOKUP($B125,'20Trips'!$A$2:$I$22,4,FALSE),'20Trips'!$AB$46:$AH$50,6,FALSE))/1440),1,0)</f>
        <v>#N/A</v>
      </c>
      <c r="L125" s="2" t="e">
        <f>IF(AND(VLOOKUP(L$1,'20Trips'!$A$3:$F$22,5,FALSE) - VLOOKUP($B125,'20Trips'!$A$3:$G$22,6,FALSE) &gt;= ('20Trips'!$B$26+VLOOKUP(VLOOKUP($B125,'20Trips'!$A$2:$I$22,4,FALSE),'20Trips'!$AB$46:$AH$50,6,FALSE))/1440),1,0)</f>
        <v>#N/A</v>
      </c>
      <c r="M125" s="2" t="e">
        <f>IF(AND(VLOOKUP(M$1,'20Trips'!$A$3:$F$22,5,FALSE) - VLOOKUP($B125,'20Trips'!$A$3:$G$22,6,FALSE) &gt;= ('20Trips'!$B$26+VLOOKUP(VLOOKUP($B125,'20Trips'!$A$2:$I$22,4,FALSE),'20Trips'!$AB$46:$AH$50,6,FALSE))/1440),1,0)</f>
        <v>#N/A</v>
      </c>
      <c r="N125" s="2" t="e">
        <f>IF(AND(VLOOKUP(N$1,'20Trips'!$A$3:$F$22,5,FALSE) - VLOOKUP($B125,'20Trips'!$A$3:$G$22,6,FALSE) &gt;= ('20Trips'!$B$26+VLOOKUP(VLOOKUP($B125,'20Trips'!$A$2:$I$22,4,FALSE),'20Trips'!$AB$46:$AH$50,6,FALSE))/1440),1,0)</f>
        <v>#N/A</v>
      </c>
      <c r="O125" s="2" t="e">
        <f>IF(AND(VLOOKUP(O$1,'20Trips'!$A$3:$F$22,5,FALSE) - VLOOKUP($B125,'20Trips'!$A$3:$G$22,6,FALSE) &gt;= ('20Trips'!$B$26+VLOOKUP(VLOOKUP($B125,'20Trips'!$A$2:$I$22,4,FALSE),'20Trips'!$AB$46:$AH$50,6,FALSE))/1440),1,0)</f>
        <v>#N/A</v>
      </c>
      <c r="P125" s="2" t="e">
        <f>IF(AND(VLOOKUP(P$1,'20Trips'!$A$3:$F$22,5,FALSE) - VLOOKUP($B125,'20Trips'!$A$3:$G$22,6,FALSE) &gt;= ('20Trips'!$B$26+VLOOKUP(VLOOKUP($B125,'20Trips'!$A$2:$I$22,4,FALSE),'20Trips'!$AB$46:$AH$50,6,FALSE))/1440),1,0)</f>
        <v>#N/A</v>
      </c>
      <c r="Q125" s="2" t="e">
        <f>IF(AND(VLOOKUP(Q$1,'20Trips'!$A$3:$F$22,5,FALSE) - VLOOKUP($B125,'20Trips'!$A$3:$G$22,6,FALSE) &gt;= ('20Trips'!$B$26+VLOOKUP(VLOOKUP($B125,'20Trips'!$A$2:$I$22,4,FALSE),'20Trips'!$AB$46:$AH$50,6,FALSE))/1440),1,0)</f>
        <v>#N/A</v>
      </c>
      <c r="R125" s="2" t="e">
        <f>IF(AND(VLOOKUP(R$1,'20Trips'!$A$3:$F$22,5,FALSE) - VLOOKUP($B125,'20Trips'!$A$3:$G$22,6,FALSE) &gt;= ('20Trips'!$B$26+VLOOKUP(VLOOKUP($B125,'20Trips'!$A$2:$I$22,4,FALSE),'20Trips'!$AB$46:$AH$50,6,FALSE))/1440),1,0)</f>
        <v>#N/A</v>
      </c>
      <c r="S125" s="2" t="e">
        <f>IF(AND(VLOOKUP(S$1,'20Trips'!$A$3:$F$22,5,FALSE) - VLOOKUP($B125,'20Trips'!$A$3:$G$22,6,FALSE) &gt;= ('20Trips'!$B$26+VLOOKUP(VLOOKUP($B125,'20Trips'!$A$2:$I$22,4,FALSE),'20Trips'!$AB$46:$AH$50,6,FALSE))/1440),1,0)</f>
        <v>#N/A</v>
      </c>
      <c r="T125" s="2" t="e">
        <f>IF(AND(VLOOKUP(T$1,'20Trips'!$A$3:$F$22,5,FALSE) - VLOOKUP($B125,'20Trips'!$A$3:$G$22,6,FALSE) &gt;= ('20Trips'!$B$26+VLOOKUP(VLOOKUP($B125,'20Trips'!$A$2:$I$22,4,FALSE),'20Trips'!$AB$46:$AH$50,6,FALSE))/1440),1,0)</f>
        <v>#N/A</v>
      </c>
      <c r="U125" s="2" t="e">
        <f>IF(AND(VLOOKUP(U$1,'20Trips'!$A$3:$F$22,5,FALSE) - VLOOKUP($B125,'20Trips'!$A$3:$G$22,6,FALSE) &gt;= ('20Trips'!$B$26+VLOOKUP(VLOOKUP($B125,'20Trips'!$A$2:$I$22,4,FALSE),'20Trips'!$AB$46:$AH$50,6,FALSE))/1440),1,0)</f>
        <v>#N/A</v>
      </c>
      <c r="V125" s="2" t="e">
        <f>IF(AND(VLOOKUP(V$1,'20Trips'!$A$3:$F$22,5,FALSE) - VLOOKUP($B125,'20Trips'!$A$3:$G$22,6,FALSE) &gt;= ('20Trips'!$B$26+VLOOKUP(VLOOKUP($B125,'20Trips'!$A$2:$I$22,4,FALSE),'20Trips'!$AB$46:$AH$50,6,FALSE))/1440),1,0)</f>
        <v>#N/A</v>
      </c>
      <c r="W125" s="2" t="e">
        <f>IF(AND(VLOOKUP(W$1,'20Trips'!$A$3:$F$22,5,FALSE) - VLOOKUP($B125,'20Trips'!$A$3:$G$22,6,FALSE) &gt;= ('20Trips'!$B$26+VLOOKUP(VLOOKUP($B125,'20Trips'!$A$2:$I$22,4,FALSE),'20Trips'!$AB$46:$AH$50,6,FALSE))/1440),1,0)</f>
        <v>#N/A</v>
      </c>
      <c r="X125" s="2" t="e">
        <f>IF(AND(VLOOKUP(X$1,'20Trips'!$A$3:$F$22,5,FALSE) - VLOOKUP($B125,'20Trips'!$A$3:$G$22,6,FALSE) &gt;= ('20Trips'!$B$26+VLOOKUP(VLOOKUP($B125,'20Trips'!$A$2:$I$22,4,FALSE),'20Trips'!$AB$46:$AH$50,6,FALSE))/1440),1,0)</f>
        <v>#N/A</v>
      </c>
      <c r="Y125" s="2" t="e">
        <f>IF(AND(VLOOKUP(Y$1,'20Trips'!$A$3:$F$22,5,FALSE) - VLOOKUP($B125,'20Trips'!$A$3:$G$22,6,FALSE) &gt;= ('20Trips'!$B$26+VLOOKUP(VLOOKUP($B125,'20Trips'!$A$2:$I$22,4,FALSE),'20Trips'!$AB$46:$AH$50,6,FALSE))/1440),1,0)</f>
        <v>#N/A</v>
      </c>
      <c r="Z125" s="2" t="e">
        <f>IF(AND(VLOOKUP(Z$1,'20Trips'!$A$3:$F$22,5,FALSE) - VLOOKUP($B125,'20Trips'!$A$3:$G$22,6,FALSE) &gt;= ('20Trips'!$B$26+VLOOKUP(VLOOKUP($B125,'20Trips'!$A$2:$I$22,4,FALSE),'20Trips'!$AB$46:$AH$50,6,FALSE))/1440),1,0)</f>
        <v>#N/A</v>
      </c>
      <c r="AA125" s="2" t="e">
        <f>IF(AND(VLOOKUP(AA$1,'20Trips'!$A$3:$F$22,5,FALSE) - VLOOKUP($B125,'20Trips'!$A$3:$G$22,6,FALSE) &gt;= ('20Trips'!$B$26+VLOOKUP(VLOOKUP($B125,'20Trips'!$A$2:$I$22,4,FALSE),'20Trips'!$AB$46:$AH$50,6,FALSE))/1440),1,0)</f>
        <v>#N/A</v>
      </c>
      <c r="AB125" s="2" t="e">
        <f>IF(AND(VLOOKUP(AB$1,'20Trips'!$A$3:$F$22,5,FALSE) - VLOOKUP($B125,'20Trips'!$A$3:$G$22,6,FALSE) &gt;= ('20Trips'!$B$26+VLOOKUP(VLOOKUP($B125,'20Trips'!$A$2:$I$22,4,FALSE),'20Trips'!$AB$46:$AH$50,6,FALSE))/1440),1,0)</f>
        <v>#N/A</v>
      </c>
      <c r="AC125" s="2" t="e">
        <f>IF(AND(VLOOKUP(AC$1,'20Trips'!$A$3:$F$22,5,FALSE) - VLOOKUP($B125,'20Trips'!$A$3:$G$22,6,FALSE) &gt;= ('20Trips'!$B$26+VLOOKUP(VLOOKUP($B125,'20Trips'!$A$2:$I$22,4,FALSE),'20Trips'!$AB$46:$AH$50,6,FALSE))/1440),1,0)</f>
        <v>#N/A</v>
      </c>
      <c r="AD125" s="2" t="e">
        <f>IF(AND(VLOOKUP(AD$1,'20Trips'!$A$3:$F$22,5,FALSE) - VLOOKUP($B125,'20Trips'!$A$3:$G$22,6,FALSE) &gt;= ('20Trips'!$B$26+VLOOKUP(VLOOKUP($B125,'20Trips'!$A$2:$I$22,4,FALSE),'20Trips'!$AB$46:$AH$50,6,FALSE))/1440),1,0)</f>
        <v>#N/A</v>
      </c>
      <c r="AE125" s="2" t="e">
        <f>IF(AND(VLOOKUP(AE$1,'20Trips'!$A$3:$F$22,5,FALSE) - VLOOKUP($B125,'20Trips'!$A$3:$G$22,6,FALSE) &gt;= ('20Trips'!$B$26+VLOOKUP(VLOOKUP($B125,'20Trips'!$A$2:$I$22,4,FALSE),'20Trips'!$AB$46:$AH$50,6,FALSE))/1440),1,0)</f>
        <v>#N/A</v>
      </c>
      <c r="AF125" s="2" t="e">
        <f>IF(AND(VLOOKUP(AF$1,'20Trips'!$A$3:$F$22,5,FALSE) - VLOOKUP($B125,'20Trips'!$A$3:$G$22,6,FALSE) &gt;= ('20Trips'!$B$26+VLOOKUP(VLOOKUP($B125,'20Trips'!$A$2:$I$22,4,FALSE),'20Trips'!$AB$46:$AH$50,6,FALSE))/1440),1,0)</f>
        <v>#N/A</v>
      </c>
      <c r="AG125" s="2" t="e">
        <f>IF(AND(VLOOKUP(AG$1,'20Trips'!$A$3:$F$22,5,FALSE) - VLOOKUP($B125,'20Trips'!$A$3:$G$22,6,FALSE) &gt;= ('20Trips'!$B$26+VLOOKUP(VLOOKUP($B125,'20Trips'!$A$2:$I$22,4,FALSE),'20Trips'!$AB$46:$AH$50,6,FALSE))/1440),1,0)</f>
        <v>#N/A</v>
      </c>
    </row>
    <row r="126" spans="1:33" x14ac:dyDescent="0.25">
      <c r="A126" t="s">
        <v>69</v>
      </c>
      <c r="B126" t="s">
        <v>46</v>
      </c>
      <c r="C126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</row>
    <row r="127" spans="1:33" x14ac:dyDescent="0.25">
      <c r="A127" t="s">
        <v>69</v>
      </c>
      <c r="B127" t="s">
        <v>6</v>
      </c>
      <c r="C127">
        <v>0</v>
      </c>
      <c r="D127" s="2" t="e">
        <f>IF(AND(VLOOKUP(D$1,'20Trips'!$A$3:$F$22,5,FALSE) - VLOOKUP($B127,'20Trips'!$A$3:$G$22,6,FALSE) &gt;= ('20Trips'!#REF!+VLOOKUP(VLOOKUP($B127,'20Trips'!$A$2:$I$22,4,FALSE),'20Trips'!$AB$46:$AH$50,7,FALSE))/1440),1,0)</f>
        <v>#REF!</v>
      </c>
      <c r="E127" s="2" t="e">
        <f>IF(AND(VLOOKUP(E$1,'20Trips'!$A$3:$F$22,5,FALSE) - VLOOKUP($B127,'20Trips'!$A$3:$G$22,6,FALSE) &gt;= ('20Trips'!#REF!+VLOOKUP(VLOOKUP($B127,'20Trips'!$A$2:$I$22,4,FALSE),'20Trips'!$AB$46:$AH$50,7,FALSE))/1440),1,0)</f>
        <v>#REF!</v>
      </c>
      <c r="F127" s="2" t="e">
        <f>IF(AND(VLOOKUP(F$1,'20Trips'!$A$3:$F$22,5,FALSE) - VLOOKUP($B127,'20Trips'!$A$3:$G$22,6,FALSE) &gt;= ('20Trips'!#REF!+VLOOKUP(VLOOKUP($B127,'20Trips'!$A$2:$I$22,4,FALSE),'20Trips'!$AB$46:$AH$50,7,FALSE))/1440),1,0)</f>
        <v>#REF!</v>
      </c>
      <c r="G127" s="2" t="e">
        <f>IF(AND(VLOOKUP(G$1,'20Trips'!$A$3:$F$22,5,FALSE) - VLOOKUP($B127,'20Trips'!$A$3:$G$22,6,FALSE) &gt;= ('20Trips'!#REF!+VLOOKUP(VLOOKUP($B127,'20Trips'!$A$2:$I$22,4,FALSE),'20Trips'!$AB$46:$AH$50,7,FALSE))/1440),1,0)</f>
        <v>#REF!</v>
      </c>
      <c r="H127" s="2" t="e">
        <f>IF(AND(VLOOKUP(H$1,'20Trips'!$A$3:$F$22,5,FALSE) - VLOOKUP($B127,'20Trips'!$A$3:$G$22,6,FALSE) &gt;= ('20Trips'!#REF!+VLOOKUP(VLOOKUP($B127,'20Trips'!$A$2:$I$22,4,FALSE),'20Trips'!$AB$46:$AH$50,7,FALSE))/1440),1,0)</f>
        <v>#REF!</v>
      </c>
      <c r="I127" s="2" t="e">
        <f>IF(AND(VLOOKUP(I$1,'20Trips'!$A$3:$F$22,5,FALSE) - VLOOKUP($B127,'20Trips'!$A$3:$G$22,6,FALSE) &gt;= ('20Trips'!#REF!+VLOOKUP(VLOOKUP($B127,'20Trips'!$A$2:$I$22,4,FALSE),'20Trips'!$AB$46:$AH$50,7,FALSE))/1440),1,0)</f>
        <v>#N/A</v>
      </c>
      <c r="J127" s="2" t="e">
        <f>IF(AND(VLOOKUP(J$1,'20Trips'!$A$3:$F$22,5,FALSE) - VLOOKUP($B127,'20Trips'!$A$3:$G$22,6,FALSE) &gt;= ('20Trips'!#REF!+VLOOKUP(VLOOKUP($B127,'20Trips'!$A$2:$I$22,4,FALSE),'20Trips'!$AB$46:$AH$50,7,FALSE))/1440),1,0)</f>
        <v>#N/A</v>
      </c>
      <c r="K127" s="2" t="e">
        <f>IF(AND(VLOOKUP(K$1,'20Trips'!$A$3:$F$22,5,FALSE) - VLOOKUP($B127,'20Trips'!$A$3:$G$22,6,FALSE) &gt;= ('20Trips'!#REF!+VLOOKUP(VLOOKUP($B127,'20Trips'!$A$2:$I$22,4,FALSE),'20Trips'!$AB$46:$AH$50,7,FALSE))/1440),1,0)</f>
        <v>#N/A</v>
      </c>
      <c r="L127" s="2" t="e">
        <f>IF(AND(VLOOKUP(L$1,'20Trips'!$A$3:$F$22,5,FALSE) - VLOOKUP($B127,'20Trips'!$A$3:$G$22,6,FALSE) &gt;= ('20Trips'!#REF!+VLOOKUP(VLOOKUP($B127,'20Trips'!$A$2:$I$22,4,FALSE),'20Trips'!$AB$46:$AH$50,7,FALSE))/1440),1,0)</f>
        <v>#REF!</v>
      </c>
      <c r="M127" s="2" t="e">
        <f>IF(AND(VLOOKUP(M$1,'20Trips'!$A$3:$F$22,5,FALSE) - VLOOKUP($B127,'20Trips'!$A$3:$G$22,6,FALSE) &gt;= ('20Trips'!#REF!+VLOOKUP(VLOOKUP($B127,'20Trips'!$A$2:$I$22,4,FALSE),'20Trips'!$AB$46:$AH$50,7,FALSE))/1440),1,0)</f>
        <v>#REF!</v>
      </c>
      <c r="N127" s="2" t="e">
        <f>IF(AND(VLOOKUP(N$1,'20Trips'!$A$3:$F$22,5,FALSE) - VLOOKUP($B127,'20Trips'!$A$3:$G$22,6,FALSE) &gt;= ('20Trips'!#REF!+VLOOKUP(VLOOKUP($B127,'20Trips'!$A$2:$I$22,4,FALSE),'20Trips'!$AB$46:$AH$50,7,FALSE))/1440),1,0)</f>
        <v>#REF!</v>
      </c>
      <c r="O127" s="2" t="e">
        <f>IF(AND(VLOOKUP(O$1,'20Trips'!$A$3:$F$22,5,FALSE) - VLOOKUP($B127,'20Trips'!$A$3:$G$22,6,FALSE) &gt;= ('20Trips'!#REF!+VLOOKUP(VLOOKUP($B127,'20Trips'!$A$2:$I$22,4,FALSE),'20Trips'!$AB$46:$AH$50,7,FALSE))/1440),1,0)</f>
        <v>#REF!</v>
      </c>
      <c r="P127" s="2" t="e">
        <f>IF(AND(VLOOKUP(P$1,'20Trips'!$A$3:$F$22,5,FALSE) - VLOOKUP($B127,'20Trips'!$A$3:$G$22,6,FALSE) &gt;= ('20Trips'!#REF!+VLOOKUP(VLOOKUP($B127,'20Trips'!$A$2:$I$22,4,FALSE),'20Trips'!$AB$46:$AH$50,7,FALSE))/1440),1,0)</f>
        <v>#REF!</v>
      </c>
      <c r="Q127" s="2" t="e">
        <f>IF(AND(VLOOKUP(Q$1,'20Trips'!$A$3:$F$22,5,FALSE) - VLOOKUP($B127,'20Trips'!$A$3:$G$22,6,FALSE) &gt;= ('20Trips'!#REF!+VLOOKUP(VLOOKUP($B127,'20Trips'!$A$2:$I$22,4,FALSE),'20Trips'!$AB$46:$AH$50,7,FALSE))/1440),1,0)</f>
        <v>#N/A</v>
      </c>
      <c r="R127" s="2" t="e">
        <f>IF(AND(VLOOKUP(R$1,'20Trips'!$A$3:$F$22,5,FALSE) - VLOOKUP($B127,'20Trips'!$A$3:$G$22,6,FALSE) &gt;= ('20Trips'!#REF!+VLOOKUP(VLOOKUP($B127,'20Trips'!$A$2:$I$22,4,FALSE),'20Trips'!$AB$46:$AH$50,7,FALSE))/1440),1,0)</f>
        <v>#REF!</v>
      </c>
      <c r="S127" s="2" t="e">
        <f>IF(AND(VLOOKUP(S$1,'20Trips'!$A$3:$F$22,5,FALSE) - VLOOKUP($B127,'20Trips'!$A$3:$G$22,6,FALSE) &gt;= ('20Trips'!#REF!+VLOOKUP(VLOOKUP($B127,'20Trips'!$A$2:$I$22,4,FALSE),'20Trips'!$AB$46:$AH$50,7,FALSE))/1440),1,0)</f>
        <v>#REF!</v>
      </c>
      <c r="T127" s="2" t="e">
        <f>IF(AND(VLOOKUP(T$1,'20Trips'!$A$3:$F$22,5,FALSE) - VLOOKUP($B127,'20Trips'!$A$3:$G$22,6,FALSE) &gt;= ('20Trips'!#REF!+VLOOKUP(VLOOKUP($B127,'20Trips'!$A$2:$I$22,4,FALSE),'20Trips'!$AB$46:$AH$50,7,FALSE))/1440),1,0)</f>
        <v>#REF!</v>
      </c>
      <c r="U127" s="2" t="e">
        <f>IF(AND(VLOOKUP(U$1,'20Trips'!$A$3:$F$22,5,FALSE) - VLOOKUP($B127,'20Trips'!$A$3:$G$22,6,FALSE) &gt;= ('20Trips'!#REF!+VLOOKUP(VLOOKUP($B127,'20Trips'!$A$2:$I$22,4,FALSE),'20Trips'!$AB$46:$AH$50,7,FALSE))/1440),1,0)</f>
        <v>#REF!</v>
      </c>
      <c r="V127" s="2" t="e">
        <f>IF(AND(VLOOKUP(V$1,'20Trips'!$A$3:$F$22,5,FALSE) - VLOOKUP($B127,'20Trips'!$A$3:$G$22,6,FALSE) &gt;= ('20Trips'!#REF!+VLOOKUP(VLOOKUP($B127,'20Trips'!$A$2:$I$22,4,FALSE),'20Trips'!$AB$46:$AH$50,7,FALSE))/1440),1,0)</f>
        <v>#REF!</v>
      </c>
      <c r="W127" s="2" t="e">
        <f>IF(AND(VLOOKUP(W$1,'20Trips'!$A$3:$F$22,5,FALSE) - VLOOKUP($B127,'20Trips'!$A$3:$G$22,6,FALSE) &gt;= ('20Trips'!#REF!+VLOOKUP(VLOOKUP($B127,'20Trips'!$A$2:$I$22,4,FALSE),'20Trips'!$AB$46:$AH$50,7,FALSE))/1440),1,0)</f>
        <v>#N/A</v>
      </c>
      <c r="X127" s="2" t="e">
        <f>IF(AND(VLOOKUP(X$1,'20Trips'!$A$3:$F$22,5,FALSE) - VLOOKUP($B127,'20Trips'!$A$3:$G$22,6,FALSE) &gt;= ('20Trips'!#REF!+VLOOKUP(VLOOKUP($B127,'20Trips'!$A$2:$I$22,4,FALSE),'20Trips'!$AB$46:$AH$50,7,FALSE))/1440),1,0)</f>
        <v>#N/A</v>
      </c>
      <c r="Y127" s="2" t="e">
        <f>IF(AND(VLOOKUP(Y$1,'20Trips'!$A$3:$F$22,5,FALSE) - VLOOKUP($B127,'20Trips'!$A$3:$G$22,6,FALSE) &gt;= ('20Trips'!#REF!+VLOOKUP(VLOOKUP($B127,'20Trips'!$A$2:$I$22,4,FALSE),'20Trips'!$AB$46:$AH$50,7,FALSE))/1440),1,0)</f>
        <v>#N/A</v>
      </c>
      <c r="Z127" s="2" t="e">
        <f>IF(AND(VLOOKUP(Z$1,'20Trips'!$A$3:$F$22,5,FALSE) - VLOOKUP($B127,'20Trips'!$A$3:$G$22,6,FALSE) &gt;= ('20Trips'!#REF!+VLOOKUP(VLOOKUP($B127,'20Trips'!$A$2:$I$22,4,FALSE),'20Trips'!$AB$46:$AH$50,7,FALSE))/1440),1,0)</f>
        <v>#REF!</v>
      </c>
      <c r="AA127" s="2" t="e">
        <f>IF(AND(VLOOKUP(AA$1,'20Trips'!$A$3:$F$22,5,FALSE) - VLOOKUP($B127,'20Trips'!$A$3:$G$22,6,FALSE) &gt;= ('20Trips'!#REF!+VLOOKUP(VLOOKUP($B127,'20Trips'!$A$2:$I$22,4,FALSE),'20Trips'!$AB$46:$AH$50,7,FALSE))/1440),1,0)</f>
        <v>#REF!</v>
      </c>
      <c r="AB127" s="2" t="e">
        <f>IF(AND(VLOOKUP(AB$1,'20Trips'!$A$3:$F$22,5,FALSE) - VLOOKUP($B127,'20Trips'!$A$3:$G$22,6,FALSE) &gt;= ('20Trips'!#REF!+VLOOKUP(VLOOKUP($B127,'20Trips'!$A$2:$I$22,4,FALSE),'20Trips'!$AB$46:$AH$50,7,FALSE))/1440),1,0)</f>
        <v>#REF!</v>
      </c>
      <c r="AC127" s="2" t="e">
        <f>IF(AND(VLOOKUP(AC$1,'20Trips'!$A$3:$F$22,5,FALSE) - VLOOKUP($B127,'20Trips'!$A$3:$G$22,6,FALSE) &gt;= ('20Trips'!#REF!+VLOOKUP(VLOOKUP($B127,'20Trips'!$A$2:$I$22,4,FALSE),'20Trips'!$AB$46:$AH$50,7,FALSE))/1440),1,0)</f>
        <v>#REF!</v>
      </c>
      <c r="AD127" s="2" t="e">
        <f>IF(AND(VLOOKUP(AD$1,'20Trips'!$A$3:$F$22,5,FALSE) - VLOOKUP($B127,'20Trips'!$A$3:$G$22,6,FALSE) &gt;= ('20Trips'!#REF!+VLOOKUP(VLOOKUP($B127,'20Trips'!$A$2:$I$22,4,FALSE),'20Trips'!$AB$46:$AH$50,7,FALSE))/1440),1,0)</f>
        <v>#REF!</v>
      </c>
      <c r="AE127" s="2" t="e">
        <f>IF(AND(VLOOKUP(AE$1,'20Trips'!$A$3:$F$22,5,FALSE) - VLOOKUP($B127,'20Trips'!$A$3:$G$22,6,FALSE) &gt;= ('20Trips'!#REF!+VLOOKUP(VLOOKUP($B127,'20Trips'!$A$2:$I$22,4,FALSE),'20Trips'!$AB$46:$AH$50,7,FALSE))/1440),1,0)</f>
        <v>#N/A</v>
      </c>
      <c r="AF127" s="2" t="e">
        <f>IF(AND(VLOOKUP(AF$1,'20Trips'!$A$3:$F$22,5,FALSE) - VLOOKUP($B127,'20Trips'!$A$3:$G$22,6,FALSE) &gt;= ('20Trips'!#REF!+VLOOKUP(VLOOKUP($B127,'20Trips'!$A$2:$I$22,4,FALSE),'20Trips'!$AB$46:$AH$50,7,FALSE))/1440),1,0)</f>
        <v>#N/A</v>
      </c>
      <c r="AG127" s="2" t="e">
        <f>IF(AND(VLOOKUP(AG$1,'20Trips'!$A$3:$F$22,5,FALSE) - VLOOKUP($B127,'20Trips'!$A$3:$G$22,6,FALSE) &gt;= ('20Trips'!#REF!+VLOOKUP(VLOOKUP($B127,'20Trips'!$A$2:$I$22,4,FALSE),'20Trips'!$AB$46:$AH$50,7,FALSE))/1440),1,0)</f>
        <v>#N/A</v>
      </c>
    </row>
    <row r="128" spans="1:33" x14ac:dyDescent="0.25">
      <c r="A128" t="s">
        <v>69</v>
      </c>
      <c r="B128" t="s">
        <v>9</v>
      </c>
      <c r="C128">
        <v>0</v>
      </c>
      <c r="D128" s="2" t="e">
        <f>IF(AND(VLOOKUP(D$1,'20Trips'!$A$3:$F$22,5,FALSE) - VLOOKUP($B128,'20Trips'!$A$3:$G$22,6,FALSE) &gt;= ('20Trips'!#REF!+VLOOKUP(VLOOKUP($B128,'20Trips'!$A$2:$I$22,4,FALSE),'20Trips'!$AB$46:$AH$50,7,FALSE))/1440),1,0)</f>
        <v>#REF!</v>
      </c>
      <c r="E128" s="2" t="e">
        <f>IF(AND(VLOOKUP(E$1,'20Trips'!$A$3:$F$22,5,FALSE) - VLOOKUP($B128,'20Trips'!$A$3:$G$22,6,FALSE) &gt;= ('20Trips'!#REF!+VLOOKUP(VLOOKUP($B128,'20Trips'!$A$2:$I$22,4,FALSE),'20Trips'!$AB$46:$AH$50,7,FALSE))/1440),1,0)</f>
        <v>#REF!</v>
      </c>
      <c r="F128" s="2" t="e">
        <f>IF(AND(VLOOKUP(F$1,'20Trips'!$A$3:$F$22,5,FALSE) - VLOOKUP($B128,'20Trips'!$A$3:$G$22,6,FALSE) &gt;= ('20Trips'!#REF!+VLOOKUP(VLOOKUP($B128,'20Trips'!$A$2:$I$22,4,FALSE),'20Trips'!$AB$46:$AH$50,7,FALSE))/1440),1,0)</f>
        <v>#REF!</v>
      </c>
      <c r="G128" s="2" t="e">
        <f>IF(AND(VLOOKUP(G$1,'20Trips'!$A$3:$F$22,5,FALSE) - VLOOKUP($B128,'20Trips'!$A$3:$G$22,6,FALSE) &gt;= ('20Trips'!#REF!+VLOOKUP(VLOOKUP($B128,'20Trips'!$A$2:$I$22,4,FALSE),'20Trips'!$AB$46:$AH$50,7,FALSE))/1440),1,0)</f>
        <v>#REF!</v>
      </c>
      <c r="H128" s="2" t="e">
        <f>IF(AND(VLOOKUP(H$1,'20Trips'!$A$3:$F$22,5,FALSE) - VLOOKUP($B128,'20Trips'!$A$3:$G$22,6,FALSE) &gt;= ('20Trips'!#REF!+VLOOKUP(VLOOKUP($B128,'20Trips'!$A$2:$I$22,4,FALSE),'20Trips'!$AB$46:$AH$50,7,FALSE))/1440),1,0)</f>
        <v>#REF!</v>
      </c>
      <c r="I128" s="2" t="e">
        <f>IF(AND(VLOOKUP(I$1,'20Trips'!$A$3:$F$22,5,FALSE) - VLOOKUP($B128,'20Trips'!$A$3:$G$22,6,FALSE) &gt;= ('20Trips'!#REF!+VLOOKUP(VLOOKUP($B128,'20Trips'!$A$2:$I$22,4,FALSE),'20Trips'!$AB$46:$AH$50,7,FALSE))/1440),1,0)</f>
        <v>#N/A</v>
      </c>
      <c r="J128" s="2" t="e">
        <f>IF(AND(VLOOKUP(J$1,'20Trips'!$A$3:$F$22,5,FALSE) - VLOOKUP($B128,'20Trips'!$A$3:$G$22,6,FALSE) &gt;= ('20Trips'!#REF!+VLOOKUP(VLOOKUP($B128,'20Trips'!$A$2:$I$22,4,FALSE),'20Trips'!$AB$46:$AH$50,7,FALSE))/1440),1,0)</f>
        <v>#N/A</v>
      </c>
      <c r="K128" s="2" t="e">
        <f>IF(AND(VLOOKUP(K$1,'20Trips'!$A$3:$F$22,5,FALSE) - VLOOKUP($B128,'20Trips'!$A$3:$G$22,6,FALSE) &gt;= ('20Trips'!#REF!+VLOOKUP(VLOOKUP($B128,'20Trips'!$A$2:$I$22,4,FALSE),'20Trips'!$AB$46:$AH$50,7,FALSE))/1440),1,0)</f>
        <v>#N/A</v>
      </c>
      <c r="L128" s="2" t="e">
        <f>IF(AND(VLOOKUP(L$1,'20Trips'!$A$3:$F$22,5,FALSE) - VLOOKUP($B128,'20Trips'!$A$3:$G$22,6,FALSE) &gt;= ('20Trips'!#REF!+VLOOKUP(VLOOKUP($B128,'20Trips'!$A$2:$I$22,4,FALSE),'20Trips'!$AB$46:$AH$50,7,FALSE))/1440),1,0)</f>
        <v>#REF!</v>
      </c>
      <c r="M128" s="2" t="e">
        <f>IF(AND(VLOOKUP(M$1,'20Trips'!$A$3:$F$22,5,FALSE) - VLOOKUP($B128,'20Trips'!$A$3:$G$22,6,FALSE) &gt;= ('20Trips'!#REF!+VLOOKUP(VLOOKUP($B128,'20Trips'!$A$2:$I$22,4,FALSE),'20Trips'!$AB$46:$AH$50,7,FALSE))/1440),1,0)</f>
        <v>#REF!</v>
      </c>
      <c r="N128" s="2" t="e">
        <f>IF(AND(VLOOKUP(N$1,'20Trips'!$A$3:$F$22,5,FALSE) - VLOOKUP($B128,'20Trips'!$A$3:$G$22,6,FALSE) &gt;= ('20Trips'!#REF!+VLOOKUP(VLOOKUP($B128,'20Trips'!$A$2:$I$22,4,FALSE),'20Trips'!$AB$46:$AH$50,7,FALSE))/1440),1,0)</f>
        <v>#REF!</v>
      </c>
      <c r="O128" s="2" t="e">
        <f>IF(AND(VLOOKUP(O$1,'20Trips'!$A$3:$F$22,5,FALSE) - VLOOKUP($B128,'20Trips'!$A$3:$G$22,6,FALSE) &gt;= ('20Trips'!#REF!+VLOOKUP(VLOOKUP($B128,'20Trips'!$A$2:$I$22,4,FALSE),'20Trips'!$AB$46:$AH$50,7,FALSE))/1440),1,0)</f>
        <v>#REF!</v>
      </c>
      <c r="P128" s="2" t="e">
        <f>IF(AND(VLOOKUP(P$1,'20Trips'!$A$3:$F$22,5,FALSE) - VLOOKUP($B128,'20Trips'!$A$3:$G$22,6,FALSE) &gt;= ('20Trips'!#REF!+VLOOKUP(VLOOKUP($B128,'20Trips'!$A$2:$I$22,4,FALSE),'20Trips'!$AB$46:$AH$50,7,FALSE))/1440),1,0)</f>
        <v>#REF!</v>
      </c>
      <c r="Q128" s="2" t="e">
        <f>IF(AND(VLOOKUP(Q$1,'20Trips'!$A$3:$F$22,5,FALSE) - VLOOKUP($B128,'20Trips'!$A$3:$G$22,6,FALSE) &gt;= ('20Trips'!#REF!+VLOOKUP(VLOOKUP($B128,'20Trips'!$A$2:$I$22,4,FALSE),'20Trips'!$AB$46:$AH$50,7,FALSE))/1440),1,0)</f>
        <v>#N/A</v>
      </c>
      <c r="R128" s="2" t="e">
        <f>IF(AND(VLOOKUP(R$1,'20Trips'!$A$3:$F$22,5,FALSE) - VLOOKUP($B128,'20Trips'!$A$3:$G$22,6,FALSE) &gt;= ('20Trips'!#REF!+VLOOKUP(VLOOKUP($B128,'20Trips'!$A$2:$I$22,4,FALSE),'20Trips'!$AB$46:$AH$50,7,FALSE))/1440),1,0)</f>
        <v>#REF!</v>
      </c>
      <c r="S128" s="2" t="e">
        <f>IF(AND(VLOOKUP(S$1,'20Trips'!$A$3:$F$22,5,FALSE) - VLOOKUP($B128,'20Trips'!$A$3:$G$22,6,FALSE) &gt;= ('20Trips'!#REF!+VLOOKUP(VLOOKUP($B128,'20Trips'!$A$2:$I$22,4,FALSE),'20Trips'!$AB$46:$AH$50,7,FALSE))/1440),1,0)</f>
        <v>#REF!</v>
      </c>
      <c r="T128" s="2" t="e">
        <f>IF(AND(VLOOKUP(T$1,'20Trips'!$A$3:$F$22,5,FALSE) - VLOOKUP($B128,'20Trips'!$A$3:$G$22,6,FALSE) &gt;= ('20Trips'!#REF!+VLOOKUP(VLOOKUP($B128,'20Trips'!$A$2:$I$22,4,FALSE),'20Trips'!$AB$46:$AH$50,7,FALSE))/1440),1,0)</f>
        <v>#REF!</v>
      </c>
      <c r="U128" s="2" t="e">
        <f>IF(AND(VLOOKUP(U$1,'20Trips'!$A$3:$F$22,5,FALSE) - VLOOKUP($B128,'20Trips'!$A$3:$G$22,6,FALSE) &gt;= ('20Trips'!#REF!+VLOOKUP(VLOOKUP($B128,'20Trips'!$A$2:$I$22,4,FALSE),'20Trips'!$AB$46:$AH$50,7,FALSE))/1440),1,0)</f>
        <v>#REF!</v>
      </c>
      <c r="V128" s="2" t="e">
        <f>IF(AND(VLOOKUP(V$1,'20Trips'!$A$3:$F$22,5,FALSE) - VLOOKUP($B128,'20Trips'!$A$3:$G$22,6,FALSE) &gt;= ('20Trips'!#REF!+VLOOKUP(VLOOKUP($B128,'20Trips'!$A$2:$I$22,4,FALSE),'20Trips'!$AB$46:$AH$50,7,FALSE))/1440),1,0)</f>
        <v>#REF!</v>
      </c>
      <c r="W128" s="2" t="e">
        <f>IF(AND(VLOOKUP(W$1,'20Trips'!$A$3:$F$22,5,FALSE) - VLOOKUP($B128,'20Trips'!$A$3:$G$22,6,FALSE) &gt;= ('20Trips'!#REF!+VLOOKUP(VLOOKUP($B128,'20Trips'!$A$2:$I$22,4,FALSE),'20Trips'!$AB$46:$AH$50,7,FALSE))/1440),1,0)</f>
        <v>#N/A</v>
      </c>
      <c r="X128" s="2" t="e">
        <f>IF(AND(VLOOKUP(X$1,'20Trips'!$A$3:$F$22,5,FALSE) - VLOOKUP($B128,'20Trips'!$A$3:$G$22,6,FALSE) &gt;= ('20Trips'!#REF!+VLOOKUP(VLOOKUP($B128,'20Trips'!$A$2:$I$22,4,FALSE),'20Trips'!$AB$46:$AH$50,7,FALSE))/1440),1,0)</f>
        <v>#N/A</v>
      </c>
      <c r="Y128" s="2" t="e">
        <f>IF(AND(VLOOKUP(Y$1,'20Trips'!$A$3:$F$22,5,FALSE) - VLOOKUP($B128,'20Trips'!$A$3:$G$22,6,FALSE) &gt;= ('20Trips'!#REF!+VLOOKUP(VLOOKUP($B128,'20Trips'!$A$2:$I$22,4,FALSE),'20Trips'!$AB$46:$AH$50,7,FALSE))/1440),1,0)</f>
        <v>#N/A</v>
      </c>
      <c r="Z128" s="2" t="e">
        <f>IF(AND(VLOOKUP(Z$1,'20Trips'!$A$3:$F$22,5,FALSE) - VLOOKUP($B128,'20Trips'!$A$3:$G$22,6,FALSE) &gt;= ('20Trips'!#REF!+VLOOKUP(VLOOKUP($B128,'20Trips'!$A$2:$I$22,4,FALSE),'20Trips'!$AB$46:$AH$50,7,FALSE))/1440),1,0)</f>
        <v>#REF!</v>
      </c>
      <c r="AA128" s="2" t="e">
        <f>IF(AND(VLOOKUP(AA$1,'20Trips'!$A$3:$F$22,5,FALSE) - VLOOKUP($B128,'20Trips'!$A$3:$G$22,6,FALSE) &gt;= ('20Trips'!#REF!+VLOOKUP(VLOOKUP($B128,'20Trips'!$A$2:$I$22,4,FALSE),'20Trips'!$AB$46:$AH$50,7,FALSE))/1440),1,0)</f>
        <v>#REF!</v>
      </c>
      <c r="AB128" s="2" t="e">
        <f>IF(AND(VLOOKUP(AB$1,'20Trips'!$A$3:$F$22,5,FALSE) - VLOOKUP($B128,'20Trips'!$A$3:$G$22,6,FALSE) &gt;= ('20Trips'!#REF!+VLOOKUP(VLOOKUP($B128,'20Trips'!$A$2:$I$22,4,FALSE),'20Trips'!$AB$46:$AH$50,7,FALSE))/1440),1,0)</f>
        <v>#REF!</v>
      </c>
      <c r="AC128" s="2" t="e">
        <f>IF(AND(VLOOKUP(AC$1,'20Trips'!$A$3:$F$22,5,FALSE) - VLOOKUP($B128,'20Trips'!$A$3:$G$22,6,FALSE) &gt;= ('20Trips'!#REF!+VLOOKUP(VLOOKUP($B128,'20Trips'!$A$2:$I$22,4,FALSE),'20Trips'!$AB$46:$AH$50,7,FALSE))/1440),1,0)</f>
        <v>#REF!</v>
      </c>
      <c r="AD128" s="2" t="e">
        <f>IF(AND(VLOOKUP(AD$1,'20Trips'!$A$3:$F$22,5,FALSE) - VLOOKUP($B128,'20Trips'!$A$3:$G$22,6,FALSE) &gt;= ('20Trips'!#REF!+VLOOKUP(VLOOKUP($B128,'20Trips'!$A$2:$I$22,4,FALSE),'20Trips'!$AB$46:$AH$50,7,FALSE))/1440),1,0)</f>
        <v>#REF!</v>
      </c>
      <c r="AE128" s="2" t="e">
        <f>IF(AND(VLOOKUP(AE$1,'20Trips'!$A$3:$F$22,5,FALSE) - VLOOKUP($B128,'20Trips'!$A$3:$G$22,6,FALSE) &gt;= ('20Trips'!#REF!+VLOOKUP(VLOOKUP($B128,'20Trips'!$A$2:$I$22,4,FALSE),'20Trips'!$AB$46:$AH$50,7,FALSE))/1440),1,0)</f>
        <v>#N/A</v>
      </c>
      <c r="AF128" s="2" t="e">
        <f>IF(AND(VLOOKUP(AF$1,'20Trips'!$A$3:$F$22,5,FALSE) - VLOOKUP($B128,'20Trips'!$A$3:$G$22,6,FALSE) &gt;= ('20Trips'!#REF!+VLOOKUP(VLOOKUP($B128,'20Trips'!$A$2:$I$22,4,FALSE),'20Trips'!$AB$46:$AH$50,7,FALSE))/1440),1,0)</f>
        <v>#N/A</v>
      </c>
      <c r="AG128" s="2" t="e">
        <f>IF(AND(VLOOKUP(AG$1,'20Trips'!$A$3:$F$22,5,FALSE) - VLOOKUP($B128,'20Trips'!$A$3:$G$22,6,FALSE) &gt;= ('20Trips'!#REF!+VLOOKUP(VLOOKUP($B128,'20Trips'!$A$2:$I$22,4,FALSE),'20Trips'!$AB$46:$AH$50,7,FALSE))/1440),1,0)</f>
        <v>#N/A</v>
      </c>
    </row>
    <row r="129" spans="1:33" x14ac:dyDescent="0.25">
      <c r="A129" t="s">
        <v>69</v>
      </c>
      <c r="B129" t="s">
        <v>10</v>
      </c>
      <c r="C129">
        <v>0</v>
      </c>
      <c r="D129" s="2" t="e">
        <f>IF(AND(VLOOKUP(D$1,'20Trips'!$A$3:$F$22,5,FALSE) - VLOOKUP($B129,'20Trips'!$A$3:$G$22,6,FALSE) &gt;= ('20Trips'!#REF!+VLOOKUP(VLOOKUP($B129,'20Trips'!$A$2:$I$22,4,FALSE),'20Trips'!$AB$46:$AH$50,7,FALSE))/1440),1,0)</f>
        <v>#REF!</v>
      </c>
      <c r="E129" s="2" t="e">
        <f>IF(AND(VLOOKUP(E$1,'20Trips'!$A$3:$F$22,5,FALSE) - VLOOKUP($B129,'20Trips'!$A$3:$G$22,6,FALSE) &gt;= ('20Trips'!#REF!+VLOOKUP(VLOOKUP($B129,'20Trips'!$A$2:$I$22,4,FALSE),'20Trips'!$AB$46:$AH$50,7,FALSE))/1440),1,0)</f>
        <v>#REF!</v>
      </c>
      <c r="F129" s="2" t="e">
        <f>IF(AND(VLOOKUP(F$1,'20Trips'!$A$3:$F$22,5,FALSE) - VLOOKUP($B129,'20Trips'!$A$3:$G$22,6,FALSE) &gt;= ('20Trips'!#REF!+VLOOKUP(VLOOKUP($B129,'20Trips'!$A$2:$I$22,4,FALSE),'20Trips'!$AB$46:$AH$50,7,FALSE))/1440),1,0)</f>
        <v>#REF!</v>
      </c>
      <c r="G129" s="2" t="e">
        <f>IF(AND(VLOOKUP(G$1,'20Trips'!$A$3:$F$22,5,FALSE) - VLOOKUP($B129,'20Trips'!$A$3:$G$22,6,FALSE) &gt;= ('20Trips'!#REF!+VLOOKUP(VLOOKUP($B129,'20Trips'!$A$2:$I$22,4,FALSE),'20Trips'!$AB$46:$AH$50,7,FALSE))/1440),1,0)</f>
        <v>#REF!</v>
      </c>
      <c r="H129" s="2" t="e">
        <f>IF(AND(VLOOKUP(H$1,'20Trips'!$A$3:$F$22,5,FALSE) - VLOOKUP($B129,'20Trips'!$A$3:$G$22,6,FALSE) &gt;= ('20Trips'!#REF!+VLOOKUP(VLOOKUP($B129,'20Trips'!$A$2:$I$22,4,FALSE),'20Trips'!$AB$46:$AH$50,7,FALSE))/1440),1,0)</f>
        <v>#REF!</v>
      </c>
      <c r="I129" s="2" t="e">
        <f>IF(AND(VLOOKUP(I$1,'20Trips'!$A$3:$F$22,5,FALSE) - VLOOKUP($B129,'20Trips'!$A$3:$G$22,6,FALSE) &gt;= ('20Trips'!#REF!+VLOOKUP(VLOOKUP($B129,'20Trips'!$A$2:$I$22,4,FALSE),'20Trips'!$AB$46:$AH$50,7,FALSE))/1440),1,0)</f>
        <v>#N/A</v>
      </c>
      <c r="J129" s="2" t="e">
        <f>IF(AND(VLOOKUP(J$1,'20Trips'!$A$3:$F$22,5,FALSE) - VLOOKUP($B129,'20Trips'!$A$3:$G$22,6,FALSE) &gt;= ('20Trips'!#REF!+VLOOKUP(VLOOKUP($B129,'20Trips'!$A$2:$I$22,4,FALSE),'20Trips'!$AB$46:$AH$50,7,FALSE))/1440),1,0)</f>
        <v>#N/A</v>
      </c>
      <c r="K129" s="2" t="e">
        <f>IF(AND(VLOOKUP(K$1,'20Trips'!$A$3:$F$22,5,FALSE) - VLOOKUP($B129,'20Trips'!$A$3:$G$22,6,FALSE) &gt;= ('20Trips'!#REF!+VLOOKUP(VLOOKUP($B129,'20Trips'!$A$2:$I$22,4,FALSE),'20Trips'!$AB$46:$AH$50,7,FALSE))/1440),1,0)</f>
        <v>#N/A</v>
      </c>
      <c r="L129" s="2" t="e">
        <f>IF(AND(VLOOKUP(L$1,'20Trips'!$A$3:$F$22,5,FALSE) - VLOOKUP($B129,'20Trips'!$A$3:$G$22,6,FALSE) &gt;= ('20Trips'!#REF!+VLOOKUP(VLOOKUP($B129,'20Trips'!$A$2:$I$22,4,FALSE),'20Trips'!$AB$46:$AH$50,7,FALSE))/1440),1,0)</f>
        <v>#REF!</v>
      </c>
      <c r="M129" s="2" t="e">
        <f>IF(AND(VLOOKUP(M$1,'20Trips'!$A$3:$F$22,5,FALSE) - VLOOKUP($B129,'20Trips'!$A$3:$G$22,6,FALSE) &gt;= ('20Trips'!#REF!+VLOOKUP(VLOOKUP($B129,'20Trips'!$A$2:$I$22,4,FALSE),'20Trips'!$AB$46:$AH$50,7,FALSE))/1440),1,0)</f>
        <v>#REF!</v>
      </c>
      <c r="N129" s="2" t="e">
        <f>IF(AND(VLOOKUP(N$1,'20Trips'!$A$3:$F$22,5,FALSE) - VLOOKUP($B129,'20Trips'!$A$3:$G$22,6,FALSE) &gt;= ('20Trips'!#REF!+VLOOKUP(VLOOKUP($B129,'20Trips'!$A$2:$I$22,4,FALSE),'20Trips'!$AB$46:$AH$50,7,FALSE))/1440),1,0)</f>
        <v>#REF!</v>
      </c>
      <c r="O129" s="2" t="e">
        <f>IF(AND(VLOOKUP(O$1,'20Trips'!$A$3:$F$22,5,FALSE) - VLOOKUP($B129,'20Trips'!$A$3:$G$22,6,FALSE) &gt;= ('20Trips'!#REF!+VLOOKUP(VLOOKUP($B129,'20Trips'!$A$2:$I$22,4,FALSE),'20Trips'!$AB$46:$AH$50,7,FALSE))/1440),1,0)</f>
        <v>#REF!</v>
      </c>
      <c r="P129" s="2" t="e">
        <f>IF(AND(VLOOKUP(P$1,'20Trips'!$A$3:$F$22,5,FALSE) - VLOOKUP($B129,'20Trips'!$A$3:$G$22,6,FALSE) &gt;= ('20Trips'!#REF!+VLOOKUP(VLOOKUP($B129,'20Trips'!$A$2:$I$22,4,FALSE),'20Trips'!$AB$46:$AH$50,7,FALSE))/1440),1,0)</f>
        <v>#REF!</v>
      </c>
      <c r="Q129" s="2" t="e">
        <f>IF(AND(VLOOKUP(Q$1,'20Trips'!$A$3:$F$22,5,FALSE) - VLOOKUP($B129,'20Trips'!$A$3:$G$22,6,FALSE) &gt;= ('20Trips'!#REF!+VLOOKUP(VLOOKUP($B129,'20Trips'!$A$2:$I$22,4,FALSE),'20Trips'!$AB$46:$AH$50,7,FALSE))/1440),1,0)</f>
        <v>#N/A</v>
      </c>
      <c r="R129" s="2" t="e">
        <f>IF(AND(VLOOKUP(R$1,'20Trips'!$A$3:$F$22,5,FALSE) - VLOOKUP($B129,'20Trips'!$A$3:$G$22,6,FALSE) &gt;= ('20Trips'!#REF!+VLOOKUP(VLOOKUP($B129,'20Trips'!$A$2:$I$22,4,FALSE),'20Trips'!$AB$46:$AH$50,7,FALSE))/1440),1,0)</f>
        <v>#REF!</v>
      </c>
      <c r="S129" s="2" t="e">
        <f>IF(AND(VLOOKUP(S$1,'20Trips'!$A$3:$F$22,5,FALSE) - VLOOKUP($B129,'20Trips'!$A$3:$G$22,6,FALSE) &gt;= ('20Trips'!#REF!+VLOOKUP(VLOOKUP($B129,'20Trips'!$A$2:$I$22,4,FALSE),'20Trips'!$AB$46:$AH$50,7,FALSE))/1440),1,0)</f>
        <v>#REF!</v>
      </c>
      <c r="T129" s="2" t="e">
        <f>IF(AND(VLOOKUP(T$1,'20Trips'!$A$3:$F$22,5,FALSE) - VLOOKUP($B129,'20Trips'!$A$3:$G$22,6,FALSE) &gt;= ('20Trips'!#REF!+VLOOKUP(VLOOKUP($B129,'20Trips'!$A$2:$I$22,4,FALSE),'20Trips'!$AB$46:$AH$50,7,FALSE))/1440),1,0)</f>
        <v>#REF!</v>
      </c>
      <c r="U129" s="2" t="e">
        <f>IF(AND(VLOOKUP(U$1,'20Trips'!$A$3:$F$22,5,FALSE) - VLOOKUP($B129,'20Trips'!$A$3:$G$22,6,FALSE) &gt;= ('20Trips'!#REF!+VLOOKUP(VLOOKUP($B129,'20Trips'!$A$2:$I$22,4,FALSE),'20Trips'!$AB$46:$AH$50,7,FALSE))/1440),1,0)</f>
        <v>#REF!</v>
      </c>
      <c r="V129" s="2" t="e">
        <f>IF(AND(VLOOKUP(V$1,'20Trips'!$A$3:$F$22,5,FALSE) - VLOOKUP($B129,'20Trips'!$A$3:$G$22,6,FALSE) &gt;= ('20Trips'!#REF!+VLOOKUP(VLOOKUP($B129,'20Trips'!$A$2:$I$22,4,FALSE),'20Trips'!$AB$46:$AH$50,7,FALSE))/1440),1,0)</f>
        <v>#REF!</v>
      </c>
      <c r="W129" s="2" t="e">
        <f>IF(AND(VLOOKUP(W$1,'20Trips'!$A$3:$F$22,5,FALSE) - VLOOKUP($B129,'20Trips'!$A$3:$G$22,6,FALSE) &gt;= ('20Trips'!#REF!+VLOOKUP(VLOOKUP($B129,'20Trips'!$A$2:$I$22,4,FALSE),'20Trips'!$AB$46:$AH$50,7,FALSE))/1440),1,0)</f>
        <v>#N/A</v>
      </c>
      <c r="X129" s="2" t="e">
        <f>IF(AND(VLOOKUP(X$1,'20Trips'!$A$3:$F$22,5,FALSE) - VLOOKUP($B129,'20Trips'!$A$3:$G$22,6,FALSE) &gt;= ('20Trips'!#REF!+VLOOKUP(VLOOKUP($B129,'20Trips'!$A$2:$I$22,4,FALSE),'20Trips'!$AB$46:$AH$50,7,FALSE))/1440),1,0)</f>
        <v>#N/A</v>
      </c>
      <c r="Y129" s="2" t="e">
        <f>IF(AND(VLOOKUP(Y$1,'20Trips'!$A$3:$F$22,5,FALSE) - VLOOKUP($B129,'20Trips'!$A$3:$G$22,6,FALSE) &gt;= ('20Trips'!#REF!+VLOOKUP(VLOOKUP($B129,'20Trips'!$A$2:$I$22,4,FALSE),'20Trips'!$AB$46:$AH$50,7,FALSE))/1440),1,0)</f>
        <v>#N/A</v>
      </c>
      <c r="Z129" s="2" t="e">
        <f>IF(AND(VLOOKUP(Z$1,'20Trips'!$A$3:$F$22,5,FALSE) - VLOOKUP($B129,'20Trips'!$A$3:$G$22,6,FALSE) &gt;= ('20Trips'!#REF!+VLOOKUP(VLOOKUP($B129,'20Trips'!$A$2:$I$22,4,FALSE),'20Trips'!$AB$46:$AH$50,7,FALSE))/1440),1,0)</f>
        <v>#REF!</v>
      </c>
      <c r="AA129" s="2" t="e">
        <f>IF(AND(VLOOKUP(AA$1,'20Trips'!$A$3:$F$22,5,FALSE) - VLOOKUP($B129,'20Trips'!$A$3:$G$22,6,FALSE) &gt;= ('20Trips'!#REF!+VLOOKUP(VLOOKUP($B129,'20Trips'!$A$2:$I$22,4,FALSE),'20Trips'!$AB$46:$AH$50,7,FALSE))/1440),1,0)</f>
        <v>#REF!</v>
      </c>
      <c r="AB129" s="2" t="e">
        <f>IF(AND(VLOOKUP(AB$1,'20Trips'!$A$3:$F$22,5,FALSE) - VLOOKUP($B129,'20Trips'!$A$3:$G$22,6,FALSE) &gt;= ('20Trips'!#REF!+VLOOKUP(VLOOKUP($B129,'20Trips'!$A$2:$I$22,4,FALSE),'20Trips'!$AB$46:$AH$50,7,FALSE))/1440),1,0)</f>
        <v>#REF!</v>
      </c>
      <c r="AC129" s="2" t="e">
        <f>IF(AND(VLOOKUP(AC$1,'20Trips'!$A$3:$F$22,5,FALSE) - VLOOKUP($B129,'20Trips'!$A$3:$G$22,6,FALSE) &gt;= ('20Trips'!#REF!+VLOOKUP(VLOOKUP($B129,'20Trips'!$A$2:$I$22,4,FALSE),'20Trips'!$AB$46:$AH$50,7,FALSE))/1440),1,0)</f>
        <v>#REF!</v>
      </c>
      <c r="AD129" s="2" t="e">
        <f>IF(AND(VLOOKUP(AD$1,'20Trips'!$A$3:$F$22,5,FALSE) - VLOOKUP($B129,'20Trips'!$A$3:$G$22,6,FALSE) &gt;= ('20Trips'!#REF!+VLOOKUP(VLOOKUP($B129,'20Trips'!$A$2:$I$22,4,FALSE),'20Trips'!$AB$46:$AH$50,7,FALSE))/1440),1,0)</f>
        <v>#REF!</v>
      </c>
      <c r="AE129" s="2" t="e">
        <f>IF(AND(VLOOKUP(AE$1,'20Trips'!$A$3:$F$22,5,FALSE) - VLOOKUP($B129,'20Trips'!$A$3:$G$22,6,FALSE) &gt;= ('20Trips'!#REF!+VLOOKUP(VLOOKUP($B129,'20Trips'!$A$2:$I$22,4,FALSE),'20Trips'!$AB$46:$AH$50,7,FALSE))/1440),1,0)</f>
        <v>#N/A</v>
      </c>
      <c r="AF129" s="2" t="e">
        <f>IF(AND(VLOOKUP(AF$1,'20Trips'!$A$3:$F$22,5,FALSE) - VLOOKUP($B129,'20Trips'!$A$3:$G$22,6,FALSE) &gt;= ('20Trips'!#REF!+VLOOKUP(VLOOKUP($B129,'20Trips'!$A$2:$I$22,4,FALSE),'20Trips'!$AB$46:$AH$50,7,FALSE))/1440),1,0)</f>
        <v>#N/A</v>
      </c>
      <c r="AG129" s="2" t="e">
        <f>IF(AND(VLOOKUP(AG$1,'20Trips'!$A$3:$F$22,5,FALSE) - VLOOKUP($B129,'20Trips'!$A$3:$G$22,6,FALSE) &gt;= ('20Trips'!#REF!+VLOOKUP(VLOOKUP($B129,'20Trips'!$A$2:$I$22,4,FALSE),'20Trips'!$AB$46:$AH$50,7,FALSE))/1440),1,0)</f>
        <v>#N/A</v>
      </c>
    </row>
    <row r="130" spans="1:33" x14ac:dyDescent="0.25">
      <c r="A130" t="s">
        <v>69</v>
      </c>
      <c r="B130" t="s">
        <v>11</v>
      </c>
      <c r="C130">
        <v>0</v>
      </c>
      <c r="D130" s="2" t="e">
        <f>IF(AND(VLOOKUP(D$1,'20Trips'!$A$3:$F$22,5,FALSE) - VLOOKUP($B130,'20Trips'!$A$3:$G$22,6,FALSE) &gt;= ('20Trips'!#REF!+VLOOKUP(VLOOKUP($B130,'20Trips'!$A$2:$I$22,4,FALSE),'20Trips'!$AB$46:$AH$50,7,FALSE))/1440),1,0)</f>
        <v>#REF!</v>
      </c>
      <c r="E130" s="2" t="e">
        <f>IF(AND(VLOOKUP(E$1,'20Trips'!$A$3:$F$22,5,FALSE) - VLOOKUP($B130,'20Trips'!$A$3:$G$22,6,FALSE) &gt;= ('20Trips'!#REF!+VLOOKUP(VLOOKUP($B130,'20Trips'!$A$2:$I$22,4,FALSE),'20Trips'!$AB$46:$AH$50,7,FALSE))/1440),1,0)</f>
        <v>#REF!</v>
      </c>
      <c r="F130" s="2" t="e">
        <f>IF(AND(VLOOKUP(F$1,'20Trips'!$A$3:$F$22,5,FALSE) - VLOOKUP($B130,'20Trips'!$A$3:$G$22,6,FALSE) &gt;= ('20Trips'!#REF!+VLOOKUP(VLOOKUP($B130,'20Trips'!$A$2:$I$22,4,FALSE),'20Trips'!$AB$46:$AH$50,7,FALSE))/1440),1,0)</f>
        <v>#REF!</v>
      </c>
      <c r="G130" s="2" t="e">
        <f>IF(AND(VLOOKUP(G$1,'20Trips'!$A$3:$F$22,5,FALSE) - VLOOKUP($B130,'20Trips'!$A$3:$G$22,6,FALSE) &gt;= ('20Trips'!#REF!+VLOOKUP(VLOOKUP($B130,'20Trips'!$A$2:$I$22,4,FALSE),'20Trips'!$AB$46:$AH$50,7,FALSE))/1440),1,0)</f>
        <v>#REF!</v>
      </c>
      <c r="H130" s="2" t="e">
        <f>IF(AND(VLOOKUP(H$1,'20Trips'!$A$3:$F$22,5,FALSE) - VLOOKUP($B130,'20Trips'!$A$3:$G$22,6,FALSE) &gt;= ('20Trips'!#REF!+VLOOKUP(VLOOKUP($B130,'20Trips'!$A$2:$I$22,4,FALSE),'20Trips'!$AB$46:$AH$50,7,FALSE))/1440),1,0)</f>
        <v>#REF!</v>
      </c>
      <c r="I130" s="2" t="e">
        <f>IF(AND(VLOOKUP(I$1,'20Trips'!$A$3:$F$22,5,FALSE) - VLOOKUP($B130,'20Trips'!$A$3:$G$22,6,FALSE) &gt;= ('20Trips'!#REF!+VLOOKUP(VLOOKUP($B130,'20Trips'!$A$2:$I$22,4,FALSE),'20Trips'!$AB$46:$AH$50,7,FALSE))/1440),1,0)</f>
        <v>#N/A</v>
      </c>
      <c r="J130" s="2" t="e">
        <f>IF(AND(VLOOKUP(J$1,'20Trips'!$A$3:$F$22,5,FALSE) - VLOOKUP($B130,'20Trips'!$A$3:$G$22,6,FALSE) &gt;= ('20Trips'!#REF!+VLOOKUP(VLOOKUP($B130,'20Trips'!$A$2:$I$22,4,FALSE),'20Trips'!$AB$46:$AH$50,7,FALSE))/1440),1,0)</f>
        <v>#N/A</v>
      </c>
      <c r="K130" s="2" t="e">
        <f>IF(AND(VLOOKUP(K$1,'20Trips'!$A$3:$F$22,5,FALSE) - VLOOKUP($B130,'20Trips'!$A$3:$G$22,6,FALSE) &gt;= ('20Trips'!#REF!+VLOOKUP(VLOOKUP($B130,'20Trips'!$A$2:$I$22,4,FALSE),'20Trips'!$AB$46:$AH$50,7,FALSE))/1440),1,0)</f>
        <v>#N/A</v>
      </c>
      <c r="L130" s="2" t="e">
        <f>IF(AND(VLOOKUP(L$1,'20Trips'!$A$3:$F$22,5,FALSE) - VLOOKUP($B130,'20Trips'!$A$3:$G$22,6,FALSE) &gt;= ('20Trips'!#REF!+VLOOKUP(VLOOKUP($B130,'20Trips'!$A$2:$I$22,4,FALSE),'20Trips'!$AB$46:$AH$50,7,FALSE))/1440),1,0)</f>
        <v>#REF!</v>
      </c>
      <c r="M130" s="2" t="e">
        <f>IF(AND(VLOOKUP(M$1,'20Trips'!$A$3:$F$22,5,FALSE) - VLOOKUP($B130,'20Trips'!$A$3:$G$22,6,FALSE) &gt;= ('20Trips'!#REF!+VLOOKUP(VLOOKUP($B130,'20Trips'!$A$2:$I$22,4,FALSE),'20Trips'!$AB$46:$AH$50,7,FALSE))/1440),1,0)</f>
        <v>#REF!</v>
      </c>
      <c r="N130" s="2" t="e">
        <f>IF(AND(VLOOKUP(N$1,'20Trips'!$A$3:$F$22,5,FALSE) - VLOOKUP($B130,'20Trips'!$A$3:$G$22,6,FALSE) &gt;= ('20Trips'!#REF!+VLOOKUP(VLOOKUP($B130,'20Trips'!$A$2:$I$22,4,FALSE),'20Trips'!$AB$46:$AH$50,7,FALSE))/1440),1,0)</f>
        <v>#REF!</v>
      </c>
      <c r="O130" s="2" t="e">
        <f>IF(AND(VLOOKUP(O$1,'20Trips'!$A$3:$F$22,5,FALSE) - VLOOKUP($B130,'20Trips'!$A$3:$G$22,6,FALSE) &gt;= ('20Trips'!#REF!+VLOOKUP(VLOOKUP($B130,'20Trips'!$A$2:$I$22,4,FALSE),'20Trips'!$AB$46:$AH$50,7,FALSE))/1440),1,0)</f>
        <v>#REF!</v>
      </c>
      <c r="P130" s="2" t="e">
        <f>IF(AND(VLOOKUP(P$1,'20Trips'!$A$3:$F$22,5,FALSE) - VLOOKUP($B130,'20Trips'!$A$3:$G$22,6,FALSE) &gt;= ('20Trips'!#REF!+VLOOKUP(VLOOKUP($B130,'20Trips'!$A$2:$I$22,4,FALSE),'20Trips'!$AB$46:$AH$50,7,FALSE))/1440),1,0)</f>
        <v>#REF!</v>
      </c>
      <c r="Q130" s="2" t="e">
        <f>IF(AND(VLOOKUP(Q$1,'20Trips'!$A$3:$F$22,5,FALSE) - VLOOKUP($B130,'20Trips'!$A$3:$G$22,6,FALSE) &gt;= ('20Trips'!#REF!+VLOOKUP(VLOOKUP($B130,'20Trips'!$A$2:$I$22,4,FALSE),'20Trips'!$AB$46:$AH$50,7,FALSE))/1440),1,0)</f>
        <v>#N/A</v>
      </c>
      <c r="R130" s="2" t="e">
        <f>IF(AND(VLOOKUP(R$1,'20Trips'!$A$3:$F$22,5,FALSE) - VLOOKUP($B130,'20Trips'!$A$3:$G$22,6,FALSE) &gt;= ('20Trips'!#REF!+VLOOKUP(VLOOKUP($B130,'20Trips'!$A$2:$I$22,4,FALSE),'20Trips'!$AB$46:$AH$50,7,FALSE))/1440),1,0)</f>
        <v>#REF!</v>
      </c>
      <c r="S130" s="2" t="e">
        <f>IF(AND(VLOOKUP(S$1,'20Trips'!$A$3:$F$22,5,FALSE) - VLOOKUP($B130,'20Trips'!$A$3:$G$22,6,FALSE) &gt;= ('20Trips'!#REF!+VLOOKUP(VLOOKUP($B130,'20Trips'!$A$2:$I$22,4,FALSE),'20Trips'!$AB$46:$AH$50,7,FALSE))/1440),1,0)</f>
        <v>#REF!</v>
      </c>
      <c r="T130" s="2" t="e">
        <f>IF(AND(VLOOKUP(T$1,'20Trips'!$A$3:$F$22,5,FALSE) - VLOOKUP($B130,'20Trips'!$A$3:$G$22,6,FALSE) &gt;= ('20Trips'!#REF!+VLOOKUP(VLOOKUP($B130,'20Trips'!$A$2:$I$22,4,FALSE),'20Trips'!$AB$46:$AH$50,7,FALSE))/1440),1,0)</f>
        <v>#REF!</v>
      </c>
      <c r="U130" s="2" t="e">
        <f>IF(AND(VLOOKUP(U$1,'20Trips'!$A$3:$F$22,5,FALSE) - VLOOKUP($B130,'20Trips'!$A$3:$G$22,6,FALSE) &gt;= ('20Trips'!#REF!+VLOOKUP(VLOOKUP($B130,'20Trips'!$A$2:$I$22,4,FALSE),'20Trips'!$AB$46:$AH$50,7,FALSE))/1440),1,0)</f>
        <v>#REF!</v>
      </c>
      <c r="V130" s="2" t="e">
        <f>IF(AND(VLOOKUP(V$1,'20Trips'!$A$3:$F$22,5,FALSE) - VLOOKUP($B130,'20Trips'!$A$3:$G$22,6,FALSE) &gt;= ('20Trips'!#REF!+VLOOKUP(VLOOKUP($B130,'20Trips'!$A$2:$I$22,4,FALSE),'20Trips'!$AB$46:$AH$50,7,FALSE))/1440),1,0)</f>
        <v>#REF!</v>
      </c>
      <c r="W130" s="2" t="e">
        <f>IF(AND(VLOOKUP(W$1,'20Trips'!$A$3:$F$22,5,FALSE) - VLOOKUP($B130,'20Trips'!$A$3:$G$22,6,FALSE) &gt;= ('20Trips'!#REF!+VLOOKUP(VLOOKUP($B130,'20Trips'!$A$2:$I$22,4,FALSE),'20Trips'!$AB$46:$AH$50,7,FALSE))/1440),1,0)</f>
        <v>#N/A</v>
      </c>
      <c r="X130" s="2" t="e">
        <f>IF(AND(VLOOKUP(X$1,'20Trips'!$A$3:$F$22,5,FALSE) - VLOOKUP($B130,'20Trips'!$A$3:$G$22,6,FALSE) &gt;= ('20Trips'!#REF!+VLOOKUP(VLOOKUP($B130,'20Trips'!$A$2:$I$22,4,FALSE),'20Trips'!$AB$46:$AH$50,7,FALSE))/1440),1,0)</f>
        <v>#N/A</v>
      </c>
      <c r="Y130" s="2" t="e">
        <f>IF(AND(VLOOKUP(Y$1,'20Trips'!$A$3:$F$22,5,FALSE) - VLOOKUP($B130,'20Trips'!$A$3:$G$22,6,FALSE) &gt;= ('20Trips'!#REF!+VLOOKUP(VLOOKUP($B130,'20Trips'!$A$2:$I$22,4,FALSE),'20Trips'!$AB$46:$AH$50,7,FALSE))/1440),1,0)</f>
        <v>#N/A</v>
      </c>
      <c r="Z130" s="2" t="e">
        <f>IF(AND(VLOOKUP(Z$1,'20Trips'!$A$3:$F$22,5,FALSE) - VLOOKUP($B130,'20Trips'!$A$3:$G$22,6,FALSE) &gt;= ('20Trips'!#REF!+VLOOKUP(VLOOKUP($B130,'20Trips'!$A$2:$I$22,4,FALSE),'20Trips'!$AB$46:$AH$50,7,FALSE))/1440),1,0)</f>
        <v>#REF!</v>
      </c>
      <c r="AA130" s="2" t="e">
        <f>IF(AND(VLOOKUP(AA$1,'20Trips'!$A$3:$F$22,5,FALSE) - VLOOKUP($B130,'20Trips'!$A$3:$G$22,6,FALSE) &gt;= ('20Trips'!#REF!+VLOOKUP(VLOOKUP($B130,'20Trips'!$A$2:$I$22,4,FALSE),'20Trips'!$AB$46:$AH$50,7,FALSE))/1440),1,0)</f>
        <v>#REF!</v>
      </c>
      <c r="AB130" s="2" t="e">
        <f>IF(AND(VLOOKUP(AB$1,'20Trips'!$A$3:$F$22,5,FALSE) - VLOOKUP($B130,'20Trips'!$A$3:$G$22,6,FALSE) &gt;= ('20Trips'!#REF!+VLOOKUP(VLOOKUP($B130,'20Trips'!$A$2:$I$22,4,FALSE),'20Trips'!$AB$46:$AH$50,7,FALSE))/1440),1,0)</f>
        <v>#REF!</v>
      </c>
      <c r="AC130" s="2" t="e">
        <f>IF(AND(VLOOKUP(AC$1,'20Trips'!$A$3:$F$22,5,FALSE) - VLOOKUP($B130,'20Trips'!$A$3:$G$22,6,FALSE) &gt;= ('20Trips'!#REF!+VLOOKUP(VLOOKUP($B130,'20Trips'!$A$2:$I$22,4,FALSE),'20Trips'!$AB$46:$AH$50,7,FALSE))/1440),1,0)</f>
        <v>#REF!</v>
      </c>
      <c r="AD130" s="2" t="e">
        <f>IF(AND(VLOOKUP(AD$1,'20Trips'!$A$3:$F$22,5,FALSE) - VLOOKUP($B130,'20Trips'!$A$3:$G$22,6,FALSE) &gt;= ('20Trips'!#REF!+VLOOKUP(VLOOKUP($B130,'20Trips'!$A$2:$I$22,4,FALSE),'20Trips'!$AB$46:$AH$50,7,FALSE))/1440),1,0)</f>
        <v>#REF!</v>
      </c>
      <c r="AE130" s="2" t="e">
        <f>IF(AND(VLOOKUP(AE$1,'20Trips'!$A$3:$F$22,5,FALSE) - VLOOKUP($B130,'20Trips'!$A$3:$G$22,6,FALSE) &gt;= ('20Trips'!#REF!+VLOOKUP(VLOOKUP($B130,'20Trips'!$A$2:$I$22,4,FALSE),'20Trips'!$AB$46:$AH$50,7,FALSE))/1440),1,0)</f>
        <v>#N/A</v>
      </c>
      <c r="AF130" s="2" t="e">
        <f>IF(AND(VLOOKUP(AF$1,'20Trips'!$A$3:$F$22,5,FALSE) - VLOOKUP($B130,'20Trips'!$A$3:$G$22,6,FALSE) &gt;= ('20Trips'!#REF!+VLOOKUP(VLOOKUP($B130,'20Trips'!$A$2:$I$22,4,FALSE),'20Trips'!$AB$46:$AH$50,7,FALSE))/1440),1,0)</f>
        <v>#N/A</v>
      </c>
      <c r="AG130" s="2" t="e">
        <f>IF(AND(VLOOKUP(AG$1,'20Trips'!$A$3:$F$22,5,FALSE) - VLOOKUP($B130,'20Trips'!$A$3:$G$22,6,FALSE) &gt;= ('20Trips'!#REF!+VLOOKUP(VLOOKUP($B130,'20Trips'!$A$2:$I$22,4,FALSE),'20Trips'!$AB$46:$AH$50,7,FALSE))/1440),1,0)</f>
        <v>#N/A</v>
      </c>
    </row>
    <row r="131" spans="1:33" x14ac:dyDescent="0.25">
      <c r="A131" t="s">
        <v>69</v>
      </c>
      <c r="B131" t="s">
        <v>12</v>
      </c>
      <c r="C131">
        <v>0</v>
      </c>
      <c r="D131" s="2" t="e">
        <f>IF(AND(VLOOKUP(D$1,'20Trips'!$A$3:$F$22,5,FALSE) - VLOOKUP($B131,'20Trips'!$A$3:$G$22,6,FALSE) &gt;= ('20Trips'!#REF!+VLOOKUP(VLOOKUP($B131,'20Trips'!$A$2:$I$22,4,FALSE),'20Trips'!$AB$46:$AH$50,7,FALSE))/1440),1,0)</f>
        <v>#REF!</v>
      </c>
      <c r="E131" s="2" t="e">
        <f>IF(AND(VLOOKUP(E$1,'20Trips'!$A$3:$F$22,5,FALSE) - VLOOKUP($B131,'20Trips'!$A$3:$G$22,6,FALSE) &gt;= ('20Trips'!#REF!+VLOOKUP(VLOOKUP($B131,'20Trips'!$A$2:$I$22,4,FALSE),'20Trips'!$AB$46:$AH$50,7,FALSE))/1440),1,0)</f>
        <v>#REF!</v>
      </c>
      <c r="F131" s="2" t="e">
        <f>IF(AND(VLOOKUP(F$1,'20Trips'!$A$3:$F$22,5,FALSE) - VLOOKUP($B131,'20Trips'!$A$3:$G$22,6,FALSE) &gt;= ('20Trips'!#REF!+VLOOKUP(VLOOKUP($B131,'20Trips'!$A$2:$I$22,4,FALSE),'20Trips'!$AB$46:$AH$50,7,FALSE))/1440),1,0)</f>
        <v>#REF!</v>
      </c>
      <c r="G131" s="2" t="e">
        <f>IF(AND(VLOOKUP(G$1,'20Trips'!$A$3:$F$22,5,FALSE) - VLOOKUP($B131,'20Trips'!$A$3:$G$22,6,FALSE) &gt;= ('20Trips'!#REF!+VLOOKUP(VLOOKUP($B131,'20Trips'!$A$2:$I$22,4,FALSE),'20Trips'!$AB$46:$AH$50,7,FALSE))/1440),1,0)</f>
        <v>#REF!</v>
      </c>
      <c r="H131" s="2" t="e">
        <f>IF(AND(VLOOKUP(H$1,'20Trips'!$A$3:$F$22,5,FALSE) - VLOOKUP($B131,'20Trips'!$A$3:$G$22,6,FALSE) &gt;= ('20Trips'!#REF!+VLOOKUP(VLOOKUP($B131,'20Trips'!$A$2:$I$22,4,FALSE),'20Trips'!$AB$46:$AH$50,7,FALSE))/1440),1,0)</f>
        <v>#REF!</v>
      </c>
      <c r="I131" s="2" t="e">
        <f>IF(AND(VLOOKUP(I$1,'20Trips'!$A$3:$F$22,5,FALSE) - VLOOKUP($B131,'20Trips'!$A$3:$G$22,6,FALSE) &gt;= ('20Trips'!#REF!+VLOOKUP(VLOOKUP($B131,'20Trips'!$A$2:$I$22,4,FALSE),'20Trips'!$AB$46:$AH$50,7,FALSE))/1440),1,0)</f>
        <v>#N/A</v>
      </c>
      <c r="J131" s="2" t="e">
        <f>IF(AND(VLOOKUP(J$1,'20Trips'!$A$3:$F$22,5,FALSE) - VLOOKUP($B131,'20Trips'!$A$3:$G$22,6,FALSE) &gt;= ('20Trips'!#REF!+VLOOKUP(VLOOKUP($B131,'20Trips'!$A$2:$I$22,4,FALSE),'20Trips'!$AB$46:$AH$50,7,FALSE))/1440),1,0)</f>
        <v>#N/A</v>
      </c>
      <c r="K131" s="2" t="e">
        <f>IF(AND(VLOOKUP(K$1,'20Trips'!$A$3:$F$22,5,FALSE) - VLOOKUP($B131,'20Trips'!$A$3:$G$22,6,FALSE) &gt;= ('20Trips'!#REF!+VLOOKUP(VLOOKUP($B131,'20Trips'!$A$2:$I$22,4,FALSE),'20Trips'!$AB$46:$AH$50,7,FALSE))/1440),1,0)</f>
        <v>#N/A</v>
      </c>
      <c r="L131" s="2" t="e">
        <f>IF(AND(VLOOKUP(L$1,'20Trips'!$A$3:$F$22,5,FALSE) - VLOOKUP($B131,'20Trips'!$A$3:$G$22,6,FALSE) &gt;= ('20Trips'!#REF!+VLOOKUP(VLOOKUP($B131,'20Trips'!$A$2:$I$22,4,FALSE),'20Trips'!$AB$46:$AH$50,7,FALSE))/1440),1,0)</f>
        <v>#REF!</v>
      </c>
      <c r="M131" s="2" t="e">
        <f>IF(AND(VLOOKUP(M$1,'20Trips'!$A$3:$F$22,5,FALSE) - VLOOKUP($B131,'20Trips'!$A$3:$G$22,6,FALSE) &gt;= ('20Trips'!#REF!+VLOOKUP(VLOOKUP($B131,'20Trips'!$A$2:$I$22,4,FALSE),'20Trips'!$AB$46:$AH$50,7,FALSE))/1440),1,0)</f>
        <v>#REF!</v>
      </c>
      <c r="N131" s="2" t="e">
        <f>IF(AND(VLOOKUP(N$1,'20Trips'!$A$3:$F$22,5,FALSE) - VLOOKUP($B131,'20Trips'!$A$3:$G$22,6,FALSE) &gt;= ('20Trips'!#REF!+VLOOKUP(VLOOKUP($B131,'20Trips'!$A$2:$I$22,4,FALSE),'20Trips'!$AB$46:$AH$50,7,FALSE))/1440),1,0)</f>
        <v>#REF!</v>
      </c>
      <c r="O131" s="2" t="e">
        <f>IF(AND(VLOOKUP(O$1,'20Trips'!$A$3:$F$22,5,FALSE) - VLOOKUP($B131,'20Trips'!$A$3:$G$22,6,FALSE) &gt;= ('20Trips'!#REF!+VLOOKUP(VLOOKUP($B131,'20Trips'!$A$2:$I$22,4,FALSE),'20Trips'!$AB$46:$AH$50,7,FALSE))/1440),1,0)</f>
        <v>#REF!</v>
      </c>
      <c r="P131" s="2" t="e">
        <f>IF(AND(VLOOKUP(P$1,'20Trips'!$A$3:$F$22,5,FALSE) - VLOOKUP($B131,'20Trips'!$A$3:$G$22,6,FALSE) &gt;= ('20Trips'!#REF!+VLOOKUP(VLOOKUP($B131,'20Trips'!$A$2:$I$22,4,FALSE),'20Trips'!$AB$46:$AH$50,7,FALSE))/1440),1,0)</f>
        <v>#REF!</v>
      </c>
      <c r="Q131" s="2" t="e">
        <f>IF(AND(VLOOKUP(Q$1,'20Trips'!$A$3:$F$22,5,FALSE) - VLOOKUP($B131,'20Trips'!$A$3:$G$22,6,FALSE) &gt;= ('20Trips'!#REF!+VLOOKUP(VLOOKUP($B131,'20Trips'!$A$2:$I$22,4,FALSE),'20Trips'!$AB$46:$AH$50,7,FALSE))/1440),1,0)</f>
        <v>#N/A</v>
      </c>
      <c r="R131" s="2" t="e">
        <f>IF(AND(VLOOKUP(R$1,'20Trips'!$A$3:$F$22,5,FALSE) - VLOOKUP($B131,'20Trips'!$A$3:$G$22,6,FALSE) &gt;= ('20Trips'!#REF!+VLOOKUP(VLOOKUP($B131,'20Trips'!$A$2:$I$22,4,FALSE),'20Trips'!$AB$46:$AH$50,7,FALSE))/1440),1,0)</f>
        <v>#REF!</v>
      </c>
      <c r="S131" s="2" t="e">
        <f>IF(AND(VLOOKUP(S$1,'20Trips'!$A$3:$F$22,5,FALSE) - VLOOKUP($B131,'20Trips'!$A$3:$G$22,6,FALSE) &gt;= ('20Trips'!#REF!+VLOOKUP(VLOOKUP($B131,'20Trips'!$A$2:$I$22,4,FALSE),'20Trips'!$AB$46:$AH$50,7,FALSE))/1440),1,0)</f>
        <v>#REF!</v>
      </c>
      <c r="T131" s="2" t="e">
        <f>IF(AND(VLOOKUP(T$1,'20Trips'!$A$3:$F$22,5,FALSE) - VLOOKUP($B131,'20Trips'!$A$3:$G$22,6,FALSE) &gt;= ('20Trips'!#REF!+VLOOKUP(VLOOKUP($B131,'20Trips'!$A$2:$I$22,4,FALSE),'20Trips'!$AB$46:$AH$50,7,FALSE))/1440),1,0)</f>
        <v>#REF!</v>
      </c>
      <c r="U131" s="2" t="e">
        <f>IF(AND(VLOOKUP(U$1,'20Trips'!$A$3:$F$22,5,FALSE) - VLOOKUP($B131,'20Trips'!$A$3:$G$22,6,FALSE) &gt;= ('20Trips'!#REF!+VLOOKUP(VLOOKUP($B131,'20Trips'!$A$2:$I$22,4,FALSE),'20Trips'!$AB$46:$AH$50,7,FALSE))/1440),1,0)</f>
        <v>#REF!</v>
      </c>
      <c r="V131" s="2" t="e">
        <f>IF(AND(VLOOKUP(V$1,'20Trips'!$A$3:$F$22,5,FALSE) - VLOOKUP($B131,'20Trips'!$A$3:$G$22,6,FALSE) &gt;= ('20Trips'!#REF!+VLOOKUP(VLOOKUP($B131,'20Trips'!$A$2:$I$22,4,FALSE),'20Trips'!$AB$46:$AH$50,7,FALSE))/1440),1,0)</f>
        <v>#REF!</v>
      </c>
      <c r="W131" s="2" t="e">
        <f>IF(AND(VLOOKUP(W$1,'20Trips'!$A$3:$F$22,5,FALSE) - VLOOKUP($B131,'20Trips'!$A$3:$G$22,6,FALSE) &gt;= ('20Trips'!#REF!+VLOOKUP(VLOOKUP($B131,'20Trips'!$A$2:$I$22,4,FALSE),'20Trips'!$AB$46:$AH$50,7,FALSE))/1440),1,0)</f>
        <v>#N/A</v>
      </c>
      <c r="X131" s="2" t="e">
        <f>IF(AND(VLOOKUP(X$1,'20Trips'!$A$3:$F$22,5,FALSE) - VLOOKUP($B131,'20Trips'!$A$3:$G$22,6,FALSE) &gt;= ('20Trips'!#REF!+VLOOKUP(VLOOKUP($B131,'20Trips'!$A$2:$I$22,4,FALSE),'20Trips'!$AB$46:$AH$50,7,FALSE))/1440),1,0)</f>
        <v>#N/A</v>
      </c>
      <c r="Y131" s="2" t="e">
        <f>IF(AND(VLOOKUP(Y$1,'20Trips'!$A$3:$F$22,5,FALSE) - VLOOKUP($B131,'20Trips'!$A$3:$G$22,6,FALSE) &gt;= ('20Trips'!#REF!+VLOOKUP(VLOOKUP($B131,'20Trips'!$A$2:$I$22,4,FALSE),'20Trips'!$AB$46:$AH$50,7,FALSE))/1440),1,0)</f>
        <v>#N/A</v>
      </c>
      <c r="Z131" s="2" t="e">
        <f>IF(AND(VLOOKUP(Z$1,'20Trips'!$A$3:$F$22,5,FALSE) - VLOOKUP($B131,'20Trips'!$A$3:$G$22,6,FALSE) &gt;= ('20Trips'!#REF!+VLOOKUP(VLOOKUP($B131,'20Trips'!$A$2:$I$22,4,FALSE),'20Trips'!$AB$46:$AH$50,7,FALSE))/1440),1,0)</f>
        <v>#REF!</v>
      </c>
      <c r="AA131" s="2" t="e">
        <f>IF(AND(VLOOKUP(AA$1,'20Trips'!$A$3:$F$22,5,FALSE) - VLOOKUP($B131,'20Trips'!$A$3:$G$22,6,FALSE) &gt;= ('20Trips'!#REF!+VLOOKUP(VLOOKUP($B131,'20Trips'!$A$2:$I$22,4,FALSE),'20Trips'!$AB$46:$AH$50,7,FALSE))/1440),1,0)</f>
        <v>#REF!</v>
      </c>
      <c r="AB131" s="2" t="e">
        <f>IF(AND(VLOOKUP(AB$1,'20Trips'!$A$3:$F$22,5,FALSE) - VLOOKUP($B131,'20Trips'!$A$3:$G$22,6,FALSE) &gt;= ('20Trips'!#REF!+VLOOKUP(VLOOKUP($B131,'20Trips'!$A$2:$I$22,4,FALSE),'20Trips'!$AB$46:$AH$50,7,FALSE))/1440),1,0)</f>
        <v>#REF!</v>
      </c>
      <c r="AC131" s="2" t="e">
        <f>IF(AND(VLOOKUP(AC$1,'20Trips'!$A$3:$F$22,5,FALSE) - VLOOKUP($B131,'20Trips'!$A$3:$G$22,6,FALSE) &gt;= ('20Trips'!#REF!+VLOOKUP(VLOOKUP($B131,'20Trips'!$A$2:$I$22,4,FALSE),'20Trips'!$AB$46:$AH$50,7,FALSE))/1440),1,0)</f>
        <v>#REF!</v>
      </c>
      <c r="AD131" s="2" t="e">
        <f>IF(AND(VLOOKUP(AD$1,'20Trips'!$A$3:$F$22,5,FALSE) - VLOOKUP($B131,'20Trips'!$A$3:$G$22,6,FALSE) &gt;= ('20Trips'!#REF!+VLOOKUP(VLOOKUP($B131,'20Trips'!$A$2:$I$22,4,FALSE),'20Trips'!$AB$46:$AH$50,7,FALSE))/1440),1,0)</f>
        <v>#REF!</v>
      </c>
      <c r="AE131" s="2" t="e">
        <f>IF(AND(VLOOKUP(AE$1,'20Trips'!$A$3:$F$22,5,FALSE) - VLOOKUP($B131,'20Trips'!$A$3:$G$22,6,FALSE) &gt;= ('20Trips'!#REF!+VLOOKUP(VLOOKUP($B131,'20Trips'!$A$2:$I$22,4,FALSE),'20Trips'!$AB$46:$AH$50,7,FALSE))/1440),1,0)</f>
        <v>#N/A</v>
      </c>
      <c r="AF131" s="2" t="e">
        <f>IF(AND(VLOOKUP(AF$1,'20Trips'!$A$3:$F$22,5,FALSE) - VLOOKUP($B131,'20Trips'!$A$3:$G$22,6,FALSE) &gt;= ('20Trips'!#REF!+VLOOKUP(VLOOKUP($B131,'20Trips'!$A$2:$I$22,4,FALSE),'20Trips'!$AB$46:$AH$50,7,FALSE))/1440),1,0)</f>
        <v>#N/A</v>
      </c>
      <c r="AG131" s="2" t="e">
        <f>IF(AND(VLOOKUP(AG$1,'20Trips'!$A$3:$F$22,5,FALSE) - VLOOKUP($B131,'20Trips'!$A$3:$G$22,6,FALSE) &gt;= ('20Trips'!#REF!+VLOOKUP(VLOOKUP($B131,'20Trips'!$A$2:$I$22,4,FALSE),'20Trips'!$AB$46:$AH$50,7,FALSE))/1440),1,0)</f>
        <v>#N/A</v>
      </c>
    </row>
    <row r="132" spans="1:33" x14ac:dyDescent="0.25">
      <c r="A132" t="s">
        <v>69</v>
      </c>
      <c r="B132" t="s">
        <v>13</v>
      </c>
      <c r="C132">
        <v>0</v>
      </c>
      <c r="D132" s="2" t="e">
        <f>IF(AND(VLOOKUP(D$1,'20Trips'!$A$3:$F$22,5,FALSE) - VLOOKUP($B132,'20Trips'!$A$3:$G$22,6,FALSE) &gt;= ('20Trips'!#REF!+VLOOKUP(VLOOKUP($B132,'20Trips'!$A$2:$I$22,4,FALSE),'20Trips'!$AB$46:$AH$50,7,FALSE))/1440),1,0)</f>
        <v>#N/A</v>
      </c>
      <c r="E132" s="2" t="e">
        <f>IF(AND(VLOOKUP(E$1,'20Trips'!$A$3:$F$22,5,FALSE) - VLOOKUP($B132,'20Trips'!$A$3:$G$22,6,FALSE) &gt;= ('20Trips'!#REF!+VLOOKUP(VLOOKUP($B132,'20Trips'!$A$2:$I$22,4,FALSE),'20Trips'!$AB$46:$AH$50,7,FALSE))/1440),1,0)</f>
        <v>#N/A</v>
      </c>
      <c r="F132" s="2" t="e">
        <f>IF(AND(VLOOKUP(F$1,'20Trips'!$A$3:$F$22,5,FALSE) - VLOOKUP($B132,'20Trips'!$A$3:$G$22,6,FALSE) &gt;= ('20Trips'!#REF!+VLOOKUP(VLOOKUP($B132,'20Trips'!$A$2:$I$22,4,FALSE),'20Trips'!$AB$46:$AH$50,7,FALSE))/1440),1,0)</f>
        <v>#N/A</v>
      </c>
      <c r="G132" s="2" t="e">
        <f>IF(AND(VLOOKUP(G$1,'20Trips'!$A$3:$F$22,5,FALSE) - VLOOKUP($B132,'20Trips'!$A$3:$G$22,6,FALSE) &gt;= ('20Trips'!#REF!+VLOOKUP(VLOOKUP($B132,'20Trips'!$A$2:$I$22,4,FALSE),'20Trips'!$AB$46:$AH$50,7,FALSE))/1440),1,0)</f>
        <v>#N/A</v>
      </c>
      <c r="H132" s="2" t="e">
        <f>IF(AND(VLOOKUP(H$1,'20Trips'!$A$3:$F$22,5,FALSE) - VLOOKUP($B132,'20Trips'!$A$3:$G$22,6,FALSE) &gt;= ('20Trips'!#REF!+VLOOKUP(VLOOKUP($B132,'20Trips'!$A$2:$I$22,4,FALSE),'20Trips'!$AB$46:$AH$50,7,FALSE))/1440),1,0)</f>
        <v>#N/A</v>
      </c>
      <c r="I132" s="2" t="e">
        <f>IF(AND(VLOOKUP(I$1,'20Trips'!$A$3:$F$22,5,FALSE) - VLOOKUP($B132,'20Trips'!$A$3:$G$22,6,FALSE) &gt;= ('20Trips'!#REF!+VLOOKUP(VLOOKUP($B132,'20Trips'!$A$2:$I$22,4,FALSE),'20Trips'!$AB$46:$AH$50,7,FALSE))/1440),1,0)</f>
        <v>#N/A</v>
      </c>
      <c r="J132" s="2" t="e">
        <f>IF(AND(VLOOKUP(J$1,'20Trips'!$A$3:$F$22,5,FALSE) - VLOOKUP($B132,'20Trips'!$A$3:$G$22,6,FALSE) &gt;= ('20Trips'!#REF!+VLOOKUP(VLOOKUP($B132,'20Trips'!$A$2:$I$22,4,FALSE),'20Trips'!$AB$46:$AH$50,7,FALSE))/1440),1,0)</f>
        <v>#N/A</v>
      </c>
      <c r="K132" s="2" t="e">
        <f>IF(AND(VLOOKUP(K$1,'20Trips'!$A$3:$F$22,5,FALSE) - VLOOKUP($B132,'20Trips'!$A$3:$G$22,6,FALSE) &gt;= ('20Trips'!#REF!+VLOOKUP(VLOOKUP($B132,'20Trips'!$A$2:$I$22,4,FALSE),'20Trips'!$AB$46:$AH$50,7,FALSE))/1440),1,0)</f>
        <v>#N/A</v>
      </c>
      <c r="L132" s="2" t="e">
        <f>IF(AND(VLOOKUP(L$1,'20Trips'!$A$3:$F$22,5,FALSE) - VLOOKUP($B132,'20Trips'!$A$3:$G$22,6,FALSE) &gt;= ('20Trips'!#REF!+VLOOKUP(VLOOKUP($B132,'20Trips'!$A$2:$I$22,4,FALSE),'20Trips'!$AB$46:$AH$50,7,FALSE))/1440),1,0)</f>
        <v>#N/A</v>
      </c>
      <c r="M132" s="2" t="e">
        <f>IF(AND(VLOOKUP(M$1,'20Trips'!$A$3:$F$22,5,FALSE) - VLOOKUP($B132,'20Trips'!$A$3:$G$22,6,FALSE) &gt;= ('20Trips'!#REF!+VLOOKUP(VLOOKUP($B132,'20Trips'!$A$2:$I$22,4,FALSE),'20Trips'!$AB$46:$AH$50,7,FALSE))/1440),1,0)</f>
        <v>#N/A</v>
      </c>
      <c r="N132" s="2" t="e">
        <f>IF(AND(VLOOKUP(N$1,'20Trips'!$A$3:$F$22,5,FALSE) - VLOOKUP($B132,'20Trips'!$A$3:$G$22,6,FALSE) &gt;= ('20Trips'!#REF!+VLOOKUP(VLOOKUP($B132,'20Trips'!$A$2:$I$22,4,FALSE),'20Trips'!$AB$46:$AH$50,7,FALSE))/1440),1,0)</f>
        <v>#N/A</v>
      </c>
      <c r="O132" s="2" t="e">
        <f>IF(AND(VLOOKUP(O$1,'20Trips'!$A$3:$F$22,5,FALSE) - VLOOKUP($B132,'20Trips'!$A$3:$G$22,6,FALSE) &gt;= ('20Trips'!#REF!+VLOOKUP(VLOOKUP($B132,'20Trips'!$A$2:$I$22,4,FALSE),'20Trips'!$AB$46:$AH$50,7,FALSE))/1440),1,0)</f>
        <v>#N/A</v>
      </c>
      <c r="P132" s="2" t="e">
        <f>IF(AND(VLOOKUP(P$1,'20Trips'!$A$3:$F$22,5,FALSE) - VLOOKUP($B132,'20Trips'!$A$3:$G$22,6,FALSE) &gt;= ('20Trips'!#REF!+VLOOKUP(VLOOKUP($B132,'20Trips'!$A$2:$I$22,4,FALSE),'20Trips'!$AB$46:$AH$50,7,FALSE))/1440),1,0)</f>
        <v>#N/A</v>
      </c>
      <c r="Q132" s="2" t="e">
        <f>IF(AND(VLOOKUP(Q$1,'20Trips'!$A$3:$F$22,5,FALSE) - VLOOKUP($B132,'20Trips'!$A$3:$G$22,6,FALSE) &gt;= ('20Trips'!#REF!+VLOOKUP(VLOOKUP($B132,'20Trips'!$A$2:$I$22,4,FALSE),'20Trips'!$AB$46:$AH$50,7,FALSE))/1440),1,0)</f>
        <v>#N/A</v>
      </c>
      <c r="R132" s="2" t="e">
        <f>IF(AND(VLOOKUP(R$1,'20Trips'!$A$3:$F$22,5,FALSE) - VLOOKUP($B132,'20Trips'!$A$3:$G$22,6,FALSE) &gt;= ('20Trips'!#REF!+VLOOKUP(VLOOKUP($B132,'20Trips'!$A$2:$I$22,4,FALSE),'20Trips'!$AB$46:$AH$50,7,FALSE))/1440),1,0)</f>
        <v>#N/A</v>
      </c>
      <c r="S132" s="2" t="e">
        <f>IF(AND(VLOOKUP(S$1,'20Trips'!$A$3:$F$22,5,FALSE) - VLOOKUP($B132,'20Trips'!$A$3:$G$22,6,FALSE) &gt;= ('20Trips'!#REF!+VLOOKUP(VLOOKUP($B132,'20Trips'!$A$2:$I$22,4,FALSE),'20Trips'!$AB$46:$AH$50,7,FALSE))/1440),1,0)</f>
        <v>#N/A</v>
      </c>
      <c r="T132" s="2" t="e">
        <f>IF(AND(VLOOKUP(T$1,'20Trips'!$A$3:$F$22,5,FALSE) - VLOOKUP($B132,'20Trips'!$A$3:$G$22,6,FALSE) &gt;= ('20Trips'!#REF!+VLOOKUP(VLOOKUP($B132,'20Trips'!$A$2:$I$22,4,FALSE),'20Trips'!$AB$46:$AH$50,7,FALSE))/1440),1,0)</f>
        <v>#N/A</v>
      </c>
      <c r="U132" s="2" t="e">
        <f>IF(AND(VLOOKUP(U$1,'20Trips'!$A$3:$F$22,5,FALSE) - VLOOKUP($B132,'20Trips'!$A$3:$G$22,6,FALSE) &gt;= ('20Trips'!#REF!+VLOOKUP(VLOOKUP($B132,'20Trips'!$A$2:$I$22,4,FALSE),'20Trips'!$AB$46:$AH$50,7,FALSE))/1440),1,0)</f>
        <v>#N/A</v>
      </c>
      <c r="V132" s="2" t="e">
        <f>IF(AND(VLOOKUP(V$1,'20Trips'!$A$3:$F$22,5,FALSE) - VLOOKUP($B132,'20Trips'!$A$3:$G$22,6,FALSE) &gt;= ('20Trips'!#REF!+VLOOKUP(VLOOKUP($B132,'20Trips'!$A$2:$I$22,4,FALSE),'20Trips'!$AB$46:$AH$50,7,FALSE))/1440),1,0)</f>
        <v>#N/A</v>
      </c>
      <c r="W132" s="2" t="e">
        <f>IF(AND(VLOOKUP(W$1,'20Trips'!$A$3:$F$22,5,FALSE) - VLOOKUP($B132,'20Trips'!$A$3:$G$22,6,FALSE) &gt;= ('20Trips'!#REF!+VLOOKUP(VLOOKUP($B132,'20Trips'!$A$2:$I$22,4,FALSE),'20Trips'!$AB$46:$AH$50,7,FALSE))/1440),1,0)</f>
        <v>#N/A</v>
      </c>
      <c r="X132" s="2" t="e">
        <f>IF(AND(VLOOKUP(X$1,'20Trips'!$A$3:$F$22,5,FALSE) - VLOOKUP($B132,'20Trips'!$A$3:$G$22,6,FALSE) &gt;= ('20Trips'!#REF!+VLOOKUP(VLOOKUP($B132,'20Trips'!$A$2:$I$22,4,FALSE),'20Trips'!$AB$46:$AH$50,7,FALSE))/1440),1,0)</f>
        <v>#N/A</v>
      </c>
      <c r="Y132" s="2" t="e">
        <f>IF(AND(VLOOKUP(Y$1,'20Trips'!$A$3:$F$22,5,FALSE) - VLOOKUP($B132,'20Trips'!$A$3:$G$22,6,FALSE) &gt;= ('20Trips'!#REF!+VLOOKUP(VLOOKUP($B132,'20Trips'!$A$2:$I$22,4,FALSE),'20Trips'!$AB$46:$AH$50,7,FALSE))/1440),1,0)</f>
        <v>#N/A</v>
      </c>
      <c r="Z132" s="2" t="e">
        <f>IF(AND(VLOOKUP(Z$1,'20Trips'!$A$3:$F$22,5,FALSE) - VLOOKUP($B132,'20Trips'!$A$3:$G$22,6,FALSE) &gt;= ('20Trips'!#REF!+VLOOKUP(VLOOKUP($B132,'20Trips'!$A$2:$I$22,4,FALSE),'20Trips'!$AB$46:$AH$50,7,FALSE))/1440),1,0)</f>
        <v>#N/A</v>
      </c>
      <c r="AA132" s="2" t="e">
        <f>IF(AND(VLOOKUP(AA$1,'20Trips'!$A$3:$F$22,5,FALSE) - VLOOKUP($B132,'20Trips'!$A$3:$G$22,6,FALSE) &gt;= ('20Trips'!#REF!+VLOOKUP(VLOOKUP($B132,'20Trips'!$A$2:$I$22,4,FALSE),'20Trips'!$AB$46:$AH$50,7,FALSE))/1440),1,0)</f>
        <v>#N/A</v>
      </c>
      <c r="AB132" s="2" t="e">
        <f>IF(AND(VLOOKUP(AB$1,'20Trips'!$A$3:$F$22,5,FALSE) - VLOOKUP($B132,'20Trips'!$A$3:$G$22,6,FALSE) &gt;= ('20Trips'!#REF!+VLOOKUP(VLOOKUP($B132,'20Trips'!$A$2:$I$22,4,FALSE),'20Trips'!$AB$46:$AH$50,7,FALSE))/1440),1,0)</f>
        <v>#N/A</v>
      </c>
      <c r="AC132" s="2" t="e">
        <f>IF(AND(VLOOKUP(AC$1,'20Trips'!$A$3:$F$22,5,FALSE) - VLOOKUP($B132,'20Trips'!$A$3:$G$22,6,FALSE) &gt;= ('20Trips'!#REF!+VLOOKUP(VLOOKUP($B132,'20Trips'!$A$2:$I$22,4,FALSE),'20Trips'!$AB$46:$AH$50,7,FALSE))/1440),1,0)</f>
        <v>#N/A</v>
      </c>
      <c r="AD132" s="2" t="e">
        <f>IF(AND(VLOOKUP(AD$1,'20Trips'!$A$3:$F$22,5,FALSE) - VLOOKUP($B132,'20Trips'!$A$3:$G$22,6,FALSE) &gt;= ('20Trips'!#REF!+VLOOKUP(VLOOKUP($B132,'20Trips'!$A$2:$I$22,4,FALSE),'20Trips'!$AB$46:$AH$50,7,FALSE))/1440),1,0)</f>
        <v>#N/A</v>
      </c>
      <c r="AE132" s="2" t="e">
        <f>IF(AND(VLOOKUP(AE$1,'20Trips'!$A$3:$F$22,5,FALSE) - VLOOKUP($B132,'20Trips'!$A$3:$G$22,6,FALSE) &gt;= ('20Trips'!#REF!+VLOOKUP(VLOOKUP($B132,'20Trips'!$A$2:$I$22,4,FALSE),'20Trips'!$AB$46:$AH$50,7,FALSE))/1440),1,0)</f>
        <v>#N/A</v>
      </c>
      <c r="AF132" s="2" t="e">
        <f>IF(AND(VLOOKUP(AF$1,'20Trips'!$A$3:$F$22,5,FALSE) - VLOOKUP($B132,'20Trips'!$A$3:$G$22,6,FALSE) &gt;= ('20Trips'!#REF!+VLOOKUP(VLOOKUP($B132,'20Trips'!$A$2:$I$22,4,FALSE),'20Trips'!$AB$46:$AH$50,7,FALSE))/1440),1,0)</f>
        <v>#N/A</v>
      </c>
      <c r="AG132" s="2" t="e">
        <f>IF(AND(VLOOKUP(AG$1,'20Trips'!$A$3:$F$22,5,FALSE) - VLOOKUP($B132,'20Trips'!$A$3:$G$22,6,FALSE) &gt;= ('20Trips'!#REF!+VLOOKUP(VLOOKUP($B132,'20Trips'!$A$2:$I$22,4,FALSE),'20Trips'!$AB$46:$AH$50,7,FALSE))/1440),1,0)</f>
        <v>#N/A</v>
      </c>
    </row>
    <row r="133" spans="1:33" x14ac:dyDescent="0.25">
      <c r="A133" t="s">
        <v>69</v>
      </c>
      <c r="B133" t="s">
        <v>14</v>
      </c>
      <c r="C133">
        <v>0</v>
      </c>
      <c r="D133" s="2" t="e">
        <f>IF(AND(VLOOKUP(D$1,'20Trips'!$A$3:$F$22,5,FALSE) - VLOOKUP($B133,'20Trips'!$A$3:$G$22,6,FALSE) &gt;= ('20Trips'!#REF!+VLOOKUP(VLOOKUP($B133,'20Trips'!$A$2:$I$22,4,FALSE),'20Trips'!$AB$46:$AH$50,7,FALSE))/1440),1,0)</f>
        <v>#N/A</v>
      </c>
      <c r="E133" s="2" t="e">
        <f>IF(AND(VLOOKUP(E$1,'20Trips'!$A$3:$F$22,5,FALSE) - VLOOKUP($B133,'20Trips'!$A$3:$G$22,6,FALSE) &gt;= ('20Trips'!#REF!+VLOOKUP(VLOOKUP($B133,'20Trips'!$A$2:$I$22,4,FALSE),'20Trips'!$AB$46:$AH$50,7,FALSE))/1440),1,0)</f>
        <v>#N/A</v>
      </c>
      <c r="F133" s="2" t="e">
        <f>IF(AND(VLOOKUP(F$1,'20Trips'!$A$3:$F$22,5,FALSE) - VLOOKUP($B133,'20Trips'!$A$3:$G$22,6,FALSE) &gt;= ('20Trips'!#REF!+VLOOKUP(VLOOKUP($B133,'20Trips'!$A$2:$I$22,4,FALSE),'20Trips'!$AB$46:$AH$50,7,FALSE))/1440),1,0)</f>
        <v>#N/A</v>
      </c>
      <c r="G133" s="2" t="e">
        <f>IF(AND(VLOOKUP(G$1,'20Trips'!$A$3:$F$22,5,FALSE) - VLOOKUP($B133,'20Trips'!$A$3:$G$22,6,FALSE) &gt;= ('20Trips'!#REF!+VLOOKUP(VLOOKUP($B133,'20Trips'!$A$2:$I$22,4,FALSE),'20Trips'!$AB$46:$AH$50,7,FALSE))/1440),1,0)</f>
        <v>#N/A</v>
      </c>
      <c r="H133" s="2" t="e">
        <f>IF(AND(VLOOKUP(H$1,'20Trips'!$A$3:$F$22,5,FALSE) - VLOOKUP($B133,'20Trips'!$A$3:$G$22,6,FALSE) &gt;= ('20Trips'!#REF!+VLOOKUP(VLOOKUP($B133,'20Trips'!$A$2:$I$22,4,FALSE),'20Trips'!$AB$46:$AH$50,7,FALSE))/1440),1,0)</f>
        <v>#N/A</v>
      </c>
      <c r="I133" s="2" t="e">
        <f>IF(AND(VLOOKUP(I$1,'20Trips'!$A$3:$F$22,5,FALSE) - VLOOKUP($B133,'20Trips'!$A$3:$G$22,6,FALSE) &gt;= ('20Trips'!#REF!+VLOOKUP(VLOOKUP($B133,'20Trips'!$A$2:$I$22,4,FALSE),'20Trips'!$AB$46:$AH$50,7,FALSE))/1440),1,0)</f>
        <v>#N/A</v>
      </c>
      <c r="J133" s="2" t="e">
        <f>IF(AND(VLOOKUP(J$1,'20Trips'!$A$3:$F$22,5,FALSE) - VLOOKUP($B133,'20Trips'!$A$3:$G$22,6,FALSE) &gt;= ('20Trips'!#REF!+VLOOKUP(VLOOKUP($B133,'20Trips'!$A$2:$I$22,4,FALSE),'20Trips'!$AB$46:$AH$50,7,FALSE))/1440),1,0)</f>
        <v>#N/A</v>
      </c>
      <c r="K133" s="2" t="e">
        <f>IF(AND(VLOOKUP(K$1,'20Trips'!$A$3:$F$22,5,FALSE) - VLOOKUP($B133,'20Trips'!$A$3:$G$22,6,FALSE) &gt;= ('20Trips'!#REF!+VLOOKUP(VLOOKUP($B133,'20Trips'!$A$2:$I$22,4,FALSE),'20Trips'!$AB$46:$AH$50,7,FALSE))/1440),1,0)</f>
        <v>#N/A</v>
      </c>
      <c r="L133" s="2" t="e">
        <f>IF(AND(VLOOKUP(L$1,'20Trips'!$A$3:$F$22,5,FALSE) - VLOOKUP($B133,'20Trips'!$A$3:$G$22,6,FALSE) &gt;= ('20Trips'!#REF!+VLOOKUP(VLOOKUP($B133,'20Trips'!$A$2:$I$22,4,FALSE),'20Trips'!$AB$46:$AH$50,7,FALSE))/1440),1,0)</f>
        <v>#N/A</v>
      </c>
      <c r="M133" s="2" t="e">
        <f>IF(AND(VLOOKUP(M$1,'20Trips'!$A$3:$F$22,5,FALSE) - VLOOKUP($B133,'20Trips'!$A$3:$G$22,6,FALSE) &gt;= ('20Trips'!#REF!+VLOOKUP(VLOOKUP($B133,'20Trips'!$A$2:$I$22,4,FALSE),'20Trips'!$AB$46:$AH$50,7,FALSE))/1440),1,0)</f>
        <v>#N/A</v>
      </c>
      <c r="N133" s="2" t="e">
        <f>IF(AND(VLOOKUP(N$1,'20Trips'!$A$3:$F$22,5,FALSE) - VLOOKUP($B133,'20Trips'!$A$3:$G$22,6,FALSE) &gt;= ('20Trips'!#REF!+VLOOKUP(VLOOKUP($B133,'20Trips'!$A$2:$I$22,4,FALSE),'20Trips'!$AB$46:$AH$50,7,FALSE))/1440),1,0)</f>
        <v>#N/A</v>
      </c>
      <c r="O133" s="2" t="e">
        <f>IF(AND(VLOOKUP(O$1,'20Trips'!$A$3:$F$22,5,FALSE) - VLOOKUP($B133,'20Trips'!$A$3:$G$22,6,FALSE) &gt;= ('20Trips'!#REF!+VLOOKUP(VLOOKUP($B133,'20Trips'!$A$2:$I$22,4,FALSE),'20Trips'!$AB$46:$AH$50,7,FALSE))/1440),1,0)</f>
        <v>#N/A</v>
      </c>
      <c r="P133" s="2" t="e">
        <f>IF(AND(VLOOKUP(P$1,'20Trips'!$A$3:$F$22,5,FALSE) - VLOOKUP($B133,'20Trips'!$A$3:$G$22,6,FALSE) &gt;= ('20Trips'!#REF!+VLOOKUP(VLOOKUP($B133,'20Trips'!$A$2:$I$22,4,FALSE),'20Trips'!$AB$46:$AH$50,7,FALSE))/1440),1,0)</f>
        <v>#N/A</v>
      </c>
      <c r="Q133" s="2" t="e">
        <f>IF(AND(VLOOKUP(Q$1,'20Trips'!$A$3:$F$22,5,FALSE) - VLOOKUP($B133,'20Trips'!$A$3:$G$22,6,FALSE) &gt;= ('20Trips'!#REF!+VLOOKUP(VLOOKUP($B133,'20Trips'!$A$2:$I$22,4,FALSE),'20Trips'!$AB$46:$AH$50,7,FALSE))/1440),1,0)</f>
        <v>#N/A</v>
      </c>
      <c r="R133" s="2" t="e">
        <f>IF(AND(VLOOKUP(R$1,'20Trips'!$A$3:$F$22,5,FALSE) - VLOOKUP($B133,'20Trips'!$A$3:$G$22,6,FALSE) &gt;= ('20Trips'!#REF!+VLOOKUP(VLOOKUP($B133,'20Trips'!$A$2:$I$22,4,FALSE),'20Trips'!$AB$46:$AH$50,7,FALSE))/1440),1,0)</f>
        <v>#N/A</v>
      </c>
      <c r="S133" s="2" t="e">
        <f>IF(AND(VLOOKUP(S$1,'20Trips'!$A$3:$F$22,5,FALSE) - VLOOKUP($B133,'20Trips'!$A$3:$G$22,6,FALSE) &gt;= ('20Trips'!#REF!+VLOOKUP(VLOOKUP($B133,'20Trips'!$A$2:$I$22,4,FALSE),'20Trips'!$AB$46:$AH$50,7,FALSE))/1440),1,0)</f>
        <v>#N/A</v>
      </c>
      <c r="T133" s="2" t="e">
        <f>IF(AND(VLOOKUP(T$1,'20Trips'!$A$3:$F$22,5,FALSE) - VLOOKUP($B133,'20Trips'!$A$3:$G$22,6,FALSE) &gt;= ('20Trips'!#REF!+VLOOKUP(VLOOKUP($B133,'20Trips'!$A$2:$I$22,4,FALSE),'20Trips'!$AB$46:$AH$50,7,FALSE))/1440),1,0)</f>
        <v>#N/A</v>
      </c>
      <c r="U133" s="2" t="e">
        <f>IF(AND(VLOOKUP(U$1,'20Trips'!$A$3:$F$22,5,FALSE) - VLOOKUP($B133,'20Trips'!$A$3:$G$22,6,FALSE) &gt;= ('20Trips'!#REF!+VLOOKUP(VLOOKUP($B133,'20Trips'!$A$2:$I$22,4,FALSE),'20Trips'!$AB$46:$AH$50,7,FALSE))/1440),1,0)</f>
        <v>#N/A</v>
      </c>
      <c r="V133" s="2" t="e">
        <f>IF(AND(VLOOKUP(V$1,'20Trips'!$A$3:$F$22,5,FALSE) - VLOOKUP($B133,'20Trips'!$A$3:$G$22,6,FALSE) &gt;= ('20Trips'!#REF!+VLOOKUP(VLOOKUP($B133,'20Trips'!$A$2:$I$22,4,FALSE),'20Trips'!$AB$46:$AH$50,7,FALSE))/1440),1,0)</f>
        <v>#N/A</v>
      </c>
      <c r="W133" s="2" t="e">
        <f>IF(AND(VLOOKUP(W$1,'20Trips'!$A$3:$F$22,5,FALSE) - VLOOKUP($B133,'20Trips'!$A$3:$G$22,6,FALSE) &gt;= ('20Trips'!#REF!+VLOOKUP(VLOOKUP($B133,'20Trips'!$A$2:$I$22,4,FALSE),'20Trips'!$AB$46:$AH$50,7,FALSE))/1440),1,0)</f>
        <v>#N/A</v>
      </c>
      <c r="X133" s="2" t="e">
        <f>IF(AND(VLOOKUP(X$1,'20Trips'!$A$3:$F$22,5,FALSE) - VLOOKUP($B133,'20Trips'!$A$3:$G$22,6,FALSE) &gt;= ('20Trips'!#REF!+VLOOKUP(VLOOKUP($B133,'20Trips'!$A$2:$I$22,4,FALSE),'20Trips'!$AB$46:$AH$50,7,FALSE))/1440),1,0)</f>
        <v>#N/A</v>
      </c>
      <c r="Y133" s="2" t="e">
        <f>IF(AND(VLOOKUP(Y$1,'20Trips'!$A$3:$F$22,5,FALSE) - VLOOKUP($B133,'20Trips'!$A$3:$G$22,6,FALSE) &gt;= ('20Trips'!#REF!+VLOOKUP(VLOOKUP($B133,'20Trips'!$A$2:$I$22,4,FALSE),'20Trips'!$AB$46:$AH$50,7,FALSE))/1440),1,0)</f>
        <v>#N/A</v>
      </c>
      <c r="Z133" s="2" t="e">
        <f>IF(AND(VLOOKUP(Z$1,'20Trips'!$A$3:$F$22,5,FALSE) - VLOOKUP($B133,'20Trips'!$A$3:$G$22,6,FALSE) &gt;= ('20Trips'!#REF!+VLOOKUP(VLOOKUP($B133,'20Trips'!$A$2:$I$22,4,FALSE),'20Trips'!$AB$46:$AH$50,7,FALSE))/1440),1,0)</f>
        <v>#N/A</v>
      </c>
      <c r="AA133" s="2" t="e">
        <f>IF(AND(VLOOKUP(AA$1,'20Trips'!$A$3:$F$22,5,FALSE) - VLOOKUP($B133,'20Trips'!$A$3:$G$22,6,FALSE) &gt;= ('20Trips'!#REF!+VLOOKUP(VLOOKUP($B133,'20Trips'!$A$2:$I$22,4,FALSE),'20Trips'!$AB$46:$AH$50,7,FALSE))/1440),1,0)</f>
        <v>#N/A</v>
      </c>
      <c r="AB133" s="2" t="e">
        <f>IF(AND(VLOOKUP(AB$1,'20Trips'!$A$3:$F$22,5,FALSE) - VLOOKUP($B133,'20Trips'!$A$3:$G$22,6,FALSE) &gt;= ('20Trips'!#REF!+VLOOKUP(VLOOKUP($B133,'20Trips'!$A$2:$I$22,4,FALSE),'20Trips'!$AB$46:$AH$50,7,FALSE))/1440),1,0)</f>
        <v>#N/A</v>
      </c>
      <c r="AC133" s="2" t="e">
        <f>IF(AND(VLOOKUP(AC$1,'20Trips'!$A$3:$F$22,5,FALSE) - VLOOKUP($B133,'20Trips'!$A$3:$G$22,6,FALSE) &gt;= ('20Trips'!#REF!+VLOOKUP(VLOOKUP($B133,'20Trips'!$A$2:$I$22,4,FALSE),'20Trips'!$AB$46:$AH$50,7,FALSE))/1440),1,0)</f>
        <v>#N/A</v>
      </c>
      <c r="AD133" s="2" t="e">
        <f>IF(AND(VLOOKUP(AD$1,'20Trips'!$A$3:$F$22,5,FALSE) - VLOOKUP($B133,'20Trips'!$A$3:$G$22,6,FALSE) &gt;= ('20Trips'!#REF!+VLOOKUP(VLOOKUP($B133,'20Trips'!$A$2:$I$22,4,FALSE),'20Trips'!$AB$46:$AH$50,7,FALSE))/1440),1,0)</f>
        <v>#N/A</v>
      </c>
      <c r="AE133" s="2" t="e">
        <f>IF(AND(VLOOKUP(AE$1,'20Trips'!$A$3:$F$22,5,FALSE) - VLOOKUP($B133,'20Trips'!$A$3:$G$22,6,FALSE) &gt;= ('20Trips'!#REF!+VLOOKUP(VLOOKUP($B133,'20Trips'!$A$2:$I$22,4,FALSE),'20Trips'!$AB$46:$AH$50,7,FALSE))/1440),1,0)</f>
        <v>#N/A</v>
      </c>
      <c r="AF133" s="2" t="e">
        <f>IF(AND(VLOOKUP(AF$1,'20Trips'!$A$3:$F$22,5,FALSE) - VLOOKUP($B133,'20Trips'!$A$3:$G$22,6,FALSE) &gt;= ('20Trips'!#REF!+VLOOKUP(VLOOKUP($B133,'20Trips'!$A$2:$I$22,4,FALSE),'20Trips'!$AB$46:$AH$50,7,FALSE))/1440),1,0)</f>
        <v>#N/A</v>
      </c>
      <c r="AG133" s="2" t="e">
        <f>IF(AND(VLOOKUP(AG$1,'20Trips'!$A$3:$F$22,5,FALSE) - VLOOKUP($B133,'20Trips'!$A$3:$G$22,6,FALSE) &gt;= ('20Trips'!#REF!+VLOOKUP(VLOOKUP($B133,'20Trips'!$A$2:$I$22,4,FALSE),'20Trips'!$AB$46:$AH$50,7,FALSE))/1440),1,0)</f>
        <v>#N/A</v>
      </c>
    </row>
    <row r="134" spans="1:33" x14ac:dyDescent="0.25">
      <c r="A134" t="s">
        <v>69</v>
      </c>
      <c r="B134" t="s">
        <v>15</v>
      </c>
      <c r="C134">
        <v>0</v>
      </c>
      <c r="D134" s="2" t="e">
        <f>IF(AND(VLOOKUP(D$1,'20Trips'!$A$3:$F$22,5,FALSE) - VLOOKUP($B134,'20Trips'!$A$3:$G$22,6,FALSE) &gt;= ('20Trips'!#REF!+VLOOKUP(VLOOKUP($B134,'20Trips'!$A$2:$I$22,4,FALSE),'20Trips'!$AB$46:$AH$50,7,FALSE))/1440),1,0)</f>
        <v>#N/A</v>
      </c>
      <c r="E134" s="2" t="e">
        <f>IF(AND(VLOOKUP(E$1,'20Trips'!$A$3:$F$22,5,FALSE) - VLOOKUP($B134,'20Trips'!$A$3:$G$22,6,FALSE) &gt;= ('20Trips'!#REF!+VLOOKUP(VLOOKUP($B134,'20Trips'!$A$2:$I$22,4,FALSE),'20Trips'!$AB$46:$AH$50,7,FALSE))/1440),1,0)</f>
        <v>#N/A</v>
      </c>
      <c r="F134" s="2" t="e">
        <f>IF(AND(VLOOKUP(F$1,'20Trips'!$A$3:$F$22,5,FALSE) - VLOOKUP($B134,'20Trips'!$A$3:$G$22,6,FALSE) &gt;= ('20Trips'!#REF!+VLOOKUP(VLOOKUP($B134,'20Trips'!$A$2:$I$22,4,FALSE),'20Trips'!$AB$46:$AH$50,7,FALSE))/1440),1,0)</f>
        <v>#N/A</v>
      </c>
      <c r="G134" s="2" t="e">
        <f>IF(AND(VLOOKUP(G$1,'20Trips'!$A$3:$F$22,5,FALSE) - VLOOKUP($B134,'20Trips'!$A$3:$G$22,6,FALSE) &gt;= ('20Trips'!#REF!+VLOOKUP(VLOOKUP($B134,'20Trips'!$A$2:$I$22,4,FALSE),'20Trips'!$AB$46:$AH$50,7,FALSE))/1440),1,0)</f>
        <v>#N/A</v>
      </c>
      <c r="H134" s="2" t="e">
        <f>IF(AND(VLOOKUP(H$1,'20Trips'!$A$3:$F$22,5,FALSE) - VLOOKUP($B134,'20Trips'!$A$3:$G$22,6,FALSE) &gt;= ('20Trips'!#REF!+VLOOKUP(VLOOKUP($B134,'20Trips'!$A$2:$I$22,4,FALSE),'20Trips'!$AB$46:$AH$50,7,FALSE))/1440),1,0)</f>
        <v>#N/A</v>
      </c>
      <c r="I134" s="2" t="e">
        <f>IF(AND(VLOOKUP(I$1,'20Trips'!$A$3:$F$22,5,FALSE) - VLOOKUP($B134,'20Trips'!$A$3:$G$22,6,FALSE) &gt;= ('20Trips'!#REF!+VLOOKUP(VLOOKUP($B134,'20Trips'!$A$2:$I$22,4,FALSE),'20Trips'!$AB$46:$AH$50,7,FALSE))/1440),1,0)</f>
        <v>#N/A</v>
      </c>
      <c r="J134" s="2" t="e">
        <f>IF(AND(VLOOKUP(J$1,'20Trips'!$A$3:$F$22,5,FALSE) - VLOOKUP($B134,'20Trips'!$A$3:$G$22,6,FALSE) &gt;= ('20Trips'!#REF!+VLOOKUP(VLOOKUP($B134,'20Trips'!$A$2:$I$22,4,FALSE),'20Trips'!$AB$46:$AH$50,7,FALSE))/1440),1,0)</f>
        <v>#N/A</v>
      </c>
      <c r="K134" s="2" t="e">
        <f>IF(AND(VLOOKUP(K$1,'20Trips'!$A$3:$F$22,5,FALSE) - VLOOKUP($B134,'20Trips'!$A$3:$G$22,6,FALSE) &gt;= ('20Trips'!#REF!+VLOOKUP(VLOOKUP($B134,'20Trips'!$A$2:$I$22,4,FALSE),'20Trips'!$AB$46:$AH$50,7,FALSE))/1440),1,0)</f>
        <v>#N/A</v>
      </c>
      <c r="L134" s="2" t="e">
        <f>IF(AND(VLOOKUP(L$1,'20Trips'!$A$3:$F$22,5,FALSE) - VLOOKUP($B134,'20Trips'!$A$3:$G$22,6,FALSE) &gt;= ('20Trips'!#REF!+VLOOKUP(VLOOKUP($B134,'20Trips'!$A$2:$I$22,4,FALSE),'20Trips'!$AB$46:$AH$50,7,FALSE))/1440),1,0)</f>
        <v>#N/A</v>
      </c>
      <c r="M134" s="2" t="e">
        <f>IF(AND(VLOOKUP(M$1,'20Trips'!$A$3:$F$22,5,FALSE) - VLOOKUP($B134,'20Trips'!$A$3:$G$22,6,FALSE) &gt;= ('20Trips'!#REF!+VLOOKUP(VLOOKUP($B134,'20Trips'!$A$2:$I$22,4,FALSE),'20Trips'!$AB$46:$AH$50,7,FALSE))/1440),1,0)</f>
        <v>#N/A</v>
      </c>
      <c r="N134" s="2" t="e">
        <f>IF(AND(VLOOKUP(N$1,'20Trips'!$A$3:$F$22,5,FALSE) - VLOOKUP($B134,'20Trips'!$A$3:$G$22,6,FALSE) &gt;= ('20Trips'!#REF!+VLOOKUP(VLOOKUP($B134,'20Trips'!$A$2:$I$22,4,FALSE),'20Trips'!$AB$46:$AH$50,7,FALSE))/1440),1,0)</f>
        <v>#N/A</v>
      </c>
      <c r="O134" s="2" t="e">
        <f>IF(AND(VLOOKUP(O$1,'20Trips'!$A$3:$F$22,5,FALSE) - VLOOKUP($B134,'20Trips'!$A$3:$G$22,6,FALSE) &gt;= ('20Trips'!#REF!+VLOOKUP(VLOOKUP($B134,'20Trips'!$A$2:$I$22,4,FALSE),'20Trips'!$AB$46:$AH$50,7,FALSE))/1440),1,0)</f>
        <v>#N/A</v>
      </c>
      <c r="P134" s="2" t="e">
        <f>IF(AND(VLOOKUP(P$1,'20Trips'!$A$3:$F$22,5,FALSE) - VLOOKUP($B134,'20Trips'!$A$3:$G$22,6,FALSE) &gt;= ('20Trips'!#REF!+VLOOKUP(VLOOKUP($B134,'20Trips'!$A$2:$I$22,4,FALSE),'20Trips'!$AB$46:$AH$50,7,FALSE))/1440),1,0)</f>
        <v>#N/A</v>
      </c>
      <c r="Q134" s="2" t="e">
        <f>IF(AND(VLOOKUP(Q$1,'20Trips'!$A$3:$F$22,5,FALSE) - VLOOKUP($B134,'20Trips'!$A$3:$G$22,6,FALSE) &gt;= ('20Trips'!#REF!+VLOOKUP(VLOOKUP($B134,'20Trips'!$A$2:$I$22,4,FALSE),'20Trips'!$AB$46:$AH$50,7,FALSE))/1440),1,0)</f>
        <v>#N/A</v>
      </c>
      <c r="R134" s="2" t="e">
        <f>IF(AND(VLOOKUP(R$1,'20Trips'!$A$3:$F$22,5,FALSE) - VLOOKUP($B134,'20Trips'!$A$3:$G$22,6,FALSE) &gt;= ('20Trips'!#REF!+VLOOKUP(VLOOKUP($B134,'20Trips'!$A$2:$I$22,4,FALSE),'20Trips'!$AB$46:$AH$50,7,FALSE))/1440),1,0)</f>
        <v>#N/A</v>
      </c>
      <c r="S134" s="2" t="e">
        <f>IF(AND(VLOOKUP(S$1,'20Trips'!$A$3:$F$22,5,FALSE) - VLOOKUP($B134,'20Trips'!$A$3:$G$22,6,FALSE) &gt;= ('20Trips'!#REF!+VLOOKUP(VLOOKUP($B134,'20Trips'!$A$2:$I$22,4,FALSE),'20Trips'!$AB$46:$AH$50,7,FALSE))/1440),1,0)</f>
        <v>#N/A</v>
      </c>
      <c r="T134" s="2" t="e">
        <f>IF(AND(VLOOKUP(T$1,'20Trips'!$A$3:$F$22,5,FALSE) - VLOOKUP($B134,'20Trips'!$A$3:$G$22,6,FALSE) &gt;= ('20Trips'!#REF!+VLOOKUP(VLOOKUP($B134,'20Trips'!$A$2:$I$22,4,FALSE),'20Trips'!$AB$46:$AH$50,7,FALSE))/1440),1,0)</f>
        <v>#N/A</v>
      </c>
      <c r="U134" s="2" t="e">
        <f>IF(AND(VLOOKUP(U$1,'20Trips'!$A$3:$F$22,5,FALSE) - VLOOKUP($B134,'20Trips'!$A$3:$G$22,6,FALSE) &gt;= ('20Trips'!#REF!+VLOOKUP(VLOOKUP($B134,'20Trips'!$A$2:$I$22,4,FALSE),'20Trips'!$AB$46:$AH$50,7,FALSE))/1440),1,0)</f>
        <v>#N/A</v>
      </c>
      <c r="V134" s="2" t="e">
        <f>IF(AND(VLOOKUP(V$1,'20Trips'!$A$3:$F$22,5,FALSE) - VLOOKUP($B134,'20Trips'!$A$3:$G$22,6,FALSE) &gt;= ('20Trips'!#REF!+VLOOKUP(VLOOKUP($B134,'20Trips'!$A$2:$I$22,4,FALSE),'20Trips'!$AB$46:$AH$50,7,FALSE))/1440),1,0)</f>
        <v>#N/A</v>
      </c>
      <c r="W134" s="2" t="e">
        <f>IF(AND(VLOOKUP(W$1,'20Trips'!$A$3:$F$22,5,FALSE) - VLOOKUP($B134,'20Trips'!$A$3:$G$22,6,FALSE) &gt;= ('20Trips'!#REF!+VLOOKUP(VLOOKUP($B134,'20Trips'!$A$2:$I$22,4,FALSE),'20Trips'!$AB$46:$AH$50,7,FALSE))/1440),1,0)</f>
        <v>#N/A</v>
      </c>
      <c r="X134" s="2" t="e">
        <f>IF(AND(VLOOKUP(X$1,'20Trips'!$A$3:$F$22,5,FALSE) - VLOOKUP($B134,'20Trips'!$A$3:$G$22,6,FALSE) &gt;= ('20Trips'!#REF!+VLOOKUP(VLOOKUP($B134,'20Trips'!$A$2:$I$22,4,FALSE),'20Trips'!$AB$46:$AH$50,7,FALSE))/1440),1,0)</f>
        <v>#N/A</v>
      </c>
      <c r="Y134" s="2" t="e">
        <f>IF(AND(VLOOKUP(Y$1,'20Trips'!$A$3:$F$22,5,FALSE) - VLOOKUP($B134,'20Trips'!$A$3:$G$22,6,FALSE) &gt;= ('20Trips'!#REF!+VLOOKUP(VLOOKUP($B134,'20Trips'!$A$2:$I$22,4,FALSE),'20Trips'!$AB$46:$AH$50,7,FALSE))/1440),1,0)</f>
        <v>#N/A</v>
      </c>
      <c r="Z134" s="2" t="e">
        <f>IF(AND(VLOOKUP(Z$1,'20Trips'!$A$3:$F$22,5,FALSE) - VLOOKUP($B134,'20Trips'!$A$3:$G$22,6,FALSE) &gt;= ('20Trips'!#REF!+VLOOKUP(VLOOKUP($B134,'20Trips'!$A$2:$I$22,4,FALSE),'20Trips'!$AB$46:$AH$50,7,FALSE))/1440),1,0)</f>
        <v>#N/A</v>
      </c>
      <c r="AA134" s="2" t="e">
        <f>IF(AND(VLOOKUP(AA$1,'20Trips'!$A$3:$F$22,5,FALSE) - VLOOKUP($B134,'20Trips'!$A$3:$G$22,6,FALSE) &gt;= ('20Trips'!#REF!+VLOOKUP(VLOOKUP($B134,'20Trips'!$A$2:$I$22,4,FALSE),'20Trips'!$AB$46:$AH$50,7,FALSE))/1440),1,0)</f>
        <v>#N/A</v>
      </c>
      <c r="AB134" s="2" t="e">
        <f>IF(AND(VLOOKUP(AB$1,'20Trips'!$A$3:$F$22,5,FALSE) - VLOOKUP($B134,'20Trips'!$A$3:$G$22,6,FALSE) &gt;= ('20Trips'!#REF!+VLOOKUP(VLOOKUP($B134,'20Trips'!$A$2:$I$22,4,FALSE),'20Trips'!$AB$46:$AH$50,7,FALSE))/1440),1,0)</f>
        <v>#N/A</v>
      </c>
      <c r="AC134" s="2" t="e">
        <f>IF(AND(VLOOKUP(AC$1,'20Trips'!$A$3:$F$22,5,FALSE) - VLOOKUP($B134,'20Trips'!$A$3:$G$22,6,FALSE) &gt;= ('20Trips'!#REF!+VLOOKUP(VLOOKUP($B134,'20Trips'!$A$2:$I$22,4,FALSE),'20Trips'!$AB$46:$AH$50,7,FALSE))/1440),1,0)</f>
        <v>#N/A</v>
      </c>
      <c r="AD134" s="2" t="e">
        <f>IF(AND(VLOOKUP(AD$1,'20Trips'!$A$3:$F$22,5,FALSE) - VLOOKUP($B134,'20Trips'!$A$3:$G$22,6,FALSE) &gt;= ('20Trips'!#REF!+VLOOKUP(VLOOKUP($B134,'20Trips'!$A$2:$I$22,4,FALSE),'20Trips'!$AB$46:$AH$50,7,FALSE))/1440),1,0)</f>
        <v>#N/A</v>
      </c>
      <c r="AE134" s="2" t="e">
        <f>IF(AND(VLOOKUP(AE$1,'20Trips'!$A$3:$F$22,5,FALSE) - VLOOKUP($B134,'20Trips'!$A$3:$G$22,6,FALSE) &gt;= ('20Trips'!#REF!+VLOOKUP(VLOOKUP($B134,'20Trips'!$A$2:$I$22,4,FALSE),'20Trips'!$AB$46:$AH$50,7,FALSE))/1440),1,0)</f>
        <v>#N/A</v>
      </c>
      <c r="AF134" s="2" t="e">
        <f>IF(AND(VLOOKUP(AF$1,'20Trips'!$A$3:$F$22,5,FALSE) - VLOOKUP($B134,'20Trips'!$A$3:$G$22,6,FALSE) &gt;= ('20Trips'!#REF!+VLOOKUP(VLOOKUP($B134,'20Trips'!$A$2:$I$22,4,FALSE),'20Trips'!$AB$46:$AH$50,7,FALSE))/1440),1,0)</f>
        <v>#N/A</v>
      </c>
      <c r="AG134" s="2" t="e">
        <f>IF(AND(VLOOKUP(AG$1,'20Trips'!$A$3:$F$22,5,FALSE) - VLOOKUP($B134,'20Trips'!$A$3:$G$22,6,FALSE) &gt;= ('20Trips'!#REF!+VLOOKUP(VLOOKUP($B134,'20Trips'!$A$2:$I$22,4,FALSE),'20Trips'!$AB$46:$AH$50,7,FALSE))/1440),1,0)</f>
        <v>#N/A</v>
      </c>
    </row>
    <row r="135" spans="1:33" x14ac:dyDescent="0.25">
      <c r="A135" t="s">
        <v>69</v>
      </c>
      <c r="B135" t="s">
        <v>18</v>
      </c>
      <c r="C135">
        <v>0</v>
      </c>
      <c r="D135" s="2" t="e">
        <f>IF(AND(VLOOKUP(D$1,'20Trips'!$A$3:$F$22,5,FALSE) - VLOOKUP($B135,'20Trips'!$A$3:$G$22,6,FALSE) &gt;= ('20Trips'!#REF!+VLOOKUP(VLOOKUP($B135,'20Trips'!$A$2:$I$22,4,FALSE),'20Trips'!$AB$46:$AH$50,7,FALSE))/1440),1,0)</f>
        <v>#REF!</v>
      </c>
      <c r="E135" s="2" t="e">
        <f>IF(AND(VLOOKUP(E$1,'20Trips'!$A$3:$F$22,5,FALSE) - VLOOKUP($B135,'20Trips'!$A$3:$G$22,6,FALSE) &gt;= ('20Trips'!#REF!+VLOOKUP(VLOOKUP($B135,'20Trips'!$A$2:$I$22,4,FALSE),'20Trips'!$AB$46:$AH$50,7,FALSE))/1440),1,0)</f>
        <v>#REF!</v>
      </c>
      <c r="F135" s="2" t="e">
        <f>IF(AND(VLOOKUP(F$1,'20Trips'!$A$3:$F$22,5,FALSE) - VLOOKUP($B135,'20Trips'!$A$3:$G$22,6,FALSE) &gt;= ('20Trips'!#REF!+VLOOKUP(VLOOKUP($B135,'20Trips'!$A$2:$I$22,4,FALSE),'20Trips'!$AB$46:$AH$50,7,FALSE))/1440),1,0)</f>
        <v>#REF!</v>
      </c>
      <c r="G135" s="2" t="e">
        <f>IF(AND(VLOOKUP(G$1,'20Trips'!$A$3:$F$22,5,FALSE) - VLOOKUP($B135,'20Trips'!$A$3:$G$22,6,FALSE) &gt;= ('20Trips'!#REF!+VLOOKUP(VLOOKUP($B135,'20Trips'!$A$2:$I$22,4,FALSE),'20Trips'!$AB$46:$AH$50,7,FALSE))/1440),1,0)</f>
        <v>#REF!</v>
      </c>
      <c r="H135" s="2" t="e">
        <f>IF(AND(VLOOKUP(H$1,'20Trips'!$A$3:$F$22,5,FALSE) - VLOOKUP($B135,'20Trips'!$A$3:$G$22,6,FALSE) &gt;= ('20Trips'!#REF!+VLOOKUP(VLOOKUP($B135,'20Trips'!$A$2:$I$22,4,FALSE),'20Trips'!$AB$46:$AH$50,7,FALSE))/1440),1,0)</f>
        <v>#REF!</v>
      </c>
      <c r="I135" s="2" t="e">
        <f>IF(AND(VLOOKUP(I$1,'20Trips'!$A$3:$F$22,5,FALSE) - VLOOKUP($B135,'20Trips'!$A$3:$G$22,6,FALSE) &gt;= ('20Trips'!#REF!+VLOOKUP(VLOOKUP($B135,'20Trips'!$A$2:$I$22,4,FALSE),'20Trips'!$AB$46:$AH$50,7,FALSE))/1440),1,0)</f>
        <v>#N/A</v>
      </c>
      <c r="J135" s="2" t="e">
        <f>IF(AND(VLOOKUP(J$1,'20Trips'!$A$3:$F$22,5,FALSE) - VLOOKUP($B135,'20Trips'!$A$3:$G$22,6,FALSE) &gt;= ('20Trips'!#REF!+VLOOKUP(VLOOKUP($B135,'20Trips'!$A$2:$I$22,4,FALSE),'20Trips'!$AB$46:$AH$50,7,FALSE))/1440),1,0)</f>
        <v>#N/A</v>
      </c>
      <c r="K135" s="2" t="e">
        <f>IF(AND(VLOOKUP(K$1,'20Trips'!$A$3:$F$22,5,FALSE) - VLOOKUP($B135,'20Trips'!$A$3:$G$22,6,FALSE) &gt;= ('20Trips'!#REF!+VLOOKUP(VLOOKUP($B135,'20Trips'!$A$2:$I$22,4,FALSE),'20Trips'!$AB$46:$AH$50,7,FALSE))/1440),1,0)</f>
        <v>#N/A</v>
      </c>
      <c r="L135" s="2" t="e">
        <f>IF(AND(VLOOKUP(L$1,'20Trips'!$A$3:$F$22,5,FALSE) - VLOOKUP($B135,'20Trips'!$A$3:$G$22,6,FALSE) &gt;= ('20Trips'!#REF!+VLOOKUP(VLOOKUP($B135,'20Trips'!$A$2:$I$22,4,FALSE),'20Trips'!$AB$46:$AH$50,7,FALSE))/1440),1,0)</f>
        <v>#REF!</v>
      </c>
      <c r="M135" s="2" t="e">
        <f>IF(AND(VLOOKUP(M$1,'20Trips'!$A$3:$F$22,5,FALSE) - VLOOKUP($B135,'20Trips'!$A$3:$G$22,6,FALSE) &gt;= ('20Trips'!#REF!+VLOOKUP(VLOOKUP($B135,'20Trips'!$A$2:$I$22,4,FALSE),'20Trips'!$AB$46:$AH$50,7,FALSE))/1440),1,0)</f>
        <v>#REF!</v>
      </c>
      <c r="N135" s="2" t="e">
        <f>IF(AND(VLOOKUP(N$1,'20Trips'!$A$3:$F$22,5,FALSE) - VLOOKUP($B135,'20Trips'!$A$3:$G$22,6,FALSE) &gt;= ('20Trips'!#REF!+VLOOKUP(VLOOKUP($B135,'20Trips'!$A$2:$I$22,4,FALSE),'20Trips'!$AB$46:$AH$50,7,FALSE))/1440),1,0)</f>
        <v>#REF!</v>
      </c>
      <c r="O135" s="2" t="e">
        <f>IF(AND(VLOOKUP(O$1,'20Trips'!$A$3:$F$22,5,FALSE) - VLOOKUP($B135,'20Trips'!$A$3:$G$22,6,FALSE) &gt;= ('20Trips'!#REF!+VLOOKUP(VLOOKUP($B135,'20Trips'!$A$2:$I$22,4,FALSE),'20Trips'!$AB$46:$AH$50,7,FALSE))/1440),1,0)</f>
        <v>#REF!</v>
      </c>
      <c r="P135" s="2" t="e">
        <f>IF(AND(VLOOKUP(P$1,'20Trips'!$A$3:$F$22,5,FALSE) - VLOOKUP($B135,'20Trips'!$A$3:$G$22,6,FALSE) &gt;= ('20Trips'!#REF!+VLOOKUP(VLOOKUP($B135,'20Trips'!$A$2:$I$22,4,FALSE),'20Trips'!$AB$46:$AH$50,7,FALSE))/1440),1,0)</f>
        <v>#REF!</v>
      </c>
      <c r="Q135" s="2" t="e">
        <f>IF(AND(VLOOKUP(Q$1,'20Trips'!$A$3:$F$22,5,FALSE) - VLOOKUP($B135,'20Trips'!$A$3:$G$22,6,FALSE) &gt;= ('20Trips'!#REF!+VLOOKUP(VLOOKUP($B135,'20Trips'!$A$2:$I$22,4,FALSE),'20Trips'!$AB$46:$AH$50,7,FALSE))/1440),1,0)</f>
        <v>#N/A</v>
      </c>
      <c r="R135" s="2" t="e">
        <f>IF(AND(VLOOKUP(R$1,'20Trips'!$A$3:$F$22,5,FALSE) - VLOOKUP($B135,'20Trips'!$A$3:$G$22,6,FALSE) &gt;= ('20Trips'!#REF!+VLOOKUP(VLOOKUP($B135,'20Trips'!$A$2:$I$22,4,FALSE),'20Trips'!$AB$46:$AH$50,7,FALSE))/1440),1,0)</f>
        <v>#REF!</v>
      </c>
      <c r="S135" s="2" t="e">
        <f>IF(AND(VLOOKUP(S$1,'20Trips'!$A$3:$F$22,5,FALSE) - VLOOKUP($B135,'20Trips'!$A$3:$G$22,6,FALSE) &gt;= ('20Trips'!#REF!+VLOOKUP(VLOOKUP($B135,'20Trips'!$A$2:$I$22,4,FALSE),'20Trips'!$AB$46:$AH$50,7,FALSE))/1440),1,0)</f>
        <v>#REF!</v>
      </c>
      <c r="T135" s="2" t="e">
        <f>IF(AND(VLOOKUP(T$1,'20Trips'!$A$3:$F$22,5,FALSE) - VLOOKUP($B135,'20Trips'!$A$3:$G$22,6,FALSE) &gt;= ('20Trips'!#REF!+VLOOKUP(VLOOKUP($B135,'20Trips'!$A$2:$I$22,4,FALSE),'20Trips'!$AB$46:$AH$50,7,FALSE))/1440),1,0)</f>
        <v>#REF!</v>
      </c>
      <c r="U135" s="2" t="e">
        <f>IF(AND(VLOOKUP(U$1,'20Trips'!$A$3:$F$22,5,FALSE) - VLOOKUP($B135,'20Trips'!$A$3:$G$22,6,FALSE) &gt;= ('20Trips'!#REF!+VLOOKUP(VLOOKUP($B135,'20Trips'!$A$2:$I$22,4,FALSE),'20Trips'!$AB$46:$AH$50,7,FALSE))/1440),1,0)</f>
        <v>#REF!</v>
      </c>
      <c r="V135" s="2" t="e">
        <f>IF(AND(VLOOKUP(V$1,'20Trips'!$A$3:$F$22,5,FALSE) - VLOOKUP($B135,'20Trips'!$A$3:$G$22,6,FALSE) &gt;= ('20Trips'!#REF!+VLOOKUP(VLOOKUP($B135,'20Trips'!$A$2:$I$22,4,FALSE),'20Trips'!$AB$46:$AH$50,7,FALSE))/1440),1,0)</f>
        <v>#REF!</v>
      </c>
      <c r="W135" s="2" t="e">
        <f>IF(AND(VLOOKUP(W$1,'20Trips'!$A$3:$F$22,5,FALSE) - VLOOKUP($B135,'20Trips'!$A$3:$G$22,6,FALSE) &gt;= ('20Trips'!#REF!+VLOOKUP(VLOOKUP($B135,'20Trips'!$A$2:$I$22,4,FALSE),'20Trips'!$AB$46:$AH$50,7,FALSE))/1440),1,0)</f>
        <v>#N/A</v>
      </c>
      <c r="X135" s="2" t="e">
        <f>IF(AND(VLOOKUP(X$1,'20Trips'!$A$3:$F$22,5,FALSE) - VLOOKUP($B135,'20Trips'!$A$3:$G$22,6,FALSE) &gt;= ('20Trips'!#REF!+VLOOKUP(VLOOKUP($B135,'20Trips'!$A$2:$I$22,4,FALSE),'20Trips'!$AB$46:$AH$50,7,FALSE))/1440),1,0)</f>
        <v>#N/A</v>
      </c>
      <c r="Y135" s="2" t="e">
        <f>IF(AND(VLOOKUP(Y$1,'20Trips'!$A$3:$F$22,5,FALSE) - VLOOKUP($B135,'20Trips'!$A$3:$G$22,6,FALSE) &gt;= ('20Trips'!#REF!+VLOOKUP(VLOOKUP($B135,'20Trips'!$A$2:$I$22,4,FALSE),'20Trips'!$AB$46:$AH$50,7,FALSE))/1440),1,0)</f>
        <v>#N/A</v>
      </c>
      <c r="Z135" s="2" t="e">
        <f>IF(AND(VLOOKUP(Z$1,'20Trips'!$A$3:$F$22,5,FALSE) - VLOOKUP($B135,'20Trips'!$A$3:$G$22,6,FALSE) &gt;= ('20Trips'!#REF!+VLOOKUP(VLOOKUP($B135,'20Trips'!$A$2:$I$22,4,FALSE),'20Trips'!$AB$46:$AH$50,7,FALSE))/1440),1,0)</f>
        <v>#REF!</v>
      </c>
      <c r="AA135" s="2" t="e">
        <f>IF(AND(VLOOKUP(AA$1,'20Trips'!$A$3:$F$22,5,FALSE) - VLOOKUP($B135,'20Trips'!$A$3:$G$22,6,FALSE) &gt;= ('20Trips'!#REF!+VLOOKUP(VLOOKUP($B135,'20Trips'!$A$2:$I$22,4,FALSE),'20Trips'!$AB$46:$AH$50,7,FALSE))/1440),1,0)</f>
        <v>#REF!</v>
      </c>
      <c r="AB135" s="2" t="e">
        <f>IF(AND(VLOOKUP(AB$1,'20Trips'!$A$3:$F$22,5,FALSE) - VLOOKUP($B135,'20Trips'!$A$3:$G$22,6,FALSE) &gt;= ('20Trips'!#REF!+VLOOKUP(VLOOKUP($B135,'20Trips'!$A$2:$I$22,4,FALSE),'20Trips'!$AB$46:$AH$50,7,FALSE))/1440),1,0)</f>
        <v>#REF!</v>
      </c>
      <c r="AC135" s="2" t="e">
        <f>IF(AND(VLOOKUP(AC$1,'20Trips'!$A$3:$F$22,5,FALSE) - VLOOKUP($B135,'20Trips'!$A$3:$G$22,6,FALSE) &gt;= ('20Trips'!#REF!+VLOOKUP(VLOOKUP($B135,'20Trips'!$A$2:$I$22,4,FALSE),'20Trips'!$AB$46:$AH$50,7,FALSE))/1440),1,0)</f>
        <v>#REF!</v>
      </c>
      <c r="AD135" s="2" t="e">
        <f>IF(AND(VLOOKUP(AD$1,'20Trips'!$A$3:$F$22,5,FALSE) - VLOOKUP($B135,'20Trips'!$A$3:$G$22,6,FALSE) &gt;= ('20Trips'!#REF!+VLOOKUP(VLOOKUP($B135,'20Trips'!$A$2:$I$22,4,FALSE),'20Trips'!$AB$46:$AH$50,7,FALSE))/1440),1,0)</f>
        <v>#REF!</v>
      </c>
      <c r="AE135" s="2" t="e">
        <f>IF(AND(VLOOKUP(AE$1,'20Trips'!$A$3:$F$22,5,FALSE) - VLOOKUP($B135,'20Trips'!$A$3:$G$22,6,FALSE) &gt;= ('20Trips'!#REF!+VLOOKUP(VLOOKUP($B135,'20Trips'!$A$2:$I$22,4,FALSE),'20Trips'!$AB$46:$AH$50,7,FALSE))/1440),1,0)</f>
        <v>#N/A</v>
      </c>
      <c r="AF135" s="2" t="e">
        <f>IF(AND(VLOOKUP(AF$1,'20Trips'!$A$3:$F$22,5,FALSE) - VLOOKUP($B135,'20Trips'!$A$3:$G$22,6,FALSE) &gt;= ('20Trips'!#REF!+VLOOKUP(VLOOKUP($B135,'20Trips'!$A$2:$I$22,4,FALSE),'20Trips'!$AB$46:$AH$50,7,FALSE))/1440),1,0)</f>
        <v>#N/A</v>
      </c>
      <c r="AG135" s="2" t="e">
        <f>IF(AND(VLOOKUP(AG$1,'20Trips'!$A$3:$F$22,5,FALSE) - VLOOKUP($B135,'20Trips'!$A$3:$G$22,6,FALSE) &gt;= ('20Trips'!#REF!+VLOOKUP(VLOOKUP($B135,'20Trips'!$A$2:$I$22,4,FALSE),'20Trips'!$AB$46:$AH$50,7,FALSE))/1440),1,0)</f>
        <v>#N/A</v>
      </c>
    </row>
    <row r="136" spans="1:33" x14ac:dyDescent="0.25">
      <c r="A136" t="s">
        <v>69</v>
      </c>
      <c r="B136" t="s">
        <v>20</v>
      </c>
      <c r="C136">
        <v>0</v>
      </c>
      <c r="D136" s="2" t="e">
        <f>IF(AND(VLOOKUP(D$1,'20Trips'!$A$3:$F$22,5,FALSE) - VLOOKUP($B136,'20Trips'!$A$3:$G$22,6,FALSE) &gt;= ('20Trips'!#REF!+VLOOKUP(VLOOKUP($B136,'20Trips'!$A$2:$I$22,4,FALSE),'20Trips'!$AB$46:$AH$50,7,FALSE))/1440),1,0)</f>
        <v>#REF!</v>
      </c>
      <c r="E136" s="2" t="e">
        <f>IF(AND(VLOOKUP(E$1,'20Trips'!$A$3:$F$22,5,FALSE) - VLOOKUP($B136,'20Trips'!$A$3:$G$22,6,FALSE) &gt;= ('20Trips'!#REF!+VLOOKUP(VLOOKUP($B136,'20Trips'!$A$2:$I$22,4,FALSE),'20Trips'!$AB$46:$AH$50,7,FALSE))/1440),1,0)</f>
        <v>#REF!</v>
      </c>
      <c r="F136" s="2" t="e">
        <f>IF(AND(VLOOKUP(F$1,'20Trips'!$A$3:$F$22,5,FALSE) - VLOOKUP($B136,'20Trips'!$A$3:$G$22,6,FALSE) &gt;= ('20Trips'!#REF!+VLOOKUP(VLOOKUP($B136,'20Trips'!$A$2:$I$22,4,FALSE),'20Trips'!$AB$46:$AH$50,7,FALSE))/1440),1,0)</f>
        <v>#REF!</v>
      </c>
      <c r="G136" s="2" t="e">
        <f>IF(AND(VLOOKUP(G$1,'20Trips'!$A$3:$F$22,5,FALSE) - VLOOKUP($B136,'20Trips'!$A$3:$G$22,6,FALSE) &gt;= ('20Trips'!#REF!+VLOOKUP(VLOOKUP($B136,'20Trips'!$A$2:$I$22,4,FALSE),'20Trips'!$AB$46:$AH$50,7,FALSE))/1440),1,0)</f>
        <v>#REF!</v>
      </c>
      <c r="H136" s="2" t="e">
        <f>IF(AND(VLOOKUP(H$1,'20Trips'!$A$3:$F$22,5,FALSE) - VLOOKUP($B136,'20Trips'!$A$3:$G$22,6,FALSE) &gt;= ('20Trips'!#REF!+VLOOKUP(VLOOKUP($B136,'20Trips'!$A$2:$I$22,4,FALSE),'20Trips'!$AB$46:$AH$50,7,FALSE))/1440),1,0)</f>
        <v>#REF!</v>
      </c>
      <c r="I136" s="2" t="e">
        <f>IF(AND(VLOOKUP(I$1,'20Trips'!$A$3:$F$22,5,FALSE) - VLOOKUP($B136,'20Trips'!$A$3:$G$22,6,FALSE) &gt;= ('20Trips'!#REF!+VLOOKUP(VLOOKUP($B136,'20Trips'!$A$2:$I$22,4,FALSE),'20Trips'!$AB$46:$AH$50,7,FALSE))/1440),1,0)</f>
        <v>#N/A</v>
      </c>
      <c r="J136" s="2" t="e">
        <f>IF(AND(VLOOKUP(J$1,'20Trips'!$A$3:$F$22,5,FALSE) - VLOOKUP($B136,'20Trips'!$A$3:$G$22,6,FALSE) &gt;= ('20Trips'!#REF!+VLOOKUP(VLOOKUP($B136,'20Trips'!$A$2:$I$22,4,FALSE),'20Trips'!$AB$46:$AH$50,7,FALSE))/1440),1,0)</f>
        <v>#N/A</v>
      </c>
      <c r="K136" s="2" t="e">
        <f>IF(AND(VLOOKUP(K$1,'20Trips'!$A$3:$F$22,5,FALSE) - VLOOKUP($B136,'20Trips'!$A$3:$G$22,6,FALSE) &gt;= ('20Trips'!#REF!+VLOOKUP(VLOOKUP($B136,'20Trips'!$A$2:$I$22,4,FALSE),'20Trips'!$AB$46:$AH$50,7,FALSE))/1440),1,0)</f>
        <v>#N/A</v>
      </c>
      <c r="L136" s="2" t="e">
        <f>IF(AND(VLOOKUP(L$1,'20Trips'!$A$3:$F$22,5,FALSE) - VLOOKUP($B136,'20Trips'!$A$3:$G$22,6,FALSE) &gt;= ('20Trips'!#REF!+VLOOKUP(VLOOKUP($B136,'20Trips'!$A$2:$I$22,4,FALSE),'20Trips'!$AB$46:$AH$50,7,FALSE))/1440),1,0)</f>
        <v>#REF!</v>
      </c>
      <c r="M136" s="2" t="e">
        <f>IF(AND(VLOOKUP(M$1,'20Trips'!$A$3:$F$22,5,FALSE) - VLOOKUP($B136,'20Trips'!$A$3:$G$22,6,FALSE) &gt;= ('20Trips'!#REF!+VLOOKUP(VLOOKUP($B136,'20Trips'!$A$2:$I$22,4,FALSE),'20Trips'!$AB$46:$AH$50,7,FALSE))/1440),1,0)</f>
        <v>#REF!</v>
      </c>
      <c r="N136" s="2" t="e">
        <f>IF(AND(VLOOKUP(N$1,'20Trips'!$A$3:$F$22,5,FALSE) - VLOOKUP($B136,'20Trips'!$A$3:$G$22,6,FALSE) &gt;= ('20Trips'!#REF!+VLOOKUP(VLOOKUP($B136,'20Trips'!$A$2:$I$22,4,FALSE),'20Trips'!$AB$46:$AH$50,7,FALSE))/1440),1,0)</f>
        <v>#REF!</v>
      </c>
      <c r="O136" s="2" t="e">
        <f>IF(AND(VLOOKUP(O$1,'20Trips'!$A$3:$F$22,5,FALSE) - VLOOKUP($B136,'20Trips'!$A$3:$G$22,6,FALSE) &gt;= ('20Trips'!#REF!+VLOOKUP(VLOOKUP($B136,'20Trips'!$A$2:$I$22,4,FALSE),'20Trips'!$AB$46:$AH$50,7,FALSE))/1440),1,0)</f>
        <v>#REF!</v>
      </c>
      <c r="P136" s="2" t="e">
        <f>IF(AND(VLOOKUP(P$1,'20Trips'!$A$3:$F$22,5,FALSE) - VLOOKUP($B136,'20Trips'!$A$3:$G$22,6,FALSE) &gt;= ('20Trips'!#REF!+VLOOKUP(VLOOKUP($B136,'20Trips'!$A$2:$I$22,4,FALSE),'20Trips'!$AB$46:$AH$50,7,FALSE))/1440),1,0)</f>
        <v>#REF!</v>
      </c>
      <c r="Q136" s="2" t="e">
        <f>IF(AND(VLOOKUP(Q$1,'20Trips'!$A$3:$F$22,5,FALSE) - VLOOKUP($B136,'20Trips'!$A$3:$G$22,6,FALSE) &gt;= ('20Trips'!#REF!+VLOOKUP(VLOOKUP($B136,'20Trips'!$A$2:$I$22,4,FALSE),'20Trips'!$AB$46:$AH$50,7,FALSE))/1440),1,0)</f>
        <v>#N/A</v>
      </c>
      <c r="R136" s="2" t="e">
        <f>IF(AND(VLOOKUP(R$1,'20Trips'!$A$3:$F$22,5,FALSE) - VLOOKUP($B136,'20Trips'!$A$3:$G$22,6,FALSE) &gt;= ('20Trips'!#REF!+VLOOKUP(VLOOKUP($B136,'20Trips'!$A$2:$I$22,4,FALSE),'20Trips'!$AB$46:$AH$50,7,FALSE))/1440),1,0)</f>
        <v>#REF!</v>
      </c>
      <c r="S136" s="2" t="e">
        <f>IF(AND(VLOOKUP(S$1,'20Trips'!$A$3:$F$22,5,FALSE) - VLOOKUP($B136,'20Trips'!$A$3:$G$22,6,FALSE) &gt;= ('20Trips'!#REF!+VLOOKUP(VLOOKUP($B136,'20Trips'!$A$2:$I$22,4,FALSE),'20Trips'!$AB$46:$AH$50,7,FALSE))/1440),1,0)</f>
        <v>#REF!</v>
      </c>
      <c r="T136" s="2" t="e">
        <f>IF(AND(VLOOKUP(T$1,'20Trips'!$A$3:$F$22,5,FALSE) - VLOOKUP($B136,'20Trips'!$A$3:$G$22,6,FALSE) &gt;= ('20Trips'!#REF!+VLOOKUP(VLOOKUP($B136,'20Trips'!$A$2:$I$22,4,FALSE),'20Trips'!$AB$46:$AH$50,7,FALSE))/1440),1,0)</f>
        <v>#REF!</v>
      </c>
      <c r="U136" s="2" t="e">
        <f>IF(AND(VLOOKUP(U$1,'20Trips'!$A$3:$F$22,5,FALSE) - VLOOKUP($B136,'20Trips'!$A$3:$G$22,6,FALSE) &gt;= ('20Trips'!#REF!+VLOOKUP(VLOOKUP($B136,'20Trips'!$A$2:$I$22,4,FALSE),'20Trips'!$AB$46:$AH$50,7,FALSE))/1440),1,0)</f>
        <v>#REF!</v>
      </c>
      <c r="V136" s="2" t="e">
        <f>IF(AND(VLOOKUP(V$1,'20Trips'!$A$3:$F$22,5,FALSE) - VLOOKUP($B136,'20Trips'!$A$3:$G$22,6,FALSE) &gt;= ('20Trips'!#REF!+VLOOKUP(VLOOKUP($B136,'20Trips'!$A$2:$I$22,4,FALSE),'20Trips'!$AB$46:$AH$50,7,FALSE))/1440),1,0)</f>
        <v>#REF!</v>
      </c>
      <c r="W136" s="2" t="e">
        <f>IF(AND(VLOOKUP(W$1,'20Trips'!$A$3:$F$22,5,FALSE) - VLOOKUP($B136,'20Trips'!$A$3:$G$22,6,FALSE) &gt;= ('20Trips'!#REF!+VLOOKUP(VLOOKUP($B136,'20Trips'!$A$2:$I$22,4,FALSE),'20Trips'!$AB$46:$AH$50,7,FALSE))/1440),1,0)</f>
        <v>#N/A</v>
      </c>
      <c r="X136" s="2" t="e">
        <f>IF(AND(VLOOKUP(X$1,'20Trips'!$A$3:$F$22,5,FALSE) - VLOOKUP($B136,'20Trips'!$A$3:$G$22,6,FALSE) &gt;= ('20Trips'!#REF!+VLOOKUP(VLOOKUP($B136,'20Trips'!$A$2:$I$22,4,FALSE),'20Trips'!$AB$46:$AH$50,7,FALSE))/1440),1,0)</f>
        <v>#N/A</v>
      </c>
      <c r="Y136" s="2" t="e">
        <f>IF(AND(VLOOKUP(Y$1,'20Trips'!$A$3:$F$22,5,FALSE) - VLOOKUP($B136,'20Trips'!$A$3:$G$22,6,FALSE) &gt;= ('20Trips'!#REF!+VLOOKUP(VLOOKUP($B136,'20Trips'!$A$2:$I$22,4,FALSE),'20Trips'!$AB$46:$AH$50,7,FALSE))/1440),1,0)</f>
        <v>#N/A</v>
      </c>
      <c r="Z136" s="2" t="e">
        <f>IF(AND(VLOOKUP(Z$1,'20Trips'!$A$3:$F$22,5,FALSE) - VLOOKUP($B136,'20Trips'!$A$3:$G$22,6,FALSE) &gt;= ('20Trips'!#REF!+VLOOKUP(VLOOKUP($B136,'20Trips'!$A$2:$I$22,4,FALSE),'20Trips'!$AB$46:$AH$50,7,FALSE))/1440),1,0)</f>
        <v>#REF!</v>
      </c>
      <c r="AA136" s="2" t="e">
        <f>IF(AND(VLOOKUP(AA$1,'20Trips'!$A$3:$F$22,5,FALSE) - VLOOKUP($B136,'20Trips'!$A$3:$G$22,6,FALSE) &gt;= ('20Trips'!#REF!+VLOOKUP(VLOOKUP($B136,'20Trips'!$A$2:$I$22,4,FALSE),'20Trips'!$AB$46:$AH$50,7,FALSE))/1440),1,0)</f>
        <v>#REF!</v>
      </c>
      <c r="AB136" s="2" t="e">
        <f>IF(AND(VLOOKUP(AB$1,'20Trips'!$A$3:$F$22,5,FALSE) - VLOOKUP($B136,'20Trips'!$A$3:$G$22,6,FALSE) &gt;= ('20Trips'!#REF!+VLOOKUP(VLOOKUP($B136,'20Trips'!$A$2:$I$22,4,FALSE),'20Trips'!$AB$46:$AH$50,7,FALSE))/1440),1,0)</f>
        <v>#REF!</v>
      </c>
      <c r="AC136" s="2" t="e">
        <f>IF(AND(VLOOKUP(AC$1,'20Trips'!$A$3:$F$22,5,FALSE) - VLOOKUP($B136,'20Trips'!$A$3:$G$22,6,FALSE) &gt;= ('20Trips'!#REF!+VLOOKUP(VLOOKUP($B136,'20Trips'!$A$2:$I$22,4,FALSE),'20Trips'!$AB$46:$AH$50,7,FALSE))/1440),1,0)</f>
        <v>#REF!</v>
      </c>
      <c r="AD136" s="2" t="e">
        <f>IF(AND(VLOOKUP(AD$1,'20Trips'!$A$3:$F$22,5,FALSE) - VLOOKUP($B136,'20Trips'!$A$3:$G$22,6,FALSE) &gt;= ('20Trips'!#REF!+VLOOKUP(VLOOKUP($B136,'20Trips'!$A$2:$I$22,4,FALSE),'20Trips'!$AB$46:$AH$50,7,FALSE))/1440),1,0)</f>
        <v>#REF!</v>
      </c>
      <c r="AE136" s="2" t="e">
        <f>IF(AND(VLOOKUP(AE$1,'20Trips'!$A$3:$F$22,5,FALSE) - VLOOKUP($B136,'20Trips'!$A$3:$G$22,6,FALSE) &gt;= ('20Trips'!#REF!+VLOOKUP(VLOOKUP($B136,'20Trips'!$A$2:$I$22,4,FALSE),'20Trips'!$AB$46:$AH$50,7,FALSE))/1440),1,0)</f>
        <v>#N/A</v>
      </c>
      <c r="AF136" s="2" t="e">
        <f>IF(AND(VLOOKUP(AF$1,'20Trips'!$A$3:$F$22,5,FALSE) - VLOOKUP($B136,'20Trips'!$A$3:$G$22,6,FALSE) &gt;= ('20Trips'!#REF!+VLOOKUP(VLOOKUP($B136,'20Trips'!$A$2:$I$22,4,FALSE),'20Trips'!$AB$46:$AH$50,7,FALSE))/1440),1,0)</f>
        <v>#N/A</v>
      </c>
      <c r="AG136" s="2" t="e">
        <f>IF(AND(VLOOKUP(AG$1,'20Trips'!$A$3:$F$22,5,FALSE) - VLOOKUP($B136,'20Trips'!$A$3:$G$22,6,FALSE) &gt;= ('20Trips'!#REF!+VLOOKUP(VLOOKUP($B136,'20Trips'!$A$2:$I$22,4,FALSE),'20Trips'!$AB$46:$AH$50,7,FALSE))/1440),1,0)</f>
        <v>#N/A</v>
      </c>
    </row>
    <row r="137" spans="1:33" x14ac:dyDescent="0.25">
      <c r="A137" t="s">
        <v>69</v>
      </c>
      <c r="B137" t="s">
        <v>21</v>
      </c>
      <c r="C137">
        <v>0</v>
      </c>
      <c r="D137" s="2" t="e">
        <f>IF(AND(VLOOKUP(D$1,'20Trips'!$A$3:$F$22,5,FALSE) - VLOOKUP($B137,'20Trips'!$A$3:$G$22,6,FALSE) &gt;= ('20Trips'!#REF!+VLOOKUP(VLOOKUP($B137,'20Trips'!$A$2:$I$22,4,FALSE),'20Trips'!$AB$46:$AH$50,7,FALSE))/1440),1,0)</f>
        <v>#REF!</v>
      </c>
      <c r="E137" s="2" t="e">
        <f>IF(AND(VLOOKUP(E$1,'20Trips'!$A$3:$F$22,5,FALSE) - VLOOKUP($B137,'20Trips'!$A$3:$G$22,6,FALSE) &gt;= ('20Trips'!#REF!+VLOOKUP(VLOOKUP($B137,'20Trips'!$A$2:$I$22,4,FALSE),'20Trips'!$AB$46:$AH$50,7,FALSE))/1440),1,0)</f>
        <v>#REF!</v>
      </c>
      <c r="F137" s="2" t="e">
        <f>IF(AND(VLOOKUP(F$1,'20Trips'!$A$3:$F$22,5,FALSE) - VLOOKUP($B137,'20Trips'!$A$3:$G$22,6,FALSE) &gt;= ('20Trips'!#REF!+VLOOKUP(VLOOKUP($B137,'20Trips'!$A$2:$I$22,4,FALSE),'20Trips'!$AB$46:$AH$50,7,FALSE))/1440),1,0)</f>
        <v>#REF!</v>
      </c>
      <c r="G137" s="2" t="e">
        <f>IF(AND(VLOOKUP(G$1,'20Trips'!$A$3:$F$22,5,FALSE) - VLOOKUP($B137,'20Trips'!$A$3:$G$22,6,FALSE) &gt;= ('20Trips'!#REF!+VLOOKUP(VLOOKUP($B137,'20Trips'!$A$2:$I$22,4,FALSE),'20Trips'!$AB$46:$AH$50,7,FALSE))/1440),1,0)</f>
        <v>#REF!</v>
      </c>
      <c r="H137" s="2" t="e">
        <f>IF(AND(VLOOKUP(H$1,'20Trips'!$A$3:$F$22,5,FALSE) - VLOOKUP($B137,'20Trips'!$A$3:$G$22,6,FALSE) &gt;= ('20Trips'!#REF!+VLOOKUP(VLOOKUP($B137,'20Trips'!$A$2:$I$22,4,FALSE),'20Trips'!$AB$46:$AH$50,7,FALSE))/1440),1,0)</f>
        <v>#REF!</v>
      </c>
      <c r="I137" s="2" t="e">
        <f>IF(AND(VLOOKUP(I$1,'20Trips'!$A$3:$F$22,5,FALSE) - VLOOKUP($B137,'20Trips'!$A$3:$G$22,6,FALSE) &gt;= ('20Trips'!#REF!+VLOOKUP(VLOOKUP($B137,'20Trips'!$A$2:$I$22,4,FALSE),'20Trips'!$AB$46:$AH$50,7,FALSE))/1440),1,0)</f>
        <v>#N/A</v>
      </c>
      <c r="J137" s="2" t="e">
        <f>IF(AND(VLOOKUP(J$1,'20Trips'!$A$3:$F$22,5,FALSE) - VLOOKUP($B137,'20Trips'!$A$3:$G$22,6,FALSE) &gt;= ('20Trips'!#REF!+VLOOKUP(VLOOKUP($B137,'20Trips'!$A$2:$I$22,4,FALSE),'20Trips'!$AB$46:$AH$50,7,FALSE))/1440),1,0)</f>
        <v>#N/A</v>
      </c>
      <c r="K137" s="2" t="e">
        <f>IF(AND(VLOOKUP(K$1,'20Trips'!$A$3:$F$22,5,FALSE) - VLOOKUP($B137,'20Trips'!$A$3:$G$22,6,FALSE) &gt;= ('20Trips'!#REF!+VLOOKUP(VLOOKUP($B137,'20Trips'!$A$2:$I$22,4,FALSE),'20Trips'!$AB$46:$AH$50,7,FALSE))/1440),1,0)</f>
        <v>#N/A</v>
      </c>
      <c r="L137" s="2" t="e">
        <f>IF(AND(VLOOKUP(L$1,'20Trips'!$A$3:$F$22,5,FALSE) - VLOOKUP($B137,'20Trips'!$A$3:$G$22,6,FALSE) &gt;= ('20Trips'!#REF!+VLOOKUP(VLOOKUP($B137,'20Trips'!$A$2:$I$22,4,FALSE),'20Trips'!$AB$46:$AH$50,7,FALSE))/1440),1,0)</f>
        <v>#REF!</v>
      </c>
      <c r="M137" s="2" t="e">
        <f>IF(AND(VLOOKUP(M$1,'20Trips'!$A$3:$F$22,5,FALSE) - VLOOKUP($B137,'20Trips'!$A$3:$G$22,6,FALSE) &gt;= ('20Trips'!#REF!+VLOOKUP(VLOOKUP($B137,'20Trips'!$A$2:$I$22,4,FALSE),'20Trips'!$AB$46:$AH$50,7,FALSE))/1440),1,0)</f>
        <v>#REF!</v>
      </c>
      <c r="N137" s="2" t="e">
        <f>IF(AND(VLOOKUP(N$1,'20Trips'!$A$3:$F$22,5,FALSE) - VLOOKUP($B137,'20Trips'!$A$3:$G$22,6,FALSE) &gt;= ('20Trips'!#REF!+VLOOKUP(VLOOKUP($B137,'20Trips'!$A$2:$I$22,4,FALSE),'20Trips'!$AB$46:$AH$50,7,FALSE))/1440),1,0)</f>
        <v>#REF!</v>
      </c>
      <c r="O137" s="2" t="e">
        <f>IF(AND(VLOOKUP(O$1,'20Trips'!$A$3:$F$22,5,FALSE) - VLOOKUP($B137,'20Trips'!$A$3:$G$22,6,FALSE) &gt;= ('20Trips'!#REF!+VLOOKUP(VLOOKUP($B137,'20Trips'!$A$2:$I$22,4,FALSE),'20Trips'!$AB$46:$AH$50,7,FALSE))/1440),1,0)</f>
        <v>#REF!</v>
      </c>
      <c r="P137" s="2" t="e">
        <f>IF(AND(VLOOKUP(P$1,'20Trips'!$A$3:$F$22,5,FALSE) - VLOOKUP($B137,'20Trips'!$A$3:$G$22,6,FALSE) &gt;= ('20Trips'!#REF!+VLOOKUP(VLOOKUP($B137,'20Trips'!$A$2:$I$22,4,FALSE),'20Trips'!$AB$46:$AH$50,7,FALSE))/1440),1,0)</f>
        <v>#REF!</v>
      </c>
      <c r="Q137" s="2" t="e">
        <f>IF(AND(VLOOKUP(Q$1,'20Trips'!$A$3:$F$22,5,FALSE) - VLOOKUP($B137,'20Trips'!$A$3:$G$22,6,FALSE) &gt;= ('20Trips'!#REF!+VLOOKUP(VLOOKUP($B137,'20Trips'!$A$2:$I$22,4,FALSE),'20Trips'!$AB$46:$AH$50,7,FALSE))/1440),1,0)</f>
        <v>#N/A</v>
      </c>
      <c r="R137" s="2" t="e">
        <f>IF(AND(VLOOKUP(R$1,'20Trips'!$A$3:$F$22,5,FALSE) - VLOOKUP($B137,'20Trips'!$A$3:$G$22,6,FALSE) &gt;= ('20Trips'!#REF!+VLOOKUP(VLOOKUP($B137,'20Trips'!$A$2:$I$22,4,FALSE),'20Trips'!$AB$46:$AH$50,7,FALSE))/1440),1,0)</f>
        <v>#REF!</v>
      </c>
      <c r="S137" s="2" t="e">
        <f>IF(AND(VLOOKUP(S$1,'20Trips'!$A$3:$F$22,5,FALSE) - VLOOKUP($B137,'20Trips'!$A$3:$G$22,6,FALSE) &gt;= ('20Trips'!#REF!+VLOOKUP(VLOOKUP($B137,'20Trips'!$A$2:$I$22,4,FALSE),'20Trips'!$AB$46:$AH$50,7,FALSE))/1440),1,0)</f>
        <v>#REF!</v>
      </c>
      <c r="T137" s="2" t="e">
        <f>IF(AND(VLOOKUP(T$1,'20Trips'!$A$3:$F$22,5,FALSE) - VLOOKUP($B137,'20Trips'!$A$3:$G$22,6,FALSE) &gt;= ('20Trips'!#REF!+VLOOKUP(VLOOKUP($B137,'20Trips'!$A$2:$I$22,4,FALSE),'20Trips'!$AB$46:$AH$50,7,FALSE))/1440),1,0)</f>
        <v>#REF!</v>
      </c>
      <c r="U137" s="2" t="e">
        <f>IF(AND(VLOOKUP(U$1,'20Trips'!$A$3:$F$22,5,FALSE) - VLOOKUP($B137,'20Trips'!$A$3:$G$22,6,FALSE) &gt;= ('20Trips'!#REF!+VLOOKUP(VLOOKUP($B137,'20Trips'!$A$2:$I$22,4,FALSE),'20Trips'!$AB$46:$AH$50,7,FALSE))/1440),1,0)</f>
        <v>#REF!</v>
      </c>
      <c r="V137" s="2" t="e">
        <f>IF(AND(VLOOKUP(V$1,'20Trips'!$A$3:$F$22,5,FALSE) - VLOOKUP($B137,'20Trips'!$A$3:$G$22,6,FALSE) &gt;= ('20Trips'!#REF!+VLOOKUP(VLOOKUP($B137,'20Trips'!$A$2:$I$22,4,FALSE),'20Trips'!$AB$46:$AH$50,7,FALSE))/1440),1,0)</f>
        <v>#REF!</v>
      </c>
      <c r="W137" s="2" t="e">
        <f>IF(AND(VLOOKUP(W$1,'20Trips'!$A$3:$F$22,5,FALSE) - VLOOKUP($B137,'20Trips'!$A$3:$G$22,6,FALSE) &gt;= ('20Trips'!#REF!+VLOOKUP(VLOOKUP($B137,'20Trips'!$A$2:$I$22,4,FALSE),'20Trips'!$AB$46:$AH$50,7,FALSE))/1440),1,0)</f>
        <v>#N/A</v>
      </c>
      <c r="X137" s="2" t="e">
        <f>IF(AND(VLOOKUP(X$1,'20Trips'!$A$3:$F$22,5,FALSE) - VLOOKUP($B137,'20Trips'!$A$3:$G$22,6,FALSE) &gt;= ('20Trips'!#REF!+VLOOKUP(VLOOKUP($B137,'20Trips'!$A$2:$I$22,4,FALSE),'20Trips'!$AB$46:$AH$50,7,FALSE))/1440),1,0)</f>
        <v>#N/A</v>
      </c>
      <c r="Y137" s="2" t="e">
        <f>IF(AND(VLOOKUP(Y$1,'20Trips'!$A$3:$F$22,5,FALSE) - VLOOKUP($B137,'20Trips'!$A$3:$G$22,6,FALSE) &gt;= ('20Trips'!#REF!+VLOOKUP(VLOOKUP($B137,'20Trips'!$A$2:$I$22,4,FALSE),'20Trips'!$AB$46:$AH$50,7,FALSE))/1440),1,0)</f>
        <v>#N/A</v>
      </c>
      <c r="Z137" s="2" t="e">
        <f>IF(AND(VLOOKUP(Z$1,'20Trips'!$A$3:$F$22,5,FALSE) - VLOOKUP($B137,'20Trips'!$A$3:$G$22,6,FALSE) &gt;= ('20Trips'!#REF!+VLOOKUP(VLOOKUP($B137,'20Trips'!$A$2:$I$22,4,FALSE),'20Trips'!$AB$46:$AH$50,7,FALSE))/1440),1,0)</f>
        <v>#REF!</v>
      </c>
      <c r="AA137" s="2" t="e">
        <f>IF(AND(VLOOKUP(AA$1,'20Trips'!$A$3:$F$22,5,FALSE) - VLOOKUP($B137,'20Trips'!$A$3:$G$22,6,FALSE) &gt;= ('20Trips'!#REF!+VLOOKUP(VLOOKUP($B137,'20Trips'!$A$2:$I$22,4,FALSE),'20Trips'!$AB$46:$AH$50,7,FALSE))/1440),1,0)</f>
        <v>#REF!</v>
      </c>
      <c r="AB137" s="2" t="e">
        <f>IF(AND(VLOOKUP(AB$1,'20Trips'!$A$3:$F$22,5,FALSE) - VLOOKUP($B137,'20Trips'!$A$3:$G$22,6,FALSE) &gt;= ('20Trips'!#REF!+VLOOKUP(VLOOKUP($B137,'20Trips'!$A$2:$I$22,4,FALSE),'20Trips'!$AB$46:$AH$50,7,FALSE))/1440),1,0)</f>
        <v>#REF!</v>
      </c>
      <c r="AC137" s="2" t="e">
        <f>IF(AND(VLOOKUP(AC$1,'20Trips'!$A$3:$F$22,5,FALSE) - VLOOKUP($B137,'20Trips'!$A$3:$G$22,6,FALSE) &gt;= ('20Trips'!#REF!+VLOOKUP(VLOOKUP($B137,'20Trips'!$A$2:$I$22,4,FALSE),'20Trips'!$AB$46:$AH$50,7,FALSE))/1440),1,0)</f>
        <v>#REF!</v>
      </c>
      <c r="AD137" s="2" t="e">
        <f>IF(AND(VLOOKUP(AD$1,'20Trips'!$A$3:$F$22,5,FALSE) - VLOOKUP($B137,'20Trips'!$A$3:$G$22,6,FALSE) &gt;= ('20Trips'!#REF!+VLOOKUP(VLOOKUP($B137,'20Trips'!$A$2:$I$22,4,FALSE),'20Trips'!$AB$46:$AH$50,7,FALSE))/1440),1,0)</f>
        <v>#REF!</v>
      </c>
      <c r="AE137" s="2" t="e">
        <f>IF(AND(VLOOKUP(AE$1,'20Trips'!$A$3:$F$22,5,FALSE) - VLOOKUP($B137,'20Trips'!$A$3:$G$22,6,FALSE) &gt;= ('20Trips'!#REF!+VLOOKUP(VLOOKUP($B137,'20Trips'!$A$2:$I$22,4,FALSE),'20Trips'!$AB$46:$AH$50,7,FALSE))/1440),1,0)</f>
        <v>#N/A</v>
      </c>
      <c r="AF137" s="2" t="e">
        <f>IF(AND(VLOOKUP(AF$1,'20Trips'!$A$3:$F$22,5,FALSE) - VLOOKUP($B137,'20Trips'!$A$3:$G$22,6,FALSE) &gt;= ('20Trips'!#REF!+VLOOKUP(VLOOKUP($B137,'20Trips'!$A$2:$I$22,4,FALSE),'20Trips'!$AB$46:$AH$50,7,FALSE))/1440),1,0)</f>
        <v>#N/A</v>
      </c>
      <c r="AG137" s="2" t="e">
        <f>IF(AND(VLOOKUP(AG$1,'20Trips'!$A$3:$F$22,5,FALSE) - VLOOKUP($B137,'20Trips'!$A$3:$G$22,6,FALSE) &gt;= ('20Trips'!#REF!+VLOOKUP(VLOOKUP($B137,'20Trips'!$A$2:$I$22,4,FALSE),'20Trips'!$AB$46:$AH$50,7,FALSE))/1440),1,0)</f>
        <v>#N/A</v>
      </c>
    </row>
    <row r="138" spans="1:33" x14ac:dyDescent="0.25">
      <c r="A138" t="s">
        <v>69</v>
      </c>
      <c r="B138" t="s">
        <v>22</v>
      </c>
      <c r="C138">
        <v>0</v>
      </c>
      <c r="D138" s="2" t="e">
        <f>IF(AND(VLOOKUP(D$1,'20Trips'!$A$3:$F$22,5,FALSE) - VLOOKUP($B138,'20Trips'!$A$3:$G$22,6,FALSE) &gt;= ('20Trips'!#REF!+VLOOKUP(VLOOKUP($B138,'20Trips'!$A$2:$I$22,4,FALSE),'20Trips'!$AB$46:$AH$50,7,FALSE))/1440),1,0)</f>
        <v>#REF!</v>
      </c>
      <c r="E138" s="2" t="e">
        <f>IF(AND(VLOOKUP(E$1,'20Trips'!$A$3:$F$22,5,FALSE) - VLOOKUP($B138,'20Trips'!$A$3:$G$22,6,FALSE) &gt;= ('20Trips'!#REF!+VLOOKUP(VLOOKUP($B138,'20Trips'!$A$2:$I$22,4,FALSE),'20Trips'!$AB$46:$AH$50,7,FALSE))/1440),1,0)</f>
        <v>#REF!</v>
      </c>
      <c r="F138" s="2" t="e">
        <f>IF(AND(VLOOKUP(F$1,'20Trips'!$A$3:$F$22,5,FALSE) - VLOOKUP($B138,'20Trips'!$A$3:$G$22,6,FALSE) &gt;= ('20Trips'!#REF!+VLOOKUP(VLOOKUP($B138,'20Trips'!$A$2:$I$22,4,FALSE),'20Trips'!$AB$46:$AH$50,7,FALSE))/1440),1,0)</f>
        <v>#REF!</v>
      </c>
      <c r="G138" s="2" t="e">
        <f>IF(AND(VLOOKUP(G$1,'20Trips'!$A$3:$F$22,5,FALSE) - VLOOKUP($B138,'20Trips'!$A$3:$G$22,6,FALSE) &gt;= ('20Trips'!#REF!+VLOOKUP(VLOOKUP($B138,'20Trips'!$A$2:$I$22,4,FALSE),'20Trips'!$AB$46:$AH$50,7,FALSE))/1440),1,0)</f>
        <v>#REF!</v>
      </c>
      <c r="H138" s="2" t="e">
        <f>IF(AND(VLOOKUP(H$1,'20Trips'!$A$3:$F$22,5,FALSE) - VLOOKUP($B138,'20Trips'!$A$3:$G$22,6,FALSE) &gt;= ('20Trips'!#REF!+VLOOKUP(VLOOKUP($B138,'20Trips'!$A$2:$I$22,4,FALSE),'20Trips'!$AB$46:$AH$50,7,FALSE))/1440),1,0)</f>
        <v>#REF!</v>
      </c>
      <c r="I138" s="2" t="e">
        <f>IF(AND(VLOOKUP(I$1,'20Trips'!$A$3:$F$22,5,FALSE) - VLOOKUP($B138,'20Trips'!$A$3:$G$22,6,FALSE) &gt;= ('20Trips'!#REF!+VLOOKUP(VLOOKUP($B138,'20Trips'!$A$2:$I$22,4,FALSE),'20Trips'!$AB$46:$AH$50,7,FALSE))/1440),1,0)</f>
        <v>#N/A</v>
      </c>
      <c r="J138" s="2" t="e">
        <f>IF(AND(VLOOKUP(J$1,'20Trips'!$A$3:$F$22,5,FALSE) - VLOOKUP($B138,'20Trips'!$A$3:$G$22,6,FALSE) &gt;= ('20Trips'!#REF!+VLOOKUP(VLOOKUP($B138,'20Trips'!$A$2:$I$22,4,FALSE),'20Trips'!$AB$46:$AH$50,7,FALSE))/1440),1,0)</f>
        <v>#N/A</v>
      </c>
      <c r="K138" s="2" t="e">
        <f>IF(AND(VLOOKUP(K$1,'20Trips'!$A$3:$F$22,5,FALSE) - VLOOKUP($B138,'20Trips'!$A$3:$G$22,6,FALSE) &gt;= ('20Trips'!#REF!+VLOOKUP(VLOOKUP($B138,'20Trips'!$A$2:$I$22,4,FALSE),'20Trips'!$AB$46:$AH$50,7,FALSE))/1440),1,0)</f>
        <v>#N/A</v>
      </c>
      <c r="L138" s="2" t="e">
        <f>IF(AND(VLOOKUP(L$1,'20Trips'!$A$3:$F$22,5,FALSE) - VLOOKUP($B138,'20Trips'!$A$3:$G$22,6,FALSE) &gt;= ('20Trips'!#REF!+VLOOKUP(VLOOKUP($B138,'20Trips'!$A$2:$I$22,4,FALSE),'20Trips'!$AB$46:$AH$50,7,FALSE))/1440),1,0)</f>
        <v>#REF!</v>
      </c>
      <c r="M138" s="2" t="e">
        <f>IF(AND(VLOOKUP(M$1,'20Trips'!$A$3:$F$22,5,FALSE) - VLOOKUP($B138,'20Trips'!$A$3:$G$22,6,FALSE) &gt;= ('20Trips'!#REF!+VLOOKUP(VLOOKUP($B138,'20Trips'!$A$2:$I$22,4,FALSE),'20Trips'!$AB$46:$AH$50,7,FALSE))/1440),1,0)</f>
        <v>#REF!</v>
      </c>
      <c r="N138" s="2" t="e">
        <f>IF(AND(VLOOKUP(N$1,'20Trips'!$A$3:$F$22,5,FALSE) - VLOOKUP($B138,'20Trips'!$A$3:$G$22,6,FALSE) &gt;= ('20Trips'!#REF!+VLOOKUP(VLOOKUP($B138,'20Trips'!$A$2:$I$22,4,FALSE),'20Trips'!$AB$46:$AH$50,7,FALSE))/1440),1,0)</f>
        <v>#REF!</v>
      </c>
      <c r="O138" s="2" t="e">
        <f>IF(AND(VLOOKUP(O$1,'20Trips'!$A$3:$F$22,5,FALSE) - VLOOKUP($B138,'20Trips'!$A$3:$G$22,6,FALSE) &gt;= ('20Trips'!#REF!+VLOOKUP(VLOOKUP($B138,'20Trips'!$A$2:$I$22,4,FALSE),'20Trips'!$AB$46:$AH$50,7,FALSE))/1440),1,0)</f>
        <v>#REF!</v>
      </c>
      <c r="P138" s="2" t="e">
        <f>IF(AND(VLOOKUP(P$1,'20Trips'!$A$3:$F$22,5,FALSE) - VLOOKUP($B138,'20Trips'!$A$3:$G$22,6,FALSE) &gt;= ('20Trips'!#REF!+VLOOKUP(VLOOKUP($B138,'20Trips'!$A$2:$I$22,4,FALSE),'20Trips'!$AB$46:$AH$50,7,FALSE))/1440),1,0)</f>
        <v>#REF!</v>
      </c>
      <c r="Q138" s="2" t="e">
        <f>IF(AND(VLOOKUP(Q$1,'20Trips'!$A$3:$F$22,5,FALSE) - VLOOKUP($B138,'20Trips'!$A$3:$G$22,6,FALSE) &gt;= ('20Trips'!#REF!+VLOOKUP(VLOOKUP($B138,'20Trips'!$A$2:$I$22,4,FALSE),'20Trips'!$AB$46:$AH$50,7,FALSE))/1440),1,0)</f>
        <v>#N/A</v>
      </c>
      <c r="R138" s="2" t="e">
        <f>IF(AND(VLOOKUP(R$1,'20Trips'!$A$3:$F$22,5,FALSE) - VLOOKUP($B138,'20Trips'!$A$3:$G$22,6,FALSE) &gt;= ('20Trips'!#REF!+VLOOKUP(VLOOKUP($B138,'20Trips'!$A$2:$I$22,4,FALSE),'20Trips'!$AB$46:$AH$50,7,FALSE))/1440),1,0)</f>
        <v>#REF!</v>
      </c>
      <c r="S138" s="2" t="e">
        <f>IF(AND(VLOOKUP(S$1,'20Trips'!$A$3:$F$22,5,FALSE) - VLOOKUP($B138,'20Trips'!$A$3:$G$22,6,FALSE) &gt;= ('20Trips'!#REF!+VLOOKUP(VLOOKUP($B138,'20Trips'!$A$2:$I$22,4,FALSE),'20Trips'!$AB$46:$AH$50,7,FALSE))/1440),1,0)</f>
        <v>#REF!</v>
      </c>
      <c r="T138" s="2" t="e">
        <f>IF(AND(VLOOKUP(T$1,'20Trips'!$A$3:$F$22,5,FALSE) - VLOOKUP($B138,'20Trips'!$A$3:$G$22,6,FALSE) &gt;= ('20Trips'!#REF!+VLOOKUP(VLOOKUP($B138,'20Trips'!$A$2:$I$22,4,FALSE),'20Trips'!$AB$46:$AH$50,7,FALSE))/1440),1,0)</f>
        <v>#REF!</v>
      </c>
      <c r="U138" s="2" t="e">
        <f>IF(AND(VLOOKUP(U$1,'20Trips'!$A$3:$F$22,5,FALSE) - VLOOKUP($B138,'20Trips'!$A$3:$G$22,6,FALSE) &gt;= ('20Trips'!#REF!+VLOOKUP(VLOOKUP($B138,'20Trips'!$A$2:$I$22,4,FALSE),'20Trips'!$AB$46:$AH$50,7,FALSE))/1440),1,0)</f>
        <v>#REF!</v>
      </c>
      <c r="V138" s="2" t="e">
        <f>IF(AND(VLOOKUP(V$1,'20Trips'!$A$3:$F$22,5,FALSE) - VLOOKUP($B138,'20Trips'!$A$3:$G$22,6,FALSE) &gt;= ('20Trips'!#REF!+VLOOKUP(VLOOKUP($B138,'20Trips'!$A$2:$I$22,4,FALSE),'20Trips'!$AB$46:$AH$50,7,FALSE))/1440),1,0)</f>
        <v>#REF!</v>
      </c>
      <c r="W138" s="2" t="e">
        <f>IF(AND(VLOOKUP(W$1,'20Trips'!$A$3:$F$22,5,FALSE) - VLOOKUP($B138,'20Trips'!$A$3:$G$22,6,FALSE) &gt;= ('20Trips'!#REF!+VLOOKUP(VLOOKUP($B138,'20Trips'!$A$2:$I$22,4,FALSE),'20Trips'!$AB$46:$AH$50,7,FALSE))/1440),1,0)</f>
        <v>#N/A</v>
      </c>
      <c r="X138" s="2" t="e">
        <f>IF(AND(VLOOKUP(X$1,'20Trips'!$A$3:$F$22,5,FALSE) - VLOOKUP($B138,'20Trips'!$A$3:$G$22,6,FALSE) &gt;= ('20Trips'!#REF!+VLOOKUP(VLOOKUP($B138,'20Trips'!$A$2:$I$22,4,FALSE),'20Trips'!$AB$46:$AH$50,7,FALSE))/1440),1,0)</f>
        <v>#N/A</v>
      </c>
      <c r="Y138" s="2" t="e">
        <f>IF(AND(VLOOKUP(Y$1,'20Trips'!$A$3:$F$22,5,FALSE) - VLOOKUP($B138,'20Trips'!$A$3:$G$22,6,FALSE) &gt;= ('20Trips'!#REF!+VLOOKUP(VLOOKUP($B138,'20Trips'!$A$2:$I$22,4,FALSE),'20Trips'!$AB$46:$AH$50,7,FALSE))/1440),1,0)</f>
        <v>#N/A</v>
      </c>
      <c r="Z138" s="2" t="e">
        <f>IF(AND(VLOOKUP(Z$1,'20Trips'!$A$3:$F$22,5,FALSE) - VLOOKUP($B138,'20Trips'!$A$3:$G$22,6,FALSE) &gt;= ('20Trips'!#REF!+VLOOKUP(VLOOKUP($B138,'20Trips'!$A$2:$I$22,4,FALSE),'20Trips'!$AB$46:$AH$50,7,FALSE))/1440),1,0)</f>
        <v>#REF!</v>
      </c>
      <c r="AA138" s="2" t="e">
        <f>IF(AND(VLOOKUP(AA$1,'20Trips'!$A$3:$F$22,5,FALSE) - VLOOKUP($B138,'20Trips'!$A$3:$G$22,6,FALSE) &gt;= ('20Trips'!#REF!+VLOOKUP(VLOOKUP($B138,'20Trips'!$A$2:$I$22,4,FALSE),'20Trips'!$AB$46:$AH$50,7,FALSE))/1440),1,0)</f>
        <v>#REF!</v>
      </c>
      <c r="AB138" s="2" t="e">
        <f>IF(AND(VLOOKUP(AB$1,'20Trips'!$A$3:$F$22,5,FALSE) - VLOOKUP($B138,'20Trips'!$A$3:$G$22,6,FALSE) &gt;= ('20Trips'!#REF!+VLOOKUP(VLOOKUP($B138,'20Trips'!$A$2:$I$22,4,FALSE),'20Trips'!$AB$46:$AH$50,7,FALSE))/1440),1,0)</f>
        <v>#REF!</v>
      </c>
      <c r="AC138" s="2" t="e">
        <f>IF(AND(VLOOKUP(AC$1,'20Trips'!$A$3:$F$22,5,FALSE) - VLOOKUP($B138,'20Trips'!$A$3:$G$22,6,FALSE) &gt;= ('20Trips'!#REF!+VLOOKUP(VLOOKUP($B138,'20Trips'!$A$2:$I$22,4,FALSE),'20Trips'!$AB$46:$AH$50,7,FALSE))/1440),1,0)</f>
        <v>#REF!</v>
      </c>
      <c r="AD138" s="2" t="e">
        <f>IF(AND(VLOOKUP(AD$1,'20Trips'!$A$3:$F$22,5,FALSE) - VLOOKUP($B138,'20Trips'!$A$3:$G$22,6,FALSE) &gt;= ('20Trips'!#REF!+VLOOKUP(VLOOKUP($B138,'20Trips'!$A$2:$I$22,4,FALSE),'20Trips'!$AB$46:$AH$50,7,FALSE))/1440),1,0)</f>
        <v>#REF!</v>
      </c>
      <c r="AE138" s="2" t="e">
        <f>IF(AND(VLOOKUP(AE$1,'20Trips'!$A$3:$F$22,5,FALSE) - VLOOKUP($B138,'20Trips'!$A$3:$G$22,6,FALSE) &gt;= ('20Trips'!#REF!+VLOOKUP(VLOOKUP($B138,'20Trips'!$A$2:$I$22,4,FALSE),'20Trips'!$AB$46:$AH$50,7,FALSE))/1440),1,0)</f>
        <v>#N/A</v>
      </c>
      <c r="AF138" s="2" t="e">
        <f>IF(AND(VLOOKUP(AF$1,'20Trips'!$A$3:$F$22,5,FALSE) - VLOOKUP($B138,'20Trips'!$A$3:$G$22,6,FALSE) &gt;= ('20Trips'!#REF!+VLOOKUP(VLOOKUP($B138,'20Trips'!$A$2:$I$22,4,FALSE),'20Trips'!$AB$46:$AH$50,7,FALSE))/1440),1,0)</f>
        <v>#N/A</v>
      </c>
      <c r="AG138" s="2" t="e">
        <f>IF(AND(VLOOKUP(AG$1,'20Trips'!$A$3:$F$22,5,FALSE) - VLOOKUP($B138,'20Trips'!$A$3:$G$22,6,FALSE) &gt;= ('20Trips'!#REF!+VLOOKUP(VLOOKUP($B138,'20Trips'!$A$2:$I$22,4,FALSE),'20Trips'!$AB$46:$AH$50,7,FALSE))/1440),1,0)</f>
        <v>#N/A</v>
      </c>
    </row>
    <row r="139" spans="1:33" x14ac:dyDescent="0.25">
      <c r="A139" t="s">
        <v>69</v>
      </c>
      <c r="B139" t="s">
        <v>23</v>
      </c>
      <c r="C139">
        <v>0</v>
      </c>
      <c r="D139" s="2" t="e">
        <f>IF(AND(VLOOKUP(D$1,'20Trips'!$A$3:$F$22,5,FALSE) - VLOOKUP($B139,'20Trips'!$A$3:$G$22,6,FALSE) &gt;= ('20Trips'!#REF!+VLOOKUP(VLOOKUP($B139,'20Trips'!$A$2:$I$22,4,FALSE),'20Trips'!$AB$46:$AH$50,7,FALSE))/1440),1,0)</f>
        <v>#REF!</v>
      </c>
      <c r="E139" s="2" t="e">
        <f>IF(AND(VLOOKUP(E$1,'20Trips'!$A$3:$F$22,5,FALSE) - VLOOKUP($B139,'20Trips'!$A$3:$G$22,6,FALSE) &gt;= ('20Trips'!#REF!+VLOOKUP(VLOOKUP($B139,'20Trips'!$A$2:$I$22,4,FALSE),'20Trips'!$AB$46:$AH$50,7,FALSE))/1440),1,0)</f>
        <v>#REF!</v>
      </c>
      <c r="F139" s="2" t="e">
        <f>IF(AND(VLOOKUP(F$1,'20Trips'!$A$3:$F$22,5,FALSE) - VLOOKUP($B139,'20Trips'!$A$3:$G$22,6,FALSE) &gt;= ('20Trips'!#REF!+VLOOKUP(VLOOKUP($B139,'20Trips'!$A$2:$I$22,4,FALSE),'20Trips'!$AB$46:$AH$50,7,FALSE))/1440),1,0)</f>
        <v>#REF!</v>
      </c>
      <c r="G139" s="2" t="e">
        <f>IF(AND(VLOOKUP(G$1,'20Trips'!$A$3:$F$22,5,FALSE) - VLOOKUP($B139,'20Trips'!$A$3:$G$22,6,FALSE) &gt;= ('20Trips'!#REF!+VLOOKUP(VLOOKUP($B139,'20Trips'!$A$2:$I$22,4,FALSE),'20Trips'!$AB$46:$AH$50,7,FALSE))/1440),1,0)</f>
        <v>#REF!</v>
      </c>
      <c r="H139" s="2" t="e">
        <f>IF(AND(VLOOKUP(H$1,'20Trips'!$A$3:$F$22,5,FALSE) - VLOOKUP($B139,'20Trips'!$A$3:$G$22,6,FALSE) &gt;= ('20Trips'!#REF!+VLOOKUP(VLOOKUP($B139,'20Trips'!$A$2:$I$22,4,FALSE),'20Trips'!$AB$46:$AH$50,7,FALSE))/1440),1,0)</f>
        <v>#REF!</v>
      </c>
      <c r="I139" s="2" t="e">
        <f>IF(AND(VLOOKUP(I$1,'20Trips'!$A$3:$F$22,5,FALSE) - VLOOKUP($B139,'20Trips'!$A$3:$G$22,6,FALSE) &gt;= ('20Trips'!#REF!+VLOOKUP(VLOOKUP($B139,'20Trips'!$A$2:$I$22,4,FALSE),'20Trips'!$AB$46:$AH$50,7,FALSE))/1440),1,0)</f>
        <v>#N/A</v>
      </c>
      <c r="J139" s="2" t="e">
        <f>IF(AND(VLOOKUP(J$1,'20Trips'!$A$3:$F$22,5,FALSE) - VLOOKUP($B139,'20Trips'!$A$3:$G$22,6,FALSE) &gt;= ('20Trips'!#REF!+VLOOKUP(VLOOKUP($B139,'20Trips'!$A$2:$I$22,4,FALSE),'20Trips'!$AB$46:$AH$50,7,FALSE))/1440),1,0)</f>
        <v>#N/A</v>
      </c>
      <c r="K139" s="2" t="e">
        <f>IF(AND(VLOOKUP(K$1,'20Trips'!$A$3:$F$22,5,FALSE) - VLOOKUP($B139,'20Trips'!$A$3:$G$22,6,FALSE) &gt;= ('20Trips'!#REF!+VLOOKUP(VLOOKUP($B139,'20Trips'!$A$2:$I$22,4,FALSE),'20Trips'!$AB$46:$AH$50,7,FALSE))/1440),1,0)</f>
        <v>#N/A</v>
      </c>
      <c r="L139" s="2" t="e">
        <f>IF(AND(VLOOKUP(L$1,'20Trips'!$A$3:$F$22,5,FALSE) - VLOOKUP($B139,'20Trips'!$A$3:$G$22,6,FALSE) &gt;= ('20Trips'!#REF!+VLOOKUP(VLOOKUP($B139,'20Trips'!$A$2:$I$22,4,FALSE),'20Trips'!$AB$46:$AH$50,7,FALSE))/1440),1,0)</f>
        <v>#REF!</v>
      </c>
      <c r="M139" s="2" t="e">
        <f>IF(AND(VLOOKUP(M$1,'20Trips'!$A$3:$F$22,5,FALSE) - VLOOKUP($B139,'20Trips'!$A$3:$G$22,6,FALSE) &gt;= ('20Trips'!#REF!+VLOOKUP(VLOOKUP($B139,'20Trips'!$A$2:$I$22,4,FALSE),'20Trips'!$AB$46:$AH$50,7,FALSE))/1440),1,0)</f>
        <v>#REF!</v>
      </c>
      <c r="N139" s="2" t="e">
        <f>IF(AND(VLOOKUP(N$1,'20Trips'!$A$3:$F$22,5,FALSE) - VLOOKUP($B139,'20Trips'!$A$3:$G$22,6,FALSE) &gt;= ('20Trips'!#REF!+VLOOKUP(VLOOKUP($B139,'20Trips'!$A$2:$I$22,4,FALSE),'20Trips'!$AB$46:$AH$50,7,FALSE))/1440),1,0)</f>
        <v>#REF!</v>
      </c>
      <c r="O139" s="2" t="e">
        <f>IF(AND(VLOOKUP(O$1,'20Trips'!$A$3:$F$22,5,FALSE) - VLOOKUP($B139,'20Trips'!$A$3:$G$22,6,FALSE) &gt;= ('20Trips'!#REF!+VLOOKUP(VLOOKUP($B139,'20Trips'!$A$2:$I$22,4,FALSE),'20Trips'!$AB$46:$AH$50,7,FALSE))/1440),1,0)</f>
        <v>#REF!</v>
      </c>
      <c r="P139" s="2" t="e">
        <f>IF(AND(VLOOKUP(P$1,'20Trips'!$A$3:$F$22,5,FALSE) - VLOOKUP($B139,'20Trips'!$A$3:$G$22,6,FALSE) &gt;= ('20Trips'!#REF!+VLOOKUP(VLOOKUP($B139,'20Trips'!$A$2:$I$22,4,FALSE),'20Trips'!$AB$46:$AH$50,7,FALSE))/1440),1,0)</f>
        <v>#REF!</v>
      </c>
      <c r="Q139" s="2" t="e">
        <f>IF(AND(VLOOKUP(Q$1,'20Trips'!$A$3:$F$22,5,FALSE) - VLOOKUP($B139,'20Trips'!$A$3:$G$22,6,FALSE) &gt;= ('20Trips'!#REF!+VLOOKUP(VLOOKUP($B139,'20Trips'!$A$2:$I$22,4,FALSE),'20Trips'!$AB$46:$AH$50,7,FALSE))/1440),1,0)</f>
        <v>#N/A</v>
      </c>
      <c r="R139" s="2" t="e">
        <f>IF(AND(VLOOKUP(R$1,'20Trips'!$A$3:$F$22,5,FALSE) - VLOOKUP($B139,'20Trips'!$A$3:$G$22,6,FALSE) &gt;= ('20Trips'!#REF!+VLOOKUP(VLOOKUP($B139,'20Trips'!$A$2:$I$22,4,FALSE),'20Trips'!$AB$46:$AH$50,7,FALSE))/1440),1,0)</f>
        <v>#REF!</v>
      </c>
      <c r="S139" s="2" t="e">
        <f>IF(AND(VLOOKUP(S$1,'20Trips'!$A$3:$F$22,5,FALSE) - VLOOKUP($B139,'20Trips'!$A$3:$G$22,6,FALSE) &gt;= ('20Trips'!#REF!+VLOOKUP(VLOOKUP($B139,'20Trips'!$A$2:$I$22,4,FALSE),'20Trips'!$AB$46:$AH$50,7,FALSE))/1440),1,0)</f>
        <v>#REF!</v>
      </c>
      <c r="T139" s="2" t="e">
        <f>IF(AND(VLOOKUP(T$1,'20Trips'!$A$3:$F$22,5,FALSE) - VLOOKUP($B139,'20Trips'!$A$3:$G$22,6,FALSE) &gt;= ('20Trips'!#REF!+VLOOKUP(VLOOKUP($B139,'20Trips'!$A$2:$I$22,4,FALSE),'20Trips'!$AB$46:$AH$50,7,FALSE))/1440),1,0)</f>
        <v>#REF!</v>
      </c>
      <c r="U139" s="2" t="e">
        <f>IF(AND(VLOOKUP(U$1,'20Trips'!$A$3:$F$22,5,FALSE) - VLOOKUP($B139,'20Trips'!$A$3:$G$22,6,FALSE) &gt;= ('20Trips'!#REF!+VLOOKUP(VLOOKUP($B139,'20Trips'!$A$2:$I$22,4,FALSE),'20Trips'!$AB$46:$AH$50,7,FALSE))/1440),1,0)</f>
        <v>#REF!</v>
      </c>
      <c r="V139" s="2" t="e">
        <f>IF(AND(VLOOKUP(V$1,'20Trips'!$A$3:$F$22,5,FALSE) - VLOOKUP($B139,'20Trips'!$A$3:$G$22,6,FALSE) &gt;= ('20Trips'!#REF!+VLOOKUP(VLOOKUP($B139,'20Trips'!$A$2:$I$22,4,FALSE),'20Trips'!$AB$46:$AH$50,7,FALSE))/1440),1,0)</f>
        <v>#REF!</v>
      </c>
      <c r="W139" s="2" t="e">
        <f>IF(AND(VLOOKUP(W$1,'20Trips'!$A$3:$F$22,5,FALSE) - VLOOKUP($B139,'20Trips'!$A$3:$G$22,6,FALSE) &gt;= ('20Trips'!#REF!+VLOOKUP(VLOOKUP($B139,'20Trips'!$A$2:$I$22,4,FALSE),'20Trips'!$AB$46:$AH$50,7,FALSE))/1440),1,0)</f>
        <v>#N/A</v>
      </c>
      <c r="X139" s="2" t="e">
        <f>IF(AND(VLOOKUP(X$1,'20Trips'!$A$3:$F$22,5,FALSE) - VLOOKUP($B139,'20Trips'!$A$3:$G$22,6,FALSE) &gt;= ('20Trips'!#REF!+VLOOKUP(VLOOKUP($B139,'20Trips'!$A$2:$I$22,4,FALSE),'20Trips'!$AB$46:$AH$50,7,FALSE))/1440),1,0)</f>
        <v>#N/A</v>
      </c>
      <c r="Y139" s="2" t="e">
        <f>IF(AND(VLOOKUP(Y$1,'20Trips'!$A$3:$F$22,5,FALSE) - VLOOKUP($B139,'20Trips'!$A$3:$G$22,6,FALSE) &gt;= ('20Trips'!#REF!+VLOOKUP(VLOOKUP($B139,'20Trips'!$A$2:$I$22,4,FALSE),'20Trips'!$AB$46:$AH$50,7,FALSE))/1440),1,0)</f>
        <v>#N/A</v>
      </c>
      <c r="Z139" s="2" t="e">
        <f>IF(AND(VLOOKUP(Z$1,'20Trips'!$A$3:$F$22,5,FALSE) - VLOOKUP($B139,'20Trips'!$A$3:$G$22,6,FALSE) &gt;= ('20Trips'!#REF!+VLOOKUP(VLOOKUP($B139,'20Trips'!$A$2:$I$22,4,FALSE),'20Trips'!$AB$46:$AH$50,7,FALSE))/1440),1,0)</f>
        <v>#REF!</v>
      </c>
      <c r="AA139" s="2" t="e">
        <f>IF(AND(VLOOKUP(AA$1,'20Trips'!$A$3:$F$22,5,FALSE) - VLOOKUP($B139,'20Trips'!$A$3:$G$22,6,FALSE) &gt;= ('20Trips'!#REF!+VLOOKUP(VLOOKUP($B139,'20Trips'!$A$2:$I$22,4,FALSE),'20Trips'!$AB$46:$AH$50,7,FALSE))/1440),1,0)</f>
        <v>#REF!</v>
      </c>
      <c r="AB139" s="2" t="e">
        <f>IF(AND(VLOOKUP(AB$1,'20Trips'!$A$3:$F$22,5,FALSE) - VLOOKUP($B139,'20Trips'!$A$3:$G$22,6,FALSE) &gt;= ('20Trips'!#REF!+VLOOKUP(VLOOKUP($B139,'20Trips'!$A$2:$I$22,4,FALSE),'20Trips'!$AB$46:$AH$50,7,FALSE))/1440),1,0)</f>
        <v>#REF!</v>
      </c>
      <c r="AC139" s="2" t="e">
        <f>IF(AND(VLOOKUP(AC$1,'20Trips'!$A$3:$F$22,5,FALSE) - VLOOKUP($B139,'20Trips'!$A$3:$G$22,6,FALSE) &gt;= ('20Trips'!#REF!+VLOOKUP(VLOOKUP($B139,'20Trips'!$A$2:$I$22,4,FALSE),'20Trips'!$AB$46:$AH$50,7,FALSE))/1440),1,0)</f>
        <v>#REF!</v>
      </c>
      <c r="AD139" s="2" t="e">
        <f>IF(AND(VLOOKUP(AD$1,'20Trips'!$A$3:$F$22,5,FALSE) - VLOOKUP($B139,'20Trips'!$A$3:$G$22,6,FALSE) &gt;= ('20Trips'!#REF!+VLOOKUP(VLOOKUP($B139,'20Trips'!$A$2:$I$22,4,FALSE),'20Trips'!$AB$46:$AH$50,7,FALSE))/1440),1,0)</f>
        <v>#REF!</v>
      </c>
      <c r="AE139" s="2" t="e">
        <f>IF(AND(VLOOKUP(AE$1,'20Trips'!$A$3:$F$22,5,FALSE) - VLOOKUP($B139,'20Trips'!$A$3:$G$22,6,FALSE) &gt;= ('20Trips'!#REF!+VLOOKUP(VLOOKUP($B139,'20Trips'!$A$2:$I$22,4,FALSE),'20Trips'!$AB$46:$AH$50,7,FALSE))/1440),1,0)</f>
        <v>#N/A</v>
      </c>
      <c r="AF139" s="2" t="e">
        <f>IF(AND(VLOOKUP(AF$1,'20Trips'!$A$3:$F$22,5,FALSE) - VLOOKUP($B139,'20Trips'!$A$3:$G$22,6,FALSE) &gt;= ('20Trips'!#REF!+VLOOKUP(VLOOKUP($B139,'20Trips'!$A$2:$I$22,4,FALSE),'20Trips'!$AB$46:$AH$50,7,FALSE))/1440),1,0)</f>
        <v>#N/A</v>
      </c>
      <c r="AG139" s="2" t="e">
        <f>IF(AND(VLOOKUP(AG$1,'20Trips'!$A$3:$F$22,5,FALSE) - VLOOKUP($B139,'20Trips'!$A$3:$G$22,6,FALSE) &gt;= ('20Trips'!#REF!+VLOOKUP(VLOOKUP($B139,'20Trips'!$A$2:$I$22,4,FALSE),'20Trips'!$AB$46:$AH$50,7,FALSE))/1440),1,0)</f>
        <v>#N/A</v>
      </c>
    </row>
    <row r="140" spans="1:33" x14ac:dyDescent="0.25">
      <c r="A140" t="s">
        <v>69</v>
      </c>
      <c r="B140" t="s">
        <v>24</v>
      </c>
      <c r="C140">
        <v>0</v>
      </c>
      <c r="D140" s="2" t="e">
        <f>IF(AND(VLOOKUP(D$1,'20Trips'!$A$3:$F$22,5,FALSE) - VLOOKUP($B140,'20Trips'!$A$3:$G$22,6,FALSE) &gt;= ('20Trips'!#REF!+VLOOKUP(VLOOKUP($B140,'20Trips'!$A$2:$I$22,4,FALSE),'20Trips'!$AB$46:$AH$50,7,FALSE))/1440),1,0)</f>
        <v>#N/A</v>
      </c>
      <c r="E140" s="2" t="e">
        <f>IF(AND(VLOOKUP(E$1,'20Trips'!$A$3:$F$22,5,FALSE) - VLOOKUP($B140,'20Trips'!$A$3:$G$22,6,FALSE) &gt;= ('20Trips'!#REF!+VLOOKUP(VLOOKUP($B140,'20Trips'!$A$2:$I$22,4,FALSE),'20Trips'!$AB$46:$AH$50,7,FALSE))/1440),1,0)</f>
        <v>#N/A</v>
      </c>
      <c r="F140" s="2" t="e">
        <f>IF(AND(VLOOKUP(F$1,'20Trips'!$A$3:$F$22,5,FALSE) - VLOOKUP($B140,'20Trips'!$A$3:$G$22,6,FALSE) &gt;= ('20Trips'!#REF!+VLOOKUP(VLOOKUP($B140,'20Trips'!$A$2:$I$22,4,FALSE),'20Trips'!$AB$46:$AH$50,7,FALSE))/1440),1,0)</f>
        <v>#N/A</v>
      </c>
      <c r="G140" s="2" t="e">
        <f>IF(AND(VLOOKUP(G$1,'20Trips'!$A$3:$F$22,5,FALSE) - VLOOKUP($B140,'20Trips'!$A$3:$G$22,6,FALSE) &gt;= ('20Trips'!#REF!+VLOOKUP(VLOOKUP($B140,'20Trips'!$A$2:$I$22,4,FALSE),'20Trips'!$AB$46:$AH$50,7,FALSE))/1440),1,0)</f>
        <v>#N/A</v>
      </c>
      <c r="H140" s="2" t="e">
        <f>IF(AND(VLOOKUP(H$1,'20Trips'!$A$3:$F$22,5,FALSE) - VLOOKUP($B140,'20Trips'!$A$3:$G$22,6,FALSE) &gt;= ('20Trips'!#REF!+VLOOKUP(VLOOKUP($B140,'20Trips'!$A$2:$I$22,4,FALSE),'20Trips'!$AB$46:$AH$50,7,FALSE))/1440),1,0)</f>
        <v>#N/A</v>
      </c>
      <c r="I140" s="2" t="e">
        <f>IF(AND(VLOOKUP(I$1,'20Trips'!$A$3:$F$22,5,FALSE) - VLOOKUP($B140,'20Trips'!$A$3:$G$22,6,FALSE) &gt;= ('20Trips'!#REF!+VLOOKUP(VLOOKUP($B140,'20Trips'!$A$2:$I$22,4,FALSE),'20Trips'!$AB$46:$AH$50,7,FALSE))/1440),1,0)</f>
        <v>#N/A</v>
      </c>
      <c r="J140" s="2" t="e">
        <f>IF(AND(VLOOKUP(J$1,'20Trips'!$A$3:$F$22,5,FALSE) - VLOOKUP($B140,'20Trips'!$A$3:$G$22,6,FALSE) &gt;= ('20Trips'!#REF!+VLOOKUP(VLOOKUP($B140,'20Trips'!$A$2:$I$22,4,FALSE),'20Trips'!$AB$46:$AH$50,7,FALSE))/1440),1,0)</f>
        <v>#N/A</v>
      </c>
      <c r="K140" s="2" t="e">
        <f>IF(AND(VLOOKUP(K$1,'20Trips'!$A$3:$F$22,5,FALSE) - VLOOKUP($B140,'20Trips'!$A$3:$G$22,6,FALSE) &gt;= ('20Trips'!#REF!+VLOOKUP(VLOOKUP($B140,'20Trips'!$A$2:$I$22,4,FALSE),'20Trips'!$AB$46:$AH$50,7,FALSE))/1440),1,0)</f>
        <v>#N/A</v>
      </c>
      <c r="L140" s="2" t="e">
        <f>IF(AND(VLOOKUP(L$1,'20Trips'!$A$3:$F$22,5,FALSE) - VLOOKUP($B140,'20Trips'!$A$3:$G$22,6,FALSE) &gt;= ('20Trips'!#REF!+VLOOKUP(VLOOKUP($B140,'20Trips'!$A$2:$I$22,4,FALSE),'20Trips'!$AB$46:$AH$50,7,FALSE))/1440),1,0)</f>
        <v>#N/A</v>
      </c>
      <c r="M140" s="2" t="e">
        <f>IF(AND(VLOOKUP(M$1,'20Trips'!$A$3:$F$22,5,FALSE) - VLOOKUP($B140,'20Trips'!$A$3:$G$22,6,FALSE) &gt;= ('20Trips'!#REF!+VLOOKUP(VLOOKUP($B140,'20Trips'!$A$2:$I$22,4,FALSE),'20Trips'!$AB$46:$AH$50,7,FALSE))/1440),1,0)</f>
        <v>#N/A</v>
      </c>
      <c r="N140" s="2" t="e">
        <f>IF(AND(VLOOKUP(N$1,'20Trips'!$A$3:$F$22,5,FALSE) - VLOOKUP($B140,'20Trips'!$A$3:$G$22,6,FALSE) &gt;= ('20Trips'!#REF!+VLOOKUP(VLOOKUP($B140,'20Trips'!$A$2:$I$22,4,FALSE),'20Trips'!$AB$46:$AH$50,7,FALSE))/1440),1,0)</f>
        <v>#N/A</v>
      </c>
      <c r="O140" s="2" t="e">
        <f>IF(AND(VLOOKUP(O$1,'20Trips'!$A$3:$F$22,5,FALSE) - VLOOKUP($B140,'20Trips'!$A$3:$G$22,6,FALSE) &gt;= ('20Trips'!#REF!+VLOOKUP(VLOOKUP($B140,'20Trips'!$A$2:$I$22,4,FALSE),'20Trips'!$AB$46:$AH$50,7,FALSE))/1440),1,0)</f>
        <v>#N/A</v>
      </c>
      <c r="P140" s="2" t="e">
        <f>IF(AND(VLOOKUP(P$1,'20Trips'!$A$3:$F$22,5,FALSE) - VLOOKUP($B140,'20Trips'!$A$3:$G$22,6,FALSE) &gt;= ('20Trips'!#REF!+VLOOKUP(VLOOKUP($B140,'20Trips'!$A$2:$I$22,4,FALSE),'20Trips'!$AB$46:$AH$50,7,FALSE))/1440),1,0)</f>
        <v>#N/A</v>
      </c>
      <c r="Q140" s="2" t="e">
        <f>IF(AND(VLOOKUP(Q$1,'20Trips'!$A$3:$F$22,5,FALSE) - VLOOKUP($B140,'20Trips'!$A$3:$G$22,6,FALSE) &gt;= ('20Trips'!#REF!+VLOOKUP(VLOOKUP($B140,'20Trips'!$A$2:$I$22,4,FALSE),'20Trips'!$AB$46:$AH$50,7,FALSE))/1440),1,0)</f>
        <v>#N/A</v>
      </c>
      <c r="R140" s="2" t="e">
        <f>IF(AND(VLOOKUP(R$1,'20Trips'!$A$3:$F$22,5,FALSE) - VLOOKUP($B140,'20Trips'!$A$3:$G$22,6,FALSE) &gt;= ('20Trips'!#REF!+VLOOKUP(VLOOKUP($B140,'20Trips'!$A$2:$I$22,4,FALSE),'20Trips'!$AB$46:$AH$50,7,FALSE))/1440),1,0)</f>
        <v>#N/A</v>
      </c>
      <c r="S140" s="2" t="e">
        <f>IF(AND(VLOOKUP(S$1,'20Trips'!$A$3:$F$22,5,FALSE) - VLOOKUP($B140,'20Trips'!$A$3:$G$22,6,FALSE) &gt;= ('20Trips'!#REF!+VLOOKUP(VLOOKUP($B140,'20Trips'!$A$2:$I$22,4,FALSE),'20Trips'!$AB$46:$AH$50,7,FALSE))/1440),1,0)</f>
        <v>#N/A</v>
      </c>
      <c r="T140" s="2" t="e">
        <f>IF(AND(VLOOKUP(T$1,'20Trips'!$A$3:$F$22,5,FALSE) - VLOOKUP($B140,'20Trips'!$A$3:$G$22,6,FALSE) &gt;= ('20Trips'!#REF!+VLOOKUP(VLOOKUP($B140,'20Trips'!$A$2:$I$22,4,FALSE),'20Trips'!$AB$46:$AH$50,7,FALSE))/1440),1,0)</f>
        <v>#N/A</v>
      </c>
      <c r="U140" s="2" t="e">
        <f>IF(AND(VLOOKUP(U$1,'20Trips'!$A$3:$F$22,5,FALSE) - VLOOKUP($B140,'20Trips'!$A$3:$G$22,6,FALSE) &gt;= ('20Trips'!#REF!+VLOOKUP(VLOOKUP($B140,'20Trips'!$A$2:$I$22,4,FALSE),'20Trips'!$AB$46:$AH$50,7,FALSE))/1440),1,0)</f>
        <v>#N/A</v>
      </c>
      <c r="V140" s="2" t="e">
        <f>IF(AND(VLOOKUP(V$1,'20Trips'!$A$3:$F$22,5,FALSE) - VLOOKUP($B140,'20Trips'!$A$3:$G$22,6,FALSE) &gt;= ('20Trips'!#REF!+VLOOKUP(VLOOKUP($B140,'20Trips'!$A$2:$I$22,4,FALSE),'20Trips'!$AB$46:$AH$50,7,FALSE))/1440),1,0)</f>
        <v>#N/A</v>
      </c>
      <c r="W140" s="2" t="e">
        <f>IF(AND(VLOOKUP(W$1,'20Trips'!$A$3:$F$22,5,FALSE) - VLOOKUP($B140,'20Trips'!$A$3:$G$22,6,FALSE) &gt;= ('20Trips'!#REF!+VLOOKUP(VLOOKUP($B140,'20Trips'!$A$2:$I$22,4,FALSE),'20Trips'!$AB$46:$AH$50,7,FALSE))/1440),1,0)</f>
        <v>#N/A</v>
      </c>
      <c r="X140" s="2" t="e">
        <f>IF(AND(VLOOKUP(X$1,'20Trips'!$A$3:$F$22,5,FALSE) - VLOOKUP($B140,'20Trips'!$A$3:$G$22,6,FALSE) &gt;= ('20Trips'!#REF!+VLOOKUP(VLOOKUP($B140,'20Trips'!$A$2:$I$22,4,FALSE),'20Trips'!$AB$46:$AH$50,7,FALSE))/1440),1,0)</f>
        <v>#N/A</v>
      </c>
      <c r="Y140" s="2" t="e">
        <f>IF(AND(VLOOKUP(Y$1,'20Trips'!$A$3:$F$22,5,FALSE) - VLOOKUP($B140,'20Trips'!$A$3:$G$22,6,FALSE) &gt;= ('20Trips'!#REF!+VLOOKUP(VLOOKUP($B140,'20Trips'!$A$2:$I$22,4,FALSE),'20Trips'!$AB$46:$AH$50,7,FALSE))/1440),1,0)</f>
        <v>#N/A</v>
      </c>
      <c r="Z140" s="2" t="e">
        <f>IF(AND(VLOOKUP(Z$1,'20Trips'!$A$3:$F$22,5,FALSE) - VLOOKUP($B140,'20Trips'!$A$3:$G$22,6,FALSE) &gt;= ('20Trips'!#REF!+VLOOKUP(VLOOKUP($B140,'20Trips'!$A$2:$I$22,4,FALSE),'20Trips'!$AB$46:$AH$50,7,FALSE))/1440),1,0)</f>
        <v>#N/A</v>
      </c>
      <c r="AA140" s="2" t="e">
        <f>IF(AND(VLOOKUP(AA$1,'20Trips'!$A$3:$F$22,5,FALSE) - VLOOKUP($B140,'20Trips'!$A$3:$G$22,6,FALSE) &gt;= ('20Trips'!#REF!+VLOOKUP(VLOOKUP($B140,'20Trips'!$A$2:$I$22,4,FALSE),'20Trips'!$AB$46:$AH$50,7,FALSE))/1440),1,0)</f>
        <v>#N/A</v>
      </c>
      <c r="AB140" s="2" t="e">
        <f>IF(AND(VLOOKUP(AB$1,'20Trips'!$A$3:$F$22,5,FALSE) - VLOOKUP($B140,'20Trips'!$A$3:$G$22,6,FALSE) &gt;= ('20Trips'!#REF!+VLOOKUP(VLOOKUP($B140,'20Trips'!$A$2:$I$22,4,FALSE),'20Trips'!$AB$46:$AH$50,7,FALSE))/1440),1,0)</f>
        <v>#N/A</v>
      </c>
      <c r="AC140" s="2" t="e">
        <f>IF(AND(VLOOKUP(AC$1,'20Trips'!$A$3:$F$22,5,FALSE) - VLOOKUP($B140,'20Trips'!$A$3:$G$22,6,FALSE) &gt;= ('20Trips'!#REF!+VLOOKUP(VLOOKUP($B140,'20Trips'!$A$2:$I$22,4,FALSE),'20Trips'!$AB$46:$AH$50,7,FALSE))/1440),1,0)</f>
        <v>#N/A</v>
      </c>
      <c r="AD140" s="2" t="e">
        <f>IF(AND(VLOOKUP(AD$1,'20Trips'!$A$3:$F$22,5,FALSE) - VLOOKUP($B140,'20Trips'!$A$3:$G$22,6,FALSE) &gt;= ('20Trips'!#REF!+VLOOKUP(VLOOKUP($B140,'20Trips'!$A$2:$I$22,4,FALSE),'20Trips'!$AB$46:$AH$50,7,FALSE))/1440),1,0)</f>
        <v>#N/A</v>
      </c>
      <c r="AE140" s="2" t="e">
        <f>IF(AND(VLOOKUP(AE$1,'20Trips'!$A$3:$F$22,5,FALSE) - VLOOKUP($B140,'20Trips'!$A$3:$G$22,6,FALSE) &gt;= ('20Trips'!#REF!+VLOOKUP(VLOOKUP($B140,'20Trips'!$A$2:$I$22,4,FALSE),'20Trips'!$AB$46:$AH$50,7,FALSE))/1440),1,0)</f>
        <v>#N/A</v>
      </c>
      <c r="AF140" s="2" t="e">
        <f>IF(AND(VLOOKUP(AF$1,'20Trips'!$A$3:$F$22,5,FALSE) - VLOOKUP($B140,'20Trips'!$A$3:$G$22,6,FALSE) &gt;= ('20Trips'!#REF!+VLOOKUP(VLOOKUP($B140,'20Trips'!$A$2:$I$22,4,FALSE),'20Trips'!$AB$46:$AH$50,7,FALSE))/1440),1,0)</f>
        <v>#N/A</v>
      </c>
      <c r="AG140" s="2" t="e">
        <f>IF(AND(VLOOKUP(AG$1,'20Trips'!$A$3:$F$22,5,FALSE) - VLOOKUP($B140,'20Trips'!$A$3:$G$22,6,FALSE) &gt;= ('20Trips'!#REF!+VLOOKUP(VLOOKUP($B140,'20Trips'!$A$2:$I$22,4,FALSE),'20Trips'!$AB$46:$AH$50,7,FALSE))/1440),1,0)</f>
        <v>#N/A</v>
      </c>
    </row>
    <row r="141" spans="1:33" x14ac:dyDescent="0.25">
      <c r="A141" t="s">
        <v>69</v>
      </c>
      <c r="B141" t="s">
        <v>26</v>
      </c>
      <c r="C141">
        <v>0</v>
      </c>
      <c r="D141" s="2" t="e">
        <f>IF(AND(VLOOKUP(D$1,'20Trips'!$A$3:$F$22,5,FALSE) - VLOOKUP($B141,'20Trips'!$A$3:$G$22,6,FALSE) &gt;= ('20Trips'!#REF!+VLOOKUP(VLOOKUP($B141,'20Trips'!$A$2:$I$22,4,FALSE),'20Trips'!$AB$46:$AH$50,7,FALSE))/1440),1,0)</f>
        <v>#REF!</v>
      </c>
      <c r="E141" s="2" t="e">
        <f>IF(AND(VLOOKUP(E$1,'20Trips'!$A$3:$F$22,5,FALSE) - VLOOKUP($B141,'20Trips'!$A$3:$G$22,6,FALSE) &gt;= ('20Trips'!#REF!+VLOOKUP(VLOOKUP($B141,'20Trips'!$A$2:$I$22,4,FALSE),'20Trips'!$AB$46:$AH$50,7,FALSE))/1440),1,0)</f>
        <v>#REF!</v>
      </c>
      <c r="F141" s="2" t="e">
        <f>IF(AND(VLOOKUP(F$1,'20Trips'!$A$3:$F$22,5,FALSE) - VLOOKUP($B141,'20Trips'!$A$3:$G$22,6,FALSE) &gt;= ('20Trips'!#REF!+VLOOKUP(VLOOKUP($B141,'20Trips'!$A$2:$I$22,4,FALSE),'20Trips'!$AB$46:$AH$50,7,FALSE))/1440),1,0)</f>
        <v>#REF!</v>
      </c>
      <c r="G141" s="2" t="e">
        <f>IF(AND(VLOOKUP(G$1,'20Trips'!$A$3:$F$22,5,FALSE) - VLOOKUP($B141,'20Trips'!$A$3:$G$22,6,FALSE) &gt;= ('20Trips'!#REF!+VLOOKUP(VLOOKUP($B141,'20Trips'!$A$2:$I$22,4,FALSE),'20Trips'!$AB$46:$AH$50,7,FALSE))/1440),1,0)</f>
        <v>#REF!</v>
      </c>
      <c r="H141" s="2" t="e">
        <f>IF(AND(VLOOKUP(H$1,'20Trips'!$A$3:$F$22,5,FALSE) - VLOOKUP($B141,'20Trips'!$A$3:$G$22,6,FALSE) &gt;= ('20Trips'!#REF!+VLOOKUP(VLOOKUP($B141,'20Trips'!$A$2:$I$22,4,FALSE),'20Trips'!$AB$46:$AH$50,7,FALSE))/1440),1,0)</f>
        <v>#REF!</v>
      </c>
      <c r="I141" s="2" t="e">
        <f>IF(AND(VLOOKUP(I$1,'20Trips'!$A$3:$F$22,5,FALSE) - VLOOKUP($B141,'20Trips'!$A$3:$G$22,6,FALSE) &gt;= ('20Trips'!#REF!+VLOOKUP(VLOOKUP($B141,'20Trips'!$A$2:$I$22,4,FALSE),'20Trips'!$AB$46:$AH$50,7,FALSE))/1440),1,0)</f>
        <v>#N/A</v>
      </c>
      <c r="J141" s="2" t="e">
        <f>IF(AND(VLOOKUP(J$1,'20Trips'!$A$3:$F$22,5,FALSE) - VLOOKUP($B141,'20Trips'!$A$3:$G$22,6,FALSE) &gt;= ('20Trips'!#REF!+VLOOKUP(VLOOKUP($B141,'20Trips'!$A$2:$I$22,4,FALSE),'20Trips'!$AB$46:$AH$50,7,FALSE))/1440),1,0)</f>
        <v>#N/A</v>
      </c>
      <c r="K141" s="2" t="e">
        <f>IF(AND(VLOOKUP(K$1,'20Trips'!$A$3:$F$22,5,FALSE) - VLOOKUP($B141,'20Trips'!$A$3:$G$22,6,FALSE) &gt;= ('20Trips'!#REF!+VLOOKUP(VLOOKUP($B141,'20Trips'!$A$2:$I$22,4,FALSE),'20Trips'!$AB$46:$AH$50,7,FALSE))/1440),1,0)</f>
        <v>#N/A</v>
      </c>
      <c r="L141" s="2" t="e">
        <f>IF(AND(VLOOKUP(L$1,'20Trips'!$A$3:$F$22,5,FALSE) - VLOOKUP($B141,'20Trips'!$A$3:$G$22,6,FALSE) &gt;= ('20Trips'!#REF!+VLOOKUP(VLOOKUP($B141,'20Trips'!$A$2:$I$22,4,FALSE),'20Trips'!$AB$46:$AH$50,7,FALSE))/1440),1,0)</f>
        <v>#REF!</v>
      </c>
      <c r="M141" s="2" t="e">
        <f>IF(AND(VLOOKUP(M$1,'20Trips'!$A$3:$F$22,5,FALSE) - VLOOKUP($B141,'20Trips'!$A$3:$G$22,6,FALSE) &gt;= ('20Trips'!#REF!+VLOOKUP(VLOOKUP($B141,'20Trips'!$A$2:$I$22,4,FALSE),'20Trips'!$AB$46:$AH$50,7,FALSE))/1440),1,0)</f>
        <v>#REF!</v>
      </c>
      <c r="N141" s="2" t="e">
        <f>IF(AND(VLOOKUP(N$1,'20Trips'!$A$3:$F$22,5,FALSE) - VLOOKUP($B141,'20Trips'!$A$3:$G$22,6,FALSE) &gt;= ('20Trips'!#REF!+VLOOKUP(VLOOKUP($B141,'20Trips'!$A$2:$I$22,4,FALSE),'20Trips'!$AB$46:$AH$50,7,FALSE))/1440),1,0)</f>
        <v>#REF!</v>
      </c>
      <c r="O141" s="2" t="e">
        <f>IF(AND(VLOOKUP(O$1,'20Trips'!$A$3:$F$22,5,FALSE) - VLOOKUP($B141,'20Trips'!$A$3:$G$22,6,FALSE) &gt;= ('20Trips'!#REF!+VLOOKUP(VLOOKUP($B141,'20Trips'!$A$2:$I$22,4,FALSE),'20Trips'!$AB$46:$AH$50,7,FALSE))/1440),1,0)</f>
        <v>#REF!</v>
      </c>
      <c r="P141" s="2" t="e">
        <f>IF(AND(VLOOKUP(P$1,'20Trips'!$A$3:$F$22,5,FALSE) - VLOOKUP($B141,'20Trips'!$A$3:$G$22,6,FALSE) &gt;= ('20Trips'!#REF!+VLOOKUP(VLOOKUP($B141,'20Trips'!$A$2:$I$22,4,FALSE),'20Trips'!$AB$46:$AH$50,7,FALSE))/1440),1,0)</f>
        <v>#REF!</v>
      </c>
      <c r="Q141" s="2" t="e">
        <f>IF(AND(VLOOKUP(Q$1,'20Trips'!$A$3:$F$22,5,FALSE) - VLOOKUP($B141,'20Trips'!$A$3:$G$22,6,FALSE) &gt;= ('20Trips'!#REF!+VLOOKUP(VLOOKUP($B141,'20Trips'!$A$2:$I$22,4,FALSE),'20Trips'!$AB$46:$AH$50,7,FALSE))/1440),1,0)</f>
        <v>#N/A</v>
      </c>
      <c r="R141" s="2" t="e">
        <f>IF(AND(VLOOKUP(R$1,'20Trips'!$A$3:$F$22,5,FALSE) - VLOOKUP($B141,'20Trips'!$A$3:$G$22,6,FALSE) &gt;= ('20Trips'!#REF!+VLOOKUP(VLOOKUP($B141,'20Trips'!$A$2:$I$22,4,FALSE),'20Trips'!$AB$46:$AH$50,7,FALSE))/1440),1,0)</f>
        <v>#REF!</v>
      </c>
      <c r="S141" s="2" t="e">
        <f>IF(AND(VLOOKUP(S$1,'20Trips'!$A$3:$F$22,5,FALSE) - VLOOKUP($B141,'20Trips'!$A$3:$G$22,6,FALSE) &gt;= ('20Trips'!#REF!+VLOOKUP(VLOOKUP($B141,'20Trips'!$A$2:$I$22,4,FALSE),'20Trips'!$AB$46:$AH$50,7,FALSE))/1440),1,0)</f>
        <v>#REF!</v>
      </c>
      <c r="T141" s="2" t="e">
        <f>IF(AND(VLOOKUP(T$1,'20Trips'!$A$3:$F$22,5,FALSE) - VLOOKUP($B141,'20Trips'!$A$3:$G$22,6,FALSE) &gt;= ('20Trips'!#REF!+VLOOKUP(VLOOKUP($B141,'20Trips'!$A$2:$I$22,4,FALSE),'20Trips'!$AB$46:$AH$50,7,FALSE))/1440),1,0)</f>
        <v>#REF!</v>
      </c>
      <c r="U141" s="2" t="e">
        <f>IF(AND(VLOOKUP(U$1,'20Trips'!$A$3:$F$22,5,FALSE) - VLOOKUP($B141,'20Trips'!$A$3:$G$22,6,FALSE) &gt;= ('20Trips'!#REF!+VLOOKUP(VLOOKUP($B141,'20Trips'!$A$2:$I$22,4,FALSE),'20Trips'!$AB$46:$AH$50,7,FALSE))/1440),1,0)</f>
        <v>#REF!</v>
      </c>
      <c r="V141" s="2" t="e">
        <f>IF(AND(VLOOKUP(V$1,'20Trips'!$A$3:$F$22,5,FALSE) - VLOOKUP($B141,'20Trips'!$A$3:$G$22,6,FALSE) &gt;= ('20Trips'!#REF!+VLOOKUP(VLOOKUP($B141,'20Trips'!$A$2:$I$22,4,FALSE),'20Trips'!$AB$46:$AH$50,7,FALSE))/1440),1,0)</f>
        <v>#REF!</v>
      </c>
      <c r="W141" s="2" t="e">
        <f>IF(AND(VLOOKUP(W$1,'20Trips'!$A$3:$F$22,5,FALSE) - VLOOKUP($B141,'20Trips'!$A$3:$G$22,6,FALSE) &gt;= ('20Trips'!#REF!+VLOOKUP(VLOOKUP($B141,'20Trips'!$A$2:$I$22,4,FALSE),'20Trips'!$AB$46:$AH$50,7,FALSE))/1440),1,0)</f>
        <v>#N/A</v>
      </c>
      <c r="X141" s="2" t="e">
        <f>IF(AND(VLOOKUP(X$1,'20Trips'!$A$3:$F$22,5,FALSE) - VLOOKUP($B141,'20Trips'!$A$3:$G$22,6,FALSE) &gt;= ('20Trips'!#REF!+VLOOKUP(VLOOKUP($B141,'20Trips'!$A$2:$I$22,4,FALSE),'20Trips'!$AB$46:$AH$50,7,FALSE))/1440),1,0)</f>
        <v>#N/A</v>
      </c>
      <c r="Y141" s="2" t="e">
        <f>IF(AND(VLOOKUP(Y$1,'20Trips'!$A$3:$F$22,5,FALSE) - VLOOKUP($B141,'20Trips'!$A$3:$G$22,6,FALSE) &gt;= ('20Trips'!#REF!+VLOOKUP(VLOOKUP($B141,'20Trips'!$A$2:$I$22,4,FALSE),'20Trips'!$AB$46:$AH$50,7,FALSE))/1440),1,0)</f>
        <v>#N/A</v>
      </c>
      <c r="Z141" s="2" t="e">
        <f>IF(AND(VLOOKUP(Z$1,'20Trips'!$A$3:$F$22,5,FALSE) - VLOOKUP($B141,'20Trips'!$A$3:$G$22,6,FALSE) &gt;= ('20Trips'!#REF!+VLOOKUP(VLOOKUP($B141,'20Trips'!$A$2:$I$22,4,FALSE),'20Trips'!$AB$46:$AH$50,7,FALSE))/1440),1,0)</f>
        <v>#REF!</v>
      </c>
      <c r="AA141" s="2" t="e">
        <f>IF(AND(VLOOKUP(AA$1,'20Trips'!$A$3:$F$22,5,FALSE) - VLOOKUP($B141,'20Trips'!$A$3:$G$22,6,FALSE) &gt;= ('20Trips'!#REF!+VLOOKUP(VLOOKUP($B141,'20Trips'!$A$2:$I$22,4,FALSE),'20Trips'!$AB$46:$AH$50,7,FALSE))/1440),1,0)</f>
        <v>#REF!</v>
      </c>
      <c r="AB141" s="2" t="e">
        <f>IF(AND(VLOOKUP(AB$1,'20Trips'!$A$3:$F$22,5,FALSE) - VLOOKUP($B141,'20Trips'!$A$3:$G$22,6,FALSE) &gt;= ('20Trips'!#REF!+VLOOKUP(VLOOKUP($B141,'20Trips'!$A$2:$I$22,4,FALSE),'20Trips'!$AB$46:$AH$50,7,FALSE))/1440),1,0)</f>
        <v>#REF!</v>
      </c>
      <c r="AC141" s="2" t="e">
        <f>IF(AND(VLOOKUP(AC$1,'20Trips'!$A$3:$F$22,5,FALSE) - VLOOKUP($B141,'20Trips'!$A$3:$G$22,6,FALSE) &gt;= ('20Trips'!#REF!+VLOOKUP(VLOOKUP($B141,'20Trips'!$A$2:$I$22,4,FALSE),'20Trips'!$AB$46:$AH$50,7,FALSE))/1440),1,0)</f>
        <v>#REF!</v>
      </c>
      <c r="AD141" s="2" t="e">
        <f>IF(AND(VLOOKUP(AD$1,'20Trips'!$A$3:$F$22,5,FALSE) - VLOOKUP($B141,'20Trips'!$A$3:$G$22,6,FALSE) &gt;= ('20Trips'!#REF!+VLOOKUP(VLOOKUP($B141,'20Trips'!$A$2:$I$22,4,FALSE),'20Trips'!$AB$46:$AH$50,7,FALSE))/1440),1,0)</f>
        <v>#REF!</v>
      </c>
      <c r="AE141" s="2" t="e">
        <f>IF(AND(VLOOKUP(AE$1,'20Trips'!$A$3:$F$22,5,FALSE) - VLOOKUP($B141,'20Trips'!$A$3:$G$22,6,FALSE) &gt;= ('20Trips'!#REF!+VLOOKUP(VLOOKUP($B141,'20Trips'!$A$2:$I$22,4,FALSE),'20Trips'!$AB$46:$AH$50,7,FALSE))/1440),1,0)</f>
        <v>#N/A</v>
      </c>
      <c r="AF141" s="2" t="e">
        <f>IF(AND(VLOOKUP(AF$1,'20Trips'!$A$3:$F$22,5,FALSE) - VLOOKUP($B141,'20Trips'!$A$3:$G$22,6,FALSE) &gt;= ('20Trips'!#REF!+VLOOKUP(VLOOKUP($B141,'20Trips'!$A$2:$I$22,4,FALSE),'20Trips'!$AB$46:$AH$50,7,FALSE))/1440),1,0)</f>
        <v>#N/A</v>
      </c>
      <c r="AG141" s="2" t="e">
        <f>IF(AND(VLOOKUP(AG$1,'20Trips'!$A$3:$F$22,5,FALSE) - VLOOKUP($B141,'20Trips'!$A$3:$G$22,6,FALSE) &gt;= ('20Trips'!#REF!+VLOOKUP(VLOOKUP($B141,'20Trips'!$A$2:$I$22,4,FALSE),'20Trips'!$AB$46:$AH$50,7,FALSE))/1440),1,0)</f>
        <v>#N/A</v>
      </c>
    </row>
    <row r="142" spans="1:33" x14ac:dyDescent="0.25">
      <c r="A142" t="s">
        <v>69</v>
      </c>
      <c r="B142" t="s">
        <v>27</v>
      </c>
      <c r="C142">
        <v>0</v>
      </c>
      <c r="D142" s="2" t="e">
        <f>IF(AND(VLOOKUP(D$1,'20Trips'!$A$3:$F$22,5,FALSE) - VLOOKUP($B142,'20Trips'!$A$3:$G$22,6,FALSE) &gt;= ('20Trips'!#REF!+VLOOKUP(VLOOKUP($B142,'20Trips'!$A$2:$I$22,4,FALSE),'20Trips'!$AB$46:$AH$50,7,FALSE))/1440),1,0)</f>
        <v>#REF!</v>
      </c>
      <c r="E142" s="2" t="e">
        <f>IF(AND(VLOOKUP(E$1,'20Trips'!$A$3:$F$22,5,FALSE) - VLOOKUP($B142,'20Trips'!$A$3:$G$22,6,FALSE) &gt;= ('20Trips'!#REF!+VLOOKUP(VLOOKUP($B142,'20Trips'!$A$2:$I$22,4,FALSE),'20Trips'!$AB$46:$AH$50,7,FALSE))/1440),1,0)</f>
        <v>#REF!</v>
      </c>
      <c r="F142" s="2" t="e">
        <f>IF(AND(VLOOKUP(F$1,'20Trips'!$A$3:$F$22,5,FALSE) - VLOOKUP($B142,'20Trips'!$A$3:$G$22,6,FALSE) &gt;= ('20Trips'!#REF!+VLOOKUP(VLOOKUP($B142,'20Trips'!$A$2:$I$22,4,FALSE),'20Trips'!$AB$46:$AH$50,7,FALSE))/1440),1,0)</f>
        <v>#REF!</v>
      </c>
      <c r="G142" s="2" t="e">
        <f>IF(AND(VLOOKUP(G$1,'20Trips'!$A$3:$F$22,5,FALSE) - VLOOKUP($B142,'20Trips'!$A$3:$G$22,6,FALSE) &gt;= ('20Trips'!#REF!+VLOOKUP(VLOOKUP($B142,'20Trips'!$A$2:$I$22,4,FALSE),'20Trips'!$AB$46:$AH$50,7,FALSE))/1440),1,0)</f>
        <v>#REF!</v>
      </c>
      <c r="H142" s="2" t="e">
        <f>IF(AND(VLOOKUP(H$1,'20Trips'!$A$3:$F$22,5,FALSE) - VLOOKUP($B142,'20Trips'!$A$3:$G$22,6,FALSE) &gt;= ('20Trips'!#REF!+VLOOKUP(VLOOKUP($B142,'20Trips'!$A$2:$I$22,4,FALSE),'20Trips'!$AB$46:$AH$50,7,FALSE))/1440),1,0)</f>
        <v>#REF!</v>
      </c>
      <c r="I142" s="2" t="e">
        <f>IF(AND(VLOOKUP(I$1,'20Trips'!$A$3:$F$22,5,FALSE) - VLOOKUP($B142,'20Trips'!$A$3:$G$22,6,FALSE) &gt;= ('20Trips'!#REF!+VLOOKUP(VLOOKUP($B142,'20Trips'!$A$2:$I$22,4,FALSE),'20Trips'!$AB$46:$AH$50,7,FALSE))/1440),1,0)</f>
        <v>#N/A</v>
      </c>
      <c r="J142" s="2" t="e">
        <f>IF(AND(VLOOKUP(J$1,'20Trips'!$A$3:$F$22,5,FALSE) - VLOOKUP($B142,'20Trips'!$A$3:$G$22,6,FALSE) &gt;= ('20Trips'!#REF!+VLOOKUP(VLOOKUP($B142,'20Trips'!$A$2:$I$22,4,FALSE),'20Trips'!$AB$46:$AH$50,7,FALSE))/1440),1,0)</f>
        <v>#N/A</v>
      </c>
      <c r="K142" s="2" t="e">
        <f>IF(AND(VLOOKUP(K$1,'20Trips'!$A$3:$F$22,5,FALSE) - VLOOKUP($B142,'20Trips'!$A$3:$G$22,6,FALSE) &gt;= ('20Trips'!#REF!+VLOOKUP(VLOOKUP($B142,'20Trips'!$A$2:$I$22,4,FALSE),'20Trips'!$AB$46:$AH$50,7,FALSE))/1440),1,0)</f>
        <v>#N/A</v>
      </c>
      <c r="L142" s="2" t="e">
        <f>IF(AND(VLOOKUP(L$1,'20Trips'!$A$3:$F$22,5,FALSE) - VLOOKUP($B142,'20Trips'!$A$3:$G$22,6,FALSE) &gt;= ('20Trips'!#REF!+VLOOKUP(VLOOKUP($B142,'20Trips'!$A$2:$I$22,4,FALSE),'20Trips'!$AB$46:$AH$50,7,FALSE))/1440),1,0)</f>
        <v>#REF!</v>
      </c>
      <c r="M142" s="2" t="e">
        <f>IF(AND(VLOOKUP(M$1,'20Trips'!$A$3:$F$22,5,FALSE) - VLOOKUP($B142,'20Trips'!$A$3:$G$22,6,FALSE) &gt;= ('20Trips'!#REF!+VLOOKUP(VLOOKUP($B142,'20Trips'!$A$2:$I$22,4,FALSE),'20Trips'!$AB$46:$AH$50,7,FALSE))/1440),1,0)</f>
        <v>#REF!</v>
      </c>
      <c r="N142" s="2" t="e">
        <f>IF(AND(VLOOKUP(N$1,'20Trips'!$A$3:$F$22,5,FALSE) - VLOOKUP($B142,'20Trips'!$A$3:$G$22,6,FALSE) &gt;= ('20Trips'!#REF!+VLOOKUP(VLOOKUP($B142,'20Trips'!$A$2:$I$22,4,FALSE),'20Trips'!$AB$46:$AH$50,7,FALSE))/1440),1,0)</f>
        <v>#REF!</v>
      </c>
      <c r="O142" s="2" t="e">
        <f>IF(AND(VLOOKUP(O$1,'20Trips'!$A$3:$F$22,5,FALSE) - VLOOKUP($B142,'20Trips'!$A$3:$G$22,6,FALSE) &gt;= ('20Trips'!#REF!+VLOOKUP(VLOOKUP($B142,'20Trips'!$A$2:$I$22,4,FALSE),'20Trips'!$AB$46:$AH$50,7,FALSE))/1440),1,0)</f>
        <v>#REF!</v>
      </c>
      <c r="P142" s="2" t="e">
        <f>IF(AND(VLOOKUP(P$1,'20Trips'!$A$3:$F$22,5,FALSE) - VLOOKUP($B142,'20Trips'!$A$3:$G$22,6,FALSE) &gt;= ('20Trips'!#REF!+VLOOKUP(VLOOKUP($B142,'20Trips'!$A$2:$I$22,4,FALSE),'20Trips'!$AB$46:$AH$50,7,FALSE))/1440),1,0)</f>
        <v>#REF!</v>
      </c>
      <c r="Q142" s="2" t="e">
        <f>IF(AND(VLOOKUP(Q$1,'20Trips'!$A$3:$F$22,5,FALSE) - VLOOKUP($B142,'20Trips'!$A$3:$G$22,6,FALSE) &gt;= ('20Trips'!#REF!+VLOOKUP(VLOOKUP($B142,'20Trips'!$A$2:$I$22,4,FALSE),'20Trips'!$AB$46:$AH$50,7,FALSE))/1440),1,0)</f>
        <v>#N/A</v>
      </c>
      <c r="R142" s="2" t="e">
        <f>IF(AND(VLOOKUP(R$1,'20Trips'!$A$3:$F$22,5,FALSE) - VLOOKUP($B142,'20Trips'!$A$3:$G$22,6,FALSE) &gt;= ('20Trips'!#REF!+VLOOKUP(VLOOKUP($B142,'20Trips'!$A$2:$I$22,4,FALSE),'20Trips'!$AB$46:$AH$50,7,FALSE))/1440),1,0)</f>
        <v>#REF!</v>
      </c>
      <c r="S142" s="2" t="e">
        <f>IF(AND(VLOOKUP(S$1,'20Trips'!$A$3:$F$22,5,FALSE) - VLOOKUP($B142,'20Trips'!$A$3:$G$22,6,FALSE) &gt;= ('20Trips'!#REF!+VLOOKUP(VLOOKUP($B142,'20Trips'!$A$2:$I$22,4,FALSE),'20Trips'!$AB$46:$AH$50,7,FALSE))/1440),1,0)</f>
        <v>#REF!</v>
      </c>
      <c r="T142" s="2" t="e">
        <f>IF(AND(VLOOKUP(T$1,'20Trips'!$A$3:$F$22,5,FALSE) - VLOOKUP($B142,'20Trips'!$A$3:$G$22,6,FALSE) &gt;= ('20Trips'!#REF!+VLOOKUP(VLOOKUP($B142,'20Trips'!$A$2:$I$22,4,FALSE),'20Trips'!$AB$46:$AH$50,7,FALSE))/1440),1,0)</f>
        <v>#REF!</v>
      </c>
      <c r="U142" s="2" t="e">
        <f>IF(AND(VLOOKUP(U$1,'20Trips'!$A$3:$F$22,5,FALSE) - VLOOKUP($B142,'20Trips'!$A$3:$G$22,6,FALSE) &gt;= ('20Trips'!#REF!+VLOOKUP(VLOOKUP($B142,'20Trips'!$A$2:$I$22,4,FALSE),'20Trips'!$AB$46:$AH$50,7,FALSE))/1440),1,0)</f>
        <v>#REF!</v>
      </c>
      <c r="V142" s="2" t="e">
        <f>IF(AND(VLOOKUP(V$1,'20Trips'!$A$3:$F$22,5,FALSE) - VLOOKUP($B142,'20Trips'!$A$3:$G$22,6,FALSE) &gt;= ('20Trips'!#REF!+VLOOKUP(VLOOKUP($B142,'20Trips'!$A$2:$I$22,4,FALSE),'20Trips'!$AB$46:$AH$50,7,FALSE))/1440),1,0)</f>
        <v>#REF!</v>
      </c>
      <c r="W142" s="2" t="e">
        <f>IF(AND(VLOOKUP(W$1,'20Trips'!$A$3:$F$22,5,FALSE) - VLOOKUP($B142,'20Trips'!$A$3:$G$22,6,FALSE) &gt;= ('20Trips'!#REF!+VLOOKUP(VLOOKUP($B142,'20Trips'!$A$2:$I$22,4,FALSE),'20Trips'!$AB$46:$AH$50,7,FALSE))/1440),1,0)</f>
        <v>#N/A</v>
      </c>
      <c r="X142" s="2" t="e">
        <f>IF(AND(VLOOKUP(X$1,'20Trips'!$A$3:$F$22,5,FALSE) - VLOOKUP($B142,'20Trips'!$A$3:$G$22,6,FALSE) &gt;= ('20Trips'!#REF!+VLOOKUP(VLOOKUP($B142,'20Trips'!$A$2:$I$22,4,FALSE),'20Trips'!$AB$46:$AH$50,7,FALSE))/1440),1,0)</f>
        <v>#N/A</v>
      </c>
      <c r="Y142" s="2" t="e">
        <f>IF(AND(VLOOKUP(Y$1,'20Trips'!$A$3:$F$22,5,FALSE) - VLOOKUP($B142,'20Trips'!$A$3:$G$22,6,FALSE) &gt;= ('20Trips'!#REF!+VLOOKUP(VLOOKUP($B142,'20Trips'!$A$2:$I$22,4,FALSE),'20Trips'!$AB$46:$AH$50,7,FALSE))/1440),1,0)</f>
        <v>#N/A</v>
      </c>
      <c r="Z142" s="2" t="e">
        <f>IF(AND(VLOOKUP(Z$1,'20Trips'!$A$3:$F$22,5,FALSE) - VLOOKUP($B142,'20Trips'!$A$3:$G$22,6,FALSE) &gt;= ('20Trips'!#REF!+VLOOKUP(VLOOKUP($B142,'20Trips'!$A$2:$I$22,4,FALSE),'20Trips'!$AB$46:$AH$50,7,FALSE))/1440),1,0)</f>
        <v>#REF!</v>
      </c>
      <c r="AA142" s="2" t="e">
        <f>IF(AND(VLOOKUP(AA$1,'20Trips'!$A$3:$F$22,5,FALSE) - VLOOKUP($B142,'20Trips'!$A$3:$G$22,6,FALSE) &gt;= ('20Trips'!#REF!+VLOOKUP(VLOOKUP($B142,'20Trips'!$A$2:$I$22,4,FALSE),'20Trips'!$AB$46:$AH$50,7,FALSE))/1440),1,0)</f>
        <v>#REF!</v>
      </c>
      <c r="AB142" s="2" t="e">
        <f>IF(AND(VLOOKUP(AB$1,'20Trips'!$A$3:$F$22,5,FALSE) - VLOOKUP($B142,'20Trips'!$A$3:$G$22,6,FALSE) &gt;= ('20Trips'!#REF!+VLOOKUP(VLOOKUP($B142,'20Trips'!$A$2:$I$22,4,FALSE),'20Trips'!$AB$46:$AH$50,7,FALSE))/1440),1,0)</f>
        <v>#REF!</v>
      </c>
      <c r="AC142" s="2" t="e">
        <f>IF(AND(VLOOKUP(AC$1,'20Trips'!$A$3:$F$22,5,FALSE) - VLOOKUP($B142,'20Trips'!$A$3:$G$22,6,FALSE) &gt;= ('20Trips'!#REF!+VLOOKUP(VLOOKUP($B142,'20Trips'!$A$2:$I$22,4,FALSE),'20Trips'!$AB$46:$AH$50,7,FALSE))/1440),1,0)</f>
        <v>#REF!</v>
      </c>
      <c r="AD142" s="2" t="e">
        <f>IF(AND(VLOOKUP(AD$1,'20Trips'!$A$3:$F$22,5,FALSE) - VLOOKUP($B142,'20Trips'!$A$3:$G$22,6,FALSE) &gt;= ('20Trips'!#REF!+VLOOKUP(VLOOKUP($B142,'20Trips'!$A$2:$I$22,4,FALSE),'20Trips'!$AB$46:$AH$50,7,FALSE))/1440),1,0)</f>
        <v>#REF!</v>
      </c>
      <c r="AE142" s="2" t="e">
        <f>IF(AND(VLOOKUP(AE$1,'20Trips'!$A$3:$F$22,5,FALSE) - VLOOKUP($B142,'20Trips'!$A$3:$G$22,6,FALSE) &gt;= ('20Trips'!#REF!+VLOOKUP(VLOOKUP($B142,'20Trips'!$A$2:$I$22,4,FALSE),'20Trips'!$AB$46:$AH$50,7,FALSE))/1440),1,0)</f>
        <v>#N/A</v>
      </c>
      <c r="AF142" s="2" t="e">
        <f>IF(AND(VLOOKUP(AF$1,'20Trips'!$A$3:$F$22,5,FALSE) - VLOOKUP($B142,'20Trips'!$A$3:$G$22,6,FALSE) &gt;= ('20Trips'!#REF!+VLOOKUP(VLOOKUP($B142,'20Trips'!$A$2:$I$22,4,FALSE),'20Trips'!$AB$46:$AH$50,7,FALSE))/1440),1,0)</f>
        <v>#N/A</v>
      </c>
      <c r="AG142" s="2" t="e">
        <f>IF(AND(VLOOKUP(AG$1,'20Trips'!$A$3:$F$22,5,FALSE) - VLOOKUP($B142,'20Trips'!$A$3:$G$22,6,FALSE) &gt;= ('20Trips'!#REF!+VLOOKUP(VLOOKUP($B142,'20Trips'!$A$2:$I$22,4,FALSE),'20Trips'!$AB$46:$AH$50,7,FALSE))/1440),1,0)</f>
        <v>#N/A</v>
      </c>
    </row>
    <row r="143" spans="1:33" x14ac:dyDescent="0.25">
      <c r="A143" t="s">
        <v>69</v>
      </c>
      <c r="B143" t="s">
        <v>28</v>
      </c>
      <c r="C143">
        <v>0</v>
      </c>
      <c r="D143" s="2" t="e">
        <f>IF(AND(VLOOKUP(D$1,'20Trips'!$A$3:$F$22,5,FALSE) - VLOOKUP($B143,'20Trips'!$A$3:$G$22,6,FALSE) &gt;= ('20Trips'!#REF!+VLOOKUP(VLOOKUP($B143,'20Trips'!$A$2:$I$22,4,FALSE),'20Trips'!$AB$46:$AH$50,7,FALSE))/1440),1,0)</f>
        <v>#REF!</v>
      </c>
      <c r="E143" s="2" t="e">
        <f>IF(AND(VLOOKUP(E$1,'20Trips'!$A$3:$F$22,5,FALSE) - VLOOKUP($B143,'20Trips'!$A$3:$G$22,6,FALSE) &gt;= ('20Trips'!#REF!+VLOOKUP(VLOOKUP($B143,'20Trips'!$A$2:$I$22,4,FALSE),'20Trips'!$AB$46:$AH$50,7,FALSE))/1440),1,0)</f>
        <v>#REF!</v>
      </c>
      <c r="F143" s="2" t="e">
        <f>IF(AND(VLOOKUP(F$1,'20Trips'!$A$3:$F$22,5,FALSE) - VLOOKUP($B143,'20Trips'!$A$3:$G$22,6,FALSE) &gt;= ('20Trips'!#REF!+VLOOKUP(VLOOKUP($B143,'20Trips'!$A$2:$I$22,4,FALSE),'20Trips'!$AB$46:$AH$50,7,FALSE))/1440),1,0)</f>
        <v>#REF!</v>
      </c>
      <c r="G143" s="2" t="e">
        <f>IF(AND(VLOOKUP(G$1,'20Trips'!$A$3:$F$22,5,FALSE) - VLOOKUP($B143,'20Trips'!$A$3:$G$22,6,FALSE) &gt;= ('20Trips'!#REF!+VLOOKUP(VLOOKUP($B143,'20Trips'!$A$2:$I$22,4,FALSE),'20Trips'!$AB$46:$AH$50,7,FALSE))/1440),1,0)</f>
        <v>#REF!</v>
      </c>
      <c r="H143" s="2" t="e">
        <f>IF(AND(VLOOKUP(H$1,'20Trips'!$A$3:$F$22,5,FALSE) - VLOOKUP($B143,'20Trips'!$A$3:$G$22,6,FALSE) &gt;= ('20Trips'!#REF!+VLOOKUP(VLOOKUP($B143,'20Trips'!$A$2:$I$22,4,FALSE),'20Trips'!$AB$46:$AH$50,7,FALSE))/1440),1,0)</f>
        <v>#REF!</v>
      </c>
      <c r="I143" s="2" t="e">
        <f>IF(AND(VLOOKUP(I$1,'20Trips'!$A$3:$F$22,5,FALSE) - VLOOKUP($B143,'20Trips'!$A$3:$G$22,6,FALSE) &gt;= ('20Trips'!#REF!+VLOOKUP(VLOOKUP($B143,'20Trips'!$A$2:$I$22,4,FALSE),'20Trips'!$AB$46:$AH$50,7,FALSE))/1440),1,0)</f>
        <v>#N/A</v>
      </c>
      <c r="J143" s="2" t="e">
        <f>IF(AND(VLOOKUP(J$1,'20Trips'!$A$3:$F$22,5,FALSE) - VLOOKUP($B143,'20Trips'!$A$3:$G$22,6,FALSE) &gt;= ('20Trips'!#REF!+VLOOKUP(VLOOKUP($B143,'20Trips'!$A$2:$I$22,4,FALSE),'20Trips'!$AB$46:$AH$50,7,FALSE))/1440),1,0)</f>
        <v>#N/A</v>
      </c>
      <c r="K143" s="2" t="e">
        <f>IF(AND(VLOOKUP(K$1,'20Trips'!$A$3:$F$22,5,FALSE) - VLOOKUP($B143,'20Trips'!$A$3:$G$22,6,FALSE) &gt;= ('20Trips'!#REF!+VLOOKUP(VLOOKUP($B143,'20Trips'!$A$2:$I$22,4,FALSE),'20Trips'!$AB$46:$AH$50,7,FALSE))/1440),1,0)</f>
        <v>#N/A</v>
      </c>
      <c r="L143" s="2" t="e">
        <f>IF(AND(VLOOKUP(L$1,'20Trips'!$A$3:$F$22,5,FALSE) - VLOOKUP($B143,'20Trips'!$A$3:$G$22,6,FALSE) &gt;= ('20Trips'!#REF!+VLOOKUP(VLOOKUP($B143,'20Trips'!$A$2:$I$22,4,FALSE),'20Trips'!$AB$46:$AH$50,7,FALSE))/1440),1,0)</f>
        <v>#REF!</v>
      </c>
      <c r="M143" s="2" t="e">
        <f>IF(AND(VLOOKUP(M$1,'20Trips'!$A$3:$F$22,5,FALSE) - VLOOKUP($B143,'20Trips'!$A$3:$G$22,6,FALSE) &gt;= ('20Trips'!#REF!+VLOOKUP(VLOOKUP($B143,'20Trips'!$A$2:$I$22,4,FALSE),'20Trips'!$AB$46:$AH$50,7,FALSE))/1440),1,0)</f>
        <v>#REF!</v>
      </c>
      <c r="N143" s="2" t="e">
        <f>IF(AND(VLOOKUP(N$1,'20Trips'!$A$3:$F$22,5,FALSE) - VLOOKUP($B143,'20Trips'!$A$3:$G$22,6,FALSE) &gt;= ('20Trips'!#REF!+VLOOKUP(VLOOKUP($B143,'20Trips'!$A$2:$I$22,4,FALSE),'20Trips'!$AB$46:$AH$50,7,FALSE))/1440),1,0)</f>
        <v>#REF!</v>
      </c>
      <c r="O143" s="2" t="e">
        <f>IF(AND(VLOOKUP(O$1,'20Trips'!$A$3:$F$22,5,FALSE) - VLOOKUP($B143,'20Trips'!$A$3:$G$22,6,FALSE) &gt;= ('20Trips'!#REF!+VLOOKUP(VLOOKUP($B143,'20Trips'!$A$2:$I$22,4,FALSE),'20Trips'!$AB$46:$AH$50,7,FALSE))/1440),1,0)</f>
        <v>#REF!</v>
      </c>
      <c r="P143" s="2" t="e">
        <f>IF(AND(VLOOKUP(P$1,'20Trips'!$A$3:$F$22,5,FALSE) - VLOOKUP($B143,'20Trips'!$A$3:$G$22,6,FALSE) &gt;= ('20Trips'!#REF!+VLOOKUP(VLOOKUP($B143,'20Trips'!$A$2:$I$22,4,FALSE),'20Trips'!$AB$46:$AH$50,7,FALSE))/1440),1,0)</f>
        <v>#REF!</v>
      </c>
      <c r="Q143" s="2" t="e">
        <f>IF(AND(VLOOKUP(Q$1,'20Trips'!$A$3:$F$22,5,FALSE) - VLOOKUP($B143,'20Trips'!$A$3:$G$22,6,FALSE) &gt;= ('20Trips'!#REF!+VLOOKUP(VLOOKUP($B143,'20Trips'!$A$2:$I$22,4,FALSE),'20Trips'!$AB$46:$AH$50,7,FALSE))/1440),1,0)</f>
        <v>#N/A</v>
      </c>
      <c r="R143" s="2" t="e">
        <f>IF(AND(VLOOKUP(R$1,'20Trips'!$A$3:$F$22,5,FALSE) - VLOOKUP($B143,'20Trips'!$A$3:$G$22,6,FALSE) &gt;= ('20Trips'!#REF!+VLOOKUP(VLOOKUP($B143,'20Trips'!$A$2:$I$22,4,FALSE),'20Trips'!$AB$46:$AH$50,7,FALSE))/1440),1,0)</f>
        <v>#REF!</v>
      </c>
      <c r="S143" s="2" t="e">
        <f>IF(AND(VLOOKUP(S$1,'20Trips'!$A$3:$F$22,5,FALSE) - VLOOKUP($B143,'20Trips'!$A$3:$G$22,6,FALSE) &gt;= ('20Trips'!#REF!+VLOOKUP(VLOOKUP($B143,'20Trips'!$A$2:$I$22,4,FALSE),'20Trips'!$AB$46:$AH$50,7,FALSE))/1440),1,0)</f>
        <v>#REF!</v>
      </c>
      <c r="T143" s="2" t="e">
        <f>IF(AND(VLOOKUP(T$1,'20Trips'!$A$3:$F$22,5,FALSE) - VLOOKUP($B143,'20Trips'!$A$3:$G$22,6,FALSE) &gt;= ('20Trips'!#REF!+VLOOKUP(VLOOKUP($B143,'20Trips'!$A$2:$I$22,4,FALSE),'20Trips'!$AB$46:$AH$50,7,FALSE))/1440),1,0)</f>
        <v>#REF!</v>
      </c>
      <c r="U143" s="2" t="e">
        <f>IF(AND(VLOOKUP(U$1,'20Trips'!$A$3:$F$22,5,FALSE) - VLOOKUP($B143,'20Trips'!$A$3:$G$22,6,FALSE) &gt;= ('20Trips'!#REF!+VLOOKUP(VLOOKUP($B143,'20Trips'!$A$2:$I$22,4,FALSE),'20Trips'!$AB$46:$AH$50,7,FALSE))/1440),1,0)</f>
        <v>#REF!</v>
      </c>
      <c r="V143" s="2" t="e">
        <f>IF(AND(VLOOKUP(V$1,'20Trips'!$A$3:$F$22,5,FALSE) - VLOOKUP($B143,'20Trips'!$A$3:$G$22,6,FALSE) &gt;= ('20Trips'!#REF!+VLOOKUP(VLOOKUP($B143,'20Trips'!$A$2:$I$22,4,FALSE),'20Trips'!$AB$46:$AH$50,7,FALSE))/1440),1,0)</f>
        <v>#REF!</v>
      </c>
      <c r="W143" s="2" t="e">
        <f>IF(AND(VLOOKUP(W$1,'20Trips'!$A$3:$F$22,5,FALSE) - VLOOKUP($B143,'20Trips'!$A$3:$G$22,6,FALSE) &gt;= ('20Trips'!#REF!+VLOOKUP(VLOOKUP($B143,'20Trips'!$A$2:$I$22,4,FALSE),'20Trips'!$AB$46:$AH$50,7,FALSE))/1440),1,0)</f>
        <v>#N/A</v>
      </c>
      <c r="X143" s="2" t="e">
        <f>IF(AND(VLOOKUP(X$1,'20Trips'!$A$3:$F$22,5,FALSE) - VLOOKUP($B143,'20Trips'!$A$3:$G$22,6,FALSE) &gt;= ('20Trips'!#REF!+VLOOKUP(VLOOKUP($B143,'20Trips'!$A$2:$I$22,4,FALSE),'20Trips'!$AB$46:$AH$50,7,FALSE))/1440),1,0)</f>
        <v>#N/A</v>
      </c>
      <c r="Y143" s="2" t="e">
        <f>IF(AND(VLOOKUP(Y$1,'20Trips'!$A$3:$F$22,5,FALSE) - VLOOKUP($B143,'20Trips'!$A$3:$G$22,6,FALSE) &gt;= ('20Trips'!#REF!+VLOOKUP(VLOOKUP($B143,'20Trips'!$A$2:$I$22,4,FALSE),'20Trips'!$AB$46:$AH$50,7,FALSE))/1440),1,0)</f>
        <v>#N/A</v>
      </c>
      <c r="Z143" s="2" t="e">
        <f>IF(AND(VLOOKUP(Z$1,'20Trips'!$A$3:$F$22,5,FALSE) - VLOOKUP($B143,'20Trips'!$A$3:$G$22,6,FALSE) &gt;= ('20Trips'!#REF!+VLOOKUP(VLOOKUP($B143,'20Trips'!$A$2:$I$22,4,FALSE),'20Trips'!$AB$46:$AH$50,7,FALSE))/1440),1,0)</f>
        <v>#REF!</v>
      </c>
      <c r="AA143" s="2" t="e">
        <f>IF(AND(VLOOKUP(AA$1,'20Trips'!$A$3:$F$22,5,FALSE) - VLOOKUP($B143,'20Trips'!$A$3:$G$22,6,FALSE) &gt;= ('20Trips'!#REF!+VLOOKUP(VLOOKUP($B143,'20Trips'!$A$2:$I$22,4,FALSE),'20Trips'!$AB$46:$AH$50,7,FALSE))/1440),1,0)</f>
        <v>#REF!</v>
      </c>
      <c r="AB143" s="2" t="e">
        <f>IF(AND(VLOOKUP(AB$1,'20Trips'!$A$3:$F$22,5,FALSE) - VLOOKUP($B143,'20Trips'!$A$3:$G$22,6,FALSE) &gt;= ('20Trips'!#REF!+VLOOKUP(VLOOKUP($B143,'20Trips'!$A$2:$I$22,4,FALSE),'20Trips'!$AB$46:$AH$50,7,FALSE))/1440),1,0)</f>
        <v>#REF!</v>
      </c>
      <c r="AC143" s="2" t="e">
        <f>IF(AND(VLOOKUP(AC$1,'20Trips'!$A$3:$F$22,5,FALSE) - VLOOKUP($B143,'20Trips'!$A$3:$G$22,6,FALSE) &gt;= ('20Trips'!#REF!+VLOOKUP(VLOOKUP($B143,'20Trips'!$A$2:$I$22,4,FALSE),'20Trips'!$AB$46:$AH$50,7,FALSE))/1440),1,0)</f>
        <v>#REF!</v>
      </c>
      <c r="AD143" s="2" t="e">
        <f>IF(AND(VLOOKUP(AD$1,'20Trips'!$A$3:$F$22,5,FALSE) - VLOOKUP($B143,'20Trips'!$A$3:$G$22,6,FALSE) &gt;= ('20Trips'!#REF!+VLOOKUP(VLOOKUP($B143,'20Trips'!$A$2:$I$22,4,FALSE),'20Trips'!$AB$46:$AH$50,7,FALSE))/1440),1,0)</f>
        <v>#REF!</v>
      </c>
      <c r="AE143" s="2" t="e">
        <f>IF(AND(VLOOKUP(AE$1,'20Trips'!$A$3:$F$22,5,FALSE) - VLOOKUP($B143,'20Trips'!$A$3:$G$22,6,FALSE) &gt;= ('20Trips'!#REF!+VLOOKUP(VLOOKUP($B143,'20Trips'!$A$2:$I$22,4,FALSE),'20Trips'!$AB$46:$AH$50,7,FALSE))/1440),1,0)</f>
        <v>#N/A</v>
      </c>
      <c r="AF143" s="2" t="e">
        <f>IF(AND(VLOOKUP(AF$1,'20Trips'!$A$3:$F$22,5,FALSE) - VLOOKUP($B143,'20Trips'!$A$3:$G$22,6,FALSE) &gt;= ('20Trips'!#REF!+VLOOKUP(VLOOKUP($B143,'20Trips'!$A$2:$I$22,4,FALSE),'20Trips'!$AB$46:$AH$50,7,FALSE))/1440),1,0)</f>
        <v>#N/A</v>
      </c>
      <c r="AG143" s="2" t="e">
        <f>IF(AND(VLOOKUP(AG$1,'20Trips'!$A$3:$F$22,5,FALSE) - VLOOKUP($B143,'20Trips'!$A$3:$G$22,6,FALSE) &gt;= ('20Trips'!#REF!+VLOOKUP(VLOOKUP($B143,'20Trips'!$A$2:$I$22,4,FALSE),'20Trips'!$AB$46:$AH$50,7,FALSE))/1440),1,0)</f>
        <v>#N/A</v>
      </c>
    </row>
    <row r="144" spans="1:33" x14ac:dyDescent="0.25">
      <c r="A144" t="s">
        <v>69</v>
      </c>
      <c r="B144" t="s">
        <v>29</v>
      </c>
      <c r="C144">
        <v>0</v>
      </c>
      <c r="D144" s="2" t="e">
        <f>IF(AND(VLOOKUP(D$1,'20Trips'!$A$3:$F$22,5,FALSE) - VLOOKUP($B144,'20Trips'!$A$3:$G$22,6,FALSE) &gt;= ('20Trips'!#REF!+VLOOKUP(VLOOKUP($B144,'20Trips'!$A$2:$I$22,4,FALSE),'20Trips'!$AB$46:$AH$50,7,FALSE))/1440),1,0)</f>
        <v>#REF!</v>
      </c>
      <c r="E144" s="2" t="e">
        <f>IF(AND(VLOOKUP(E$1,'20Trips'!$A$3:$F$22,5,FALSE) - VLOOKUP($B144,'20Trips'!$A$3:$G$22,6,FALSE) &gt;= ('20Trips'!#REF!+VLOOKUP(VLOOKUP($B144,'20Trips'!$A$2:$I$22,4,FALSE),'20Trips'!$AB$46:$AH$50,7,FALSE))/1440),1,0)</f>
        <v>#REF!</v>
      </c>
      <c r="F144" s="2" t="e">
        <f>IF(AND(VLOOKUP(F$1,'20Trips'!$A$3:$F$22,5,FALSE) - VLOOKUP($B144,'20Trips'!$A$3:$G$22,6,FALSE) &gt;= ('20Trips'!#REF!+VLOOKUP(VLOOKUP($B144,'20Trips'!$A$2:$I$22,4,FALSE),'20Trips'!$AB$46:$AH$50,7,FALSE))/1440),1,0)</f>
        <v>#REF!</v>
      </c>
      <c r="G144" s="2" t="e">
        <f>IF(AND(VLOOKUP(G$1,'20Trips'!$A$3:$F$22,5,FALSE) - VLOOKUP($B144,'20Trips'!$A$3:$G$22,6,FALSE) &gt;= ('20Trips'!#REF!+VLOOKUP(VLOOKUP($B144,'20Trips'!$A$2:$I$22,4,FALSE),'20Trips'!$AB$46:$AH$50,7,FALSE))/1440),1,0)</f>
        <v>#REF!</v>
      </c>
      <c r="H144" s="2" t="e">
        <f>IF(AND(VLOOKUP(H$1,'20Trips'!$A$3:$F$22,5,FALSE) - VLOOKUP($B144,'20Trips'!$A$3:$G$22,6,FALSE) &gt;= ('20Trips'!#REF!+VLOOKUP(VLOOKUP($B144,'20Trips'!$A$2:$I$22,4,FALSE),'20Trips'!$AB$46:$AH$50,7,FALSE))/1440),1,0)</f>
        <v>#REF!</v>
      </c>
      <c r="I144" s="2" t="e">
        <f>IF(AND(VLOOKUP(I$1,'20Trips'!$A$3:$F$22,5,FALSE) - VLOOKUP($B144,'20Trips'!$A$3:$G$22,6,FALSE) &gt;= ('20Trips'!#REF!+VLOOKUP(VLOOKUP($B144,'20Trips'!$A$2:$I$22,4,FALSE),'20Trips'!$AB$46:$AH$50,7,FALSE))/1440),1,0)</f>
        <v>#N/A</v>
      </c>
      <c r="J144" s="2" t="e">
        <f>IF(AND(VLOOKUP(J$1,'20Trips'!$A$3:$F$22,5,FALSE) - VLOOKUP($B144,'20Trips'!$A$3:$G$22,6,FALSE) &gt;= ('20Trips'!#REF!+VLOOKUP(VLOOKUP($B144,'20Trips'!$A$2:$I$22,4,FALSE),'20Trips'!$AB$46:$AH$50,7,FALSE))/1440),1,0)</f>
        <v>#N/A</v>
      </c>
      <c r="K144" s="2" t="e">
        <f>IF(AND(VLOOKUP(K$1,'20Trips'!$A$3:$F$22,5,FALSE) - VLOOKUP($B144,'20Trips'!$A$3:$G$22,6,FALSE) &gt;= ('20Trips'!#REF!+VLOOKUP(VLOOKUP($B144,'20Trips'!$A$2:$I$22,4,FALSE),'20Trips'!$AB$46:$AH$50,7,FALSE))/1440),1,0)</f>
        <v>#N/A</v>
      </c>
      <c r="L144" s="2" t="e">
        <f>IF(AND(VLOOKUP(L$1,'20Trips'!$A$3:$F$22,5,FALSE) - VLOOKUP($B144,'20Trips'!$A$3:$G$22,6,FALSE) &gt;= ('20Trips'!#REF!+VLOOKUP(VLOOKUP($B144,'20Trips'!$A$2:$I$22,4,FALSE),'20Trips'!$AB$46:$AH$50,7,FALSE))/1440),1,0)</f>
        <v>#REF!</v>
      </c>
      <c r="M144" s="2" t="e">
        <f>IF(AND(VLOOKUP(M$1,'20Trips'!$A$3:$F$22,5,FALSE) - VLOOKUP($B144,'20Trips'!$A$3:$G$22,6,FALSE) &gt;= ('20Trips'!#REF!+VLOOKUP(VLOOKUP($B144,'20Trips'!$A$2:$I$22,4,FALSE),'20Trips'!$AB$46:$AH$50,7,FALSE))/1440),1,0)</f>
        <v>#REF!</v>
      </c>
      <c r="N144" s="2" t="e">
        <f>IF(AND(VLOOKUP(N$1,'20Trips'!$A$3:$F$22,5,FALSE) - VLOOKUP($B144,'20Trips'!$A$3:$G$22,6,FALSE) &gt;= ('20Trips'!#REF!+VLOOKUP(VLOOKUP($B144,'20Trips'!$A$2:$I$22,4,FALSE),'20Trips'!$AB$46:$AH$50,7,FALSE))/1440),1,0)</f>
        <v>#REF!</v>
      </c>
      <c r="O144" s="2" t="e">
        <f>IF(AND(VLOOKUP(O$1,'20Trips'!$A$3:$F$22,5,FALSE) - VLOOKUP($B144,'20Trips'!$A$3:$G$22,6,FALSE) &gt;= ('20Trips'!#REF!+VLOOKUP(VLOOKUP($B144,'20Trips'!$A$2:$I$22,4,FALSE),'20Trips'!$AB$46:$AH$50,7,FALSE))/1440),1,0)</f>
        <v>#REF!</v>
      </c>
      <c r="P144" s="2" t="e">
        <f>IF(AND(VLOOKUP(P$1,'20Trips'!$A$3:$F$22,5,FALSE) - VLOOKUP($B144,'20Trips'!$A$3:$G$22,6,FALSE) &gt;= ('20Trips'!#REF!+VLOOKUP(VLOOKUP($B144,'20Trips'!$A$2:$I$22,4,FALSE),'20Trips'!$AB$46:$AH$50,7,FALSE))/1440),1,0)</f>
        <v>#REF!</v>
      </c>
      <c r="Q144" s="2" t="e">
        <f>IF(AND(VLOOKUP(Q$1,'20Trips'!$A$3:$F$22,5,FALSE) - VLOOKUP($B144,'20Trips'!$A$3:$G$22,6,FALSE) &gt;= ('20Trips'!#REF!+VLOOKUP(VLOOKUP($B144,'20Trips'!$A$2:$I$22,4,FALSE),'20Trips'!$AB$46:$AH$50,7,FALSE))/1440),1,0)</f>
        <v>#N/A</v>
      </c>
      <c r="R144" s="2" t="e">
        <f>IF(AND(VLOOKUP(R$1,'20Trips'!$A$3:$F$22,5,FALSE) - VLOOKUP($B144,'20Trips'!$A$3:$G$22,6,FALSE) &gt;= ('20Trips'!#REF!+VLOOKUP(VLOOKUP($B144,'20Trips'!$A$2:$I$22,4,FALSE),'20Trips'!$AB$46:$AH$50,7,FALSE))/1440),1,0)</f>
        <v>#REF!</v>
      </c>
      <c r="S144" s="2" t="e">
        <f>IF(AND(VLOOKUP(S$1,'20Trips'!$A$3:$F$22,5,FALSE) - VLOOKUP($B144,'20Trips'!$A$3:$G$22,6,FALSE) &gt;= ('20Trips'!#REF!+VLOOKUP(VLOOKUP($B144,'20Trips'!$A$2:$I$22,4,FALSE),'20Trips'!$AB$46:$AH$50,7,FALSE))/1440),1,0)</f>
        <v>#REF!</v>
      </c>
      <c r="T144" s="2" t="e">
        <f>IF(AND(VLOOKUP(T$1,'20Trips'!$A$3:$F$22,5,FALSE) - VLOOKUP($B144,'20Trips'!$A$3:$G$22,6,FALSE) &gt;= ('20Trips'!#REF!+VLOOKUP(VLOOKUP($B144,'20Trips'!$A$2:$I$22,4,FALSE),'20Trips'!$AB$46:$AH$50,7,FALSE))/1440),1,0)</f>
        <v>#REF!</v>
      </c>
      <c r="U144" s="2" t="e">
        <f>IF(AND(VLOOKUP(U$1,'20Trips'!$A$3:$F$22,5,FALSE) - VLOOKUP($B144,'20Trips'!$A$3:$G$22,6,FALSE) &gt;= ('20Trips'!#REF!+VLOOKUP(VLOOKUP($B144,'20Trips'!$A$2:$I$22,4,FALSE),'20Trips'!$AB$46:$AH$50,7,FALSE))/1440),1,0)</f>
        <v>#REF!</v>
      </c>
      <c r="V144" s="2" t="e">
        <f>IF(AND(VLOOKUP(V$1,'20Trips'!$A$3:$F$22,5,FALSE) - VLOOKUP($B144,'20Trips'!$A$3:$G$22,6,FALSE) &gt;= ('20Trips'!#REF!+VLOOKUP(VLOOKUP($B144,'20Trips'!$A$2:$I$22,4,FALSE),'20Trips'!$AB$46:$AH$50,7,FALSE))/1440),1,0)</f>
        <v>#REF!</v>
      </c>
      <c r="W144" s="2" t="e">
        <f>IF(AND(VLOOKUP(W$1,'20Trips'!$A$3:$F$22,5,FALSE) - VLOOKUP($B144,'20Trips'!$A$3:$G$22,6,FALSE) &gt;= ('20Trips'!#REF!+VLOOKUP(VLOOKUP($B144,'20Trips'!$A$2:$I$22,4,FALSE),'20Trips'!$AB$46:$AH$50,7,FALSE))/1440),1,0)</f>
        <v>#N/A</v>
      </c>
      <c r="X144" s="2" t="e">
        <f>IF(AND(VLOOKUP(X$1,'20Trips'!$A$3:$F$22,5,FALSE) - VLOOKUP($B144,'20Trips'!$A$3:$G$22,6,FALSE) &gt;= ('20Trips'!#REF!+VLOOKUP(VLOOKUP($B144,'20Trips'!$A$2:$I$22,4,FALSE),'20Trips'!$AB$46:$AH$50,7,FALSE))/1440),1,0)</f>
        <v>#N/A</v>
      </c>
      <c r="Y144" s="2" t="e">
        <f>IF(AND(VLOOKUP(Y$1,'20Trips'!$A$3:$F$22,5,FALSE) - VLOOKUP($B144,'20Trips'!$A$3:$G$22,6,FALSE) &gt;= ('20Trips'!#REF!+VLOOKUP(VLOOKUP($B144,'20Trips'!$A$2:$I$22,4,FALSE),'20Trips'!$AB$46:$AH$50,7,FALSE))/1440),1,0)</f>
        <v>#N/A</v>
      </c>
      <c r="Z144" s="2" t="e">
        <f>IF(AND(VLOOKUP(Z$1,'20Trips'!$A$3:$F$22,5,FALSE) - VLOOKUP($B144,'20Trips'!$A$3:$G$22,6,FALSE) &gt;= ('20Trips'!#REF!+VLOOKUP(VLOOKUP($B144,'20Trips'!$A$2:$I$22,4,FALSE),'20Trips'!$AB$46:$AH$50,7,FALSE))/1440),1,0)</f>
        <v>#REF!</v>
      </c>
      <c r="AA144" s="2" t="e">
        <f>IF(AND(VLOOKUP(AA$1,'20Trips'!$A$3:$F$22,5,FALSE) - VLOOKUP($B144,'20Trips'!$A$3:$G$22,6,FALSE) &gt;= ('20Trips'!#REF!+VLOOKUP(VLOOKUP($B144,'20Trips'!$A$2:$I$22,4,FALSE),'20Trips'!$AB$46:$AH$50,7,FALSE))/1440),1,0)</f>
        <v>#REF!</v>
      </c>
      <c r="AB144" s="2" t="e">
        <f>IF(AND(VLOOKUP(AB$1,'20Trips'!$A$3:$F$22,5,FALSE) - VLOOKUP($B144,'20Trips'!$A$3:$G$22,6,FALSE) &gt;= ('20Trips'!#REF!+VLOOKUP(VLOOKUP($B144,'20Trips'!$A$2:$I$22,4,FALSE),'20Trips'!$AB$46:$AH$50,7,FALSE))/1440),1,0)</f>
        <v>#REF!</v>
      </c>
      <c r="AC144" s="2" t="e">
        <f>IF(AND(VLOOKUP(AC$1,'20Trips'!$A$3:$F$22,5,FALSE) - VLOOKUP($B144,'20Trips'!$A$3:$G$22,6,FALSE) &gt;= ('20Trips'!#REF!+VLOOKUP(VLOOKUP($B144,'20Trips'!$A$2:$I$22,4,FALSE),'20Trips'!$AB$46:$AH$50,7,FALSE))/1440),1,0)</f>
        <v>#REF!</v>
      </c>
      <c r="AD144" s="2" t="e">
        <f>IF(AND(VLOOKUP(AD$1,'20Trips'!$A$3:$F$22,5,FALSE) - VLOOKUP($B144,'20Trips'!$A$3:$G$22,6,FALSE) &gt;= ('20Trips'!#REF!+VLOOKUP(VLOOKUP($B144,'20Trips'!$A$2:$I$22,4,FALSE),'20Trips'!$AB$46:$AH$50,7,FALSE))/1440),1,0)</f>
        <v>#REF!</v>
      </c>
      <c r="AE144" s="2" t="e">
        <f>IF(AND(VLOOKUP(AE$1,'20Trips'!$A$3:$F$22,5,FALSE) - VLOOKUP($B144,'20Trips'!$A$3:$G$22,6,FALSE) &gt;= ('20Trips'!#REF!+VLOOKUP(VLOOKUP($B144,'20Trips'!$A$2:$I$22,4,FALSE),'20Trips'!$AB$46:$AH$50,7,FALSE))/1440),1,0)</f>
        <v>#N/A</v>
      </c>
      <c r="AF144" s="2" t="e">
        <f>IF(AND(VLOOKUP(AF$1,'20Trips'!$A$3:$F$22,5,FALSE) - VLOOKUP($B144,'20Trips'!$A$3:$G$22,6,FALSE) &gt;= ('20Trips'!#REF!+VLOOKUP(VLOOKUP($B144,'20Trips'!$A$2:$I$22,4,FALSE),'20Trips'!$AB$46:$AH$50,7,FALSE))/1440),1,0)</f>
        <v>#N/A</v>
      </c>
      <c r="AG144" s="2" t="e">
        <f>IF(AND(VLOOKUP(AG$1,'20Trips'!$A$3:$F$22,5,FALSE) - VLOOKUP($B144,'20Trips'!$A$3:$G$22,6,FALSE) &gt;= ('20Trips'!#REF!+VLOOKUP(VLOOKUP($B144,'20Trips'!$A$2:$I$22,4,FALSE),'20Trips'!$AB$46:$AH$50,7,FALSE))/1440),1,0)</f>
        <v>#N/A</v>
      </c>
    </row>
    <row r="145" spans="1:33" x14ac:dyDescent="0.25">
      <c r="A145" t="s">
        <v>69</v>
      </c>
      <c r="B145" t="s">
        <v>30</v>
      </c>
      <c r="C145">
        <v>0</v>
      </c>
      <c r="D145" s="2" t="e">
        <f>IF(AND(VLOOKUP(D$1,'20Trips'!$A$3:$F$22,5,FALSE) - VLOOKUP($B145,'20Trips'!$A$3:$G$22,6,FALSE) &gt;= ('20Trips'!#REF!+VLOOKUP(VLOOKUP($B145,'20Trips'!$A$2:$I$22,4,FALSE),'20Trips'!$AB$46:$AH$50,7,FALSE))/1440),1,0)</f>
        <v>#REF!</v>
      </c>
      <c r="E145" s="2" t="e">
        <f>IF(AND(VLOOKUP(E$1,'20Trips'!$A$3:$F$22,5,FALSE) - VLOOKUP($B145,'20Trips'!$A$3:$G$22,6,FALSE) &gt;= ('20Trips'!#REF!+VLOOKUP(VLOOKUP($B145,'20Trips'!$A$2:$I$22,4,FALSE),'20Trips'!$AB$46:$AH$50,7,FALSE))/1440),1,0)</f>
        <v>#REF!</v>
      </c>
      <c r="F145" s="2" t="e">
        <f>IF(AND(VLOOKUP(F$1,'20Trips'!$A$3:$F$22,5,FALSE) - VLOOKUP($B145,'20Trips'!$A$3:$G$22,6,FALSE) &gt;= ('20Trips'!#REF!+VLOOKUP(VLOOKUP($B145,'20Trips'!$A$2:$I$22,4,FALSE),'20Trips'!$AB$46:$AH$50,7,FALSE))/1440),1,0)</f>
        <v>#REF!</v>
      </c>
      <c r="G145" s="2" t="e">
        <f>IF(AND(VLOOKUP(G$1,'20Trips'!$A$3:$F$22,5,FALSE) - VLOOKUP($B145,'20Trips'!$A$3:$G$22,6,FALSE) &gt;= ('20Trips'!#REF!+VLOOKUP(VLOOKUP($B145,'20Trips'!$A$2:$I$22,4,FALSE),'20Trips'!$AB$46:$AH$50,7,FALSE))/1440),1,0)</f>
        <v>#REF!</v>
      </c>
      <c r="H145" s="2" t="e">
        <f>IF(AND(VLOOKUP(H$1,'20Trips'!$A$3:$F$22,5,FALSE) - VLOOKUP($B145,'20Trips'!$A$3:$G$22,6,FALSE) &gt;= ('20Trips'!#REF!+VLOOKUP(VLOOKUP($B145,'20Trips'!$A$2:$I$22,4,FALSE),'20Trips'!$AB$46:$AH$50,7,FALSE))/1440),1,0)</f>
        <v>#REF!</v>
      </c>
      <c r="I145" s="2" t="e">
        <f>IF(AND(VLOOKUP(I$1,'20Trips'!$A$3:$F$22,5,FALSE) - VLOOKUP($B145,'20Trips'!$A$3:$G$22,6,FALSE) &gt;= ('20Trips'!#REF!+VLOOKUP(VLOOKUP($B145,'20Trips'!$A$2:$I$22,4,FALSE),'20Trips'!$AB$46:$AH$50,7,FALSE))/1440),1,0)</f>
        <v>#N/A</v>
      </c>
      <c r="J145" s="2" t="e">
        <f>IF(AND(VLOOKUP(J$1,'20Trips'!$A$3:$F$22,5,FALSE) - VLOOKUP($B145,'20Trips'!$A$3:$G$22,6,FALSE) &gt;= ('20Trips'!#REF!+VLOOKUP(VLOOKUP($B145,'20Trips'!$A$2:$I$22,4,FALSE),'20Trips'!$AB$46:$AH$50,7,FALSE))/1440),1,0)</f>
        <v>#N/A</v>
      </c>
      <c r="K145" s="2" t="e">
        <f>IF(AND(VLOOKUP(K$1,'20Trips'!$A$3:$F$22,5,FALSE) - VLOOKUP($B145,'20Trips'!$A$3:$G$22,6,FALSE) &gt;= ('20Trips'!#REF!+VLOOKUP(VLOOKUP($B145,'20Trips'!$A$2:$I$22,4,FALSE),'20Trips'!$AB$46:$AH$50,7,FALSE))/1440),1,0)</f>
        <v>#N/A</v>
      </c>
      <c r="L145" s="2" t="e">
        <f>IF(AND(VLOOKUP(L$1,'20Trips'!$A$3:$F$22,5,FALSE) - VLOOKUP($B145,'20Trips'!$A$3:$G$22,6,FALSE) &gt;= ('20Trips'!#REF!+VLOOKUP(VLOOKUP($B145,'20Trips'!$A$2:$I$22,4,FALSE),'20Trips'!$AB$46:$AH$50,7,FALSE))/1440),1,0)</f>
        <v>#REF!</v>
      </c>
      <c r="M145" s="2" t="e">
        <f>IF(AND(VLOOKUP(M$1,'20Trips'!$A$3:$F$22,5,FALSE) - VLOOKUP($B145,'20Trips'!$A$3:$G$22,6,FALSE) &gt;= ('20Trips'!#REF!+VLOOKUP(VLOOKUP($B145,'20Trips'!$A$2:$I$22,4,FALSE),'20Trips'!$AB$46:$AH$50,7,FALSE))/1440),1,0)</f>
        <v>#REF!</v>
      </c>
      <c r="N145" s="2" t="e">
        <f>IF(AND(VLOOKUP(N$1,'20Trips'!$A$3:$F$22,5,FALSE) - VLOOKUP($B145,'20Trips'!$A$3:$G$22,6,FALSE) &gt;= ('20Trips'!#REF!+VLOOKUP(VLOOKUP($B145,'20Trips'!$A$2:$I$22,4,FALSE),'20Trips'!$AB$46:$AH$50,7,FALSE))/1440),1,0)</f>
        <v>#REF!</v>
      </c>
      <c r="O145" s="2" t="e">
        <f>IF(AND(VLOOKUP(O$1,'20Trips'!$A$3:$F$22,5,FALSE) - VLOOKUP($B145,'20Trips'!$A$3:$G$22,6,FALSE) &gt;= ('20Trips'!#REF!+VLOOKUP(VLOOKUP($B145,'20Trips'!$A$2:$I$22,4,FALSE),'20Trips'!$AB$46:$AH$50,7,FALSE))/1440),1,0)</f>
        <v>#REF!</v>
      </c>
      <c r="P145" s="2" t="e">
        <f>IF(AND(VLOOKUP(P$1,'20Trips'!$A$3:$F$22,5,FALSE) - VLOOKUP($B145,'20Trips'!$A$3:$G$22,6,FALSE) &gt;= ('20Trips'!#REF!+VLOOKUP(VLOOKUP($B145,'20Trips'!$A$2:$I$22,4,FALSE),'20Trips'!$AB$46:$AH$50,7,FALSE))/1440),1,0)</f>
        <v>#REF!</v>
      </c>
      <c r="Q145" s="2" t="e">
        <f>IF(AND(VLOOKUP(Q$1,'20Trips'!$A$3:$F$22,5,FALSE) - VLOOKUP($B145,'20Trips'!$A$3:$G$22,6,FALSE) &gt;= ('20Trips'!#REF!+VLOOKUP(VLOOKUP($B145,'20Trips'!$A$2:$I$22,4,FALSE),'20Trips'!$AB$46:$AH$50,7,FALSE))/1440),1,0)</f>
        <v>#N/A</v>
      </c>
      <c r="R145" s="2" t="e">
        <f>IF(AND(VLOOKUP(R$1,'20Trips'!$A$3:$F$22,5,FALSE) - VLOOKUP($B145,'20Trips'!$A$3:$G$22,6,FALSE) &gt;= ('20Trips'!#REF!+VLOOKUP(VLOOKUP($B145,'20Trips'!$A$2:$I$22,4,FALSE),'20Trips'!$AB$46:$AH$50,7,FALSE))/1440),1,0)</f>
        <v>#REF!</v>
      </c>
      <c r="S145" s="2" t="e">
        <f>IF(AND(VLOOKUP(S$1,'20Trips'!$A$3:$F$22,5,FALSE) - VLOOKUP($B145,'20Trips'!$A$3:$G$22,6,FALSE) &gt;= ('20Trips'!#REF!+VLOOKUP(VLOOKUP($B145,'20Trips'!$A$2:$I$22,4,FALSE),'20Trips'!$AB$46:$AH$50,7,FALSE))/1440),1,0)</f>
        <v>#REF!</v>
      </c>
      <c r="T145" s="2" t="e">
        <f>IF(AND(VLOOKUP(T$1,'20Trips'!$A$3:$F$22,5,FALSE) - VLOOKUP($B145,'20Trips'!$A$3:$G$22,6,FALSE) &gt;= ('20Trips'!#REF!+VLOOKUP(VLOOKUP($B145,'20Trips'!$A$2:$I$22,4,FALSE),'20Trips'!$AB$46:$AH$50,7,FALSE))/1440),1,0)</f>
        <v>#REF!</v>
      </c>
      <c r="U145" s="2" t="e">
        <f>IF(AND(VLOOKUP(U$1,'20Trips'!$A$3:$F$22,5,FALSE) - VLOOKUP($B145,'20Trips'!$A$3:$G$22,6,FALSE) &gt;= ('20Trips'!#REF!+VLOOKUP(VLOOKUP($B145,'20Trips'!$A$2:$I$22,4,FALSE),'20Trips'!$AB$46:$AH$50,7,FALSE))/1440),1,0)</f>
        <v>#REF!</v>
      </c>
      <c r="V145" s="2" t="e">
        <f>IF(AND(VLOOKUP(V$1,'20Trips'!$A$3:$F$22,5,FALSE) - VLOOKUP($B145,'20Trips'!$A$3:$G$22,6,FALSE) &gt;= ('20Trips'!#REF!+VLOOKUP(VLOOKUP($B145,'20Trips'!$A$2:$I$22,4,FALSE),'20Trips'!$AB$46:$AH$50,7,FALSE))/1440),1,0)</f>
        <v>#REF!</v>
      </c>
      <c r="W145" s="2" t="e">
        <f>IF(AND(VLOOKUP(W$1,'20Trips'!$A$3:$F$22,5,FALSE) - VLOOKUP($B145,'20Trips'!$A$3:$G$22,6,FALSE) &gt;= ('20Trips'!#REF!+VLOOKUP(VLOOKUP($B145,'20Trips'!$A$2:$I$22,4,FALSE),'20Trips'!$AB$46:$AH$50,7,FALSE))/1440),1,0)</f>
        <v>#N/A</v>
      </c>
      <c r="X145" s="2" t="e">
        <f>IF(AND(VLOOKUP(X$1,'20Trips'!$A$3:$F$22,5,FALSE) - VLOOKUP($B145,'20Trips'!$A$3:$G$22,6,FALSE) &gt;= ('20Trips'!#REF!+VLOOKUP(VLOOKUP($B145,'20Trips'!$A$2:$I$22,4,FALSE),'20Trips'!$AB$46:$AH$50,7,FALSE))/1440),1,0)</f>
        <v>#N/A</v>
      </c>
      <c r="Y145" s="2" t="e">
        <f>IF(AND(VLOOKUP(Y$1,'20Trips'!$A$3:$F$22,5,FALSE) - VLOOKUP($B145,'20Trips'!$A$3:$G$22,6,FALSE) &gt;= ('20Trips'!#REF!+VLOOKUP(VLOOKUP($B145,'20Trips'!$A$2:$I$22,4,FALSE),'20Trips'!$AB$46:$AH$50,7,FALSE))/1440),1,0)</f>
        <v>#N/A</v>
      </c>
      <c r="Z145" s="2" t="e">
        <f>IF(AND(VLOOKUP(Z$1,'20Trips'!$A$3:$F$22,5,FALSE) - VLOOKUP($B145,'20Trips'!$A$3:$G$22,6,FALSE) &gt;= ('20Trips'!#REF!+VLOOKUP(VLOOKUP($B145,'20Trips'!$A$2:$I$22,4,FALSE),'20Trips'!$AB$46:$AH$50,7,FALSE))/1440),1,0)</f>
        <v>#REF!</v>
      </c>
      <c r="AA145" s="2" t="e">
        <f>IF(AND(VLOOKUP(AA$1,'20Trips'!$A$3:$F$22,5,FALSE) - VLOOKUP($B145,'20Trips'!$A$3:$G$22,6,FALSE) &gt;= ('20Trips'!#REF!+VLOOKUP(VLOOKUP($B145,'20Trips'!$A$2:$I$22,4,FALSE),'20Trips'!$AB$46:$AH$50,7,FALSE))/1440),1,0)</f>
        <v>#REF!</v>
      </c>
      <c r="AB145" s="2" t="e">
        <f>IF(AND(VLOOKUP(AB$1,'20Trips'!$A$3:$F$22,5,FALSE) - VLOOKUP($B145,'20Trips'!$A$3:$G$22,6,FALSE) &gt;= ('20Trips'!#REF!+VLOOKUP(VLOOKUP($B145,'20Trips'!$A$2:$I$22,4,FALSE),'20Trips'!$AB$46:$AH$50,7,FALSE))/1440),1,0)</f>
        <v>#REF!</v>
      </c>
      <c r="AC145" s="2" t="e">
        <f>IF(AND(VLOOKUP(AC$1,'20Trips'!$A$3:$F$22,5,FALSE) - VLOOKUP($B145,'20Trips'!$A$3:$G$22,6,FALSE) &gt;= ('20Trips'!#REF!+VLOOKUP(VLOOKUP($B145,'20Trips'!$A$2:$I$22,4,FALSE),'20Trips'!$AB$46:$AH$50,7,FALSE))/1440),1,0)</f>
        <v>#REF!</v>
      </c>
      <c r="AD145" s="2" t="e">
        <f>IF(AND(VLOOKUP(AD$1,'20Trips'!$A$3:$F$22,5,FALSE) - VLOOKUP($B145,'20Trips'!$A$3:$G$22,6,FALSE) &gt;= ('20Trips'!#REF!+VLOOKUP(VLOOKUP($B145,'20Trips'!$A$2:$I$22,4,FALSE),'20Trips'!$AB$46:$AH$50,7,FALSE))/1440),1,0)</f>
        <v>#REF!</v>
      </c>
      <c r="AE145" s="2" t="e">
        <f>IF(AND(VLOOKUP(AE$1,'20Trips'!$A$3:$F$22,5,FALSE) - VLOOKUP($B145,'20Trips'!$A$3:$G$22,6,FALSE) &gt;= ('20Trips'!#REF!+VLOOKUP(VLOOKUP($B145,'20Trips'!$A$2:$I$22,4,FALSE),'20Trips'!$AB$46:$AH$50,7,FALSE))/1440),1,0)</f>
        <v>#N/A</v>
      </c>
      <c r="AF145" s="2" t="e">
        <f>IF(AND(VLOOKUP(AF$1,'20Trips'!$A$3:$F$22,5,FALSE) - VLOOKUP($B145,'20Trips'!$A$3:$G$22,6,FALSE) &gt;= ('20Trips'!#REF!+VLOOKUP(VLOOKUP($B145,'20Trips'!$A$2:$I$22,4,FALSE),'20Trips'!$AB$46:$AH$50,7,FALSE))/1440),1,0)</f>
        <v>#N/A</v>
      </c>
      <c r="AG145" s="2" t="e">
        <f>IF(AND(VLOOKUP(AG$1,'20Trips'!$A$3:$F$22,5,FALSE) - VLOOKUP($B145,'20Trips'!$A$3:$G$22,6,FALSE) &gt;= ('20Trips'!#REF!+VLOOKUP(VLOOKUP($B145,'20Trips'!$A$2:$I$22,4,FALSE),'20Trips'!$AB$46:$AH$50,7,FALSE))/1440),1,0)</f>
        <v>#N/A</v>
      </c>
    </row>
    <row r="146" spans="1:33" x14ac:dyDescent="0.25">
      <c r="A146" t="s">
        <v>69</v>
      </c>
      <c r="B146" t="s">
        <v>31</v>
      </c>
      <c r="C146">
        <v>0</v>
      </c>
      <c r="D146" s="2" t="e">
        <f>IF(AND(VLOOKUP(D$1,'20Trips'!$A$3:$F$22,5,FALSE) - VLOOKUP($B146,'20Trips'!$A$3:$G$22,6,FALSE) &gt;= ('20Trips'!#REF!+VLOOKUP(VLOOKUP($B146,'20Trips'!$A$2:$I$22,4,FALSE),'20Trips'!$AB$46:$AH$50,7,FALSE))/1440),1,0)</f>
        <v>#N/A</v>
      </c>
      <c r="E146" s="2" t="e">
        <f>IF(AND(VLOOKUP(E$1,'20Trips'!$A$3:$F$22,5,FALSE) - VLOOKUP($B146,'20Trips'!$A$3:$G$22,6,FALSE) &gt;= ('20Trips'!#REF!+VLOOKUP(VLOOKUP($B146,'20Trips'!$A$2:$I$22,4,FALSE),'20Trips'!$AB$46:$AH$50,7,FALSE))/1440),1,0)</f>
        <v>#N/A</v>
      </c>
      <c r="F146" s="2" t="e">
        <f>IF(AND(VLOOKUP(F$1,'20Trips'!$A$3:$F$22,5,FALSE) - VLOOKUP($B146,'20Trips'!$A$3:$G$22,6,FALSE) &gt;= ('20Trips'!#REF!+VLOOKUP(VLOOKUP($B146,'20Trips'!$A$2:$I$22,4,FALSE),'20Trips'!$AB$46:$AH$50,7,FALSE))/1440),1,0)</f>
        <v>#N/A</v>
      </c>
      <c r="G146" s="2" t="e">
        <f>IF(AND(VLOOKUP(G$1,'20Trips'!$A$3:$F$22,5,FALSE) - VLOOKUP($B146,'20Trips'!$A$3:$G$22,6,FALSE) &gt;= ('20Trips'!#REF!+VLOOKUP(VLOOKUP($B146,'20Trips'!$A$2:$I$22,4,FALSE),'20Trips'!$AB$46:$AH$50,7,FALSE))/1440),1,0)</f>
        <v>#N/A</v>
      </c>
      <c r="H146" s="2" t="e">
        <f>IF(AND(VLOOKUP(H$1,'20Trips'!$A$3:$F$22,5,FALSE) - VLOOKUP($B146,'20Trips'!$A$3:$G$22,6,FALSE) &gt;= ('20Trips'!#REF!+VLOOKUP(VLOOKUP($B146,'20Trips'!$A$2:$I$22,4,FALSE),'20Trips'!$AB$46:$AH$50,7,FALSE))/1440),1,0)</f>
        <v>#N/A</v>
      </c>
      <c r="I146" s="2" t="e">
        <f>IF(AND(VLOOKUP(I$1,'20Trips'!$A$3:$F$22,5,FALSE) - VLOOKUP($B146,'20Trips'!$A$3:$G$22,6,FALSE) &gt;= ('20Trips'!#REF!+VLOOKUP(VLOOKUP($B146,'20Trips'!$A$2:$I$22,4,FALSE),'20Trips'!$AB$46:$AH$50,7,FALSE))/1440),1,0)</f>
        <v>#N/A</v>
      </c>
      <c r="J146" s="2" t="e">
        <f>IF(AND(VLOOKUP(J$1,'20Trips'!$A$3:$F$22,5,FALSE) - VLOOKUP($B146,'20Trips'!$A$3:$G$22,6,FALSE) &gt;= ('20Trips'!#REF!+VLOOKUP(VLOOKUP($B146,'20Trips'!$A$2:$I$22,4,FALSE),'20Trips'!$AB$46:$AH$50,7,FALSE))/1440),1,0)</f>
        <v>#N/A</v>
      </c>
      <c r="K146" s="2" t="e">
        <f>IF(AND(VLOOKUP(K$1,'20Trips'!$A$3:$F$22,5,FALSE) - VLOOKUP($B146,'20Trips'!$A$3:$G$22,6,FALSE) &gt;= ('20Trips'!#REF!+VLOOKUP(VLOOKUP($B146,'20Trips'!$A$2:$I$22,4,FALSE),'20Trips'!$AB$46:$AH$50,7,FALSE))/1440),1,0)</f>
        <v>#N/A</v>
      </c>
      <c r="L146" s="2" t="e">
        <f>IF(AND(VLOOKUP(L$1,'20Trips'!$A$3:$F$22,5,FALSE) - VLOOKUP($B146,'20Trips'!$A$3:$G$22,6,FALSE) &gt;= ('20Trips'!#REF!+VLOOKUP(VLOOKUP($B146,'20Trips'!$A$2:$I$22,4,FALSE),'20Trips'!$AB$46:$AH$50,7,FALSE))/1440),1,0)</f>
        <v>#N/A</v>
      </c>
      <c r="M146" s="2" t="e">
        <f>IF(AND(VLOOKUP(M$1,'20Trips'!$A$3:$F$22,5,FALSE) - VLOOKUP($B146,'20Trips'!$A$3:$G$22,6,FALSE) &gt;= ('20Trips'!#REF!+VLOOKUP(VLOOKUP($B146,'20Trips'!$A$2:$I$22,4,FALSE),'20Trips'!$AB$46:$AH$50,7,FALSE))/1440),1,0)</f>
        <v>#N/A</v>
      </c>
      <c r="N146" s="2" t="e">
        <f>IF(AND(VLOOKUP(N$1,'20Trips'!$A$3:$F$22,5,FALSE) - VLOOKUP($B146,'20Trips'!$A$3:$G$22,6,FALSE) &gt;= ('20Trips'!#REF!+VLOOKUP(VLOOKUP($B146,'20Trips'!$A$2:$I$22,4,FALSE),'20Trips'!$AB$46:$AH$50,7,FALSE))/1440),1,0)</f>
        <v>#N/A</v>
      </c>
      <c r="O146" s="2" t="e">
        <f>IF(AND(VLOOKUP(O$1,'20Trips'!$A$3:$F$22,5,FALSE) - VLOOKUP($B146,'20Trips'!$A$3:$G$22,6,FALSE) &gt;= ('20Trips'!#REF!+VLOOKUP(VLOOKUP($B146,'20Trips'!$A$2:$I$22,4,FALSE),'20Trips'!$AB$46:$AH$50,7,FALSE))/1440),1,0)</f>
        <v>#N/A</v>
      </c>
      <c r="P146" s="2" t="e">
        <f>IF(AND(VLOOKUP(P$1,'20Trips'!$A$3:$F$22,5,FALSE) - VLOOKUP($B146,'20Trips'!$A$3:$G$22,6,FALSE) &gt;= ('20Trips'!#REF!+VLOOKUP(VLOOKUP($B146,'20Trips'!$A$2:$I$22,4,FALSE),'20Trips'!$AB$46:$AH$50,7,FALSE))/1440),1,0)</f>
        <v>#N/A</v>
      </c>
      <c r="Q146" s="2" t="e">
        <f>IF(AND(VLOOKUP(Q$1,'20Trips'!$A$3:$F$22,5,FALSE) - VLOOKUP($B146,'20Trips'!$A$3:$G$22,6,FALSE) &gt;= ('20Trips'!#REF!+VLOOKUP(VLOOKUP($B146,'20Trips'!$A$2:$I$22,4,FALSE),'20Trips'!$AB$46:$AH$50,7,FALSE))/1440),1,0)</f>
        <v>#N/A</v>
      </c>
      <c r="R146" s="2" t="e">
        <f>IF(AND(VLOOKUP(R$1,'20Trips'!$A$3:$F$22,5,FALSE) - VLOOKUP($B146,'20Trips'!$A$3:$G$22,6,FALSE) &gt;= ('20Trips'!#REF!+VLOOKUP(VLOOKUP($B146,'20Trips'!$A$2:$I$22,4,FALSE),'20Trips'!$AB$46:$AH$50,7,FALSE))/1440),1,0)</f>
        <v>#N/A</v>
      </c>
      <c r="S146" s="2" t="e">
        <f>IF(AND(VLOOKUP(S$1,'20Trips'!$A$3:$F$22,5,FALSE) - VLOOKUP($B146,'20Trips'!$A$3:$G$22,6,FALSE) &gt;= ('20Trips'!#REF!+VLOOKUP(VLOOKUP($B146,'20Trips'!$A$2:$I$22,4,FALSE),'20Trips'!$AB$46:$AH$50,7,FALSE))/1440),1,0)</f>
        <v>#N/A</v>
      </c>
      <c r="T146" s="2" t="e">
        <f>IF(AND(VLOOKUP(T$1,'20Trips'!$A$3:$F$22,5,FALSE) - VLOOKUP($B146,'20Trips'!$A$3:$G$22,6,FALSE) &gt;= ('20Trips'!#REF!+VLOOKUP(VLOOKUP($B146,'20Trips'!$A$2:$I$22,4,FALSE),'20Trips'!$AB$46:$AH$50,7,FALSE))/1440),1,0)</f>
        <v>#N/A</v>
      </c>
      <c r="U146" s="2" t="e">
        <f>IF(AND(VLOOKUP(U$1,'20Trips'!$A$3:$F$22,5,FALSE) - VLOOKUP($B146,'20Trips'!$A$3:$G$22,6,FALSE) &gt;= ('20Trips'!#REF!+VLOOKUP(VLOOKUP($B146,'20Trips'!$A$2:$I$22,4,FALSE),'20Trips'!$AB$46:$AH$50,7,FALSE))/1440),1,0)</f>
        <v>#N/A</v>
      </c>
      <c r="V146" s="2" t="e">
        <f>IF(AND(VLOOKUP(V$1,'20Trips'!$A$3:$F$22,5,FALSE) - VLOOKUP($B146,'20Trips'!$A$3:$G$22,6,FALSE) &gt;= ('20Trips'!#REF!+VLOOKUP(VLOOKUP($B146,'20Trips'!$A$2:$I$22,4,FALSE),'20Trips'!$AB$46:$AH$50,7,FALSE))/1440),1,0)</f>
        <v>#N/A</v>
      </c>
      <c r="W146" s="2" t="e">
        <f>IF(AND(VLOOKUP(W$1,'20Trips'!$A$3:$F$22,5,FALSE) - VLOOKUP($B146,'20Trips'!$A$3:$G$22,6,FALSE) &gt;= ('20Trips'!#REF!+VLOOKUP(VLOOKUP($B146,'20Trips'!$A$2:$I$22,4,FALSE),'20Trips'!$AB$46:$AH$50,7,FALSE))/1440),1,0)</f>
        <v>#N/A</v>
      </c>
      <c r="X146" s="2" t="e">
        <f>IF(AND(VLOOKUP(X$1,'20Trips'!$A$3:$F$22,5,FALSE) - VLOOKUP($B146,'20Trips'!$A$3:$G$22,6,FALSE) &gt;= ('20Trips'!#REF!+VLOOKUP(VLOOKUP($B146,'20Trips'!$A$2:$I$22,4,FALSE),'20Trips'!$AB$46:$AH$50,7,FALSE))/1440),1,0)</f>
        <v>#N/A</v>
      </c>
      <c r="Y146" s="2" t="e">
        <f>IF(AND(VLOOKUP(Y$1,'20Trips'!$A$3:$F$22,5,FALSE) - VLOOKUP($B146,'20Trips'!$A$3:$G$22,6,FALSE) &gt;= ('20Trips'!#REF!+VLOOKUP(VLOOKUP($B146,'20Trips'!$A$2:$I$22,4,FALSE),'20Trips'!$AB$46:$AH$50,7,FALSE))/1440),1,0)</f>
        <v>#N/A</v>
      </c>
      <c r="Z146" s="2" t="e">
        <f>IF(AND(VLOOKUP(Z$1,'20Trips'!$A$3:$F$22,5,FALSE) - VLOOKUP($B146,'20Trips'!$A$3:$G$22,6,FALSE) &gt;= ('20Trips'!#REF!+VLOOKUP(VLOOKUP($B146,'20Trips'!$A$2:$I$22,4,FALSE),'20Trips'!$AB$46:$AH$50,7,FALSE))/1440),1,0)</f>
        <v>#N/A</v>
      </c>
      <c r="AA146" s="2" t="e">
        <f>IF(AND(VLOOKUP(AA$1,'20Trips'!$A$3:$F$22,5,FALSE) - VLOOKUP($B146,'20Trips'!$A$3:$G$22,6,FALSE) &gt;= ('20Trips'!#REF!+VLOOKUP(VLOOKUP($B146,'20Trips'!$A$2:$I$22,4,FALSE),'20Trips'!$AB$46:$AH$50,7,FALSE))/1440),1,0)</f>
        <v>#N/A</v>
      </c>
      <c r="AB146" s="2" t="e">
        <f>IF(AND(VLOOKUP(AB$1,'20Trips'!$A$3:$F$22,5,FALSE) - VLOOKUP($B146,'20Trips'!$A$3:$G$22,6,FALSE) &gt;= ('20Trips'!#REF!+VLOOKUP(VLOOKUP($B146,'20Trips'!$A$2:$I$22,4,FALSE),'20Trips'!$AB$46:$AH$50,7,FALSE))/1440),1,0)</f>
        <v>#N/A</v>
      </c>
      <c r="AC146" s="2" t="e">
        <f>IF(AND(VLOOKUP(AC$1,'20Trips'!$A$3:$F$22,5,FALSE) - VLOOKUP($B146,'20Trips'!$A$3:$G$22,6,FALSE) &gt;= ('20Trips'!#REF!+VLOOKUP(VLOOKUP($B146,'20Trips'!$A$2:$I$22,4,FALSE),'20Trips'!$AB$46:$AH$50,7,FALSE))/1440),1,0)</f>
        <v>#N/A</v>
      </c>
      <c r="AD146" s="2" t="e">
        <f>IF(AND(VLOOKUP(AD$1,'20Trips'!$A$3:$F$22,5,FALSE) - VLOOKUP($B146,'20Trips'!$A$3:$G$22,6,FALSE) &gt;= ('20Trips'!#REF!+VLOOKUP(VLOOKUP($B146,'20Trips'!$A$2:$I$22,4,FALSE),'20Trips'!$AB$46:$AH$50,7,FALSE))/1440),1,0)</f>
        <v>#N/A</v>
      </c>
      <c r="AE146" s="2" t="e">
        <f>IF(AND(VLOOKUP(AE$1,'20Trips'!$A$3:$F$22,5,FALSE) - VLOOKUP($B146,'20Trips'!$A$3:$G$22,6,FALSE) &gt;= ('20Trips'!#REF!+VLOOKUP(VLOOKUP($B146,'20Trips'!$A$2:$I$22,4,FALSE),'20Trips'!$AB$46:$AH$50,7,FALSE))/1440),1,0)</f>
        <v>#N/A</v>
      </c>
      <c r="AF146" s="2" t="e">
        <f>IF(AND(VLOOKUP(AF$1,'20Trips'!$A$3:$F$22,5,FALSE) - VLOOKUP($B146,'20Trips'!$A$3:$G$22,6,FALSE) &gt;= ('20Trips'!#REF!+VLOOKUP(VLOOKUP($B146,'20Trips'!$A$2:$I$22,4,FALSE),'20Trips'!$AB$46:$AH$50,7,FALSE))/1440),1,0)</f>
        <v>#N/A</v>
      </c>
      <c r="AG146" s="2" t="e">
        <f>IF(AND(VLOOKUP(AG$1,'20Trips'!$A$3:$F$22,5,FALSE) - VLOOKUP($B146,'20Trips'!$A$3:$G$22,6,FALSE) &gt;= ('20Trips'!#REF!+VLOOKUP(VLOOKUP($B146,'20Trips'!$A$2:$I$22,4,FALSE),'20Trips'!$AB$46:$AH$50,7,FALSE))/1440),1,0)</f>
        <v>#N/A</v>
      </c>
    </row>
    <row r="147" spans="1:33" x14ac:dyDescent="0.25">
      <c r="A147" t="s">
        <v>69</v>
      </c>
      <c r="B147" t="s">
        <v>32</v>
      </c>
      <c r="C147">
        <v>0</v>
      </c>
      <c r="D147" s="2" t="e">
        <f>IF(AND(VLOOKUP(D$1,'20Trips'!$A$3:$F$22,5,FALSE) - VLOOKUP($B147,'20Trips'!$A$3:$G$22,6,FALSE) &gt;= ('20Trips'!#REF!+VLOOKUP(VLOOKUP($B147,'20Trips'!$A$2:$I$22,4,FALSE),'20Trips'!$AB$46:$AH$50,7,FALSE))/1440),1,0)</f>
        <v>#N/A</v>
      </c>
      <c r="E147" s="2" t="e">
        <f>IF(AND(VLOOKUP(E$1,'20Trips'!$A$3:$F$22,5,FALSE) - VLOOKUP($B147,'20Trips'!$A$3:$G$22,6,FALSE) &gt;= ('20Trips'!#REF!+VLOOKUP(VLOOKUP($B147,'20Trips'!$A$2:$I$22,4,FALSE),'20Trips'!$AB$46:$AH$50,7,FALSE))/1440),1,0)</f>
        <v>#N/A</v>
      </c>
      <c r="F147" s="2" t="e">
        <f>IF(AND(VLOOKUP(F$1,'20Trips'!$A$3:$F$22,5,FALSE) - VLOOKUP($B147,'20Trips'!$A$3:$G$22,6,FALSE) &gt;= ('20Trips'!#REF!+VLOOKUP(VLOOKUP($B147,'20Trips'!$A$2:$I$22,4,FALSE),'20Trips'!$AB$46:$AH$50,7,FALSE))/1440),1,0)</f>
        <v>#N/A</v>
      </c>
      <c r="G147" s="2" t="e">
        <f>IF(AND(VLOOKUP(G$1,'20Trips'!$A$3:$F$22,5,FALSE) - VLOOKUP($B147,'20Trips'!$A$3:$G$22,6,FALSE) &gt;= ('20Trips'!#REF!+VLOOKUP(VLOOKUP($B147,'20Trips'!$A$2:$I$22,4,FALSE),'20Trips'!$AB$46:$AH$50,7,FALSE))/1440),1,0)</f>
        <v>#N/A</v>
      </c>
      <c r="H147" s="2" t="e">
        <f>IF(AND(VLOOKUP(H$1,'20Trips'!$A$3:$F$22,5,FALSE) - VLOOKUP($B147,'20Trips'!$A$3:$G$22,6,FALSE) &gt;= ('20Trips'!#REF!+VLOOKUP(VLOOKUP($B147,'20Trips'!$A$2:$I$22,4,FALSE),'20Trips'!$AB$46:$AH$50,7,FALSE))/1440),1,0)</f>
        <v>#N/A</v>
      </c>
      <c r="I147" s="2" t="e">
        <f>IF(AND(VLOOKUP(I$1,'20Trips'!$A$3:$F$22,5,FALSE) - VLOOKUP($B147,'20Trips'!$A$3:$G$22,6,FALSE) &gt;= ('20Trips'!#REF!+VLOOKUP(VLOOKUP($B147,'20Trips'!$A$2:$I$22,4,FALSE),'20Trips'!$AB$46:$AH$50,7,FALSE))/1440),1,0)</f>
        <v>#N/A</v>
      </c>
      <c r="J147" s="2" t="e">
        <f>IF(AND(VLOOKUP(J$1,'20Trips'!$A$3:$F$22,5,FALSE) - VLOOKUP($B147,'20Trips'!$A$3:$G$22,6,FALSE) &gt;= ('20Trips'!#REF!+VLOOKUP(VLOOKUP($B147,'20Trips'!$A$2:$I$22,4,FALSE),'20Trips'!$AB$46:$AH$50,7,FALSE))/1440),1,0)</f>
        <v>#N/A</v>
      </c>
      <c r="K147" s="2" t="e">
        <f>IF(AND(VLOOKUP(K$1,'20Trips'!$A$3:$F$22,5,FALSE) - VLOOKUP($B147,'20Trips'!$A$3:$G$22,6,FALSE) &gt;= ('20Trips'!#REF!+VLOOKUP(VLOOKUP($B147,'20Trips'!$A$2:$I$22,4,FALSE),'20Trips'!$AB$46:$AH$50,7,FALSE))/1440),1,0)</f>
        <v>#N/A</v>
      </c>
      <c r="L147" s="2" t="e">
        <f>IF(AND(VLOOKUP(L$1,'20Trips'!$A$3:$F$22,5,FALSE) - VLOOKUP($B147,'20Trips'!$A$3:$G$22,6,FALSE) &gt;= ('20Trips'!#REF!+VLOOKUP(VLOOKUP($B147,'20Trips'!$A$2:$I$22,4,FALSE),'20Trips'!$AB$46:$AH$50,7,FALSE))/1440),1,0)</f>
        <v>#N/A</v>
      </c>
      <c r="M147" s="2" t="e">
        <f>IF(AND(VLOOKUP(M$1,'20Trips'!$A$3:$F$22,5,FALSE) - VLOOKUP($B147,'20Trips'!$A$3:$G$22,6,FALSE) &gt;= ('20Trips'!#REF!+VLOOKUP(VLOOKUP($B147,'20Trips'!$A$2:$I$22,4,FALSE),'20Trips'!$AB$46:$AH$50,7,FALSE))/1440),1,0)</f>
        <v>#N/A</v>
      </c>
      <c r="N147" s="2" t="e">
        <f>IF(AND(VLOOKUP(N$1,'20Trips'!$A$3:$F$22,5,FALSE) - VLOOKUP($B147,'20Trips'!$A$3:$G$22,6,FALSE) &gt;= ('20Trips'!#REF!+VLOOKUP(VLOOKUP($B147,'20Trips'!$A$2:$I$22,4,FALSE),'20Trips'!$AB$46:$AH$50,7,FALSE))/1440),1,0)</f>
        <v>#N/A</v>
      </c>
      <c r="O147" s="2" t="e">
        <f>IF(AND(VLOOKUP(O$1,'20Trips'!$A$3:$F$22,5,FALSE) - VLOOKUP($B147,'20Trips'!$A$3:$G$22,6,FALSE) &gt;= ('20Trips'!#REF!+VLOOKUP(VLOOKUP($B147,'20Trips'!$A$2:$I$22,4,FALSE),'20Trips'!$AB$46:$AH$50,7,FALSE))/1440),1,0)</f>
        <v>#N/A</v>
      </c>
      <c r="P147" s="2" t="e">
        <f>IF(AND(VLOOKUP(P$1,'20Trips'!$A$3:$F$22,5,FALSE) - VLOOKUP($B147,'20Trips'!$A$3:$G$22,6,FALSE) &gt;= ('20Trips'!#REF!+VLOOKUP(VLOOKUP($B147,'20Trips'!$A$2:$I$22,4,FALSE),'20Trips'!$AB$46:$AH$50,7,FALSE))/1440),1,0)</f>
        <v>#N/A</v>
      </c>
      <c r="Q147" s="2" t="e">
        <f>IF(AND(VLOOKUP(Q$1,'20Trips'!$A$3:$F$22,5,FALSE) - VLOOKUP($B147,'20Trips'!$A$3:$G$22,6,FALSE) &gt;= ('20Trips'!#REF!+VLOOKUP(VLOOKUP($B147,'20Trips'!$A$2:$I$22,4,FALSE),'20Trips'!$AB$46:$AH$50,7,FALSE))/1440),1,0)</f>
        <v>#N/A</v>
      </c>
      <c r="R147" s="2" t="e">
        <f>IF(AND(VLOOKUP(R$1,'20Trips'!$A$3:$F$22,5,FALSE) - VLOOKUP($B147,'20Trips'!$A$3:$G$22,6,FALSE) &gt;= ('20Trips'!#REF!+VLOOKUP(VLOOKUP($B147,'20Trips'!$A$2:$I$22,4,FALSE),'20Trips'!$AB$46:$AH$50,7,FALSE))/1440),1,0)</f>
        <v>#N/A</v>
      </c>
      <c r="S147" s="2" t="e">
        <f>IF(AND(VLOOKUP(S$1,'20Trips'!$A$3:$F$22,5,FALSE) - VLOOKUP($B147,'20Trips'!$A$3:$G$22,6,FALSE) &gt;= ('20Trips'!#REF!+VLOOKUP(VLOOKUP($B147,'20Trips'!$A$2:$I$22,4,FALSE),'20Trips'!$AB$46:$AH$50,7,FALSE))/1440),1,0)</f>
        <v>#N/A</v>
      </c>
      <c r="T147" s="2" t="e">
        <f>IF(AND(VLOOKUP(T$1,'20Trips'!$A$3:$F$22,5,FALSE) - VLOOKUP($B147,'20Trips'!$A$3:$G$22,6,FALSE) &gt;= ('20Trips'!#REF!+VLOOKUP(VLOOKUP($B147,'20Trips'!$A$2:$I$22,4,FALSE),'20Trips'!$AB$46:$AH$50,7,FALSE))/1440),1,0)</f>
        <v>#N/A</v>
      </c>
      <c r="U147" s="2" t="e">
        <f>IF(AND(VLOOKUP(U$1,'20Trips'!$A$3:$F$22,5,FALSE) - VLOOKUP($B147,'20Trips'!$A$3:$G$22,6,FALSE) &gt;= ('20Trips'!#REF!+VLOOKUP(VLOOKUP($B147,'20Trips'!$A$2:$I$22,4,FALSE),'20Trips'!$AB$46:$AH$50,7,FALSE))/1440),1,0)</f>
        <v>#N/A</v>
      </c>
      <c r="V147" s="2" t="e">
        <f>IF(AND(VLOOKUP(V$1,'20Trips'!$A$3:$F$22,5,FALSE) - VLOOKUP($B147,'20Trips'!$A$3:$G$22,6,FALSE) &gt;= ('20Trips'!#REF!+VLOOKUP(VLOOKUP($B147,'20Trips'!$A$2:$I$22,4,FALSE),'20Trips'!$AB$46:$AH$50,7,FALSE))/1440),1,0)</f>
        <v>#N/A</v>
      </c>
      <c r="W147" s="2" t="e">
        <f>IF(AND(VLOOKUP(W$1,'20Trips'!$A$3:$F$22,5,FALSE) - VLOOKUP($B147,'20Trips'!$A$3:$G$22,6,FALSE) &gt;= ('20Trips'!#REF!+VLOOKUP(VLOOKUP($B147,'20Trips'!$A$2:$I$22,4,FALSE),'20Trips'!$AB$46:$AH$50,7,FALSE))/1440),1,0)</f>
        <v>#N/A</v>
      </c>
      <c r="X147" s="2" t="e">
        <f>IF(AND(VLOOKUP(X$1,'20Trips'!$A$3:$F$22,5,FALSE) - VLOOKUP($B147,'20Trips'!$A$3:$G$22,6,FALSE) &gt;= ('20Trips'!#REF!+VLOOKUP(VLOOKUP($B147,'20Trips'!$A$2:$I$22,4,FALSE),'20Trips'!$AB$46:$AH$50,7,FALSE))/1440),1,0)</f>
        <v>#N/A</v>
      </c>
      <c r="Y147" s="2" t="e">
        <f>IF(AND(VLOOKUP(Y$1,'20Trips'!$A$3:$F$22,5,FALSE) - VLOOKUP($B147,'20Trips'!$A$3:$G$22,6,FALSE) &gt;= ('20Trips'!#REF!+VLOOKUP(VLOOKUP($B147,'20Trips'!$A$2:$I$22,4,FALSE),'20Trips'!$AB$46:$AH$50,7,FALSE))/1440),1,0)</f>
        <v>#N/A</v>
      </c>
      <c r="Z147" s="2" t="e">
        <f>IF(AND(VLOOKUP(Z$1,'20Trips'!$A$3:$F$22,5,FALSE) - VLOOKUP($B147,'20Trips'!$A$3:$G$22,6,FALSE) &gt;= ('20Trips'!#REF!+VLOOKUP(VLOOKUP($B147,'20Trips'!$A$2:$I$22,4,FALSE),'20Trips'!$AB$46:$AH$50,7,FALSE))/1440),1,0)</f>
        <v>#N/A</v>
      </c>
      <c r="AA147" s="2" t="e">
        <f>IF(AND(VLOOKUP(AA$1,'20Trips'!$A$3:$F$22,5,FALSE) - VLOOKUP($B147,'20Trips'!$A$3:$G$22,6,FALSE) &gt;= ('20Trips'!#REF!+VLOOKUP(VLOOKUP($B147,'20Trips'!$A$2:$I$22,4,FALSE),'20Trips'!$AB$46:$AH$50,7,FALSE))/1440),1,0)</f>
        <v>#N/A</v>
      </c>
      <c r="AB147" s="2" t="e">
        <f>IF(AND(VLOOKUP(AB$1,'20Trips'!$A$3:$F$22,5,FALSE) - VLOOKUP($B147,'20Trips'!$A$3:$G$22,6,FALSE) &gt;= ('20Trips'!#REF!+VLOOKUP(VLOOKUP($B147,'20Trips'!$A$2:$I$22,4,FALSE),'20Trips'!$AB$46:$AH$50,7,FALSE))/1440),1,0)</f>
        <v>#N/A</v>
      </c>
      <c r="AC147" s="2" t="e">
        <f>IF(AND(VLOOKUP(AC$1,'20Trips'!$A$3:$F$22,5,FALSE) - VLOOKUP($B147,'20Trips'!$A$3:$G$22,6,FALSE) &gt;= ('20Trips'!#REF!+VLOOKUP(VLOOKUP($B147,'20Trips'!$A$2:$I$22,4,FALSE),'20Trips'!$AB$46:$AH$50,7,FALSE))/1440),1,0)</f>
        <v>#N/A</v>
      </c>
      <c r="AD147" s="2" t="e">
        <f>IF(AND(VLOOKUP(AD$1,'20Trips'!$A$3:$F$22,5,FALSE) - VLOOKUP($B147,'20Trips'!$A$3:$G$22,6,FALSE) &gt;= ('20Trips'!#REF!+VLOOKUP(VLOOKUP($B147,'20Trips'!$A$2:$I$22,4,FALSE),'20Trips'!$AB$46:$AH$50,7,FALSE))/1440),1,0)</f>
        <v>#N/A</v>
      </c>
      <c r="AE147" s="2" t="e">
        <f>IF(AND(VLOOKUP(AE$1,'20Trips'!$A$3:$F$22,5,FALSE) - VLOOKUP($B147,'20Trips'!$A$3:$G$22,6,FALSE) &gt;= ('20Trips'!#REF!+VLOOKUP(VLOOKUP($B147,'20Trips'!$A$2:$I$22,4,FALSE),'20Trips'!$AB$46:$AH$50,7,FALSE))/1440),1,0)</f>
        <v>#N/A</v>
      </c>
      <c r="AF147" s="2" t="e">
        <f>IF(AND(VLOOKUP(AF$1,'20Trips'!$A$3:$F$22,5,FALSE) - VLOOKUP($B147,'20Trips'!$A$3:$G$22,6,FALSE) &gt;= ('20Trips'!#REF!+VLOOKUP(VLOOKUP($B147,'20Trips'!$A$2:$I$22,4,FALSE),'20Trips'!$AB$46:$AH$50,7,FALSE))/1440),1,0)</f>
        <v>#N/A</v>
      </c>
      <c r="AG147" s="2" t="e">
        <f>IF(AND(VLOOKUP(AG$1,'20Trips'!$A$3:$F$22,5,FALSE) - VLOOKUP($B147,'20Trips'!$A$3:$G$22,6,FALSE) &gt;= ('20Trips'!#REF!+VLOOKUP(VLOOKUP($B147,'20Trips'!$A$2:$I$22,4,FALSE),'20Trips'!$AB$46:$AH$50,7,FALSE))/1440),1,0)</f>
        <v>#N/A</v>
      </c>
    </row>
    <row r="148" spans="1:33" x14ac:dyDescent="0.25">
      <c r="A148" t="s">
        <v>69</v>
      </c>
      <c r="B148" t="s">
        <v>33</v>
      </c>
      <c r="C148">
        <v>0</v>
      </c>
      <c r="D148" s="2" t="e">
        <f>IF(AND(VLOOKUP(D$1,'20Trips'!$A$3:$F$22,5,FALSE) - VLOOKUP($B148,'20Trips'!$A$3:$G$22,6,FALSE) &gt;= ('20Trips'!#REF!+VLOOKUP(VLOOKUP($B148,'20Trips'!$A$2:$I$22,4,FALSE),'20Trips'!$AB$46:$AH$50,7,FALSE))/1440),1,0)</f>
        <v>#N/A</v>
      </c>
      <c r="E148" s="2" t="e">
        <f>IF(AND(VLOOKUP(E$1,'20Trips'!$A$3:$F$22,5,FALSE) - VLOOKUP($B148,'20Trips'!$A$3:$G$22,6,FALSE) &gt;= ('20Trips'!#REF!+VLOOKUP(VLOOKUP($B148,'20Trips'!$A$2:$I$22,4,FALSE),'20Trips'!$AB$46:$AH$50,7,FALSE))/1440),1,0)</f>
        <v>#N/A</v>
      </c>
      <c r="F148" s="2" t="e">
        <f>IF(AND(VLOOKUP(F$1,'20Trips'!$A$3:$F$22,5,FALSE) - VLOOKUP($B148,'20Trips'!$A$3:$G$22,6,FALSE) &gt;= ('20Trips'!#REF!+VLOOKUP(VLOOKUP($B148,'20Trips'!$A$2:$I$22,4,FALSE),'20Trips'!$AB$46:$AH$50,7,FALSE))/1440),1,0)</f>
        <v>#N/A</v>
      </c>
      <c r="G148" s="2" t="e">
        <f>IF(AND(VLOOKUP(G$1,'20Trips'!$A$3:$F$22,5,FALSE) - VLOOKUP($B148,'20Trips'!$A$3:$G$22,6,FALSE) &gt;= ('20Trips'!#REF!+VLOOKUP(VLOOKUP($B148,'20Trips'!$A$2:$I$22,4,FALSE),'20Trips'!$AB$46:$AH$50,7,FALSE))/1440),1,0)</f>
        <v>#N/A</v>
      </c>
      <c r="H148" s="2" t="e">
        <f>IF(AND(VLOOKUP(H$1,'20Trips'!$A$3:$F$22,5,FALSE) - VLOOKUP($B148,'20Trips'!$A$3:$G$22,6,FALSE) &gt;= ('20Trips'!#REF!+VLOOKUP(VLOOKUP($B148,'20Trips'!$A$2:$I$22,4,FALSE),'20Trips'!$AB$46:$AH$50,7,FALSE))/1440),1,0)</f>
        <v>#N/A</v>
      </c>
      <c r="I148" s="2" t="e">
        <f>IF(AND(VLOOKUP(I$1,'20Trips'!$A$3:$F$22,5,FALSE) - VLOOKUP($B148,'20Trips'!$A$3:$G$22,6,FALSE) &gt;= ('20Trips'!#REF!+VLOOKUP(VLOOKUP($B148,'20Trips'!$A$2:$I$22,4,FALSE),'20Trips'!$AB$46:$AH$50,7,FALSE))/1440),1,0)</f>
        <v>#N/A</v>
      </c>
      <c r="J148" s="2" t="e">
        <f>IF(AND(VLOOKUP(J$1,'20Trips'!$A$3:$F$22,5,FALSE) - VLOOKUP($B148,'20Trips'!$A$3:$G$22,6,FALSE) &gt;= ('20Trips'!#REF!+VLOOKUP(VLOOKUP($B148,'20Trips'!$A$2:$I$22,4,FALSE),'20Trips'!$AB$46:$AH$50,7,FALSE))/1440),1,0)</f>
        <v>#N/A</v>
      </c>
      <c r="K148" s="2" t="e">
        <f>IF(AND(VLOOKUP(K$1,'20Trips'!$A$3:$F$22,5,FALSE) - VLOOKUP($B148,'20Trips'!$A$3:$G$22,6,FALSE) &gt;= ('20Trips'!#REF!+VLOOKUP(VLOOKUP($B148,'20Trips'!$A$2:$I$22,4,FALSE),'20Trips'!$AB$46:$AH$50,7,FALSE))/1440),1,0)</f>
        <v>#N/A</v>
      </c>
      <c r="L148" s="2" t="e">
        <f>IF(AND(VLOOKUP(L$1,'20Trips'!$A$3:$F$22,5,FALSE) - VLOOKUP($B148,'20Trips'!$A$3:$G$22,6,FALSE) &gt;= ('20Trips'!#REF!+VLOOKUP(VLOOKUP($B148,'20Trips'!$A$2:$I$22,4,FALSE),'20Trips'!$AB$46:$AH$50,7,FALSE))/1440),1,0)</f>
        <v>#N/A</v>
      </c>
      <c r="M148" s="2" t="e">
        <f>IF(AND(VLOOKUP(M$1,'20Trips'!$A$3:$F$22,5,FALSE) - VLOOKUP($B148,'20Trips'!$A$3:$G$22,6,FALSE) &gt;= ('20Trips'!#REF!+VLOOKUP(VLOOKUP($B148,'20Trips'!$A$2:$I$22,4,FALSE),'20Trips'!$AB$46:$AH$50,7,FALSE))/1440),1,0)</f>
        <v>#N/A</v>
      </c>
      <c r="N148" s="2" t="e">
        <f>IF(AND(VLOOKUP(N$1,'20Trips'!$A$3:$F$22,5,FALSE) - VLOOKUP($B148,'20Trips'!$A$3:$G$22,6,FALSE) &gt;= ('20Trips'!#REF!+VLOOKUP(VLOOKUP($B148,'20Trips'!$A$2:$I$22,4,FALSE),'20Trips'!$AB$46:$AH$50,7,FALSE))/1440),1,0)</f>
        <v>#N/A</v>
      </c>
      <c r="O148" s="2" t="e">
        <f>IF(AND(VLOOKUP(O$1,'20Trips'!$A$3:$F$22,5,FALSE) - VLOOKUP($B148,'20Trips'!$A$3:$G$22,6,FALSE) &gt;= ('20Trips'!#REF!+VLOOKUP(VLOOKUP($B148,'20Trips'!$A$2:$I$22,4,FALSE),'20Trips'!$AB$46:$AH$50,7,FALSE))/1440),1,0)</f>
        <v>#N/A</v>
      </c>
      <c r="P148" s="2" t="e">
        <f>IF(AND(VLOOKUP(P$1,'20Trips'!$A$3:$F$22,5,FALSE) - VLOOKUP($B148,'20Trips'!$A$3:$G$22,6,FALSE) &gt;= ('20Trips'!#REF!+VLOOKUP(VLOOKUP($B148,'20Trips'!$A$2:$I$22,4,FALSE),'20Trips'!$AB$46:$AH$50,7,FALSE))/1440),1,0)</f>
        <v>#N/A</v>
      </c>
      <c r="Q148" s="2" t="e">
        <f>IF(AND(VLOOKUP(Q$1,'20Trips'!$A$3:$F$22,5,FALSE) - VLOOKUP($B148,'20Trips'!$A$3:$G$22,6,FALSE) &gt;= ('20Trips'!#REF!+VLOOKUP(VLOOKUP($B148,'20Trips'!$A$2:$I$22,4,FALSE),'20Trips'!$AB$46:$AH$50,7,FALSE))/1440),1,0)</f>
        <v>#N/A</v>
      </c>
      <c r="R148" s="2" t="e">
        <f>IF(AND(VLOOKUP(R$1,'20Trips'!$A$3:$F$22,5,FALSE) - VLOOKUP($B148,'20Trips'!$A$3:$G$22,6,FALSE) &gt;= ('20Trips'!#REF!+VLOOKUP(VLOOKUP($B148,'20Trips'!$A$2:$I$22,4,FALSE),'20Trips'!$AB$46:$AH$50,7,FALSE))/1440),1,0)</f>
        <v>#N/A</v>
      </c>
      <c r="S148" s="2" t="e">
        <f>IF(AND(VLOOKUP(S$1,'20Trips'!$A$3:$F$22,5,FALSE) - VLOOKUP($B148,'20Trips'!$A$3:$G$22,6,FALSE) &gt;= ('20Trips'!#REF!+VLOOKUP(VLOOKUP($B148,'20Trips'!$A$2:$I$22,4,FALSE),'20Trips'!$AB$46:$AH$50,7,FALSE))/1440),1,0)</f>
        <v>#N/A</v>
      </c>
      <c r="T148" s="2" t="e">
        <f>IF(AND(VLOOKUP(T$1,'20Trips'!$A$3:$F$22,5,FALSE) - VLOOKUP($B148,'20Trips'!$A$3:$G$22,6,FALSE) &gt;= ('20Trips'!#REF!+VLOOKUP(VLOOKUP($B148,'20Trips'!$A$2:$I$22,4,FALSE),'20Trips'!$AB$46:$AH$50,7,FALSE))/1440),1,0)</f>
        <v>#N/A</v>
      </c>
      <c r="U148" s="2" t="e">
        <f>IF(AND(VLOOKUP(U$1,'20Trips'!$A$3:$F$22,5,FALSE) - VLOOKUP($B148,'20Trips'!$A$3:$G$22,6,FALSE) &gt;= ('20Trips'!#REF!+VLOOKUP(VLOOKUP($B148,'20Trips'!$A$2:$I$22,4,FALSE),'20Trips'!$AB$46:$AH$50,7,FALSE))/1440),1,0)</f>
        <v>#N/A</v>
      </c>
      <c r="V148" s="2" t="e">
        <f>IF(AND(VLOOKUP(V$1,'20Trips'!$A$3:$F$22,5,FALSE) - VLOOKUP($B148,'20Trips'!$A$3:$G$22,6,FALSE) &gt;= ('20Trips'!#REF!+VLOOKUP(VLOOKUP($B148,'20Trips'!$A$2:$I$22,4,FALSE),'20Trips'!$AB$46:$AH$50,7,FALSE))/1440),1,0)</f>
        <v>#N/A</v>
      </c>
      <c r="W148" s="2" t="e">
        <f>IF(AND(VLOOKUP(W$1,'20Trips'!$A$3:$F$22,5,FALSE) - VLOOKUP($B148,'20Trips'!$A$3:$G$22,6,FALSE) &gt;= ('20Trips'!#REF!+VLOOKUP(VLOOKUP($B148,'20Trips'!$A$2:$I$22,4,FALSE),'20Trips'!$AB$46:$AH$50,7,FALSE))/1440),1,0)</f>
        <v>#N/A</v>
      </c>
      <c r="X148" s="2" t="e">
        <f>IF(AND(VLOOKUP(X$1,'20Trips'!$A$3:$F$22,5,FALSE) - VLOOKUP($B148,'20Trips'!$A$3:$G$22,6,FALSE) &gt;= ('20Trips'!#REF!+VLOOKUP(VLOOKUP($B148,'20Trips'!$A$2:$I$22,4,FALSE),'20Trips'!$AB$46:$AH$50,7,FALSE))/1440),1,0)</f>
        <v>#N/A</v>
      </c>
      <c r="Y148" s="2" t="e">
        <f>IF(AND(VLOOKUP(Y$1,'20Trips'!$A$3:$F$22,5,FALSE) - VLOOKUP($B148,'20Trips'!$A$3:$G$22,6,FALSE) &gt;= ('20Trips'!#REF!+VLOOKUP(VLOOKUP($B148,'20Trips'!$A$2:$I$22,4,FALSE),'20Trips'!$AB$46:$AH$50,7,FALSE))/1440),1,0)</f>
        <v>#N/A</v>
      </c>
      <c r="Z148" s="2" t="e">
        <f>IF(AND(VLOOKUP(Z$1,'20Trips'!$A$3:$F$22,5,FALSE) - VLOOKUP($B148,'20Trips'!$A$3:$G$22,6,FALSE) &gt;= ('20Trips'!#REF!+VLOOKUP(VLOOKUP($B148,'20Trips'!$A$2:$I$22,4,FALSE),'20Trips'!$AB$46:$AH$50,7,FALSE))/1440),1,0)</f>
        <v>#N/A</v>
      </c>
      <c r="AA148" s="2" t="e">
        <f>IF(AND(VLOOKUP(AA$1,'20Trips'!$A$3:$F$22,5,FALSE) - VLOOKUP($B148,'20Trips'!$A$3:$G$22,6,FALSE) &gt;= ('20Trips'!#REF!+VLOOKUP(VLOOKUP($B148,'20Trips'!$A$2:$I$22,4,FALSE),'20Trips'!$AB$46:$AH$50,7,FALSE))/1440),1,0)</f>
        <v>#N/A</v>
      </c>
      <c r="AB148" s="2" t="e">
        <f>IF(AND(VLOOKUP(AB$1,'20Trips'!$A$3:$F$22,5,FALSE) - VLOOKUP($B148,'20Trips'!$A$3:$G$22,6,FALSE) &gt;= ('20Trips'!#REF!+VLOOKUP(VLOOKUP($B148,'20Trips'!$A$2:$I$22,4,FALSE),'20Trips'!$AB$46:$AH$50,7,FALSE))/1440),1,0)</f>
        <v>#N/A</v>
      </c>
      <c r="AC148" s="2" t="e">
        <f>IF(AND(VLOOKUP(AC$1,'20Trips'!$A$3:$F$22,5,FALSE) - VLOOKUP($B148,'20Trips'!$A$3:$G$22,6,FALSE) &gt;= ('20Trips'!#REF!+VLOOKUP(VLOOKUP($B148,'20Trips'!$A$2:$I$22,4,FALSE),'20Trips'!$AB$46:$AH$50,7,FALSE))/1440),1,0)</f>
        <v>#N/A</v>
      </c>
      <c r="AD148" s="2" t="e">
        <f>IF(AND(VLOOKUP(AD$1,'20Trips'!$A$3:$F$22,5,FALSE) - VLOOKUP($B148,'20Trips'!$A$3:$G$22,6,FALSE) &gt;= ('20Trips'!#REF!+VLOOKUP(VLOOKUP($B148,'20Trips'!$A$2:$I$22,4,FALSE),'20Trips'!$AB$46:$AH$50,7,FALSE))/1440),1,0)</f>
        <v>#N/A</v>
      </c>
      <c r="AE148" s="2" t="e">
        <f>IF(AND(VLOOKUP(AE$1,'20Trips'!$A$3:$F$22,5,FALSE) - VLOOKUP($B148,'20Trips'!$A$3:$G$22,6,FALSE) &gt;= ('20Trips'!#REF!+VLOOKUP(VLOOKUP($B148,'20Trips'!$A$2:$I$22,4,FALSE),'20Trips'!$AB$46:$AH$50,7,FALSE))/1440),1,0)</f>
        <v>#N/A</v>
      </c>
      <c r="AF148" s="2" t="e">
        <f>IF(AND(VLOOKUP(AF$1,'20Trips'!$A$3:$F$22,5,FALSE) - VLOOKUP($B148,'20Trips'!$A$3:$G$22,6,FALSE) &gt;= ('20Trips'!#REF!+VLOOKUP(VLOOKUP($B148,'20Trips'!$A$2:$I$22,4,FALSE),'20Trips'!$AB$46:$AH$50,7,FALSE))/1440),1,0)</f>
        <v>#N/A</v>
      </c>
      <c r="AG148" s="2" t="e">
        <f>IF(AND(VLOOKUP(AG$1,'20Trips'!$A$3:$F$22,5,FALSE) - VLOOKUP($B148,'20Trips'!$A$3:$G$22,6,FALSE) &gt;= ('20Trips'!#REF!+VLOOKUP(VLOOKUP($B148,'20Trips'!$A$2:$I$22,4,FALSE),'20Trips'!$AB$46:$AH$50,7,FALSE))/1440),1,0)</f>
        <v>#N/A</v>
      </c>
    </row>
    <row r="149" spans="1:33" x14ac:dyDescent="0.25">
      <c r="A149" t="s">
        <v>69</v>
      </c>
      <c r="B149" t="s">
        <v>34</v>
      </c>
      <c r="C149">
        <v>0</v>
      </c>
      <c r="D149" s="2" t="e">
        <f>IF(AND(VLOOKUP(D$1,'20Trips'!$A$3:$F$22,5,FALSE) - VLOOKUP($B149,'20Trips'!$A$3:$G$22,6,FALSE) &gt;= ('20Trips'!#REF!+VLOOKUP(VLOOKUP($B149,'20Trips'!$A$2:$I$22,4,FALSE),'20Trips'!$AB$46:$AH$50,7,FALSE))/1440),1,0)</f>
        <v>#REF!</v>
      </c>
      <c r="E149" s="2" t="e">
        <f>IF(AND(VLOOKUP(E$1,'20Trips'!$A$3:$F$22,5,FALSE) - VLOOKUP($B149,'20Trips'!$A$3:$G$22,6,FALSE) &gt;= ('20Trips'!#REF!+VLOOKUP(VLOOKUP($B149,'20Trips'!$A$2:$I$22,4,FALSE),'20Trips'!$AB$46:$AH$50,7,FALSE))/1440),1,0)</f>
        <v>#REF!</v>
      </c>
      <c r="F149" s="2" t="e">
        <f>IF(AND(VLOOKUP(F$1,'20Trips'!$A$3:$F$22,5,FALSE) - VLOOKUP($B149,'20Trips'!$A$3:$G$22,6,FALSE) &gt;= ('20Trips'!#REF!+VLOOKUP(VLOOKUP($B149,'20Trips'!$A$2:$I$22,4,FALSE),'20Trips'!$AB$46:$AH$50,7,FALSE))/1440),1,0)</f>
        <v>#REF!</v>
      </c>
      <c r="G149" s="2" t="e">
        <f>IF(AND(VLOOKUP(G$1,'20Trips'!$A$3:$F$22,5,FALSE) - VLOOKUP($B149,'20Trips'!$A$3:$G$22,6,FALSE) &gt;= ('20Trips'!#REF!+VLOOKUP(VLOOKUP($B149,'20Trips'!$A$2:$I$22,4,FALSE),'20Trips'!$AB$46:$AH$50,7,FALSE))/1440),1,0)</f>
        <v>#REF!</v>
      </c>
      <c r="H149" s="2" t="e">
        <f>IF(AND(VLOOKUP(H$1,'20Trips'!$A$3:$F$22,5,FALSE) - VLOOKUP($B149,'20Trips'!$A$3:$G$22,6,FALSE) &gt;= ('20Trips'!#REF!+VLOOKUP(VLOOKUP($B149,'20Trips'!$A$2:$I$22,4,FALSE),'20Trips'!$AB$46:$AH$50,7,FALSE))/1440),1,0)</f>
        <v>#REF!</v>
      </c>
      <c r="I149" s="2" t="e">
        <f>IF(AND(VLOOKUP(I$1,'20Trips'!$A$3:$F$22,5,FALSE) - VLOOKUP($B149,'20Trips'!$A$3:$G$22,6,FALSE) &gt;= ('20Trips'!#REF!+VLOOKUP(VLOOKUP($B149,'20Trips'!$A$2:$I$22,4,FALSE),'20Trips'!$AB$46:$AH$50,7,FALSE))/1440),1,0)</f>
        <v>#N/A</v>
      </c>
      <c r="J149" s="2" t="e">
        <f>IF(AND(VLOOKUP(J$1,'20Trips'!$A$3:$F$22,5,FALSE) - VLOOKUP($B149,'20Trips'!$A$3:$G$22,6,FALSE) &gt;= ('20Trips'!#REF!+VLOOKUP(VLOOKUP($B149,'20Trips'!$A$2:$I$22,4,FALSE),'20Trips'!$AB$46:$AH$50,7,FALSE))/1440),1,0)</f>
        <v>#N/A</v>
      </c>
      <c r="K149" s="2" t="e">
        <f>IF(AND(VLOOKUP(K$1,'20Trips'!$A$3:$F$22,5,FALSE) - VLOOKUP($B149,'20Trips'!$A$3:$G$22,6,FALSE) &gt;= ('20Trips'!#REF!+VLOOKUP(VLOOKUP($B149,'20Trips'!$A$2:$I$22,4,FALSE),'20Trips'!$AB$46:$AH$50,7,FALSE))/1440),1,0)</f>
        <v>#N/A</v>
      </c>
      <c r="L149" s="2" t="e">
        <f>IF(AND(VLOOKUP(L$1,'20Trips'!$A$3:$F$22,5,FALSE) - VLOOKUP($B149,'20Trips'!$A$3:$G$22,6,FALSE) &gt;= ('20Trips'!#REF!+VLOOKUP(VLOOKUP($B149,'20Trips'!$A$2:$I$22,4,FALSE),'20Trips'!$AB$46:$AH$50,7,FALSE))/1440),1,0)</f>
        <v>#REF!</v>
      </c>
      <c r="M149" s="2" t="e">
        <f>IF(AND(VLOOKUP(M$1,'20Trips'!$A$3:$F$22,5,FALSE) - VLOOKUP($B149,'20Trips'!$A$3:$G$22,6,FALSE) &gt;= ('20Trips'!#REF!+VLOOKUP(VLOOKUP($B149,'20Trips'!$A$2:$I$22,4,FALSE),'20Trips'!$AB$46:$AH$50,7,FALSE))/1440),1,0)</f>
        <v>#REF!</v>
      </c>
      <c r="N149" s="2" t="e">
        <f>IF(AND(VLOOKUP(N$1,'20Trips'!$A$3:$F$22,5,FALSE) - VLOOKUP($B149,'20Trips'!$A$3:$G$22,6,FALSE) &gt;= ('20Trips'!#REF!+VLOOKUP(VLOOKUP($B149,'20Trips'!$A$2:$I$22,4,FALSE),'20Trips'!$AB$46:$AH$50,7,FALSE))/1440),1,0)</f>
        <v>#REF!</v>
      </c>
      <c r="O149" s="2" t="e">
        <f>IF(AND(VLOOKUP(O$1,'20Trips'!$A$3:$F$22,5,FALSE) - VLOOKUP($B149,'20Trips'!$A$3:$G$22,6,FALSE) &gt;= ('20Trips'!#REF!+VLOOKUP(VLOOKUP($B149,'20Trips'!$A$2:$I$22,4,FALSE),'20Trips'!$AB$46:$AH$50,7,FALSE))/1440),1,0)</f>
        <v>#REF!</v>
      </c>
      <c r="P149" s="2" t="e">
        <f>IF(AND(VLOOKUP(P$1,'20Trips'!$A$3:$F$22,5,FALSE) - VLOOKUP($B149,'20Trips'!$A$3:$G$22,6,FALSE) &gt;= ('20Trips'!#REF!+VLOOKUP(VLOOKUP($B149,'20Trips'!$A$2:$I$22,4,FALSE),'20Trips'!$AB$46:$AH$50,7,FALSE))/1440),1,0)</f>
        <v>#REF!</v>
      </c>
      <c r="Q149" s="2" t="e">
        <f>IF(AND(VLOOKUP(Q$1,'20Trips'!$A$3:$F$22,5,FALSE) - VLOOKUP($B149,'20Trips'!$A$3:$G$22,6,FALSE) &gt;= ('20Trips'!#REF!+VLOOKUP(VLOOKUP($B149,'20Trips'!$A$2:$I$22,4,FALSE),'20Trips'!$AB$46:$AH$50,7,FALSE))/1440),1,0)</f>
        <v>#N/A</v>
      </c>
      <c r="R149" s="2" t="e">
        <f>IF(AND(VLOOKUP(R$1,'20Trips'!$A$3:$F$22,5,FALSE) - VLOOKUP($B149,'20Trips'!$A$3:$G$22,6,FALSE) &gt;= ('20Trips'!#REF!+VLOOKUP(VLOOKUP($B149,'20Trips'!$A$2:$I$22,4,FALSE),'20Trips'!$AB$46:$AH$50,7,FALSE))/1440),1,0)</f>
        <v>#REF!</v>
      </c>
      <c r="S149" s="2" t="e">
        <f>IF(AND(VLOOKUP(S$1,'20Trips'!$A$3:$F$22,5,FALSE) - VLOOKUP($B149,'20Trips'!$A$3:$G$22,6,FALSE) &gt;= ('20Trips'!#REF!+VLOOKUP(VLOOKUP($B149,'20Trips'!$A$2:$I$22,4,FALSE),'20Trips'!$AB$46:$AH$50,7,FALSE))/1440),1,0)</f>
        <v>#REF!</v>
      </c>
      <c r="T149" s="2" t="e">
        <f>IF(AND(VLOOKUP(T$1,'20Trips'!$A$3:$F$22,5,FALSE) - VLOOKUP($B149,'20Trips'!$A$3:$G$22,6,FALSE) &gt;= ('20Trips'!#REF!+VLOOKUP(VLOOKUP($B149,'20Trips'!$A$2:$I$22,4,FALSE),'20Trips'!$AB$46:$AH$50,7,FALSE))/1440),1,0)</f>
        <v>#REF!</v>
      </c>
      <c r="U149" s="2" t="e">
        <f>IF(AND(VLOOKUP(U$1,'20Trips'!$A$3:$F$22,5,FALSE) - VLOOKUP($B149,'20Trips'!$A$3:$G$22,6,FALSE) &gt;= ('20Trips'!#REF!+VLOOKUP(VLOOKUP($B149,'20Trips'!$A$2:$I$22,4,FALSE),'20Trips'!$AB$46:$AH$50,7,FALSE))/1440),1,0)</f>
        <v>#REF!</v>
      </c>
      <c r="V149" s="2" t="e">
        <f>IF(AND(VLOOKUP(V$1,'20Trips'!$A$3:$F$22,5,FALSE) - VLOOKUP($B149,'20Trips'!$A$3:$G$22,6,FALSE) &gt;= ('20Trips'!#REF!+VLOOKUP(VLOOKUP($B149,'20Trips'!$A$2:$I$22,4,FALSE),'20Trips'!$AB$46:$AH$50,7,FALSE))/1440),1,0)</f>
        <v>#REF!</v>
      </c>
      <c r="W149" s="2" t="e">
        <f>IF(AND(VLOOKUP(W$1,'20Trips'!$A$3:$F$22,5,FALSE) - VLOOKUP($B149,'20Trips'!$A$3:$G$22,6,FALSE) &gt;= ('20Trips'!#REF!+VLOOKUP(VLOOKUP($B149,'20Trips'!$A$2:$I$22,4,FALSE),'20Trips'!$AB$46:$AH$50,7,FALSE))/1440),1,0)</f>
        <v>#N/A</v>
      </c>
      <c r="X149" s="2" t="e">
        <f>IF(AND(VLOOKUP(X$1,'20Trips'!$A$3:$F$22,5,FALSE) - VLOOKUP($B149,'20Trips'!$A$3:$G$22,6,FALSE) &gt;= ('20Trips'!#REF!+VLOOKUP(VLOOKUP($B149,'20Trips'!$A$2:$I$22,4,FALSE),'20Trips'!$AB$46:$AH$50,7,FALSE))/1440),1,0)</f>
        <v>#N/A</v>
      </c>
      <c r="Y149" s="2" t="e">
        <f>IF(AND(VLOOKUP(Y$1,'20Trips'!$A$3:$F$22,5,FALSE) - VLOOKUP($B149,'20Trips'!$A$3:$G$22,6,FALSE) &gt;= ('20Trips'!#REF!+VLOOKUP(VLOOKUP($B149,'20Trips'!$A$2:$I$22,4,FALSE),'20Trips'!$AB$46:$AH$50,7,FALSE))/1440),1,0)</f>
        <v>#N/A</v>
      </c>
      <c r="Z149" s="2" t="e">
        <f>IF(AND(VLOOKUP(Z$1,'20Trips'!$A$3:$F$22,5,FALSE) - VLOOKUP($B149,'20Trips'!$A$3:$G$22,6,FALSE) &gt;= ('20Trips'!#REF!+VLOOKUP(VLOOKUP($B149,'20Trips'!$A$2:$I$22,4,FALSE),'20Trips'!$AB$46:$AH$50,7,FALSE))/1440),1,0)</f>
        <v>#REF!</v>
      </c>
      <c r="AA149" s="2" t="e">
        <f>IF(AND(VLOOKUP(AA$1,'20Trips'!$A$3:$F$22,5,FALSE) - VLOOKUP($B149,'20Trips'!$A$3:$G$22,6,FALSE) &gt;= ('20Trips'!#REF!+VLOOKUP(VLOOKUP($B149,'20Trips'!$A$2:$I$22,4,FALSE),'20Trips'!$AB$46:$AH$50,7,FALSE))/1440),1,0)</f>
        <v>#REF!</v>
      </c>
      <c r="AB149" s="2" t="e">
        <f>IF(AND(VLOOKUP(AB$1,'20Trips'!$A$3:$F$22,5,FALSE) - VLOOKUP($B149,'20Trips'!$A$3:$G$22,6,FALSE) &gt;= ('20Trips'!#REF!+VLOOKUP(VLOOKUP($B149,'20Trips'!$A$2:$I$22,4,FALSE),'20Trips'!$AB$46:$AH$50,7,FALSE))/1440),1,0)</f>
        <v>#REF!</v>
      </c>
      <c r="AC149" s="2" t="e">
        <f>IF(AND(VLOOKUP(AC$1,'20Trips'!$A$3:$F$22,5,FALSE) - VLOOKUP($B149,'20Trips'!$A$3:$G$22,6,FALSE) &gt;= ('20Trips'!#REF!+VLOOKUP(VLOOKUP($B149,'20Trips'!$A$2:$I$22,4,FALSE),'20Trips'!$AB$46:$AH$50,7,FALSE))/1440),1,0)</f>
        <v>#REF!</v>
      </c>
      <c r="AD149" s="2" t="e">
        <f>IF(AND(VLOOKUP(AD$1,'20Trips'!$A$3:$F$22,5,FALSE) - VLOOKUP($B149,'20Trips'!$A$3:$G$22,6,FALSE) &gt;= ('20Trips'!#REF!+VLOOKUP(VLOOKUP($B149,'20Trips'!$A$2:$I$22,4,FALSE),'20Trips'!$AB$46:$AH$50,7,FALSE))/1440),1,0)</f>
        <v>#REF!</v>
      </c>
      <c r="AE149" s="2" t="e">
        <f>IF(AND(VLOOKUP(AE$1,'20Trips'!$A$3:$F$22,5,FALSE) - VLOOKUP($B149,'20Trips'!$A$3:$G$22,6,FALSE) &gt;= ('20Trips'!#REF!+VLOOKUP(VLOOKUP($B149,'20Trips'!$A$2:$I$22,4,FALSE),'20Trips'!$AB$46:$AH$50,7,FALSE))/1440),1,0)</f>
        <v>#N/A</v>
      </c>
      <c r="AF149" s="2" t="e">
        <f>IF(AND(VLOOKUP(AF$1,'20Trips'!$A$3:$F$22,5,FALSE) - VLOOKUP($B149,'20Trips'!$A$3:$G$22,6,FALSE) &gt;= ('20Trips'!#REF!+VLOOKUP(VLOOKUP($B149,'20Trips'!$A$2:$I$22,4,FALSE),'20Trips'!$AB$46:$AH$50,7,FALSE))/1440),1,0)</f>
        <v>#N/A</v>
      </c>
      <c r="AG149" s="2" t="e">
        <f>IF(AND(VLOOKUP(AG$1,'20Trips'!$A$3:$F$22,5,FALSE) - VLOOKUP($B149,'20Trips'!$A$3:$G$22,6,FALSE) &gt;= ('20Trips'!#REF!+VLOOKUP(VLOOKUP($B149,'20Trips'!$A$2:$I$22,4,FALSE),'20Trips'!$AB$46:$AH$50,7,FALSE))/1440),1,0)</f>
        <v>#N/A</v>
      </c>
    </row>
    <row r="150" spans="1:33" x14ac:dyDescent="0.25">
      <c r="A150" t="s">
        <v>69</v>
      </c>
      <c r="B150" t="s">
        <v>35</v>
      </c>
      <c r="C150">
        <v>0</v>
      </c>
      <c r="D150" s="2" t="e">
        <f>IF(AND(VLOOKUP(D$1,'20Trips'!$A$3:$F$22,5,FALSE) - VLOOKUP($B150,'20Trips'!$A$3:$G$22,6,FALSE) &gt;= ('20Trips'!#REF!+VLOOKUP(VLOOKUP($B150,'20Trips'!$A$2:$I$22,4,FALSE),'20Trips'!$AB$46:$AH$50,7,FALSE))/1440),1,0)</f>
        <v>#REF!</v>
      </c>
      <c r="E150" s="2" t="e">
        <f>IF(AND(VLOOKUP(E$1,'20Trips'!$A$3:$F$22,5,FALSE) - VLOOKUP($B150,'20Trips'!$A$3:$G$22,6,FALSE) &gt;= ('20Trips'!#REF!+VLOOKUP(VLOOKUP($B150,'20Trips'!$A$2:$I$22,4,FALSE),'20Trips'!$AB$46:$AH$50,7,FALSE))/1440),1,0)</f>
        <v>#REF!</v>
      </c>
      <c r="F150" s="2" t="e">
        <f>IF(AND(VLOOKUP(F$1,'20Trips'!$A$3:$F$22,5,FALSE) - VLOOKUP($B150,'20Trips'!$A$3:$G$22,6,FALSE) &gt;= ('20Trips'!#REF!+VLOOKUP(VLOOKUP($B150,'20Trips'!$A$2:$I$22,4,FALSE),'20Trips'!$AB$46:$AH$50,7,FALSE))/1440),1,0)</f>
        <v>#REF!</v>
      </c>
      <c r="G150" s="2" t="e">
        <f>IF(AND(VLOOKUP(G$1,'20Trips'!$A$3:$F$22,5,FALSE) - VLOOKUP($B150,'20Trips'!$A$3:$G$22,6,FALSE) &gt;= ('20Trips'!#REF!+VLOOKUP(VLOOKUP($B150,'20Trips'!$A$2:$I$22,4,FALSE),'20Trips'!$AB$46:$AH$50,7,FALSE))/1440),1,0)</f>
        <v>#REF!</v>
      </c>
      <c r="H150" s="2" t="e">
        <f>IF(AND(VLOOKUP(H$1,'20Trips'!$A$3:$F$22,5,FALSE) - VLOOKUP($B150,'20Trips'!$A$3:$G$22,6,FALSE) &gt;= ('20Trips'!#REF!+VLOOKUP(VLOOKUP($B150,'20Trips'!$A$2:$I$22,4,FALSE),'20Trips'!$AB$46:$AH$50,7,FALSE))/1440),1,0)</f>
        <v>#REF!</v>
      </c>
      <c r="I150" s="2" t="e">
        <f>IF(AND(VLOOKUP(I$1,'20Trips'!$A$3:$F$22,5,FALSE) - VLOOKUP($B150,'20Trips'!$A$3:$G$22,6,FALSE) &gt;= ('20Trips'!#REF!+VLOOKUP(VLOOKUP($B150,'20Trips'!$A$2:$I$22,4,FALSE),'20Trips'!$AB$46:$AH$50,7,FALSE))/1440),1,0)</f>
        <v>#N/A</v>
      </c>
      <c r="J150" s="2" t="e">
        <f>IF(AND(VLOOKUP(J$1,'20Trips'!$A$3:$F$22,5,FALSE) - VLOOKUP($B150,'20Trips'!$A$3:$G$22,6,FALSE) &gt;= ('20Trips'!#REF!+VLOOKUP(VLOOKUP($B150,'20Trips'!$A$2:$I$22,4,FALSE),'20Trips'!$AB$46:$AH$50,7,FALSE))/1440),1,0)</f>
        <v>#N/A</v>
      </c>
      <c r="K150" s="2" t="e">
        <f>IF(AND(VLOOKUP(K$1,'20Trips'!$A$3:$F$22,5,FALSE) - VLOOKUP($B150,'20Trips'!$A$3:$G$22,6,FALSE) &gt;= ('20Trips'!#REF!+VLOOKUP(VLOOKUP($B150,'20Trips'!$A$2:$I$22,4,FALSE),'20Trips'!$AB$46:$AH$50,7,FALSE))/1440),1,0)</f>
        <v>#N/A</v>
      </c>
      <c r="L150" s="2" t="e">
        <f>IF(AND(VLOOKUP(L$1,'20Trips'!$A$3:$F$22,5,FALSE) - VLOOKUP($B150,'20Trips'!$A$3:$G$22,6,FALSE) &gt;= ('20Trips'!#REF!+VLOOKUP(VLOOKUP($B150,'20Trips'!$A$2:$I$22,4,FALSE),'20Trips'!$AB$46:$AH$50,7,FALSE))/1440),1,0)</f>
        <v>#REF!</v>
      </c>
      <c r="M150" s="2" t="e">
        <f>IF(AND(VLOOKUP(M$1,'20Trips'!$A$3:$F$22,5,FALSE) - VLOOKUP($B150,'20Trips'!$A$3:$G$22,6,FALSE) &gt;= ('20Trips'!#REF!+VLOOKUP(VLOOKUP($B150,'20Trips'!$A$2:$I$22,4,FALSE),'20Trips'!$AB$46:$AH$50,7,FALSE))/1440),1,0)</f>
        <v>#REF!</v>
      </c>
      <c r="N150" s="2" t="e">
        <f>IF(AND(VLOOKUP(N$1,'20Trips'!$A$3:$F$22,5,FALSE) - VLOOKUP($B150,'20Trips'!$A$3:$G$22,6,FALSE) &gt;= ('20Trips'!#REF!+VLOOKUP(VLOOKUP($B150,'20Trips'!$A$2:$I$22,4,FALSE),'20Trips'!$AB$46:$AH$50,7,FALSE))/1440),1,0)</f>
        <v>#REF!</v>
      </c>
      <c r="O150" s="2" t="e">
        <f>IF(AND(VLOOKUP(O$1,'20Trips'!$A$3:$F$22,5,FALSE) - VLOOKUP($B150,'20Trips'!$A$3:$G$22,6,FALSE) &gt;= ('20Trips'!#REF!+VLOOKUP(VLOOKUP($B150,'20Trips'!$A$2:$I$22,4,FALSE),'20Trips'!$AB$46:$AH$50,7,FALSE))/1440),1,0)</f>
        <v>#REF!</v>
      </c>
      <c r="P150" s="2" t="e">
        <f>IF(AND(VLOOKUP(P$1,'20Trips'!$A$3:$F$22,5,FALSE) - VLOOKUP($B150,'20Trips'!$A$3:$G$22,6,FALSE) &gt;= ('20Trips'!#REF!+VLOOKUP(VLOOKUP($B150,'20Trips'!$A$2:$I$22,4,FALSE),'20Trips'!$AB$46:$AH$50,7,FALSE))/1440),1,0)</f>
        <v>#REF!</v>
      </c>
      <c r="Q150" s="2" t="e">
        <f>IF(AND(VLOOKUP(Q$1,'20Trips'!$A$3:$F$22,5,FALSE) - VLOOKUP($B150,'20Trips'!$A$3:$G$22,6,FALSE) &gt;= ('20Trips'!#REF!+VLOOKUP(VLOOKUP($B150,'20Trips'!$A$2:$I$22,4,FALSE),'20Trips'!$AB$46:$AH$50,7,FALSE))/1440),1,0)</f>
        <v>#N/A</v>
      </c>
      <c r="R150" s="2" t="e">
        <f>IF(AND(VLOOKUP(R$1,'20Trips'!$A$3:$F$22,5,FALSE) - VLOOKUP($B150,'20Trips'!$A$3:$G$22,6,FALSE) &gt;= ('20Trips'!#REF!+VLOOKUP(VLOOKUP($B150,'20Trips'!$A$2:$I$22,4,FALSE),'20Trips'!$AB$46:$AH$50,7,FALSE))/1440),1,0)</f>
        <v>#REF!</v>
      </c>
      <c r="S150" s="2" t="e">
        <f>IF(AND(VLOOKUP(S$1,'20Trips'!$A$3:$F$22,5,FALSE) - VLOOKUP($B150,'20Trips'!$A$3:$G$22,6,FALSE) &gt;= ('20Trips'!#REF!+VLOOKUP(VLOOKUP($B150,'20Trips'!$A$2:$I$22,4,FALSE),'20Trips'!$AB$46:$AH$50,7,FALSE))/1440),1,0)</f>
        <v>#REF!</v>
      </c>
      <c r="T150" s="2" t="e">
        <f>IF(AND(VLOOKUP(T$1,'20Trips'!$A$3:$F$22,5,FALSE) - VLOOKUP($B150,'20Trips'!$A$3:$G$22,6,FALSE) &gt;= ('20Trips'!#REF!+VLOOKUP(VLOOKUP($B150,'20Trips'!$A$2:$I$22,4,FALSE),'20Trips'!$AB$46:$AH$50,7,FALSE))/1440),1,0)</f>
        <v>#REF!</v>
      </c>
      <c r="U150" s="2" t="e">
        <f>IF(AND(VLOOKUP(U$1,'20Trips'!$A$3:$F$22,5,FALSE) - VLOOKUP($B150,'20Trips'!$A$3:$G$22,6,FALSE) &gt;= ('20Trips'!#REF!+VLOOKUP(VLOOKUP($B150,'20Trips'!$A$2:$I$22,4,FALSE),'20Trips'!$AB$46:$AH$50,7,FALSE))/1440),1,0)</f>
        <v>#REF!</v>
      </c>
      <c r="V150" s="2" t="e">
        <f>IF(AND(VLOOKUP(V$1,'20Trips'!$A$3:$F$22,5,FALSE) - VLOOKUP($B150,'20Trips'!$A$3:$G$22,6,FALSE) &gt;= ('20Trips'!#REF!+VLOOKUP(VLOOKUP($B150,'20Trips'!$A$2:$I$22,4,FALSE),'20Trips'!$AB$46:$AH$50,7,FALSE))/1440),1,0)</f>
        <v>#REF!</v>
      </c>
      <c r="W150" s="2" t="e">
        <f>IF(AND(VLOOKUP(W$1,'20Trips'!$A$3:$F$22,5,FALSE) - VLOOKUP($B150,'20Trips'!$A$3:$G$22,6,FALSE) &gt;= ('20Trips'!#REF!+VLOOKUP(VLOOKUP($B150,'20Trips'!$A$2:$I$22,4,FALSE),'20Trips'!$AB$46:$AH$50,7,FALSE))/1440),1,0)</f>
        <v>#N/A</v>
      </c>
      <c r="X150" s="2" t="e">
        <f>IF(AND(VLOOKUP(X$1,'20Trips'!$A$3:$F$22,5,FALSE) - VLOOKUP($B150,'20Trips'!$A$3:$G$22,6,FALSE) &gt;= ('20Trips'!#REF!+VLOOKUP(VLOOKUP($B150,'20Trips'!$A$2:$I$22,4,FALSE),'20Trips'!$AB$46:$AH$50,7,FALSE))/1440),1,0)</f>
        <v>#N/A</v>
      </c>
      <c r="Y150" s="2" t="e">
        <f>IF(AND(VLOOKUP(Y$1,'20Trips'!$A$3:$F$22,5,FALSE) - VLOOKUP($B150,'20Trips'!$A$3:$G$22,6,FALSE) &gt;= ('20Trips'!#REF!+VLOOKUP(VLOOKUP($B150,'20Trips'!$A$2:$I$22,4,FALSE),'20Trips'!$AB$46:$AH$50,7,FALSE))/1440),1,0)</f>
        <v>#N/A</v>
      </c>
      <c r="Z150" s="2" t="e">
        <f>IF(AND(VLOOKUP(Z$1,'20Trips'!$A$3:$F$22,5,FALSE) - VLOOKUP($B150,'20Trips'!$A$3:$G$22,6,FALSE) &gt;= ('20Trips'!#REF!+VLOOKUP(VLOOKUP($B150,'20Trips'!$A$2:$I$22,4,FALSE),'20Trips'!$AB$46:$AH$50,7,FALSE))/1440),1,0)</f>
        <v>#REF!</v>
      </c>
      <c r="AA150" s="2" t="e">
        <f>IF(AND(VLOOKUP(AA$1,'20Trips'!$A$3:$F$22,5,FALSE) - VLOOKUP($B150,'20Trips'!$A$3:$G$22,6,FALSE) &gt;= ('20Trips'!#REF!+VLOOKUP(VLOOKUP($B150,'20Trips'!$A$2:$I$22,4,FALSE),'20Trips'!$AB$46:$AH$50,7,FALSE))/1440),1,0)</f>
        <v>#REF!</v>
      </c>
      <c r="AB150" s="2" t="e">
        <f>IF(AND(VLOOKUP(AB$1,'20Trips'!$A$3:$F$22,5,FALSE) - VLOOKUP($B150,'20Trips'!$A$3:$G$22,6,FALSE) &gt;= ('20Trips'!#REF!+VLOOKUP(VLOOKUP($B150,'20Trips'!$A$2:$I$22,4,FALSE),'20Trips'!$AB$46:$AH$50,7,FALSE))/1440),1,0)</f>
        <v>#REF!</v>
      </c>
      <c r="AC150" s="2" t="e">
        <f>IF(AND(VLOOKUP(AC$1,'20Trips'!$A$3:$F$22,5,FALSE) - VLOOKUP($B150,'20Trips'!$A$3:$G$22,6,FALSE) &gt;= ('20Trips'!#REF!+VLOOKUP(VLOOKUP($B150,'20Trips'!$A$2:$I$22,4,FALSE),'20Trips'!$AB$46:$AH$50,7,FALSE))/1440),1,0)</f>
        <v>#REF!</v>
      </c>
      <c r="AD150" s="2" t="e">
        <f>IF(AND(VLOOKUP(AD$1,'20Trips'!$A$3:$F$22,5,FALSE) - VLOOKUP($B150,'20Trips'!$A$3:$G$22,6,FALSE) &gt;= ('20Trips'!#REF!+VLOOKUP(VLOOKUP($B150,'20Trips'!$A$2:$I$22,4,FALSE),'20Trips'!$AB$46:$AH$50,7,FALSE))/1440),1,0)</f>
        <v>#REF!</v>
      </c>
      <c r="AE150" s="2" t="e">
        <f>IF(AND(VLOOKUP(AE$1,'20Trips'!$A$3:$F$22,5,FALSE) - VLOOKUP($B150,'20Trips'!$A$3:$G$22,6,FALSE) &gt;= ('20Trips'!#REF!+VLOOKUP(VLOOKUP($B150,'20Trips'!$A$2:$I$22,4,FALSE),'20Trips'!$AB$46:$AH$50,7,FALSE))/1440),1,0)</f>
        <v>#N/A</v>
      </c>
      <c r="AF150" s="2" t="e">
        <f>IF(AND(VLOOKUP(AF$1,'20Trips'!$A$3:$F$22,5,FALSE) - VLOOKUP($B150,'20Trips'!$A$3:$G$22,6,FALSE) &gt;= ('20Trips'!#REF!+VLOOKUP(VLOOKUP($B150,'20Trips'!$A$2:$I$22,4,FALSE),'20Trips'!$AB$46:$AH$50,7,FALSE))/1440),1,0)</f>
        <v>#N/A</v>
      </c>
      <c r="AG150" s="2" t="e">
        <f>IF(AND(VLOOKUP(AG$1,'20Trips'!$A$3:$F$22,5,FALSE) - VLOOKUP($B150,'20Trips'!$A$3:$G$22,6,FALSE) &gt;= ('20Trips'!#REF!+VLOOKUP(VLOOKUP($B150,'20Trips'!$A$2:$I$22,4,FALSE),'20Trips'!$AB$46:$AH$50,7,FALSE))/1440),1,0)</f>
        <v>#N/A</v>
      </c>
    </row>
    <row r="151" spans="1:33" x14ac:dyDescent="0.25">
      <c r="A151" t="s">
        <v>69</v>
      </c>
      <c r="B151" t="s">
        <v>36</v>
      </c>
      <c r="C151">
        <v>0</v>
      </c>
      <c r="D151" s="2" t="e">
        <f>IF(AND(VLOOKUP(D$1,'20Trips'!$A$3:$F$22,5,FALSE) - VLOOKUP($B151,'20Trips'!$A$3:$G$22,6,FALSE) &gt;= ('20Trips'!#REF!+VLOOKUP(VLOOKUP($B151,'20Trips'!$A$2:$I$22,4,FALSE),'20Trips'!$AB$46:$AH$50,7,FALSE))/1440),1,0)</f>
        <v>#REF!</v>
      </c>
      <c r="E151" s="2" t="e">
        <f>IF(AND(VLOOKUP(E$1,'20Trips'!$A$3:$F$22,5,FALSE) - VLOOKUP($B151,'20Trips'!$A$3:$G$22,6,FALSE) &gt;= ('20Trips'!#REF!+VLOOKUP(VLOOKUP($B151,'20Trips'!$A$2:$I$22,4,FALSE),'20Trips'!$AB$46:$AH$50,7,FALSE))/1440),1,0)</f>
        <v>#REF!</v>
      </c>
      <c r="F151" s="2" t="e">
        <f>IF(AND(VLOOKUP(F$1,'20Trips'!$A$3:$F$22,5,FALSE) - VLOOKUP($B151,'20Trips'!$A$3:$G$22,6,FALSE) &gt;= ('20Trips'!#REF!+VLOOKUP(VLOOKUP($B151,'20Trips'!$A$2:$I$22,4,FALSE),'20Trips'!$AB$46:$AH$50,7,FALSE))/1440),1,0)</f>
        <v>#REF!</v>
      </c>
      <c r="G151" s="2" t="e">
        <f>IF(AND(VLOOKUP(G$1,'20Trips'!$A$3:$F$22,5,FALSE) - VLOOKUP($B151,'20Trips'!$A$3:$G$22,6,FALSE) &gt;= ('20Trips'!#REF!+VLOOKUP(VLOOKUP($B151,'20Trips'!$A$2:$I$22,4,FALSE),'20Trips'!$AB$46:$AH$50,7,FALSE))/1440),1,0)</f>
        <v>#REF!</v>
      </c>
      <c r="H151" s="2" t="e">
        <f>IF(AND(VLOOKUP(H$1,'20Trips'!$A$3:$F$22,5,FALSE) - VLOOKUP($B151,'20Trips'!$A$3:$G$22,6,FALSE) &gt;= ('20Trips'!#REF!+VLOOKUP(VLOOKUP($B151,'20Trips'!$A$2:$I$22,4,FALSE),'20Trips'!$AB$46:$AH$50,7,FALSE))/1440),1,0)</f>
        <v>#REF!</v>
      </c>
      <c r="I151" s="2" t="e">
        <f>IF(AND(VLOOKUP(I$1,'20Trips'!$A$3:$F$22,5,FALSE) - VLOOKUP($B151,'20Trips'!$A$3:$G$22,6,FALSE) &gt;= ('20Trips'!#REF!+VLOOKUP(VLOOKUP($B151,'20Trips'!$A$2:$I$22,4,FALSE),'20Trips'!$AB$46:$AH$50,7,FALSE))/1440),1,0)</f>
        <v>#N/A</v>
      </c>
      <c r="J151" s="2" t="e">
        <f>IF(AND(VLOOKUP(J$1,'20Trips'!$A$3:$F$22,5,FALSE) - VLOOKUP($B151,'20Trips'!$A$3:$G$22,6,FALSE) &gt;= ('20Trips'!#REF!+VLOOKUP(VLOOKUP($B151,'20Trips'!$A$2:$I$22,4,FALSE),'20Trips'!$AB$46:$AH$50,7,FALSE))/1440),1,0)</f>
        <v>#N/A</v>
      </c>
      <c r="K151" s="2" t="e">
        <f>IF(AND(VLOOKUP(K$1,'20Trips'!$A$3:$F$22,5,FALSE) - VLOOKUP($B151,'20Trips'!$A$3:$G$22,6,FALSE) &gt;= ('20Trips'!#REF!+VLOOKUP(VLOOKUP($B151,'20Trips'!$A$2:$I$22,4,FALSE),'20Trips'!$AB$46:$AH$50,7,FALSE))/1440),1,0)</f>
        <v>#N/A</v>
      </c>
      <c r="L151" s="2" t="e">
        <f>IF(AND(VLOOKUP(L$1,'20Trips'!$A$3:$F$22,5,FALSE) - VLOOKUP($B151,'20Trips'!$A$3:$G$22,6,FALSE) &gt;= ('20Trips'!#REF!+VLOOKUP(VLOOKUP($B151,'20Trips'!$A$2:$I$22,4,FALSE),'20Trips'!$AB$46:$AH$50,7,FALSE))/1440),1,0)</f>
        <v>#REF!</v>
      </c>
      <c r="M151" s="2" t="e">
        <f>IF(AND(VLOOKUP(M$1,'20Trips'!$A$3:$F$22,5,FALSE) - VLOOKUP($B151,'20Trips'!$A$3:$G$22,6,FALSE) &gt;= ('20Trips'!#REF!+VLOOKUP(VLOOKUP($B151,'20Trips'!$A$2:$I$22,4,FALSE),'20Trips'!$AB$46:$AH$50,7,FALSE))/1440),1,0)</f>
        <v>#REF!</v>
      </c>
      <c r="N151" s="2" t="e">
        <f>IF(AND(VLOOKUP(N$1,'20Trips'!$A$3:$F$22,5,FALSE) - VLOOKUP($B151,'20Trips'!$A$3:$G$22,6,FALSE) &gt;= ('20Trips'!#REF!+VLOOKUP(VLOOKUP($B151,'20Trips'!$A$2:$I$22,4,FALSE),'20Trips'!$AB$46:$AH$50,7,FALSE))/1440),1,0)</f>
        <v>#REF!</v>
      </c>
      <c r="O151" s="2" t="e">
        <f>IF(AND(VLOOKUP(O$1,'20Trips'!$A$3:$F$22,5,FALSE) - VLOOKUP($B151,'20Trips'!$A$3:$G$22,6,FALSE) &gt;= ('20Trips'!#REF!+VLOOKUP(VLOOKUP($B151,'20Trips'!$A$2:$I$22,4,FALSE),'20Trips'!$AB$46:$AH$50,7,FALSE))/1440),1,0)</f>
        <v>#REF!</v>
      </c>
      <c r="P151" s="2" t="e">
        <f>IF(AND(VLOOKUP(P$1,'20Trips'!$A$3:$F$22,5,FALSE) - VLOOKUP($B151,'20Trips'!$A$3:$G$22,6,FALSE) &gt;= ('20Trips'!#REF!+VLOOKUP(VLOOKUP($B151,'20Trips'!$A$2:$I$22,4,FALSE),'20Trips'!$AB$46:$AH$50,7,FALSE))/1440),1,0)</f>
        <v>#REF!</v>
      </c>
      <c r="Q151" s="2" t="e">
        <f>IF(AND(VLOOKUP(Q$1,'20Trips'!$A$3:$F$22,5,FALSE) - VLOOKUP($B151,'20Trips'!$A$3:$G$22,6,FALSE) &gt;= ('20Trips'!#REF!+VLOOKUP(VLOOKUP($B151,'20Trips'!$A$2:$I$22,4,FALSE),'20Trips'!$AB$46:$AH$50,7,FALSE))/1440),1,0)</f>
        <v>#N/A</v>
      </c>
      <c r="R151" s="2" t="e">
        <f>IF(AND(VLOOKUP(R$1,'20Trips'!$A$3:$F$22,5,FALSE) - VLOOKUP($B151,'20Trips'!$A$3:$G$22,6,FALSE) &gt;= ('20Trips'!#REF!+VLOOKUP(VLOOKUP($B151,'20Trips'!$A$2:$I$22,4,FALSE),'20Trips'!$AB$46:$AH$50,7,FALSE))/1440),1,0)</f>
        <v>#REF!</v>
      </c>
      <c r="S151" s="2" t="e">
        <f>IF(AND(VLOOKUP(S$1,'20Trips'!$A$3:$F$22,5,FALSE) - VLOOKUP($B151,'20Trips'!$A$3:$G$22,6,FALSE) &gt;= ('20Trips'!#REF!+VLOOKUP(VLOOKUP($B151,'20Trips'!$A$2:$I$22,4,FALSE),'20Trips'!$AB$46:$AH$50,7,FALSE))/1440),1,0)</f>
        <v>#REF!</v>
      </c>
      <c r="T151" s="2" t="e">
        <f>IF(AND(VLOOKUP(T$1,'20Trips'!$A$3:$F$22,5,FALSE) - VLOOKUP($B151,'20Trips'!$A$3:$G$22,6,FALSE) &gt;= ('20Trips'!#REF!+VLOOKUP(VLOOKUP($B151,'20Trips'!$A$2:$I$22,4,FALSE),'20Trips'!$AB$46:$AH$50,7,FALSE))/1440),1,0)</f>
        <v>#REF!</v>
      </c>
      <c r="U151" s="2" t="e">
        <f>IF(AND(VLOOKUP(U$1,'20Trips'!$A$3:$F$22,5,FALSE) - VLOOKUP($B151,'20Trips'!$A$3:$G$22,6,FALSE) &gt;= ('20Trips'!#REF!+VLOOKUP(VLOOKUP($B151,'20Trips'!$A$2:$I$22,4,FALSE),'20Trips'!$AB$46:$AH$50,7,FALSE))/1440),1,0)</f>
        <v>#REF!</v>
      </c>
      <c r="V151" s="2" t="e">
        <f>IF(AND(VLOOKUP(V$1,'20Trips'!$A$3:$F$22,5,FALSE) - VLOOKUP($B151,'20Trips'!$A$3:$G$22,6,FALSE) &gt;= ('20Trips'!#REF!+VLOOKUP(VLOOKUP($B151,'20Trips'!$A$2:$I$22,4,FALSE),'20Trips'!$AB$46:$AH$50,7,FALSE))/1440),1,0)</f>
        <v>#REF!</v>
      </c>
      <c r="W151" s="2" t="e">
        <f>IF(AND(VLOOKUP(W$1,'20Trips'!$A$3:$F$22,5,FALSE) - VLOOKUP($B151,'20Trips'!$A$3:$G$22,6,FALSE) &gt;= ('20Trips'!#REF!+VLOOKUP(VLOOKUP($B151,'20Trips'!$A$2:$I$22,4,FALSE),'20Trips'!$AB$46:$AH$50,7,FALSE))/1440),1,0)</f>
        <v>#N/A</v>
      </c>
      <c r="X151" s="2" t="e">
        <f>IF(AND(VLOOKUP(X$1,'20Trips'!$A$3:$F$22,5,FALSE) - VLOOKUP($B151,'20Trips'!$A$3:$G$22,6,FALSE) &gt;= ('20Trips'!#REF!+VLOOKUP(VLOOKUP($B151,'20Trips'!$A$2:$I$22,4,FALSE),'20Trips'!$AB$46:$AH$50,7,FALSE))/1440),1,0)</f>
        <v>#N/A</v>
      </c>
      <c r="Y151" s="2" t="e">
        <f>IF(AND(VLOOKUP(Y$1,'20Trips'!$A$3:$F$22,5,FALSE) - VLOOKUP($B151,'20Trips'!$A$3:$G$22,6,FALSE) &gt;= ('20Trips'!#REF!+VLOOKUP(VLOOKUP($B151,'20Trips'!$A$2:$I$22,4,FALSE),'20Trips'!$AB$46:$AH$50,7,FALSE))/1440),1,0)</f>
        <v>#N/A</v>
      </c>
      <c r="Z151" s="2" t="e">
        <f>IF(AND(VLOOKUP(Z$1,'20Trips'!$A$3:$F$22,5,FALSE) - VLOOKUP($B151,'20Trips'!$A$3:$G$22,6,FALSE) &gt;= ('20Trips'!#REF!+VLOOKUP(VLOOKUP($B151,'20Trips'!$A$2:$I$22,4,FALSE),'20Trips'!$AB$46:$AH$50,7,FALSE))/1440),1,0)</f>
        <v>#REF!</v>
      </c>
      <c r="AA151" s="2" t="e">
        <f>IF(AND(VLOOKUP(AA$1,'20Trips'!$A$3:$F$22,5,FALSE) - VLOOKUP($B151,'20Trips'!$A$3:$G$22,6,FALSE) &gt;= ('20Trips'!#REF!+VLOOKUP(VLOOKUP($B151,'20Trips'!$A$2:$I$22,4,FALSE),'20Trips'!$AB$46:$AH$50,7,FALSE))/1440),1,0)</f>
        <v>#REF!</v>
      </c>
      <c r="AB151" s="2" t="e">
        <f>IF(AND(VLOOKUP(AB$1,'20Trips'!$A$3:$F$22,5,FALSE) - VLOOKUP($B151,'20Trips'!$A$3:$G$22,6,FALSE) &gt;= ('20Trips'!#REF!+VLOOKUP(VLOOKUP($B151,'20Trips'!$A$2:$I$22,4,FALSE),'20Trips'!$AB$46:$AH$50,7,FALSE))/1440),1,0)</f>
        <v>#REF!</v>
      </c>
      <c r="AC151" s="2" t="e">
        <f>IF(AND(VLOOKUP(AC$1,'20Trips'!$A$3:$F$22,5,FALSE) - VLOOKUP($B151,'20Trips'!$A$3:$G$22,6,FALSE) &gt;= ('20Trips'!#REF!+VLOOKUP(VLOOKUP($B151,'20Trips'!$A$2:$I$22,4,FALSE),'20Trips'!$AB$46:$AH$50,7,FALSE))/1440),1,0)</f>
        <v>#REF!</v>
      </c>
      <c r="AD151" s="2" t="e">
        <f>IF(AND(VLOOKUP(AD$1,'20Trips'!$A$3:$F$22,5,FALSE) - VLOOKUP($B151,'20Trips'!$A$3:$G$22,6,FALSE) &gt;= ('20Trips'!#REF!+VLOOKUP(VLOOKUP($B151,'20Trips'!$A$2:$I$22,4,FALSE),'20Trips'!$AB$46:$AH$50,7,FALSE))/1440),1,0)</f>
        <v>#REF!</v>
      </c>
      <c r="AE151" s="2" t="e">
        <f>IF(AND(VLOOKUP(AE$1,'20Trips'!$A$3:$F$22,5,FALSE) - VLOOKUP($B151,'20Trips'!$A$3:$G$22,6,FALSE) &gt;= ('20Trips'!#REF!+VLOOKUP(VLOOKUP($B151,'20Trips'!$A$2:$I$22,4,FALSE),'20Trips'!$AB$46:$AH$50,7,FALSE))/1440),1,0)</f>
        <v>#N/A</v>
      </c>
      <c r="AF151" s="2" t="e">
        <f>IF(AND(VLOOKUP(AF$1,'20Trips'!$A$3:$F$22,5,FALSE) - VLOOKUP($B151,'20Trips'!$A$3:$G$22,6,FALSE) &gt;= ('20Trips'!#REF!+VLOOKUP(VLOOKUP($B151,'20Trips'!$A$2:$I$22,4,FALSE),'20Trips'!$AB$46:$AH$50,7,FALSE))/1440),1,0)</f>
        <v>#N/A</v>
      </c>
      <c r="AG151" s="2" t="e">
        <f>IF(AND(VLOOKUP(AG$1,'20Trips'!$A$3:$F$22,5,FALSE) - VLOOKUP($B151,'20Trips'!$A$3:$G$22,6,FALSE) &gt;= ('20Trips'!#REF!+VLOOKUP(VLOOKUP($B151,'20Trips'!$A$2:$I$22,4,FALSE),'20Trips'!$AB$46:$AH$50,7,FALSE))/1440),1,0)</f>
        <v>#N/A</v>
      </c>
    </row>
    <row r="152" spans="1:33" x14ac:dyDescent="0.25">
      <c r="A152" t="s">
        <v>69</v>
      </c>
      <c r="B152" t="s">
        <v>37</v>
      </c>
      <c r="C152">
        <v>0</v>
      </c>
      <c r="D152" s="2" t="e">
        <f>IF(AND(VLOOKUP(D$1,'20Trips'!$A$3:$F$22,5,FALSE) - VLOOKUP($B152,'20Trips'!$A$3:$G$22,6,FALSE) &gt;= ('20Trips'!#REF!+VLOOKUP(VLOOKUP($B152,'20Trips'!$A$2:$I$22,4,FALSE),'20Trips'!$AB$46:$AH$50,7,FALSE))/1440),1,0)</f>
        <v>#REF!</v>
      </c>
      <c r="E152" s="2" t="e">
        <f>IF(AND(VLOOKUP(E$1,'20Trips'!$A$3:$F$22,5,FALSE) - VLOOKUP($B152,'20Trips'!$A$3:$G$22,6,FALSE) &gt;= ('20Trips'!#REF!+VLOOKUP(VLOOKUP($B152,'20Trips'!$A$2:$I$22,4,FALSE),'20Trips'!$AB$46:$AH$50,7,FALSE))/1440),1,0)</f>
        <v>#REF!</v>
      </c>
      <c r="F152" s="2" t="e">
        <f>IF(AND(VLOOKUP(F$1,'20Trips'!$A$3:$F$22,5,FALSE) - VLOOKUP($B152,'20Trips'!$A$3:$G$22,6,FALSE) &gt;= ('20Trips'!#REF!+VLOOKUP(VLOOKUP($B152,'20Trips'!$A$2:$I$22,4,FALSE),'20Trips'!$AB$46:$AH$50,7,FALSE))/1440),1,0)</f>
        <v>#REF!</v>
      </c>
      <c r="G152" s="2" t="e">
        <f>IF(AND(VLOOKUP(G$1,'20Trips'!$A$3:$F$22,5,FALSE) - VLOOKUP($B152,'20Trips'!$A$3:$G$22,6,FALSE) &gt;= ('20Trips'!#REF!+VLOOKUP(VLOOKUP($B152,'20Trips'!$A$2:$I$22,4,FALSE),'20Trips'!$AB$46:$AH$50,7,FALSE))/1440),1,0)</f>
        <v>#REF!</v>
      </c>
      <c r="H152" s="2" t="e">
        <f>IF(AND(VLOOKUP(H$1,'20Trips'!$A$3:$F$22,5,FALSE) - VLOOKUP($B152,'20Trips'!$A$3:$G$22,6,FALSE) &gt;= ('20Trips'!#REF!+VLOOKUP(VLOOKUP($B152,'20Trips'!$A$2:$I$22,4,FALSE),'20Trips'!$AB$46:$AH$50,7,FALSE))/1440),1,0)</f>
        <v>#REF!</v>
      </c>
      <c r="I152" s="2" t="e">
        <f>IF(AND(VLOOKUP(I$1,'20Trips'!$A$3:$F$22,5,FALSE) - VLOOKUP($B152,'20Trips'!$A$3:$G$22,6,FALSE) &gt;= ('20Trips'!#REF!+VLOOKUP(VLOOKUP($B152,'20Trips'!$A$2:$I$22,4,FALSE),'20Trips'!$AB$46:$AH$50,7,FALSE))/1440),1,0)</f>
        <v>#N/A</v>
      </c>
      <c r="J152" s="2" t="e">
        <f>IF(AND(VLOOKUP(J$1,'20Trips'!$A$3:$F$22,5,FALSE) - VLOOKUP($B152,'20Trips'!$A$3:$G$22,6,FALSE) &gt;= ('20Trips'!#REF!+VLOOKUP(VLOOKUP($B152,'20Trips'!$A$2:$I$22,4,FALSE),'20Trips'!$AB$46:$AH$50,7,FALSE))/1440),1,0)</f>
        <v>#N/A</v>
      </c>
      <c r="K152" s="2" t="e">
        <f>IF(AND(VLOOKUP(K$1,'20Trips'!$A$3:$F$22,5,FALSE) - VLOOKUP($B152,'20Trips'!$A$3:$G$22,6,FALSE) &gt;= ('20Trips'!#REF!+VLOOKUP(VLOOKUP($B152,'20Trips'!$A$2:$I$22,4,FALSE),'20Trips'!$AB$46:$AH$50,7,FALSE))/1440),1,0)</f>
        <v>#N/A</v>
      </c>
      <c r="L152" s="2" t="e">
        <f>IF(AND(VLOOKUP(L$1,'20Trips'!$A$3:$F$22,5,FALSE) - VLOOKUP($B152,'20Trips'!$A$3:$G$22,6,FALSE) &gt;= ('20Trips'!#REF!+VLOOKUP(VLOOKUP($B152,'20Trips'!$A$2:$I$22,4,FALSE),'20Trips'!$AB$46:$AH$50,7,FALSE))/1440),1,0)</f>
        <v>#REF!</v>
      </c>
      <c r="M152" s="2" t="e">
        <f>IF(AND(VLOOKUP(M$1,'20Trips'!$A$3:$F$22,5,FALSE) - VLOOKUP($B152,'20Trips'!$A$3:$G$22,6,FALSE) &gt;= ('20Trips'!#REF!+VLOOKUP(VLOOKUP($B152,'20Trips'!$A$2:$I$22,4,FALSE),'20Trips'!$AB$46:$AH$50,7,FALSE))/1440),1,0)</f>
        <v>#REF!</v>
      </c>
      <c r="N152" s="2" t="e">
        <f>IF(AND(VLOOKUP(N$1,'20Trips'!$A$3:$F$22,5,FALSE) - VLOOKUP($B152,'20Trips'!$A$3:$G$22,6,FALSE) &gt;= ('20Trips'!#REF!+VLOOKUP(VLOOKUP($B152,'20Trips'!$A$2:$I$22,4,FALSE),'20Trips'!$AB$46:$AH$50,7,FALSE))/1440),1,0)</f>
        <v>#REF!</v>
      </c>
      <c r="O152" s="2" t="e">
        <f>IF(AND(VLOOKUP(O$1,'20Trips'!$A$3:$F$22,5,FALSE) - VLOOKUP($B152,'20Trips'!$A$3:$G$22,6,FALSE) &gt;= ('20Trips'!#REF!+VLOOKUP(VLOOKUP($B152,'20Trips'!$A$2:$I$22,4,FALSE),'20Trips'!$AB$46:$AH$50,7,FALSE))/1440),1,0)</f>
        <v>#REF!</v>
      </c>
      <c r="P152" s="2" t="e">
        <f>IF(AND(VLOOKUP(P$1,'20Trips'!$A$3:$F$22,5,FALSE) - VLOOKUP($B152,'20Trips'!$A$3:$G$22,6,FALSE) &gt;= ('20Trips'!#REF!+VLOOKUP(VLOOKUP($B152,'20Trips'!$A$2:$I$22,4,FALSE),'20Trips'!$AB$46:$AH$50,7,FALSE))/1440),1,0)</f>
        <v>#REF!</v>
      </c>
      <c r="Q152" s="2" t="e">
        <f>IF(AND(VLOOKUP(Q$1,'20Trips'!$A$3:$F$22,5,FALSE) - VLOOKUP($B152,'20Trips'!$A$3:$G$22,6,FALSE) &gt;= ('20Trips'!#REF!+VLOOKUP(VLOOKUP($B152,'20Trips'!$A$2:$I$22,4,FALSE),'20Trips'!$AB$46:$AH$50,7,FALSE))/1440),1,0)</f>
        <v>#N/A</v>
      </c>
      <c r="R152" s="2" t="e">
        <f>IF(AND(VLOOKUP(R$1,'20Trips'!$A$3:$F$22,5,FALSE) - VLOOKUP($B152,'20Trips'!$A$3:$G$22,6,FALSE) &gt;= ('20Trips'!#REF!+VLOOKUP(VLOOKUP($B152,'20Trips'!$A$2:$I$22,4,FALSE),'20Trips'!$AB$46:$AH$50,7,FALSE))/1440),1,0)</f>
        <v>#REF!</v>
      </c>
      <c r="S152" s="2" t="e">
        <f>IF(AND(VLOOKUP(S$1,'20Trips'!$A$3:$F$22,5,FALSE) - VLOOKUP($B152,'20Trips'!$A$3:$G$22,6,FALSE) &gt;= ('20Trips'!#REF!+VLOOKUP(VLOOKUP($B152,'20Trips'!$A$2:$I$22,4,FALSE),'20Trips'!$AB$46:$AH$50,7,FALSE))/1440),1,0)</f>
        <v>#REF!</v>
      </c>
      <c r="T152" s="2" t="e">
        <f>IF(AND(VLOOKUP(T$1,'20Trips'!$A$3:$F$22,5,FALSE) - VLOOKUP($B152,'20Trips'!$A$3:$G$22,6,FALSE) &gt;= ('20Trips'!#REF!+VLOOKUP(VLOOKUP($B152,'20Trips'!$A$2:$I$22,4,FALSE),'20Trips'!$AB$46:$AH$50,7,FALSE))/1440),1,0)</f>
        <v>#REF!</v>
      </c>
      <c r="U152" s="2" t="e">
        <f>IF(AND(VLOOKUP(U$1,'20Trips'!$A$3:$F$22,5,FALSE) - VLOOKUP($B152,'20Trips'!$A$3:$G$22,6,FALSE) &gt;= ('20Trips'!#REF!+VLOOKUP(VLOOKUP($B152,'20Trips'!$A$2:$I$22,4,FALSE),'20Trips'!$AB$46:$AH$50,7,FALSE))/1440),1,0)</f>
        <v>#REF!</v>
      </c>
      <c r="V152" s="2" t="e">
        <f>IF(AND(VLOOKUP(V$1,'20Trips'!$A$3:$F$22,5,FALSE) - VLOOKUP($B152,'20Trips'!$A$3:$G$22,6,FALSE) &gt;= ('20Trips'!#REF!+VLOOKUP(VLOOKUP($B152,'20Trips'!$A$2:$I$22,4,FALSE),'20Trips'!$AB$46:$AH$50,7,FALSE))/1440),1,0)</f>
        <v>#REF!</v>
      </c>
      <c r="W152" s="2" t="e">
        <f>IF(AND(VLOOKUP(W$1,'20Trips'!$A$3:$F$22,5,FALSE) - VLOOKUP($B152,'20Trips'!$A$3:$G$22,6,FALSE) &gt;= ('20Trips'!#REF!+VLOOKUP(VLOOKUP($B152,'20Trips'!$A$2:$I$22,4,FALSE),'20Trips'!$AB$46:$AH$50,7,FALSE))/1440),1,0)</f>
        <v>#N/A</v>
      </c>
      <c r="X152" s="2" t="e">
        <f>IF(AND(VLOOKUP(X$1,'20Trips'!$A$3:$F$22,5,FALSE) - VLOOKUP($B152,'20Trips'!$A$3:$G$22,6,FALSE) &gt;= ('20Trips'!#REF!+VLOOKUP(VLOOKUP($B152,'20Trips'!$A$2:$I$22,4,FALSE),'20Trips'!$AB$46:$AH$50,7,FALSE))/1440),1,0)</f>
        <v>#N/A</v>
      </c>
      <c r="Y152" s="2" t="e">
        <f>IF(AND(VLOOKUP(Y$1,'20Trips'!$A$3:$F$22,5,FALSE) - VLOOKUP($B152,'20Trips'!$A$3:$G$22,6,FALSE) &gt;= ('20Trips'!#REF!+VLOOKUP(VLOOKUP($B152,'20Trips'!$A$2:$I$22,4,FALSE),'20Trips'!$AB$46:$AH$50,7,FALSE))/1440),1,0)</f>
        <v>#N/A</v>
      </c>
      <c r="Z152" s="2" t="e">
        <f>IF(AND(VLOOKUP(Z$1,'20Trips'!$A$3:$F$22,5,FALSE) - VLOOKUP($B152,'20Trips'!$A$3:$G$22,6,FALSE) &gt;= ('20Trips'!#REF!+VLOOKUP(VLOOKUP($B152,'20Trips'!$A$2:$I$22,4,FALSE),'20Trips'!$AB$46:$AH$50,7,FALSE))/1440),1,0)</f>
        <v>#REF!</v>
      </c>
      <c r="AA152" s="2" t="e">
        <f>IF(AND(VLOOKUP(AA$1,'20Trips'!$A$3:$F$22,5,FALSE) - VLOOKUP($B152,'20Trips'!$A$3:$G$22,6,FALSE) &gt;= ('20Trips'!#REF!+VLOOKUP(VLOOKUP($B152,'20Trips'!$A$2:$I$22,4,FALSE),'20Trips'!$AB$46:$AH$50,7,FALSE))/1440),1,0)</f>
        <v>#REF!</v>
      </c>
      <c r="AB152" s="2" t="e">
        <f>IF(AND(VLOOKUP(AB$1,'20Trips'!$A$3:$F$22,5,FALSE) - VLOOKUP($B152,'20Trips'!$A$3:$G$22,6,FALSE) &gt;= ('20Trips'!#REF!+VLOOKUP(VLOOKUP($B152,'20Trips'!$A$2:$I$22,4,FALSE),'20Trips'!$AB$46:$AH$50,7,FALSE))/1440),1,0)</f>
        <v>#REF!</v>
      </c>
      <c r="AC152" s="2" t="e">
        <f>IF(AND(VLOOKUP(AC$1,'20Trips'!$A$3:$F$22,5,FALSE) - VLOOKUP($B152,'20Trips'!$A$3:$G$22,6,FALSE) &gt;= ('20Trips'!#REF!+VLOOKUP(VLOOKUP($B152,'20Trips'!$A$2:$I$22,4,FALSE),'20Trips'!$AB$46:$AH$50,7,FALSE))/1440),1,0)</f>
        <v>#REF!</v>
      </c>
      <c r="AD152" s="2" t="e">
        <f>IF(AND(VLOOKUP(AD$1,'20Trips'!$A$3:$F$22,5,FALSE) - VLOOKUP($B152,'20Trips'!$A$3:$G$22,6,FALSE) &gt;= ('20Trips'!#REF!+VLOOKUP(VLOOKUP($B152,'20Trips'!$A$2:$I$22,4,FALSE),'20Trips'!$AB$46:$AH$50,7,FALSE))/1440),1,0)</f>
        <v>#REF!</v>
      </c>
      <c r="AE152" s="2" t="e">
        <f>IF(AND(VLOOKUP(AE$1,'20Trips'!$A$3:$F$22,5,FALSE) - VLOOKUP($B152,'20Trips'!$A$3:$G$22,6,FALSE) &gt;= ('20Trips'!#REF!+VLOOKUP(VLOOKUP($B152,'20Trips'!$A$2:$I$22,4,FALSE),'20Trips'!$AB$46:$AH$50,7,FALSE))/1440),1,0)</f>
        <v>#N/A</v>
      </c>
      <c r="AF152" s="2" t="e">
        <f>IF(AND(VLOOKUP(AF$1,'20Trips'!$A$3:$F$22,5,FALSE) - VLOOKUP($B152,'20Trips'!$A$3:$G$22,6,FALSE) &gt;= ('20Trips'!#REF!+VLOOKUP(VLOOKUP($B152,'20Trips'!$A$2:$I$22,4,FALSE),'20Trips'!$AB$46:$AH$50,7,FALSE))/1440),1,0)</f>
        <v>#N/A</v>
      </c>
      <c r="AG152" s="2" t="e">
        <f>IF(AND(VLOOKUP(AG$1,'20Trips'!$A$3:$F$22,5,FALSE) - VLOOKUP($B152,'20Trips'!$A$3:$G$22,6,FALSE) &gt;= ('20Trips'!#REF!+VLOOKUP(VLOOKUP($B152,'20Trips'!$A$2:$I$22,4,FALSE),'20Trips'!$AB$46:$AH$50,7,FALSE))/1440),1,0)</f>
        <v>#N/A</v>
      </c>
    </row>
    <row r="153" spans="1:33" x14ac:dyDescent="0.25">
      <c r="A153" t="s">
        <v>69</v>
      </c>
      <c r="B153" t="s">
        <v>38</v>
      </c>
      <c r="C153">
        <v>0</v>
      </c>
      <c r="D153" s="2" t="e">
        <f>IF(AND(VLOOKUP(D$1,'20Trips'!$A$3:$F$22,5,FALSE) - VLOOKUP($B153,'20Trips'!$A$3:$G$22,6,FALSE) &gt;= ('20Trips'!#REF!+VLOOKUP(VLOOKUP($B153,'20Trips'!$A$2:$I$22,4,FALSE),'20Trips'!$AB$46:$AH$50,7,FALSE))/1440),1,0)</f>
        <v>#REF!</v>
      </c>
      <c r="E153" s="2" t="e">
        <f>IF(AND(VLOOKUP(E$1,'20Trips'!$A$3:$F$22,5,FALSE) - VLOOKUP($B153,'20Trips'!$A$3:$G$22,6,FALSE) &gt;= ('20Trips'!#REF!+VLOOKUP(VLOOKUP($B153,'20Trips'!$A$2:$I$22,4,FALSE),'20Trips'!$AB$46:$AH$50,7,FALSE))/1440),1,0)</f>
        <v>#REF!</v>
      </c>
      <c r="F153" s="2" t="e">
        <f>IF(AND(VLOOKUP(F$1,'20Trips'!$A$3:$F$22,5,FALSE) - VLOOKUP($B153,'20Trips'!$A$3:$G$22,6,FALSE) &gt;= ('20Trips'!#REF!+VLOOKUP(VLOOKUP($B153,'20Trips'!$A$2:$I$22,4,FALSE),'20Trips'!$AB$46:$AH$50,7,FALSE))/1440),1,0)</f>
        <v>#REF!</v>
      </c>
      <c r="G153" s="2" t="e">
        <f>IF(AND(VLOOKUP(G$1,'20Trips'!$A$3:$F$22,5,FALSE) - VLOOKUP($B153,'20Trips'!$A$3:$G$22,6,FALSE) &gt;= ('20Trips'!#REF!+VLOOKUP(VLOOKUP($B153,'20Trips'!$A$2:$I$22,4,FALSE),'20Trips'!$AB$46:$AH$50,7,FALSE))/1440),1,0)</f>
        <v>#REF!</v>
      </c>
      <c r="H153" s="2" t="e">
        <f>IF(AND(VLOOKUP(H$1,'20Trips'!$A$3:$F$22,5,FALSE) - VLOOKUP($B153,'20Trips'!$A$3:$G$22,6,FALSE) &gt;= ('20Trips'!#REF!+VLOOKUP(VLOOKUP($B153,'20Trips'!$A$2:$I$22,4,FALSE),'20Trips'!$AB$46:$AH$50,7,FALSE))/1440),1,0)</f>
        <v>#REF!</v>
      </c>
      <c r="I153" s="2" t="e">
        <f>IF(AND(VLOOKUP(I$1,'20Trips'!$A$3:$F$22,5,FALSE) - VLOOKUP($B153,'20Trips'!$A$3:$G$22,6,FALSE) &gt;= ('20Trips'!#REF!+VLOOKUP(VLOOKUP($B153,'20Trips'!$A$2:$I$22,4,FALSE),'20Trips'!$AB$46:$AH$50,7,FALSE))/1440),1,0)</f>
        <v>#N/A</v>
      </c>
      <c r="J153" s="2" t="e">
        <f>IF(AND(VLOOKUP(J$1,'20Trips'!$A$3:$F$22,5,FALSE) - VLOOKUP($B153,'20Trips'!$A$3:$G$22,6,FALSE) &gt;= ('20Trips'!#REF!+VLOOKUP(VLOOKUP($B153,'20Trips'!$A$2:$I$22,4,FALSE),'20Trips'!$AB$46:$AH$50,7,FALSE))/1440),1,0)</f>
        <v>#N/A</v>
      </c>
      <c r="K153" s="2" t="e">
        <f>IF(AND(VLOOKUP(K$1,'20Trips'!$A$3:$F$22,5,FALSE) - VLOOKUP($B153,'20Trips'!$A$3:$G$22,6,FALSE) &gt;= ('20Trips'!#REF!+VLOOKUP(VLOOKUP($B153,'20Trips'!$A$2:$I$22,4,FALSE),'20Trips'!$AB$46:$AH$50,7,FALSE))/1440),1,0)</f>
        <v>#N/A</v>
      </c>
      <c r="L153" s="2" t="e">
        <f>IF(AND(VLOOKUP(L$1,'20Trips'!$A$3:$F$22,5,FALSE) - VLOOKUP($B153,'20Trips'!$A$3:$G$22,6,FALSE) &gt;= ('20Trips'!#REF!+VLOOKUP(VLOOKUP($B153,'20Trips'!$A$2:$I$22,4,FALSE),'20Trips'!$AB$46:$AH$50,7,FALSE))/1440),1,0)</f>
        <v>#REF!</v>
      </c>
      <c r="M153" s="2" t="e">
        <f>IF(AND(VLOOKUP(M$1,'20Trips'!$A$3:$F$22,5,FALSE) - VLOOKUP($B153,'20Trips'!$A$3:$G$22,6,FALSE) &gt;= ('20Trips'!#REF!+VLOOKUP(VLOOKUP($B153,'20Trips'!$A$2:$I$22,4,FALSE),'20Trips'!$AB$46:$AH$50,7,FALSE))/1440),1,0)</f>
        <v>#REF!</v>
      </c>
      <c r="N153" s="2" t="e">
        <f>IF(AND(VLOOKUP(N$1,'20Trips'!$A$3:$F$22,5,FALSE) - VLOOKUP($B153,'20Trips'!$A$3:$G$22,6,FALSE) &gt;= ('20Trips'!#REF!+VLOOKUP(VLOOKUP($B153,'20Trips'!$A$2:$I$22,4,FALSE),'20Trips'!$AB$46:$AH$50,7,FALSE))/1440),1,0)</f>
        <v>#REF!</v>
      </c>
      <c r="O153" s="2" t="e">
        <f>IF(AND(VLOOKUP(O$1,'20Trips'!$A$3:$F$22,5,FALSE) - VLOOKUP($B153,'20Trips'!$A$3:$G$22,6,FALSE) &gt;= ('20Trips'!#REF!+VLOOKUP(VLOOKUP($B153,'20Trips'!$A$2:$I$22,4,FALSE),'20Trips'!$AB$46:$AH$50,7,FALSE))/1440),1,0)</f>
        <v>#REF!</v>
      </c>
      <c r="P153" s="2" t="e">
        <f>IF(AND(VLOOKUP(P$1,'20Trips'!$A$3:$F$22,5,FALSE) - VLOOKUP($B153,'20Trips'!$A$3:$G$22,6,FALSE) &gt;= ('20Trips'!#REF!+VLOOKUP(VLOOKUP($B153,'20Trips'!$A$2:$I$22,4,FALSE),'20Trips'!$AB$46:$AH$50,7,FALSE))/1440),1,0)</f>
        <v>#REF!</v>
      </c>
      <c r="Q153" s="2" t="e">
        <f>IF(AND(VLOOKUP(Q$1,'20Trips'!$A$3:$F$22,5,FALSE) - VLOOKUP($B153,'20Trips'!$A$3:$G$22,6,FALSE) &gt;= ('20Trips'!#REF!+VLOOKUP(VLOOKUP($B153,'20Trips'!$A$2:$I$22,4,FALSE),'20Trips'!$AB$46:$AH$50,7,FALSE))/1440),1,0)</f>
        <v>#N/A</v>
      </c>
      <c r="R153" s="2" t="e">
        <f>IF(AND(VLOOKUP(R$1,'20Trips'!$A$3:$F$22,5,FALSE) - VLOOKUP($B153,'20Trips'!$A$3:$G$22,6,FALSE) &gt;= ('20Trips'!#REF!+VLOOKUP(VLOOKUP($B153,'20Trips'!$A$2:$I$22,4,FALSE),'20Trips'!$AB$46:$AH$50,7,FALSE))/1440),1,0)</f>
        <v>#REF!</v>
      </c>
      <c r="S153" s="2" t="e">
        <f>IF(AND(VLOOKUP(S$1,'20Trips'!$A$3:$F$22,5,FALSE) - VLOOKUP($B153,'20Trips'!$A$3:$G$22,6,FALSE) &gt;= ('20Trips'!#REF!+VLOOKUP(VLOOKUP($B153,'20Trips'!$A$2:$I$22,4,FALSE),'20Trips'!$AB$46:$AH$50,7,FALSE))/1440),1,0)</f>
        <v>#REF!</v>
      </c>
      <c r="T153" s="2" t="e">
        <f>IF(AND(VLOOKUP(T$1,'20Trips'!$A$3:$F$22,5,FALSE) - VLOOKUP($B153,'20Trips'!$A$3:$G$22,6,FALSE) &gt;= ('20Trips'!#REF!+VLOOKUP(VLOOKUP($B153,'20Trips'!$A$2:$I$22,4,FALSE),'20Trips'!$AB$46:$AH$50,7,FALSE))/1440),1,0)</f>
        <v>#REF!</v>
      </c>
      <c r="U153" s="2" t="e">
        <f>IF(AND(VLOOKUP(U$1,'20Trips'!$A$3:$F$22,5,FALSE) - VLOOKUP($B153,'20Trips'!$A$3:$G$22,6,FALSE) &gt;= ('20Trips'!#REF!+VLOOKUP(VLOOKUP($B153,'20Trips'!$A$2:$I$22,4,FALSE),'20Trips'!$AB$46:$AH$50,7,FALSE))/1440),1,0)</f>
        <v>#REF!</v>
      </c>
      <c r="V153" s="2" t="e">
        <f>IF(AND(VLOOKUP(V$1,'20Trips'!$A$3:$F$22,5,FALSE) - VLOOKUP($B153,'20Trips'!$A$3:$G$22,6,FALSE) &gt;= ('20Trips'!#REF!+VLOOKUP(VLOOKUP($B153,'20Trips'!$A$2:$I$22,4,FALSE),'20Trips'!$AB$46:$AH$50,7,FALSE))/1440),1,0)</f>
        <v>#REF!</v>
      </c>
      <c r="W153" s="2" t="e">
        <f>IF(AND(VLOOKUP(W$1,'20Trips'!$A$3:$F$22,5,FALSE) - VLOOKUP($B153,'20Trips'!$A$3:$G$22,6,FALSE) &gt;= ('20Trips'!#REF!+VLOOKUP(VLOOKUP($B153,'20Trips'!$A$2:$I$22,4,FALSE),'20Trips'!$AB$46:$AH$50,7,FALSE))/1440),1,0)</f>
        <v>#N/A</v>
      </c>
      <c r="X153" s="2" t="e">
        <f>IF(AND(VLOOKUP(X$1,'20Trips'!$A$3:$F$22,5,FALSE) - VLOOKUP($B153,'20Trips'!$A$3:$G$22,6,FALSE) &gt;= ('20Trips'!#REF!+VLOOKUP(VLOOKUP($B153,'20Trips'!$A$2:$I$22,4,FALSE),'20Trips'!$AB$46:$AH$50,7,FALSE))/1440),1,0)</f>
        <v>#N/A</v>
      </c>
      <c r="Y153" s="2" t="e">
        <f>IF(AND(VLOOKUP(Y$1,'20Trips'!$A$3:$F$22,5,FALSE) - VLOOKUP($B153,'20Trips'!$A$3:$G$22,6,FALSE) &gt;= ('20Trips'!#REF!+VLOOKUP(VLOOKUP($B153,'20Trips'!$A$2:$I$22,4,FALSE),'20Trips'!$AB$46:$AH$50,7,FALSE))/1440),1,0)</f>
        <v>#N/A</v>
      </c>
      <c r="Z153" s="2" t="e">
        <f>IF(AND(VLOOKUP(Z$1,'20Trips'!$A$3:$F$22,5,FALSE) - VLOOKUP($B153,'20Trips'!$A$3:$G$22,6,FALSE) &gt;= ('20Trips'!#REF!+VLOOKUP(VLOOKUP($B153,'20Trips'!$A$2:$I$22,4,FALSE),'20Trips'!$AB$46:$AH$50,7,FALSE))/1440),1,0)</f>
        <v>#REF!</v>
      </c>
      <c r="AA153" s="2" t="e">
        <f>IF(AND(VLOOKUP(AA$1,'20Trips'!$A$3:$F$22,5,FALSE) - VLOOKUP($B153,'20Trips'!$A$3:$G$22,6,FALSE) &gt;= ('20Trips'!#REF!+VLOOKUP(VLOOKUP($B153,'20Trips'!$A$2:$I$22,4,FALSE),'20Trips'!$AB$46:$AH$50,7,FALSE))/1440),1,0)</f>
        <v>#REF!</v>
      </c>
      <c r="AB153" s="2" t="e">
        <f>IF(AND(VLOOKUP(AB$1,'20Trips'!$A$3:$F$22,5,FALSE) - VLOOKUP($B153,'20Trips'!$A$3:$G$22,6,FALSE) &gt;= ('20Trips'!#REF!+VLOOKUP(VLOOKUP($B153,'20Trips'!$A$2:$I$22,4,FALSE),'20Trips'!$AB$46:$AH$50,7,FALSE))/1440),1,0)</f>
        <v>#REF!</v>
      </c>
      <c r="AC153" s="2" t="e">
        <f>IF(AND(VLOOKUP(AC$1,'20Trips'!$A$3:$F$22,5,FALSE) - VLOOKUP($B153,'20Trips'!$A$3:$G$22,6,FALSE) &gt;= ('20Trips'!#REF!+VLOOKUP(VLOOKUP($B153,'20Trips'!$A$2:$I$22,4,FALSE),'20Trips'!$AB$46:$AH$50,7,FALSE))/1440),1,0)</f>
        <v>#REF!</v>
      </c>
      <c r="AD153" s="2" t="e">
        <f>IF(AND(VLOOKUP(AD$1,'20Trips'!$A$3:$F$22,5,FALSE) - VLOOKUP($B153,'20Trips'!$A$3:$G$22,6,FALSE) &gt;= ('20Trips'!#REF!+VLOOKUP(VLOOKUP($B153,'20Trips'!$A$2:$I$22,4,FALSE),'20Trips'!$AB$46:$AH$50,7,FALSE))/1440),1,0)</f>
        <v>#REF!</v>
      </c>
      <c r="AE153" s="2" t="e">
        <f>IF(AND(VLOOKUP(AE$1,'20Trips'!$A$3:$F$22,5,FALSE) - VLOOKUP($B153,'20Trips'!$A$3:$G$22,6,FALSE) &gt;= ('20Trips'!#REF!+VLOOKUP(VLOOKUP($B153,'20Trips'!$A$2:$I$22,4,FALSE),'20Trips'!$AB$46:$AH$50,7,FALSE))/1440),1,0)</f>
        <v>#N/A</v>
      </c>
      <c r="AF153" s="2" t="e">
        <f>IF(AND(VLOOKUP(AF$1,'20Trips'!$A$3:$F$22,5,FALSE) - VLOOKUP($B153,'20Trips'!$A$3:$G$22,6,FALSE) &gt;= ('20Trips'!#REF!+VLOOKUP(VLOOKUP($B153,'20Trips'!$A$2:$I$22,4,FALSE),'20Trips'!$AB$46:$AH$50,7,FALSE))/1440),1,0)</f>
        <v>#N/A</v>
      </c>
      <c r="AG153" s="2" t="e">
        <f>IF(AND(VLOOKUP(AG$1,'20Trips'!$A$3:$F$22,5,FALSE) - VLOOKUP($B153,'20Trips'!$A$3:$G$22,6,FALSE) &gt;= ('20Trips'!#REF!+VLOOKUP(VLOOKUP($B153,'20Trips'!$A$2:$I$22,4,FALSE),'20Trips'!$AB$46:$AH$50,7,FALSE))/1440),1,0)</f>
        <v>#N/A</v>
      </c>
    </row>
    <row r="154" spans="1:33" x14ac:dyDescent="0.25">
      <c r="A154" t="s">
        <v>69</v>
      </c>
      <c r="B154" t="s">
        <v>39</v>
      </c>
      <c r="C154">
        <v>0</v>
      </c>
      <c r="D154" s="2" t="e">
        <f>IF(AND(VLOOKUP(D$1,'20Trips'!$A$3:$F$22,5,FALSE) - VLOOKUP($B154,'20Trips'!$A$3:$G$22,6,FALSE) &gt;= ('20Trips'!#REF!+VLOOKUP(VLOOKUP($B154,'20Trips'!$A$2:$I$22,4,FALSE),'20Trips'!$AB$46:$AH$50,7,FALSE))/1440),1,0)</f>
        <v>#N/A</v>
      </c>
      <c r="E154" s="2" t="e">
        <f>IF(AND(VLOOKUP(E$1,'20Trips'!$A$3:$F$22,5,FALSE) - VLOOKUP($B154,'20Trips'!$A$3:$G$22,6,FALSE) &gt;= ('20Trips'!#REF!+VLOOKUP(VLOOKUP($B154,'20Trips'!$A$2:$I$22,4,FALSE),'20Trips'!$AB$46:$AH$50,7,FALSE))/1440),1,0)</f>
        <v>#N/A</v>
      </c>
      <c r="F154" s="2" t="e">
        <f>IF(AND(VLOOKUP(F$1,'20Trips'!$A$3:$F$22,5,FALSE) - VLOOKUP($B154,'20Trips'!$A$3:$G$22,6,FALSE) &gt;= ('20Trips'!#REF!+VLOOKUP(VLOOKUP($B154,'20Trips'!$A$2:$I$22,4,FALSE),'20Trips'!$AB$46:$AH$50,7,FALSE))/1440),1,0)</f>
        <v>#N/A</v>
      </c>
      <c r="G154" s="2" t="e">
        <f>IF(AND(VLOOKUP(G$1,'20Trips'!$A$3:$F$22,5,FALSE) - VLOOKUP($B154,'20Trips'!$A$3:$G$22,6,FALSE) &gt;= ('20Trips'!#REF!+VLOOKUP(VLOOKUP($B154,'20Trips'!$A$2:$I$22,4,FALSE),'20Trips'!$AB$46:$AH$50,7,FALSE))/1440),1,0)</f>
        <v>#N/A</v>
      </c>
      <c r="H154" s="2" t="e">
        <f>IF(AND(VLOOKUP(H$1,'20Trips'!$A$3:$F$22,5,FALSE) - VLOOKUP($B154,'20Trips'!$A$3:$G$22,6,FALSE) &gt;= ('20Trips'!#REF!+VLOOKUP(VLOOKUP($B154,'20Trips'!$A$2:$I$22,4,FALSE),'20Trips'!$AB$46:$AH$50,7,FALSE))/1440),1,0)</f>
        <v>#N/A</v>
      </c>
      <c r="I154" s="2" t="e">
        <f>IF(AND(VLOOKUP(I$1,'20Trips'!$A$3:$F$22,5,FALSE) - VLOOKUP($B154,'20Trips'!$A$3:$G$22,6,FALSE) &gt;= ('20Trips'!#REF!+VLOOKUP(VLOOKUP($B154,'20Trips'!$A$2:$I$22,4,FALSE),'20Trips'!$AB$46:$AH$50,7,FALSE))/1440),1,0)</f>
        <v>#N/A</v>
      </c>
      <c r="J154" s="2" t="e">
        <f>IF(AND(VLOOKUP(J$1,'20Trips'!$A$3:$F$22,5,FALSE) - VLOOKUP($B154,'20Trips'!$A$3:$G$22,6,FALSE) &gt;= ('20Trips'!#REF!+VLOOKUP(VLOOKUP($B154,'20Trips'!$A$2:$I$22,4,FALSE),'20Trips'!$AB$46:$AH$50,7,FALSE))/1440),1,0)</f>
        <v>#N/A</v>
      </c>
      <c r="K154" s="2" t="e">
        <f>IF(AND(VLOOKUP(K$1,'20Trips'!$A$3:$F$22,5,FALSE) - VLOOKUP($B154,'20Trips'!$A$3:$G$22,6,FALSE) &gt;= ('20Trips'!#REF!+VLOOKUP(VLOOKUP($B154,'20Trips'!$A$2:$I$22,4,FALSE),'20Trips'!$AB$46:$AH$50,7,FALSE))/1440),1,0)</f>
        <v>#N/A</v>
      </c>
      <c r="L154" s="2" t="e">
        <f>IF(AND(VLOOKUP(L$1,'20Trips'!$A$3:$F$22,5,FALSE) - VLOOKUP($B154,'20Trips'!$A$3:$G$22,6,FALSE) &gt;= ('20Trips'!#REF!+VLOOKUP(VLOOKUP($B154,'20Trips'!$A$2:$I$22,4,FALSE),'20Trips'!$AB$46:$AH$50,7,FALSE))/1440),1,0)</f>
        <v>#N/A</v>
      </c>
      <c r="M154" s="2" t="e">
        <f>IF(AND(VLOOKUP(M$1,'20Trips'!$A$3:$F$22,5,FALSE) - VLOOKUP($B154,'20Trips'!$A$3:$G$22,6,FALSE) &gt;= ('20Trips'!#REF!+VLOOKUP(VLOOKUP($B154,'20Trips'!$A$2:$I$22,4,FALSE),'20Trips'!$AB$46:$AH$50,7,FALSE))/1440),1,0)</f>
        <v>#N/A</v>
      </c>
      <c r="N154" s="2" t="e">
        <f>IF(AND(VLOOKUP(N$1,'20Trips'!$A$3:$F$22,5,FALSE) - VLOOKUP($B154,'20Trips'!$A$3:$G$22,6,FALSE) &gt;= ('20Trips'!#REF!+VLOOKUP(VLOOKUP($B154,'20Trips'!$A$2:$I$22,4,FALSE),'20Trips'!$AB$46:$AH$50,7,FALSE))/1440),1,0)</f>
        <v>#N/A</v>
      </c>
      <c r="O154" s="2" t="e">
        <f>IF(AND(VLOOKUP(O$1,'20Trips'!$A$3:$F$22,5,FALSE) - VLOOKUP($B154,'20Trips'!$A$3:$G$22,6,FALSE) &gt;= ('20Trips'!#REF!+VLOOKUP(VLOOKUP($B154,'20Trips'!$A$2:$I$22,4,FALSE),'20Trips'!$AB$46:$AH$50,7,FALSE))/1440),1,0)</f>
        <v>#N/A</v>
      </c>
      <c r="P154" s="2" t="e">
        <f>IF(AND(VLOOKUP(P$1,'20Trips'!$A$3:$F$22,5,FALSE) - VLOOKUP($B154,'20Trips'!$A$3:$G$22,6,FALSE) &gt;= ('20Trips'!#REF!+VLOOKUP(VLOOKUP($B154,'20Trips'!$A$2:$I$22,4,FALSE),'20Trips'!$AB$46:$AH$50,7,FALSE))/1440),1,0)</f>
        <v>#N/A</v>
      </c>
      <c r="Q154" s="2" t="e">
        <f>IF(AND(VLOOKUP(Q$1,'20Trips'!$A$3:$F$22,5,FALSE) - VLOOKUP($B154,'20Trips'!$A$3:$G$22,6,FALSE) &gt;= ('20Trips'!#REF!+VLOOKUP(VLOOKUP($B154,'20Trips'!$A$2:$I$22,4,FALSE),'20Trips'!$AB$46:$AH$50,7,FALSE))/1440),1,0)</f>
        <v>#N/A</v>
      </c>
      <c r="R154" s="2" t="e">
        <f>IF(AND(VLOOKUP(R$1,'20Trips'!$A$3:$F$22,5,FALSE) - VLOOKUP($B154,'20Trips'!$A$3:$G$22,6,FALSE) &gt;= ('20Trips'!#REF!+VLOOKUP(VLOOKUP($B154,'20Trips'!$A$2:$I$22,4,FALSE),'20Trips'!$AB$46:$AH$50,7,FALSE))/1440),1,0)</f>
        <v>#N/A</v>
      </c>
      <c r="S154" s="2" t="e">
        <f>IF(AND(VLOOKUP(S$1,'20Trips'!$A$3:$F$22,5,FALSE) - VLOOKUP($B154,'20Trips'!$A$3:$G$22,6,FALSE) &gt;= ('20Trips'!#REF!+VLOOKUP(VLOOKUP($B154,'20Trips'!$A$2:$I$22,4,FALSE),'20Trips'!$AB$46:$AH$50,7,FALSE))/1440),1,0)</f>
        <v>#N/A</v>
      </c>
      <c r="T154" s="2" t="e">
        <f>IF(AND(VLOOKUP(T$1,'20Trips'!$A$3:$F$22,5,FALSE) - VLOOKUP($B154,'20Trips'!$A$3:$G$22,6,FALSE) &gt;= ('20Trips'!#REF!+VLOOKUP(VLOOKUP($B154,'20Trips'!$A$2:$I$22,4,FALSE),'20Trips'!$AB$46:$AH$50,7,FALSE))/1440),1,0)</f>
        <v>#N/A</v>
      </c>
      <c r="U154" s="2" t="e">
        <f>IF(AND(VLOOKUP(U$1,'20Trips'!$A$3:$F$22,5,FALSE) - VLOOKUP($B154,'20Trips'!$A$3:$G$22,6,FALSE) &gt;= ('20Trips'!#REF!+VLOOKUP(VLOOKUP($B154,'20Trips'!$A$2:$I$22,4,FALSE),'20Trips'!$AB$46:$AH$50,7,FALSE))/1440),1,0)</f>
        <v>#N/A</v>
      </c>
      <c r="V154" s="2" t="e">
        <f>IF(AND(VLOOKUP(V$1,'20Trips'!$A$3:$F$22,5,FALSE) - VLOOKUP($B154,'20Trips'!$A$3:$G$22,6,FALSE) &gt;= ('20Trips'!#REF!+VLOOKUP(VLOOKUP($B154,'20Trips'!$A$2:$I$22,4,FALSE),'20Trips'!$AB$46:$AH$50,7,FALSE))/1440),1,0)</f>
        <v>#N/A</v>
      </c>
      <c r="W154" s="2" t="e">
        <f>IF(AND(VLOOKUP(W$1,'20Trips'!$A$3:$F$22,5,FALSE) - VLOOKUP($B154,'20Trips'!$A$3:$G$22,6,FALSE) &gt;= ('20Trips'!#REF!+VLOOKUP(VLOOKUP($B154,'20Trips'!$A$2:$I$22,4,FALSE),'20Trips'!$AB$46:$AH$50,7,FALSE))/1440),1,0)</f>
        <v>#N/A</v>
      </c>
      <c r="X154" s="2" t="e">
        <f>IF(AND(VLOOKUP(X$1,'20Trips'!$A$3:$F$22,5,FALSE) - VLOOKUP($B154,'20Trips'!$A$3:$G$22,6,FALSE) &gt;= ('20Trips'!#REF!+VLOOKUP(VLOOKUP($B154,'20Trips'!$A$2:$I$22,4,FALSE),'20Trips'!$AB$46:$AH$50,7,FALSE))/1440),1,0)</f>
        <v>#N/A</v>
      </c>
      <c r="Y154" s="2" t="e">
        <f>IF(AND(VLOOKUP(Y$1,'20Trips'!$A$3:$F$22,5,FALSE) - VLOOKUP($B154,'20Trips'!$A$3:$G$22,6,FALSE) &gt;= ('20Trips'!#REF!+VLOOKUP(VLOOKUP($B154,'20Trips'!$A$2:$I$22,4,FALSE),'20Trips'!$AB$46:$AH$50,7,FALSE))/1440),1,0)</f>
        <v>#N/A</v>
      </c>
      <c r="Z154" s="2" t="e">
        <f>IF(AND(VLOOKUP(Z$1,'20Trips'!$A$3:$F$22,5,FALSE) - VLOOKUP($B154,'20Trips'!$A$3:$G$22,6,FALSE) &gt;= ('20Trips'!#REF!+VLOOKUP(VLOOKUP($B154,'20Trips'!$A$2:$I$22,4,FALSE),'20Trips'!$AB$46:$AH$50,7,FALSE))/1440),1,0)</f>
        <v>#N/A</v>
      </c>
      <c r="AA154" s="2" t="e">
        <f>IF(AND(VLOOKUP(AA$1,'20Trips'!$A$3:$F$22,5,FALSE) - VLOOKUP($B154,'20Trips'!$A$3:$G$22,6,FALSE) &gt;= ('20Trips'!#REF!+VLOOKUP(VLOOKUP($B154,'20Trips'!$A$2:$I$22,4,FALSE),'20Trips'!$AB$46:$AH$50,7,FALSE))/1440),1,0)</f>
        <v>#N/A</v>
      </c>
      <c r="AB154" s="2" t="e">
        <f>IF(AND(VLOOKUP(AB$1,'20Trips'!$A$3:$F$22,5,FALSE) - VLOOKUP($B154,'20Trips'!$A$3:$G$22,6,FALSE) &gt;= ('20Trips'!#REF!+VLOOKUP(VLOOKUP($B154,'20Trips'!$A$2:$I$22,4,FALSE),'20Trips'!$AB$46:$AH$50,7,FALSE))/1440),1,0)</f>
        <v>#N/A</v>
      </c>
      <c r="AC154" s="2" t="e">
        <f>IF(AND(VLOOKUP(AC$1,'20Trips'!$A$3:$F$22,5,FALSE) - VLOOKUP($B154,'20Trips'!$A$3:$G$22,6,FALSE) &gt;= ('20Trips'!#REF!+VLOOKUP(VLOOKUP($B154,'20Trips'!$A$2:$I$22,4,FALSE),'20Trips'!$AB$46:$AH$50,7,FALSE))/1440),1,0)</f>
        <v>#N/A</v>
      </c>
      <c r="AD154" s="2" t="e">
        <f>IF(AND(VLOOKUP(AD$1,'20Trips'!$A$3:$F$22,5,FALSE) - VLOOKUP($B154,'20Trips'!$A$3:$G$22,6,FALSE) &gt;= ('20Trips'!#REF!+VLOOKUP(VLOOKUP($B154,'20Trips'!$A$2:$I$22,4,FALSE),'20Trips'!$AB$46:$AH$50,7,FALSE))/1440),1,0)</f>
        <v>#N/A</v>
      </c>
      <c r="AE154" s="2" t="e">
        <f>IF(AND(VLOOKUP(AE$1,'20Trips'!$A$3:$F$22,5,FALSE) - VLOOKUP($B154,'20Trips'!$A$3:$G$22,6,FALSE) &gt;= ('20Trips'!#REF!+VLOOKUP(VLOOKUP($B154,'20Trips'!$A$2:$I$22,4,FALSE),'20Trips'!$AB$46:$AH$50,7,FALSE))/1440),1,0)</f>
        <v>#N/A</v>
      </c>
      <c r="AF154" s="2" t="e">
        <f>IF(AND(VLOOKUP(AF$1,'20Trips'!$A$3:$F$22,5,FALSE) - VLOOKUP($B154,'20Trips'!$A$3:$G$22,6,FALSE) &gt;= ('20Trips'!#REF!+VLOOKUP(VLOOKUP($B154,'20Trips'!$A$2:$I$22,4,FALSE),'20Trips'!$AB$46:$AH$50,7,FALSE))/1440),1,0)</f>
        <v>#N/A</v>
      </c>
      <c r="AG154" s="2" t="e">
        <f>IF(AND(VLOOKUP(AG$1,'20Trips'!$A$3:$F$22,5,FALSE) - VLOOKUP($B154,'20Trips'!$A$3:$G$22,6,FALSE) &gt;= ('20Trips'!#REF!+VLOOKUP(VLOOKUP($B154,'20Trips'!$A$2:$I$22,4,FALSE),'20Trips'!$AB$46:$AH$50,7,FALSE))/1440),1,0)</f>
        <v>#N/A</v>
      </c>
    </row>
    <row r="155" spans="1:33" x14ac:dyDescent="0.25">
      <c r="A155" t="s">
        <v>69</v>
      </c>
      <c r="B155" t="s">
        <v>40</v>
      </c>
      <c r="C155">
        <v>0</v>
      </c>
      <c r="D155" s="2" t="e">
        <f>IF(AND(VLOOKUP(D$1,'20Trips'!$A$3:$F$22,5,FALSE) - VLOOKUP($B155,'20Trips'!$A$3:$G$22,6,FALSE) &gt;= ('20Trips'!#REF!+VLOOKUP(VLOOKUP($B155,'20Trips'!$A$2:$I$22,4,FALSE),'20Trips'!$AB$46:$AH$50,7,FALSE))/1440),1,0)</f>
        <v>#N/A</v>
      </c>
      <c r="E155" s="2" t="e">
        <f>IF(AND(VLOOKUP(E$1,'20Trips'!$A$3:$F$22,5,FALSE) - VLOOKUP($B155,'20Trips'!$A$3:$G$22,6,FALSE) &gt;= ('20Trips'!#REF!+VLOOKUP(VLOOKUP($B155,'20Trips'!$A$2:$I$22,4,FALSE),'20Trips'!$AB$46:$AH$50,7,FALSE))/1440),1,0)</f>
        <v>#N/A</v>
      </c>
      <c r="F155" s="2" t="e">
        <f>IF(AND(VLOOKUP(F$1,'20Trips'!$A$3:$F$22,5,FALSE) - VLOOKUP($B155,'20Trips'!$A$3:$G$22,6,FALSE) &gt;= ('20Trips'!#REF!+VLOOKUP(VLOOKUP($B155,'20Trips'!$A$2:$I$22,4,FALSE),'20Trips'!$AB$46:$AH$50,7,FALSE))/1440),1,0)</f>
        <v>#N/A</v>
      </c>
      <c r="G155" s="2" t="e">
        <f>IF(AND(VLOOKUP(G$1,'20Trips'!$A$3:$F$22,5,FALSE) - VLOOKUP($B155,'20Trips'!$A$3:$G$22,6,FALSE) &gt;= ('20Trips'!#REF!+VLOOKUP(VLOOKUP($B155,'20Trips'!$A$2:$I$22,4,FALSE),'20Trips'!$AB$46:$AH$50,7,FALSE))/1440),1,0)</f>
        <v>#N/A</v>
      </c>
      <c r="H155" s="2" t="e">
        <f>IF(AND(VLOOKUP(H$1,'20Trips'!$A$3:$F$22,5,FALSE) - VLOOKUP($B155,'20Trips'!$A$3:$G$22,6,FALSE) &gt;= ('20Trips'!#REF!+VLOOKUP(VLOOKUP($B155,'20Trips'!$A$2:$I$22,4,FALSE),'20Trips'!$AB$46:$AH$50,7,FALSE))/1440),1,0)</f>
        <v>#N/A</v>
      </c>
      <c r="I155" s="2" t="e">
        <f>IF(AND(VLOOKUP(I$1,'20Trips'!$A$3:$F$22,5,FALSE) - VLOOKUP($B155,'20Trips'!$A$3:$G$22,6,FALSE) &gt;= ('20Trips'!#REF!+VLOOKUP(VLOOKUP($B155,'20Trips'!$A$2:$I$22,4,FALSE),'20Trips'!$AB$46:$AH$50,7,FALSE))/1440),1,0)</f>
        <v>#N/A</v>
      </c>
      <c r="J155" s="2" t="e">
        <f>IF(AND(VLOOKUP(J$1,'20Trips'!$A$3:$F$22,5,FALSE) - VLOOKUP($B155,'20Trips'!$A$3:$G$22,6,FALSE) &gt;= ('20Trips'!#REF!+VLOOKUP(VLOOKUP($B155,'20Trips'!$A$2:$I$22,4,FALSE),'20Trips'!$AB$46:$AH$50,7,FALSE))/1440),1,0)</f>
        <v>#N/A</v>
      </c>
      <c r="K155" s="2" t="e">
        <f>IF(AND(VLOOKUP(K$1,'20Trips'!$A$3:$F$22,5,FALSE) - VLOOKUP($B155,'20Trips'!$A$3:$G$22,6,FALSE) &gt;= ('20Trips'!#REF!+VLOOKUP(VLOOKUP($B155,'20Trips'!$A$2:$I$22,4,FALSE),'20Trips'!$AB$46:$AH$50,7,FALSE))/1440),1,0)</f>
        <v>#N/A</v>
      </c>
      <c r="L155" s="2" t="e">
        <f>IF(AND(VLOOKUP(L$1,'20Trips'!$A$3:$F$22,5,FALSE) - VLOOKUP($B155,'20Trips'!$A$3:$G$22,6,FALSE) &gt;= ('20Trips'!#REF!+VLOOKUP(VLOOKUP($B155,'20Trips'!$A$2:$I$22,4,FALSE),'20Trips'!$AB$46:$AH$50,7,FALSE))/1440),1,0)</f>
        <v>#N/A</v>
      </c>
      <c r="M155" s="2" t="e">
        <f>IF(AND(VLOOKUP(M$1,'20Trips'!$A$3:$F$22,5,FALSE) - VLOOKUP($B155,'20Trips'!$A$3:$G$22,6,FALSE) &gt;= ('20Trips'!#REF!+VLOOKUP(VLOOKUP($B155,'20Trips'!$A$2:$I$22,4,FALSE),'20Trips'!$AB$46:$AH$50,7,FALSE))/1440),1,0)</f>
        <v>#N/A</v>
      </c>
      <c r="N155" s="2" t="e">
        <f>IF(AND(VLOOKUP(N$1,'20Trips'!$A$3:$F$22,5,FALSE) - VLOOKUP($B155,'20Trips'!$A$3:$G$22,6,FALSE) &gt;= ('20Trips'!#REF!+VLOOKUP(VLOOKUP($B155,'20Trips'!$A$2:$I$22,4,FALSE),'20Trips'!$AB$46:$AH$50,7,FALSE))/1440),1,0)</f>
        <v>#N/A</v>
      </c>
      <c r="O155" s="2" t="e">
        <f>IF(AND(VLOOKUP(O$1,'20Trips'!$A$3:$F$22,5,FALSE) - VLOOKUP($B155,'20Trips'!$A$3:$G$22,6,FALSE) &gt;= ('20Trips'!#REF!+VLOOKUP(VLOOKUP($B155,'20Trips'!$A$2:$I$22,4,FALSE),'20Trips'!$AB$46:$AH$50,7,FALSE))/1440),1,0)</f>
        <v>#N/A</v>
      </c>
      <c r="P155" s="2" t="e">
        <f>IF(AND(VLOOKUP(P$1,'20Trips'!$A$3:$F$22,5,FALSE) - VLOOKUP($B155,'20Trips'!$A$3:$G$22,6,FALSE) &gt;= ('20Trips'!#REF!+VLOOKUP(VLOOKUP($B155,'20Trips'!$A$2:$I$22,4,FALSE),'20Trips'!$AB$46:$AH$50,7,FALSE))/1440),1,0)</f>
        <v>#N/A</v>
      </c>
      <c r="Q155" s="2" t="e">
        <f>IF(AND(VLOOKUP(Q$1,'20Trips'!$A$3:$F$22,5,FALSE) - VLOOKUP($B155,'20Trips'!$A$3:$G$22,6,FALSE) &gt;= ('20Trips'!#REF!+VLOOKUP(VLOOKUP($B155,'20Trips'!$A$2:$I$22,4,FALSE),'20Trips'!$AB$46:$AH$50,7,FALSE))/1440),1,0)</f>
        <v>#N/A</v>
      </c>
      <c r="R155" s="2" t="e">
        <f>IF(AND(VLOOKUP(R$1,'20Trips'!$A$3:$F$22,5,FALSE) - VLOOKUP($B155,'20Trips'!$A$3:$G$22,6,FALSE) &gt;= ('20Trips'!#REF!+VLOOKUP(VLOOKUP($B155,'20Trips'!$A$2:$I$22,4,FALSE),'20Trips'!$AB$46:$AH$50,7,FALSE))/1440),1,0)</f>
        <v>#N/A</v>
      </c>
      <c r="S155" s="2" t="e">
        <f>IF(AND(VLOOKUP(S$1,'20Trips'!$A$3:$F$22,5,FALSE) - VLOOKUP($B155,'20Trips'!$A$3:$G$22,6,FALSE) &gt;= ('20Trips'!#REF!+VLOOKUP(VLOOKUP($B155,'20Trips'!$A$2:$I$22,4,FALSE),'20Trips'!$AB$46:$AH$50,7,FALSE))/1440),1,0)</f>
        <v>#N/A</v>
      </c>
      <c r="T155" s="2" t="e">
        <f>IF(AND(VLOOKUP(T$1,'20Trips'!$A$3:$F$22,5,FALSE) - VLOOKUP($B155,'20Trips'!$A$3:$G$22,6,FALSE) &gt;= ('20Trips'!#REF!+VLOOKUP(VLOOKUP($B155,'20Trips'!$A$2:$I$22,4,FALSE),'20Trips'!$AB$46:$AH$50,7,FALSE))/1440),1,0)</f>
        <v>#N/A</v>
      </c>
      <c r="U155" s="2" t="e">
        <f>IF(AND(VLOOKUP(U$1,'20Trips'!$A$3:$F$22,5,FALSE) - VLOOKUP($B155,'20Trips'!$A$3:$G$22,6,FALSE) &gt;= ('20Trips'!#REF!+VLOOKUP(VLOOKUP($B155,'20Trips'!$A$2:$I$22,4,FALSE),'20Trips'!$AB$46:$AH$50,7,FALSE))/1440),1,0)</f>
        <v>#N/A</v>
      </c>
      <c r="V155" s="2" t="e">
        <f>IF(AND(VLOOKUP(V$1,'20Trips'!$A$3:$F$22,5,FALSE) - VLOOKUP($B155,'20Trips'!$A$3:$G$22,6,FALSE) &gt;= ('20Trips'!#REF!+VLOOKUP(VLOOKUP($B155,'20Trips'!$A$2:$I$22,4,FALSE),'20Trips'!$AB$46:$AH$50,7,FALSE))/1440),1,0)</f>
        <v>#N/A</v>
      </c>
      <c r="W155" s="2" t="e">
        <f>IF(AND(VLOOKUP(W$1,'20Trips'!$A$3:$F$22,5,FALSE) - VLOOKUP($B155,'20Trips'!$A$3:$G$22,6,FALSE) &gt;= ('20Trips'!#REF!+VLOOKUP(VLOOKUP($B155,'20Trips'!$A$2:$I$22,4,FALSE),'20Trips'!$AB$46:$AH$50,7,FALSE))/1440),1,0)</f>
        <v>#N/A</v>
      </c>
      <c r="X155" s="2" t="e">
        <f>IF(AND(VLOOKUP(X$1,'20Trips'!$A$3:$F$22,5,FALSE) - VLOOKUP($B155,'20Trips'!$A$3:$G$22,6,FALSE) &gt;= ('20Trips'!#REF!+VLOOKUP(VLOOKUP($B155,'20Trips'!$A$2:$I$22,4,FALSE),'20Trips'!$AB$46:$AH$50,7,FALSE))/1440),1,0)</f>
        <v>#N/A</v>
      </c>
      <c r="Y155" s="2" t="e">
        <f>IF(AND(VLOOKUP(Y$1,'20Trips'!$A$3:$F$22,5,FALSE) - VLOOKUP($B155,'20Trips'!$A$3:$G$22,6,FALSE) &gt;= ('20Trips'!#REF!+VLOOKUP(VLOOKUP($B155,'20Trips'!$A$2:$I$22,4,FALSE),'20Trips'!$AB$46:$AH$50,7,FALSE))/1440),1,0)</f>
        <v>#N/A</v>
      </c>
      <c r="Z155" s="2" t="e">
        <f>IF(AND(VLOOKUP(Z$1,'20Trips'!$A$3:$F$22,5,FALSE) - VLOOKUP($B155,'20Trips'!$A$3:$G$22,6,FALSE) &gt;= ('20Trips'!#REF!+VLOOKUP(VLOOKUP($B155,'20Trips'!$A$2:$I$22,4,FALSE),'20Trips'!$AB$46:$AH$50,7,FALSE))/1440),1,0)</f>
        <v>#N/A</v>
      </c>
      <c r="AA155" s="2" t="e">
        <f>IF(AND(VLOOKUP(AA$1,'20Trips'!$A$3:$F$22,5,FALSE) - VLOOKUP($B155,'20Trips'!$A$3:$G$22,6,FALSE) &gt;= ('20Trips'!#REF!+VLOOKUP(VLOOKUP($B155,'20Trips'!$A$2:$I$22,4,FALSE),'20Trips'!$AB$46:$AH$50,7,FALSE))/1440),1,0)</f>
        <v>#N/A</v>
      </c>
      <c r="AB155" s="2" t="e">
        <f>IF(AND(VLOOKUP(AB$1,'20Trips'!$A$3:$F$22,5,FALSE) - VLOOKUP($B155,'20Trips'!$A$3:$G$22,6,FALSE) &gt;= ('20Trips'!#REF!+VLOOKUP(VLOOKUP($B155,'20Trips'!$A$2:$I$22,4,FALSE),'20Trips'!$AB$46:$AH$50,7,FALSE))/1440),1,0)</f>
        <v>#N/A</v>
      </c>
      <c r="AC155" s="2" t="e">
        <f>IF(AND(VLOOKUP(AC$1,'20Trips'!$A$3:$F$22,5,FALSE) - VLOOKUP($B155,'20Trips'!$A$3:$G$22,6,FALSE) &gt;= ('20Trips'!#REF!+VLOOKUP(VLOOKUP($B155,'20Trips'!$A$2:$I$22,4,FALSE),'20Trips'!$AB$46:$AH$50,7,FALSE))/1440),1,0)</f>
        <v>#N/A</v>
      </c>
      <c r="AD155" s="2" t="e">
        <f>IF(AND(VLOOKUP(AD$1,'20Trips'!$A$3:$F$22,5,FALSE) - VLOOKUP($B155,'20Trips'!$A$3:$G$22,6,FALSE) &gt;= ('20Trips'!#REF!+VLOOKUP(VLOOKUP($B155,'20Trips'!$A$2:$I$22,4,FALSE),'20Trips'!$AB$46:$AH$50,7,FALSE))/1440),1,0)</f>
        <v>#N/A</v>
      </c>
      <c r="AE155" s="2" t="e">
        <f>IF(AND(VLOOKUP(AE$1,'20Trips'!$A$3:$F$22,5,FALSE) - VLOOKUP($B155,'20Trips'!$A$3:$G$22,6,FALSE) &gt;= ('20Trips'!#REF!+VLOOKUP(VLOOKUP($B155,'20Trips'!$A$2:$I$22,4,FALSE),'20Trips'!$AB$46:$AH$50,7,FALSE))/1440),1,0)</f>
        <v>#N/A</v>
      </c>
      <c r="AF155" s="2" t="e">
        <f>IF(AND(VLOOKUP(AF$1,'20Trips'!$A$3:$F$22,5,FALSE) - VLOOKUP($B155,'20Trips'!$A$3:$G$22,6,FALSE) &gt;= ('20Trips'!#REF!+VLOOKUP(VLOOKUP($B155,'20Trips'!$A$2:$I$22,4,FALSE),'20Trips'!$AB$46:$AH$50,7,FALSE))/1440),1,0)</f>
        <v>#N/A</v>
      </c>
      <c r="AG155" s="2" t="e">
        <f>IF(AND(VLOOKUP(AG$1,'20Trips'!$A$3:$F$22,5,FALSE) - VLOOKUP($B155,'20Trips'!$A$3:$G$22,6,FALSE) &gt;= ('20Trips'!#REF!+VLOOKUP(VLOOKUP($B155,'20Trips'!$A$2:$I$22,4,FALSE),'20Trips'!$AB$46:$AH$50,7,FALSE))/1440),1,0)</f>
        <v>#N/A</v>
      </c>
    </row>
    <row r="156" spans="1:33" x14ac:dyDescent="0.25">
      <c r="A156" t="s">
        <v>69</v>
      </c>
      <c r="B156" t="s">
        <v>41</v>
      </c>
      <c r="C156">
        <v>0</v>
      </c>
      <c r="D156" s="2" t="e">
        <f>IF(AND(VLOOKUP(D$1,'20Trips'!$A$3:$F$22,5,FALSE) - VLOOKUP($B156,'20Trips'!$A$3:$G$22,6,FALSE) &gt;= ('20Trips'!#REF!+VLOOKUP(VLOOKUP($B156,'20Trips'!$A$2:$I$22,4,FALSE),'20Trips'!$AB$46:$AH$50,7,FALSE))/1440),1,0)</f>
        <v>#N/A</v>
      </c>
      <c r="E156" s="2" t="e">
        <f>IF(AND(VLOOKUP(E$1,'20Trips'!$A$3:$F$22,5,FALSE) - VLOOKUP($B156,'20Trips'!$A$3:$G$22,6,FALSE) &gt;= ('20Trips'!#REF!+VLOOKUP(VLOOKUP($B156,'20Trips'!$A$2:$I$22,4,FALSE),'20Trips'!$AB$46:$AH$50,7,FALSE))/1440),1,0)</f>
        <v>#N/A</v>
      </c>
      <c r="F156" s="2" t="e">
        <f>IF(AND(VLOOKUP(F$1,'20Trips'!$A$3:$F$22,5,FALSE) - VLOOKUP($B156,'20Trips'!$A$3:$G$22,6,FALSE) &gt;= ('20Trips'!#REF!+VLOOKUP(VLOOKUP($B156,'20Trips'!$A$2:$I$22,4,FALSE),'20Trips'!$AB$46:$AH$50,7,FALSE))/1440),1,0)</f>
        <v>#N/A</v>
      </c>
      <c r="G156" s="2" t="e">
        <f>IF(AND(VLOOKUP(G$1,'20Trips'!$A$3:$F$22,5,FALSE) - VLOOKUP($B156,'20Trips'!$A$3:$G$22,6,FALSE) &gt;= ('20Trips'!#REF!+VLOOKUP(VLOOKUP($B156,'20Trips'!$A$2:$I$22,4,FALSE),'20Trips'!$AB$46:$AH$50,7,FALSE))/1440),1,0)</f>
        <v>#N/A</v>
      </c>
      <c r="H156" s="2" t="e">
        <f>IF(AND(VLOOKUP(H$1,'20Trips'!$A$3:$F$22,5,FALSE) - VLOOKUP($B156,'20Trips'!$A$3:$G$22,6,FALSE) &gt;= ('20Trips'!#REF!+VLOOKUP(VLOOKUP($B156,'20Trips'!$A$2:$I$22,4,FALSE),'20Trips'!$AB$46:$AH$50,7,FALSE))/1440),1,0)</f>
        <v>#N/A</v>
      </c>
      <c r="I156" s="2" t="e">
        <f>IF(AND(VLOOKUP(I$1,'20Trips'!$A$3:$F$22,5,FALSE) - VLOOKUP($B156,'20Trips'!$A$3:$G$22,6,FALSE) &gt;= ('20Trips'!#REF!+VLOOKUP(VLOOKUP($B156,'20Trips'!$A$2:$I$22,4,FALSE),'20Trips'!$AB$46:$AH$50,7,FALSE))/1440),1,0)</f>
        <v>#N/A</v>
      </c>
      <c r="J156" s="2" t="e">
        <f>IF(AND(VLOOKUP(J$1,'20Trips'!$A$3:$F$22,5,FALSE) - VLOOKUP($B156,'20Trips'!$A$3:$G$22,6,FALSE) &gt;= ('20Trips'!#REF!+VLOOKUP(VLOOKUP($B156,'20Trips'!$A$2:$I$22,4,FALSE),'20Trips'!$AB$46:$AH$50,7,FALSE))/1440),1,0)</f>
        <v>#N/A</v>
      </c>
      <c r="K156" s="2" t="e">
        <f>IF(AND(VLOOKUP(K$1,'20Trips'!$A$3:$F$22,5,FALSE) - VLOOKUP($B156,'20Trips'!$A$3:$G$22,6,FALSE) &gt;= ('20Trips'!#REF!+VLOOKUP(VLOOKUP($B156,'20Trips'!$A$2:$I$22,4,FALSE),'20Trips'!$AB$46:$AH$50,7,FALSE))/1440),1,0)</f>
        <v>#N/A</v>
      </c>
      <c r="L156" s="2" t="e">
        <f>IF(AND(VLOOKUP(L$1,'20Trips'!$A$3:$F$22,5,FALSE) - VLOOKUP($B156,'20Trips'!$A$3:$G$22,6,FALSE) &gt;= ('20Trips'!#REF!+VLOOKUP(VLOOKUP($B156,'20Trips'!$A$2:$I$22,4,FALSE),'20Trips'!$AB$46:$AH$50,7,FALSE))/1440),1,0)</f>
        <v>#N/A</v>
      </c>
      <c r="M156" s="2" t="e">
        <f>IF(AND(VLOOKUP(M$1,'20Trips'!$A$3:$F$22,5,FALSE) - VLOOKUP($B156,'20Trips'!$A$3:$G$22,6,FALSE) &gt;= ('20Trips'!#REF!+VLOOKUP(VLOOKUP($B156,'20Trips'!$A$2:$I$22,4,FALSE),'20Trips'!$AB$46:$AH$50,7,FALSE))/1440),1,0)</f>
        <v>#N/A</v>
      </c>
      <c r="N156" s="2" t="e">
        <f>IF(AND(VLOOKUP(N$1,'20Trips'!$A$3:$F$22,5,FALSE) - VLOOKUP($B156,'20Trips'!$A$3:$G$22,6,FALSE) &gt;= ('20Trips'!#REF!+VLOOKUP(VLOOKUP($B156,'20Trips'!$A$2:$I$22,4,FALSE),'20Trips'!$AB$46:$AH$50,7,FALSE))/1440),1,0)</f>
        <v>#N/A</v>
      </c>
      <c r="O156" s="2" t="e">
        <f>IF(AND(VLOOKUP(O$1,'20Trips'!$A$3:$F$22,5,FALSE) - VLOOKUP($B156,'20Trips'!$A$3:$G$22,6,FALSE) &gt;= ('20Trips'!#REF!+VLOOKUP(VLOOKUP($B156,'20Trips'!$A$2:$I$22,4,FALSE),'20Trips'!$AB$46:$AH$50,7,FALSE))/1440),1,0)</f>
        <v>#N/A</v>
      </c>
      <c r="P156" s="2" t="e">
        <f>IF(AND(VLOOKUP(P$1,'20Trips'!$A$3:$F$22,5,FALSE) - VLOOKUP($B156,'20Trips'!$A$3:$G$22,6,FALSE) &gt;= ('20Trips'!#REF!+VLOOKUP(VLOOKUP($B156,'20Trips'!$A$2:$I$22,4,FALSE),'20Trips'!$AB$46:$AH$50,7,FALSE))/1440),1,0)</f>
        <v>#N/A</v>
      </c>
      <c r="Q156" s="2" t="e">
        <f>IF(AND(VLOOKUP(Q$1,'20Trips'!$A$3:$F$22,5,FALSE) - VLOOKUP($B156,'20Trips'!$A$3:$G$22,6,FALSE) &gt;= ('20Trips'!#REF!+VLOOKUP(VLOOKUP($B156,'20Trips'!$A$2:$I$22,4,FALSE),'20Trips'!$AB$46:$AH$50,7,FALSE))/1440),1,0)</f>
        <v>#N/A</v>
      </c>
      <c r="R156" s="2" t="e">
        <f>IF(AND(VLOOKUP(R$1,'20Trips'!$A$3:$F$22,5,FALSE) - VLOOKUP($B156,'20Trips'!$A$3:$G$22,6,FALSE) &gt;= ('20Trips'!#REF!+VLOOKUP(VLOOKUP($B156,'20Trips'!$A$2:$I$22,4,FALSE),'20Trips'!$AB$46:$AH$50,7,FALSE))/1440),1,0)</f>
        <v>#N/A</v>
      </c>
      <c r="S156" s="2" t="e">
        <f>IF(AND(VLOOKUP(S$1,'20Trips'!$A$3:$F$22,5,FALSE) - VLOOKUP($B156,'20Trips'!$A$3:$G$22,6,FALSE) &gt;= ('20Trips'!#REF!+VLOOKUP(VLOOKUP($B156,'20Trips'!$A$2:$I$22,4,FALSE),'20Trips'!$AB$46:$AH$50,7,FALSE))/1440),1,0)</f>
        <v>#N/A</v>
      </c>
      <c r="T156" s="2" t="e">
        <f>IF(AND(VLOOKUP(T$1,'20Trips'!$A$3:$F$22,5,FALSE) - VLOOKUP($B156,'20Trips'!$A$3:$G$22,6,FALSE) &gt;= ('20Trips'!#REF!+VLOOKUP(VLOOKUP($B156,'20Trips'!$A$2:$I$22,4,FALSE),'20Trips'!$AB$46:$AH$50,7,FALSE))/1440),1,0)</f>
        <v>#N/A</v>
      </c>
      <c r="U156" s="2" t="e">
        <f>IF(AND(VLOOKUP(U$1,'20Trips'!$A$3:$F$22,5,FALSE) - VLOOKUP($B156,'20Trips'!$A$3:$G$22,6,FALSE) &gt;= ('20Trips'!#REF!+VLOOKUP(VLOOKUP($B156,'20Trips'!$A$2:$I$22,4,FALSE),'20Trips'!$AB$46:$AH$50,7,FALSE))/1440),1,0)</f>
        <v>#N/A</v>
      </c>
      <c r="V156" s="2" t="e">
        <f>IF(AND(VLOOKUP(V$1,'20Trips'!$A$3:$F$22,5,FALSE) - VLOOKUP($B156,'20Trips'!$A$3:$G$22,6,FALSE) &gt;= ('20Trips'!#REF!+VLOOKUP(VLOOKUP($B156,'20Trips'!$A$2:$I$22,4,FALSE),'20Trips'!$AB$46:$AH$50,7,FALSE))/1440),1,0)</f>
        <v>#N/A</v>
      </c>
      <c r="W156" s="2" t="e">
        <f>IF(AND(VLOOKUP(W$1,'20Trips'!$A$3:$F$22,5,FALSE) - VLOOKUP($B156,'20Trips'!$A$3:$G$22,6,FALSE) &gt;= ('20Trips'!#REF!+VLOOKUP(VLOOKUP($B156,'20Trips'!$A$2:$I$22,4,FALSE),'20Trips'!$AB$46:$AH$50,7,FALSE))/1440),1,0)</f>
        <v>#N/A</v>
      </c>
      <c r="X156" s="2" t="e">
        <f>IF(AND(VLOOKUP(X$1,'20Trips'!$A$3:$F$22,5,FALSE) - VLOOKUP($B156,'20Trips'!$A$3:$G$22,6,FALSE) &gt;= ('20Trips'!#REF!+VLOOKUP(VLOOKUP($B156,'20Trips'!$A$2:$I$22,4,FALSE),'20Trips'!$AB$46:$AH$50,7,FALSE))/1440),1,0)</f>
        <v>#N/A</v>
      </c>
      <c r="Y156" s="2" t="e">
        <f>IF(AND(VLOOKUP(Y$1,'20Trips'!$A$3:$F$22,5,FALSE) - VLOOKUP($B156,'20Trips'!$A$3:$G$22,6,FALSE) &gt;= ('20Trips'!#REF!+VLOOKUP(VLOOKUP($B156,'20Trips'!$A$2:$I$22,4,FALSE),'20Trips'!$AB$46:$AH$50,7,FALSE))/1440),1,0)</f>
        <v>#N/A</v>
      </c>
      <c r="Z156" s="2" t="e">
        <f>IF(AND(VLOOKUP(Z$1,'20Trips'!$A$3:$F$22,5,FALSE) - VLOOKUP($B156,'20Trips'!$A$3:$G$22,6,FALSE) &gt;= ('20Trips'!#REF!+VLOOKUP(VLOOKUP($B156,'20Trips'!$A$2:$I$22,4,FALSE),'20Trips'!$AB$46:$AH$50,7,FALSE))/1440),1,0)</f>
        <v>#N/A</v>
      </c>
      <c r="AA156" s="2" t="e">
        <f>IF(AND(VLOOKUP(AA$1,'20Trips'!$A$3:$F$22,5,FALSE) - VLOOKUP($B156,'20Trips'!$A$3:$G$22,6,FALSE) &gt;= ('20Trips'!#REF!+VLOOKUP(VLOOKUP($B156,'20Trips'!$A$2:$I$22,4,FALSE),'20Trips'!$AB$46:$AH$50,7,FALSE))/1440),1,0)</f>
        <v>#N/A</v>
      </c>
      <c r="AB156" s="2" t="e">
        <f>IF(AND(VLOOKUP(AB$1,'20Trips'!$A$3:$F$22,5,FALSE) - VLOOKUP($B156,'20Trips'!$A$3:$G$22,6,FALSE) &gt;= ('20Trips'!#REF!+VLOOKUP(VLOOKUP($B156,'20Trips'!$A$2:$I$22,4,FALSE),'20Trips'!$AB$46:$AH$50,7,FALSE))/1440),1,0)</f>
        <v>#N/A</v>
      </c>
      <c r="AC156" s="2" t="e">
        <f>IF(AND(VLOOKUP(AC$1,'20Trips'!$A$3:$F$22,5,FALSE) - VLOOKUP($B156,'20Trips'!$A$3:$G$22,6,FALSE) &gt;= ('20Trips'!#REF!+VLOOKUP(VLOOKUP($B156,'20Trips'!$A$2:$I$22,4,FALSE),'20Trips'!$AB$46:$AH$50,7,FALSE))/1440),1,0)</f>
        <v>#N/A</v>
      </c>
      <c r="AD156" s="2" t="e">
        <f>IF(AND(VLOOKUP(AD$1,'20Trips'!$A$3:$F$22,5,FALSE) - VLOOKUP($B156,'20Trips'!$A$3:$G$22,6,FALSE) &gt;= ('20Trips'!#REF!+VLOOKUP(VLOOKUP($B156,'20Trips'!$A$2:$I$22,4,FALSE),'20Trips'!$AB$46:$AH$50,7,FALSE))/1440),1,0)</f>
        <v>#N/A</v>
      </c>
      <c r="AE156" s="2" t="e">
        <f>IF(AND(VLOOKUP(AE$1,'20Trips'!$A$3:$F$22,5,FALSE) - VLOOKUP($B156,'20Trips'!$A$3:$G$22,6,FALSE) &gt;= ('20Trips'!#REF!+VLOOKUP(VLOOKUP($B156,'20Trips'!$A$2:$I$22,4,FALSE),'20Trips'!$AB$46:$AH$50,7,FALSE))/1440),1,0)</f>
        <v>#N/A</v>
      </c>
      <c r="AF156" s="2" t="e">
        <f>IF(AND(VLOOKUP(AF$1,'20Trips'!$A$3:$F$22,5,FALSE) - VLOOKUP($B156,'20Trips'!$A$3:$G$22,6,FALSE) &gt;= ('20Trips'!#REF!+VLOOKUP(VLOOKUP($B156,'20Trips'!$A$2:$I$22,4,FALSE),'20Trips'!$AB$46:$AH$50,7,FALSE))/1440),1,0)</f>
        <v>#N/A</v>
      </c>
      <c r="AG156" s="2" t="e">
        <f>IF(AND(VLOOKUP(AG$1,'20Trips'!$A$3:$F$22,5,FALSE) - VLOOKUP($B156,'20Trips'!$A$3:$G$22,6,FALSE) &gt;= ('20Trips'!#REF!+VLOOKUP(VLOOKUP($B156,'20Trips'!$A$2:$I$22,4,FALSE),'20Trips'!$AB$46:$AH$50,7,FALSE))/1440),1,0)</f>
        <v>#N/A</v>
      </c>
    </row>
  </sheetData>
  <conditionalFormatting sqref="D3:AG32 D33:D125 E34:AG63 E65:AG94 E96:AG125 D126:AG156">
    <cfRule type="cellIs" dxfId="2" priority="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7DD8-4E98-4008-9817-4FB514CBC25B}">
  <dimension ref="A1:AF84"/>
  <sheetViews>
    <sheetView topLeftCell="A4" zoomScale="85" zoomScaleNormal="85" workbookViewId="0">
      <selection activeCell="A2" sqref="A2:A42"/>
    </sheetView>
  </sheetViews>
  <sheetFormatPr defaultRowHeight="15" x14ac:dyDescent="0.25"/>
  <cols>
    <col min="3" max="3" width="13.140625" bestFit="1" customWidth="1"/>
    <col min="4" max="4" width="12" bestFit="1" customWidth="1"/>
    <col min="9" max="9" width="10.5703125" bestFit="1" customWidth="1"/>
    <col min="11" max="11" width="10.7109375" bestFit="1" customWidth="1"/>
    <col min="12" max="12" width="16.5703125" customWidth="1"/>
    <col min="13" max="14" width="16.42578125" bestFit="1" customWidth="1"/>
    <col min="15" max="15" width="16.140625" bestFit="1" customWidth="1"/>
    <col min="16" max="44" width="5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</v>
      </c>
      <c r="H1" t="s">
        <v>56</v>
      </c>
      <c r="I1" t="s">
        <v>57</v>
      </c>
    </row>
    <row r="2" spans="1:19" x14ac:dyDescent="0.25">
      <c r="A2" t="s">
        <v>46</v>
      </c>
      <c r="B2">
        <v>0</v>
      </c>
      <c r="C2" t="s">
        <v>47</v>
      </c>
      <c r="D2" t="s">
        <v>47</v>
      </c>
      <c r="E2" t="s">
        <v>47</v>
      </c>
      <c r="F2" t="s">
        <v>47</v>
      </c>
      <c r="G2">
        <v>20</v>
      </c>
      <c r="H2" t="s">
        <v>47</v>
      </c>
      <c r="I2" t="s">
        <v>47</v>
      </c>
    </row>
    <row r="3" spans="1:19" x14ac:dyDescent="0.25">
      <c r="A3" t="s">
        <v>6</v>
      </c>
      <c r="B3">
        <v>135</v>
      </c>
      <c r="C3" t="s">
        <v>7</v>
      </c>
      <c r="D3" t="s">
        <v>8</v>
      </c>
      <c r="E3" s="1">
        <v>0.3888888888888889</v>
      </c>
      <c r="F3" s="1">
        <v>0.4826388888888889</v>
      </c>
      <c r="G3">
        <f t="shared" ref="G3:G10" si="0">VLOOKUP(D3,$J$11:$L$14,3,FALSE)</f>
        <v>30</v>
      </c>
      <c r="H3">
        <f>ROUND(E3*1440,0)</f>
        <v>560</v>
      </c>
      <c r="I3">
        <f>ROUND(F3*1440,0)</f>
        <v>695</v>
      </c>
      <c r="S3">
        <v>1</v>
      </c>
    </row>
    <row r="4" spans="1:19" x14ac:dyDescent="0.25">
      <c r="A4" t="s">
        <v>9</v>
      </c>
      <c r="B4">
        <v>135</v>
      </c>
      <c r="C4" t="s">
        <v>7</v>
      </c>
      <c r="D4" t="s">
        <v>8</v>
      </c>
      <c r="E4" s="1">
        <v>0.51388888888888895</v>
      </c>
      <c r="F4" s="1">
        <v>0.60763888888888895</v>
      </c>
      <c r="G4">
        <f t="shared" si="0"/>
        <v>30</v>
      </c>
      <c r="H4">
        <f t="shared" ref="H4:I26" si="1">ROUND(E4*1440,0)</f>
        <v>740</v>
      </c>
      <c r="I4">
        <f t="shared" si="1"/>
        <v>875</v>
      </c>
      <c r="N4" t="e">
        <f>'40Trips'!$B$44+VLOOKUP(VLOOKUP(#REF!,'40Trips'!$A$2:$I$26,4,FALSE),'40Trips'!$J$10:$P$14,4,FALSE)</f>
        <v>#REF!</v>
      </c>
      <c r="S4">
        <f>S3+1</f>
        <v>2</v>
      </c>
    </row>
    <row r="5" spans="1:19" x14ac:dyDescent="0.25">
      <c r="A5" t="s">
        <v>10</v>
      </c>
      <c r="B5">
        <v>135</v>
      </c>
      <c r="C5" t="s">
        <v>7</v>
      </c>
      <c r="D5" t="s">
        <v>8</v>
      </c>
      <c r="E5" s="1">
        <v>0.57638888888888895</v>
      </c>
      <c r="F5" s="1">
        <v>0.67013888888888884</v>
      </c>
      <c r="G5">
        <f t="shared" si="0"/>
        <v>30</v>
      </c>
      <c r="H5">
        <f t="shared" si="1"/>
        <v>830</v>
      </c>
      <c r="I5">
        <f t="shared" si="1"/>
        <v>965</v>
      </c>
      <c r="S5">
        <f t="shared" ref="S5:S46" si="2">S4+1</f>
        <v>3</v>
      </c>
    </row>
    <row r="6" spans="1:19" x14ac:dyDescent="0.25">
      <c r="A6" t="s">
        <v>11</v>
      </c>
      <c r="B6">
        <v>135</v>
      </c>
      <c r="C6" t="s">
        <v>7</v>
      </c>
      <c r="D6" t="s">
        <v>8</v>
      </c>
      <c r="E6" s="1">
        <v>0.63888888888888895</v>
      </c>
      <c r="F6" s="1">
        <v>0.73263888888888884</v>
      </c>
      <c r="G6">
        <f t="shared" si="0"/>
        <v>30</v>
      </c>
      <c r="H6">
        <f t="shared" si="1"/>
        <v>920</v>
      </c>
      <c r="I6">
        <f t="shared" si="1"/>
        <v>1055</v>
      </c>
      <c r="S6">
        <f t="shared" si="2"/>
        <v>4</v>
      </c>
    </row>
    <row r="7" spans="1:19" x14ac:dyDescent="0.25">
      <c r="A7" t="s">
        <v>18</v>
      </c>
      <c r="B7">
        <v>140</v>
      </c>
      <c r="C7" t="s">
        <v>7</v>
      </c>
      <c r="D7" t="s">
        <v>19</v>
      </c>
      <c r="E7" s="1">
        <v>0.38541666666666669</v>
      </c>
      <c r="F7" s="1">
        <v>0.4826388888888889</v>
      </c>
      <c r="G7">
        <f t="shared" si="0"/>
        <v>30</v>
      </c>
      <c r="H7">
        <f t="shared" si="1"/>
        <v>555</v>
      </c>
      <c r="I7">
        <f t="shared" si="1"/>
        <v>695</v>
      </c>
      <c r="S7">
        <f t="shared" si="2"/>
        <v>5</v>
      </c>
    </row>
    <row r="8" spans="1:19" x14ac:dyDescent="0.25">
      <c r="A8" t="s">
        <v>20</v>
      </c>
      <c r="B8">
        <v>140</v>
      </c>
      <c r="C8" t="s">
        <v>7</v>
      </c>
      <c r="D8" t="s">
        <v>19</v>
      </c>
      <c r="E8" s="1">
        <v>0.46875</v>
      </c>
      <c r="F8" s="1">
        <v>0.56597222222222221</v>
      </c>
      <c r="G8">
        <f t="shared" si="0"/>
        <v>30</v>
      </c>
      <c r="H8">
        <f t="shared" si="1"/>
        <v>675</v>
      </c>
      <c r="I8">
        <f t="shared" si="1"/>
        <v>815</v>
      </c>
      <c r="S8">
        <f t="shared" si="2"/>
        <v>6</v>
      </c>
    </row>
    <row r="9" spans="1:19" x14ac:dyDescent="0.25">
      <c r="A9" t="s">
        <v>21</v>
      </c>
      <c r="B9">
        <v>140</v>
      </c>
      <c r="C9" t="s">
        <v>7</v>
      </c>
      <c r="D9" t="s">
        <v>19</v>
      </c>
      <c r="E9" s="1">
        <v>0.55208333333333337</v>
      </c>
      <c r="F9" s="1">
        <v>0.64930555555555558</v>
      </c>
      <c r="G9">
        <f t="shared" si="0"/>
        <v>30</v>
      </c>
      <c r="H9">
        <f t="shared" si="1"/>
        <v>795</v>
      </c>
      <c r="I9">
        <f t="shared" si="1"/>
        <v>935</v>
      </c>
      <c r="S9">
        <f t="shared" si="2"/>
        <v>7</v>
      </c>
    </row>
    <row r="10" spans="1:19" x14ac:dyDescent="0.25">
      <c r="A10" t="s">
        <v>22</v>
      </c>
      <c r="B10">
        <v>140</v>
      </c>
      <c r="C10" t="s">
        <v>7</v>
      </c>
      <c r="D10" t="s">
        <v>19</v>
      </c>
      <c r="E10" s="1">
        <v>0.80208333333333337</v>
      </c>
      <c r="F10" s="1">
        <v>0.89930555555555547</v>
      </c>
      <c r="G10">
        <f t="shared" si="0"/>
        <v>30</v>
      </c>
      <c r="H10">
        <f t="shared" si="1"/>
        <v>1155</v>
      </c>
      <c r="I10">
        <f t="shared" si="1"/>
        <v>1295</v>
      </c>
      <c r="J10" t="s">
        <v>16</v>
      </c>
      <c r="K10" t="s">
        <v>17</v>
      </c>
      <c r="L10" t="s">
        <v>64</v>
      </c>
      <c r="M10" t="s">
        <v>63</v>
      </c>
      <c r="N10" t="s">
        <v>65</v>
      </c>
      <c r="O10" t="s">
        <v>66</v>
      </c>
      <c r="P10" t="s">
        <v>70</v>
      </c>
      <c r="S10">
        <f t="shared" si="2"/>
        <v>8</v>
      </c>
    </row>
    <row r="11" spans="1:19" x14ac:dyDescent="0.25">
      <c r="A11" t="s">
        <v>24</v>
      </c>
      <c r="B11">
        <v>140</v>
      </c>
      <c r="C11" t="s">
        <v>7</v>
      </c>
      <c r="D11" t="s">
        <v>25</v>
      </c>
      <c r="E11" s="1">
        <v>0.3888888888888889</v>
      </c>
      <c r="F11" s="1">
        <v>0.4861111111111111</v>
      </c>
      <c r="G11">
        <v>30</v>
      </c>
      <c r="H11">
        <v>560</v>
      </c>
      <c r="I11">
        <v>700</v>
      </c>
      <c r="J11" t="s">
        <v>7</v>
      </c>
      <c r="K11">
        <v>15</v>
      </c>
      <c r="L11">
        <v>30</v>
      </c>
      <c r="M11">
        <v>10</v>
      </c>
      <c r="N11">
        <v>145</v>
      </c>
      <c r="O11">
        <v>150</v>
      </c>
      <c r="P11">
        <v>220</v>
      </c>
      <c r="S11">
        <f t="shared" si="2"/>
        <v>9</v>
      </c>
    </row>
    <row r="12" spans="1:19" x14ac:dyDescent="0.25">
      <c r="A12" t="s">
        <v>73</v>
      </c>
      <c r="B12">
        <v>140</v>
      </c>
      <c r="C12" t="s">
        <v>7</v>
      </c>
      <c r="D12" t="s">
        <v>25</v>
      </c>
      <c r="E12" s="1">
        <v>0.4375</v>
      </c>
      <c r="F12" s="1">
        <v>0.53472222222222221</v>
      </c>
      <c r="G12">
        <v>30</v>
      </c>
      <c r="H12">
        <v>630</v>
      </c>
      <c r="I12">
        <v>770</v>
      </c>
      <c r="J12" t="s">
        <v>8</v>
      </c>
      <c r="K12">
        <v>15</v>
      </c>
      <c r="L12">
        <v>30</v>
      </c>
      <c r="M12">
        <v>145</v>
      </c>
      <c r="N12">
        <v>10</v>
      </c>
      <c r="O12">
        <v>155</v>
      </c>
      <c r="P12">
        <v>160</v>
      </c>
      <c r="S12">
        <f t="shared" si="2"/>
        <v>10</v>
      </c>
    </row>
    <row r="13" spans="1:19" x14ac:dyDescent="0.25">
      <c r="A13" t="s">
        <v>74</v>
      </c>
      <c r="B13">
        <v>135</v>
      </c>
      <c r="C13" t="s">
        <v>7</v>
      </c>
      <c r="D13" t="s">
        <v>25</v>
      </c>
      <c r="E13" s="1">
        <v>0.54861111111111116</v>
      </c>
      <c r="F13" s="1">
        <v>0.64236111111111116</v>
      </c>
      <c r="G13">
        <v>30</v>
      </c>
      <c r="H13">
        <v>790</v>
      </c>
      <c r="I13">
        <v>925</v>
      </c>
      <c r="J13" t="s">
        <v>19</v>
      </c>
      <c r="K13">
        <v>15</v>
      </c>
      <c r="L13">
        <v>30</v>
      </c>
      <c r="M13">
        <v>150</v>
      </c>
      <c r="N13">
        <v>155</v>
      </c>
      <c r="O13">
        <v>10</v>
      </c>
      <c r="P13">
        <v>280</v>
      </c>
      <c r="S13">
        <f t="shared" si="2"/>
        <v>11</v>
      </c>
    </row>
    <row r="14" spans="1:19" x14ac:dyDescent="0.25">
      <c r="A14" t="s">
        <v>26</v>
      </c>
      <c r="B14">
        <v>135</v>
      </c>
      <c r="C14" t="s">
        <v>8</v>
      </c>
      <c r="D14" t="s">
        <v>7</v>
      </c>
      <c r="E14" s="1">
        <v>0.375</v>
      </c>
      <c r="F14" s="1">
        <v>0.46875</v>
      </c>
      <c r="G14">
        <f>VLOOKUP(D14,$J$11:$L$14,3,FALSE)</f>
        <v>30</v>
      </c>
      <c r="H14">
        <f t="shared" si="1"/>
        <v>540</v>
      </c>
      <c r="I14">
        <f t="shared" si="1"/>
        <v>675</v>
      </c>
      <c r="J14" t="s">
        <v>25</v>
      </c>
      <c r="K14">
        <v>15</v>
      </c>
      <c r="L14">
        <v>30</v>
      </c>
      <c r="M14">
        <v>220</v>
      </c>
      <c r="N14">
        <v>160</v>
      </c>
      <c r="O14">
        <v>280</v>
      </c>
      <c r="P14">
        <v>10</v>
      </c>
      <c r="S14">
        <f t="shared" si="2"/>
        <v>12</v>
      </c>
    </row>
    <row r="15" spans="1:19" x14ac:dyDescent="0.25">
      <c r="A15" t="s">
        <v>27</v>
      </c>
      <c r="B15">
        <v>135</v>
      </c>
      <c r="C15" t="s">
        <v>8</v>
      </c>
      <c r="D15" t="s">
        <v>7</v>
      </c>
      <c r="E15" s="1">
        <v>0.4375</v>
      </c>
      <c r="F15" s="1">
        <v>0.53125</v>
      </c>
      <c r="G15">
        <f>VLOOKUP(D15,$J$11:$L$14,3,FALSE)</f>
        <v>30</v>
      </c>
      <c r="H15">
        <f t="shared" si="1"/>
        <v>630</v>
      </c>
      <c r="I15">
        <f t="shared" si="1"/>
        <v>765</v>
      </c>
      <c r="J15" t="s">
        <v>42</v>
      </c>
      <c r="K15">
        <v>100</v>
      </c>
      <c r="L15" t="s">
        <v>43</v>
      </c>
      <c r="S15">
        <f t="shared" si="2"/>
        <v>13</v>
      </c>
    </row>
    <row r="16" spans="1:19" x14ac:dyDescent="0.25">
      <c r="A16" t="s">
        <v>28</v>
      </c>
      <c r="B16">
        <v>135</v>
      </c>
      <c r="C16" t="s">
        <v>8</v>
      </c>
      <c r="D16" t="s">
        <v>7</v>
      </c>
      <c r="E16" s="1">
        <v>0.5</v>
      </c>
      <c r="F16" s="1">
        <v>0.59375</v>
      </c>
      <c r="G16">
        <f>VLOOKUP(D16,$J$11:$L$14,3,FALSE)</f>
        <v>30</v>
      </c>
      <c r="H16">
        <f t="shared" si="1"/>
        <v>720</v>
      </c>
      <c r="I16">
        <f t="shared" si="1"/>
        <v>855</v>
      </c>
      <c r="J16" t="s">
        <v>44</v>
      </c>
      <c r="K16">
        <v>350</v>
      </c>
      <c r="S16">
        <f t="shared" si="2"/>
        <v>14</v>
      </c>
    </row>
    <row r="17" spans="1:19" x14ac:dyDescent="0.25">
      <c r="A17" t="s">
        <v>29</v>
      </c>
      <c r="B17">
        <v>135</v>
      </c>
      <c r="C17" t="s">
        <v>8</v>
      </c>
      <c r="D17" t="s">
        <v>7</v>
      </c>
      <c r="E17" s="1">
        <v>0.5625</v>
      </c>
      <c r="F17" s="1">
        <v>0.65625</v>
      </c>
      <c r="G17">
        <f>VLOOKUP(D17,$J$11:$L$14,3,FALSE)</f>
        <v>30</v>
      </c>
      <c r="H17">
        <f t="shared" si="1"/>
        <v>810</v>
      </c>
      <c r="I17">
        <f t="shared" si="1"/>
        <v>945</v>
      </c>
      <c r="S17">
        <f t="shared" si="2"/>
        <v>15</v>
      </c>
    </row>
    <row r="18" spans="1:19" x14ac:dyDescent="0.25">
      <c r="A18" t="s">
        <v>30</v>
      </c>
      <c r="B18">
        <v>135</v>
      </c>
      <c r="C18" t="s">
        <v>8</v>
      </c>
      <c r="D18" t="s">
        <v>7</v>
      </c>
      <c r="E18" s="1">
        <v>0.625</v>
      </c>
      <c r="F18" s="1">
        <v>0.71875</v>
      </c>
      <c r="G18">
        <f>VLOOKUP(D18,$J$11:$L$14,3,FALSE)</f>
        <v>30</v>
      </c>
      <c r="H18">
        <f t="shared" si="1"/>
        <v>900</v>
      </c>
      <c r="I18">
        <f t="shared" si="1"/>
        <v>1035</v>
      </c>
      <c r="S18">
        <f t="shared" si="2"/>
        <v>16</v>
      </c>
    </row>
    <row r="19" spans="1:19" x14ac:dyDescent="0.25">
      <c r="A19" t="s">
        <v>75</v>
      </c>
      <c r="B19">
        <v>120</v>
      </c>
      <c r="C19" t="s">
        <v>19</v>
      </c>
      <c r="D19" t="s">
        <v>8</v>
      </c>
      <c r="E19" s="1">
        <f>H19/1440</f>
        <v>0.20833333333333334</v>
      </c>
      <c r="F19" s="1">
        <f>I19/1440</f>
        <v>0.29166666666666669</v>
      </c>
      <c r="G19">
        <v>30</v>
      </c>
      <c r="H19">
        <v>300</v>
      </c>
      <c r="I19">
        <v>420</v>
      </c>
      <c r="S19">
        <f t="shared" si="2"/>
        <v>17</v>
      </c>
    </row>
    <row r="20" spans="1:19" x14ac:dyDescent="0.25">
      <c r="A20" t="s">
        <v>76</v>
      </c>
      <c r="B20">
        <v>140</v>
      </c>
      <c r="C20" t="s">
        <v>8</v>
      </c>
      <c r="D20" t="s">
        <v>19</v>
      </c>
      <c r="E20" s="1">
        <f t="shared" ref="E20:F22" si="3">H20/1440</f>
        <v>0.41319444444444442</v>
      </c>
      <c r="F20" s="1">
        <f t="shared" si="3"/>
        <v>0.51041666666666663</v>
      </c>
      <c r="G20">
        <v>30</v>
      </c>
      <c r="H20">
        <v>595</v>
      </c>
      <c r="I20">
        <v>735</v>
      </c>
      <c r="S20">
        <f t="shared" si="2"/>
        <v>18</v>
      </c>
    </row>
    <row r="21" spans="1:19" x14ac:dyDescent="0.25">
      <c r="A21" t="s">
        <v>77</v>
      </c>
      <c r="B21">
        <v>120</v>
      </c>
      <c r="C21" t="s">
        <v>8</v>
      </c>
      <c r="D21" t="s">
        <v>19</v>
      </c>
      <c r="E21" s="1">
        <f t="shared" si="3"/>
        <v>0.55555555555555558</v>
      </c>
      <c r="F21" s="1">
        <f t="shared" si="3"/>
        <v>0.63888888888888884</v>
      </c>
      <c r="G21">
        <v>30</v>
      </c>
      <c r="H21">
        <v>800</v>
      </c>
      <c r="I21">
        <v>920</v>
      </c>
      <c r="S21">
        <f t="shared" si="2"/>
        <v>19</v>
      </c>
    </row>
    <row r="22" spans="1:19" x14ac:dyDescent="0.25">
      <c r="A22" t="s">
        <v>78</v>
      </c>
      <c r="B22">
        <v>130</v>
      </c>
      <c r="C22" t="s">
        <v>8</v>
      </c>
      <c r="D22" t="s">
        <v>19</v>
      </c>
      <c r="E22" s="1">
        <f t="shared" si="3"/>
        <v>0.65972222222222221</v>
      </c>
      <c r="F22" s="1">
        <f t="shared" si="3"/>
        <v>0.78472222222222221</v>
      </c>
      <c r="G22">
        <v>30</v>
      </c>
      <c r="H22">
        <v>950</v>
      </c>
      <c r="I22">
        <v>1130</v>
      </c>
      <c r="S22">
        <f t="shared" si="2"/>
        <v>20</v>
      </c>
    </row>
    <row r="23" spans="1:19" x14ac:dyDescent="0.25">
      <c r="A23" t="s">
        <v>34</v>
      </c>
      <c r="B23">
        <v>140</v>
      </c>
      <c r="C23" t="s">
        <v>19</v>
      </c>
      <c r="D23" t="s">
        <v>7</v>
      </c>
      <c r="E23" s="1">
        <v>0.39583333333333331</v>
      </c>
      <c r="F23" s="1">
        <v>0.49305555555555558</v>
      </c>
      <c r="G23">
        <f>VLOOKUP(D23,$J$11:$L$14,3,FALSE)</f>
        <v>30</v>
      </c>
      <c r="H23">
        <f t="shared" si="1"/>
        <v>570</v>
      </c>
      <c r="I23">
        <f t="shared" si="1"/>
        <v>710</v>
      </c>
      <c r="J23" t="s">
        <v>16</v>
      </c>
      <c r="K23" t="s">
        <v>17</v>
      </c>
      <c r="L23" t="s">
        <v>64</v>
      </c>
      <c r="M23" t="s">
        <v>63</v>
      </c>
      <c r="N23" t="s">
        <v>65</v>
      </c>
      <c r="O23" t="s">
        <v>66</v>
      </c>
      <c r="P23" t="s">
        <v>70</v>
      </c>
      <c r="S23">
        <f t="shared" si="2"/>
        <v>21</v>
      </c>
    </row>
    <row r="24" spans="1:19" x14ac:dyDescent="0.25">
      <c r="A24" t="s">
        <v>35</v>
      </c>
      <c r="B24">
        <v>140</v>
      </c>
      <c r="C24" t="s">
        <v>19</v>
      </c>
      <c r="D24" t="s">
        <v>7</v>
      </c>
      <c r="E24" s="1">
        <v>0.51388888888888895</v>
      </c>
      <c r="F24" s="1">
        <v>0.61111111111111105</v>
      </c>
      <c r="G24">
        <f>VLOOKUP(D24,$J$11:$L$14,3,FALSE)</f>
        <v>30</v>
      </c>
      <c r="H24">
        <f t="shared" si="1"/>
        <v>740</v>
      </c>
      <c r="I24">
        <f t="shared" si="1"/>
        <v>880</v>
      </c>
      <c r="J24" t="s">
        <v>7</v>
      </c>
      <c r="K24">
        <v>15</v>
      </c>
      <c r="L24">
        <v>30</v>
      </c>
      <c r="M24">
        <v>10</v>
      </c>
      <c r="N24">
        <v>75</v>
      </c>
      <c r="O24">
        <v>85</v>
      </c>
      <c r="P24">
        <v>95</v>
      </c>
      <c r="S24">
        <f t="shared" si="2"/>
        <v>22</v>
      </c>
    </row>
    <row r="25" spans="1:19" x14ac:dyDescent="0.25">
      <c r="A25" t="s">
        <v>36</v>
      </c>
      <c r="B25">
        <v>140</v>
      </c>
      <c r="C25" t="s">
        <v>19</v>
      </c>
      <c r="D25" t="s">
        <v>7</v>
      </c>
      <c r="E25" s="1">
        <v>0.59722222222222221</v>
      </c>
      <c r="F25" s="1">
        <v>0.69444444444444453</v>
      </c>
      <c r="G25">
        <f>VLOOKUP(D25,$J$11:$L$14,3,FALSE)</f>
        <v>30</v>
      </c>
      <c r="H25">
        <f t="shared" si="1"/>
        <v>860</v>
      </c>
      <c r="I25">
        <f t="shared" si="1"/>
        <v>1000</v>
      </c>
      <c r="J25" t="s">
        <v>8</v>
      </c>
      <c r="K25">
        <v>15</v>
      </c>
      <c r="L25">
        <v>30</v>
      </c>
      <c r="M25">
        <v>75</v>
      </c>
      <c r="N25">
        <v>10</v>
      </c>
      <c r="O25">
        <v>60</v>
      </c>
      <c r="P25">
        <v>65</v>
      </c>
      <c r="S25">
        <f t="shared" si="2"/>
        <v>23</v>
      </c>
    </row>
    <row r="26" spans="1:19" x14ac:dyDescent="0.25">
      <c r="A26" t="s">
        <v>37</v>
      </c>
      <c r="B26">
        <v>140</v>
      </c>
      <c r="C26" t="s">
        <v>19</v>
      </c>
      <c r="D26" t="s">
        <v>7</v>
      </c>
      <c r="E26" s="1">
        <v>0.63888888888888895</v>
      </c>
      <c r="F26" s="1">
        <v>0.73611111111111116</v>
      </c>
      <c r="G26">
        <f>VLOOKUP(D26,$J$11:$L$14,3,FALSE)</f>
        <v>30</v>
      </c>
      <c r="H26">
        <f t="shared" si="1"/>
        <v>920</v>
      </c>
      <c r="I26">
        <f t="shared" si="1"/>
        <v>1060</v>
      </c>
      <c r="J26" t="s">
        <v>19</v>
      </c>
      <c r="K26">
        <v>15</v>
      </c>
      <c r="L26">
        <v>30</v>
      </c>
      <c r="M26">
        <v>85</v>
      </c>
      <c r="N26">
        <v>60</v>
      </c>
      <c r="O26">
        <v>10</v>
      </c>
      <c r="P26">
        <v>50</v>
      </c>
      <c r="S26">
        <f t="shared" si="2"/>
        <v>24</v>
      </c>
    </row>
    <row r="27" spans="1:19" x14ac:dyDescent="0.25">
      <c r="A27" t="s">
        <v>79</v>
      </c>
      <c r="B27">
        <v>140</v>
      </c>
      <c r="C27" t="s">
        <v>19</v>
      </c>
      <c r="D27" t="s">
        <v>8</v>
      </c>
      <c r="E27" s="1">
        <f>H27/1440</f>
        <v>0.375</v>
      </c>
      <c r="F27" s="1">
        <f>I27/1440</f>
        <v>0.47222222222222221</v>
      </c>
      <c r="G27">
        <v>30</v>
      </c>
      <c r="H27">
        <v>540</v>
      </c>
      <c r="I27">
        <v>680</v>
      </c>
      <c r="J27" t="s">
        <v>25</v>
      </c>
      <c r="K27">
        <v>15</v>
      </c>
      <c r="L27">
        <v>30</v>
      </c>
      <c r="M27">
        <v>95</v>
      </c>
      <c r="N27">
        <v>65</v>
      </c>
      <c r="O27">
        <v>50</v>
      </c>
      <c r="P27">
        <v>10</v>
      </c>
      <c r="S27">
        <f t="shared" si="2"/>
        <v>25</v>
      </c>
    </row>
    <row r="28" spans="1:19" x14ac:dyDescent="0.25">
      <c r="A28" t="s">
        <v>80</v>
      </c>
      <c r="B28">
        <v>140</v>
      </c>
      <c r="C28" t="s">
        <v>19</v>
      </c>
      <c r="D28" t="s">
        <v>8</v>
      </c>
      <c r="E28" s="1">
        <f t="shared" ref="E28:F30" si="4">H28/1440</f>
        <v>0.44791666666666669</v>
      </c>
      <c r="F28" s="1">
        <f t="shared" si="4"/>
        <v>0.54513888888888884</v>
      </c>
      <c r="G28">
        <v>30</v>
      </c>
      <c r="H28">
        <v>645</v>
      </c>
      <c r="I28">
        <v>785</v>
      </c>
      <c r="S28">
        <f t="shared" si="2"/>
        <v>26</v>
      </c>
    </row>
    <row r="29" spans="1:19" x14ac:dyDescent="0.25">
      <c r="A29" t="s">
        <v>81</v>
      </c>
      <c r="B29">
        <v>120</v>
      </c>
      <c r="C29" t="s">
        <v>19</v>
      </c>
      <c r="D29" t="s">
        <v>8</v>
      </c>
      <c r="E29" s="1">
        <f t="shared" si="4"/>
        <v>0.625</v>
      </c>
      <c r="F29" s="1">
        <f t="shared" si="4"/>
        <v>0.70833333333333337</v>
      </c>
      <c r="G29">
        <v>30</v>
      </c>
      <c r="H29">
        <v>900</v>
      </c>
      <c r="I29">
        <v>1020</v>
      </c>
      <c r="S29">
        <f t="shared" si="2"/>
        <v>27</v>
      </c>
    </row>
    <row r="30" spans="1:19" x14ac:dyDescent="0.25">
      <c r="A30" t="s">
        <v>82</v>
      </c>
      <c r="B30">
        <v>130</v>
      </c>
      <c r="C30" t="s">
        <v>19</v>
      </c>
      <c r="D30" t="s">
        <v>8</v>
      </c>
      <c r="E30" s="1">
        <f t="shared" si="4"/>
        <v>0.65972222222222221</v>
      </c>
      <c r="F30" s="1">
        <f t="shared" si="4"/>
        <v>0.75</v>
      </c>
      <c r="G30">
        <v>30</v>
      </c>
      <c r="H30">
        <v>950</v>
      </c>
      <c r="I30">
        <v>1080</v>
      </c>
      <c r="S30">
        <f t="shared" si="2"/>
        <v>28</v>
      </c>
    </row>
    <row r="31" spans="1:19" x14ac:dyDescent="0.25">
      <c r="A31" t="s">
        <v>39</v>
      </c>
      <c r="B31">
        <v>140</v>
      </c>
      <c r="C31" t="s">
        <v>19</v>
      </c>
      <c r="D31" t="s">
        <v>25</v>
      </c>
      <c r="E31" s="1">
        <f>H31/1440</f>
        <v>0.3125</v>
      </c>
      <c r="F31" s="1">
        <f>I31/1440</f>
        <v>0.40625</v>
      </c>
      <c r="G31">
        <v>30</v>
      </c>
      <c r="H31">
        <v>450</v>
      </c>
      <c r="I31">
        <v>585</v>
      </c>
      <c r="J31" t="s">
        <v>16</v>
      </c>
      <c r="K31" t="s">
        <v>17</v>
      </c>
      <c r="L31" t="s">
        <v>64</v>
      </c>
      <c r="M31" t="s">
        <v>63</v>
      </c>
      <c r="N31" t="s">
        <v>65</v>
      </c>
      <c r="O31" t="s">
        <v>66</v>
      </c>
      <c r="P31" t="s">
        <v>70</v>
      </c>
      <c r="S31">
        <f t="shared" si="2"/>
        <v>29</v>
      </c>
    </row>
    <row r="32" spans="1:19" x14ac:dyDescent="0.25">
      <c r="A32" t="s">
        <v>83</v>
      </c>
      <c r="B32">
        <v>135</v>
      </c>
      <c r="C32" t="s">
        <v>19</v>
      </c>
      <c r="D32" t="s">
        <v>25</v>
      </c>
      <c r="E32" s="1">
        <f t="shared" ref="E32:F42" si="5">H32/1440</f>
        <v>0.38194444444444442</v>
      </c>
      <c r="F32" s="1">
        <f t="shared" si="5"/>
        <v>0.47569444444444442</v>
      </c>
      <c r="G32">
        <v>30</v>
      </c>
      <c r="H32">
        <v>550</v>
      </c>
      <c r="I32">
        <v>685</v>
      </c>
      <c r="J32" t="s">
        <v>7</v>
      </c>
      <c r="K32">
        <v>15</v>
      </c>
      <c r="L32">
        <v>30</v>
      </c>
      <c r="M32">
        <v>10</v>
      </c>
      <c r="N32">
        <v>75</v>
      </c>
      <c r="O32">
        <v>75</v>
      </c>
      <c r="P32">
        <v>75</v>
      </c>
      <c r="S32">
        <f t="shared" si="2"/>
        <v>30</v>
      </c>
    </row>
    <row r="33" spans="1:32" x14ac:dyDescent="0.25">
      <c r="A33" t="s">
        <v>84</v>
      </c>
      <c r="B33">
        <v>135</v>
      </c>
      <c r="C33" t="s">
        <v>19</v>
      </c>
      <c r="D33" t="s">
        <v>25</v>
      </c>
      <c r="E33" s="1">
        <f t="shared" si="5"/>
        <v>0.41666666666666669</v>
      </c>
      <c r="F33" s="1">
        <f t="shared" si="5"/>
        <v>0.51041666666666663</v>
      </c>
      <c r="G33">
        <v>30</v>
      </c>
      <c r="H33">
        <v>600</v>
      </c>
      <c r="I33">
        <v>735</v>
      </c>
      <c r="J33" t="s">
        <v>8</v>
      </c>
      <c r="K33">
        <v>15</v>
      </c>
      <c r="L33">
        <v>30</v>
      </c>
      <c r="M33">
        <v>75</v>
      </c>
      <c r="N33">
        <v>10</v>
      </c>
      <c r="O33">
        <v>75</v>
      </c>
      <c r="P33">
        <v>75</v>
      </c>
      <c r="S33">
        <f t="shared" si="2"/>
        <v>31</v>
      </c>
    </row>
    <row r="34" spans="1:32" x14ac:dyDescent="0.25">
      <c r="A34" t="s">
        <v>85</v>
      </c>
      <c r="B34">
        <v>135</v>
      </c>
      <c r="C34" t="s">
        <v>19</v>
      </c>
      <c r="D34" t="s">
        <v>25</v>
      </c>
      <c r="E34" s="1">
        <f t="shared" si="5"/>
        <v>0.53125</v>
      </c>
      <c r="F34" s="1">
        <f t="shared" si="5"/>
        <v>0.625</v>
      </c>
      <c r="G34">
        <v>30</v>
      </c>
      <c r="H34">
        <v>765</v>
      </c>
      <c r="I34">
        <v>900</v>
      </c>
      <c r="J34" t="s">
        <v>19</v>
      </c>
      <c r="K34">
        <v>15</v>
      </c>
      <c r="L34">
        <v>30</v>
      </c>
      <c r="M34">
        <v>75</v>
      </c>
      <c r="N34">
        <v>75</v>
      </c>
      <c r="O34">
        <v>10</v>
      </c>
      <c r="P34">
        <v>75</v>
      </c>
      <c r="S34">
        <f t="shared" si="2"/>
        <v>32</v>
      </c>
    </row>
    <row r="35" spans="1:32" x14ac:dyDescent="0.25">
      <c r="A35" t="s">
        <v>40</v>
      </c>
      <c r="B35">
        <v>140</v>
      </c>
      <c r="C35" t="s">
        <v>25</v>
      </c>
      <c r="D35" t="s">
        <v>7</v>
      </c>
      <c r="E35" s="1">
        <f t="shared" si="5"/>
        <v>0.5</v>
      </c>
      <c r="F35" s="1">
        <f t="shared" si="5"/>
        <v>0.59722222222222221</v>
      </c>
      <c r="G35">
        <v>30</v>
      </c>
      <c r="H35">
        <v>720</v>
      </c>
      <c r="I35">
        <v>860</v>
      </c>
      <c r="J35" t="s">
        <v>25</v>
      </c>
      <c r="K35">
        <v>15</v>
      </c>
      <c r="L35">
        <v>30</v>
      </c>
      <c r="M35">
        <v>75</v>
      </c>
      <c r="N35">
        <v>75</v>
      </c>
      <c r="O35">
        <v>75</v>
      </c>
      <c r="P35">
        <v>10</v>
      </c>
      <c r="S35">
        <f t="shared" si="2"/>
        <v>33</v>
      </c>
    </row>
    <row r="36" spans="1:32" x14ac:dyDescent="0.25">
      <c r="A36" t="s">
        <v>86</v>
      </c>
      <c r="B36">
        <v>135</v>
      </c>
      <c r="C36" t="s">
        <v>25</v>
      </c>
      <c r="D36" t="s">
        <v>7</v>
      </c>
      <c r="E36" s="1">
        <f t="shared" si="5"/>
        <v>0.52083333333333337</v>
      </c>
      <c r="F36" s="1">
        <f t="shared" si="5"/>
        <v>0.61458333333333337</v>
      </c>
      <c r="G36">
        <v>30</v>
      </c>
      <c r="H36">
        <v>750</v>
      </c>
      <c r="I36">
        <v>885</v>
      </c>
      <c r="S36">
        <f t="shared" si="2"/>
        <v>34</v>
      </c>
    </row>
    <row r="37" spans="1:32" x14ac:dyDescent="0.25">
      <c r="A37" t="s">
        <v>87</v>
      </c>
      <c r="B37">
        <v>140</v>
      </c>
      <c r="C37" t="s">
        <v>25</v>
      </c>
      <c r="D37" t="s">
        <v>7</v>
      </c>
      <c r="E37" s="1">
        <f t="shared" si="5"/>
        <v>0.55555555555555558</v>
      </c>
      <c r="F37" s="1">
        <f t="shared" si="5"/>
        <v>0.65277777777777779</v>
      </c>
      <c r="G37">
        <v>30</v>
      </c>
      <c r="H37">
        <v>800</v>
      </c>
      <c r="I37">
        <v>940</v>
      </c>
      <c r="S37">
        <f t="shared" si="2"/>
        <v>35</v>
      </c>
    </row>
    <row r="38" spans="1:32" x14ac:dyDescent="0.25">
      <c r="A38" t="s">
        <v>88</v>
      </c>
      <c r="B38">
        <v>140</v>
      </c>
      <c r="C38" t="s">
        <v>25</v>
      </c>
      <c r="D38" t="s">
        <v>7</v>
      </c>
      <c r="E38" s="1">
        <f t="shared" si="5"/>
        <v>0.69444444444444442</v>
      </c>
      <c r="F38" s="1">
        <f t="shared" si="5"/>
        <v>0.79166666666666663</v>
      </c>
      <c r="G38">
        <v>30</v>
      </c>
      <c r="H38">
        <v>1000</v>
      </c>
      <c r="I38">
        <v>1140</v>
      </c>
      <c r="S38">
        <f t="shared" si="2"/>
        <v>36</v>
      </c>
      <c r="AF38">
        <f>VLOOKUP($A5,'40Trips'!$A$3:$I$26,9,FALSE)</f>
        <v>965</v>
      </c>
    </row>
    <row r="39" spans="1:32" x14ac:dyDescent="0.25">
      <c r="A39" t="s">
        <v>41</v>
      </c>
      <c r="B39">
        <v>140</v>
      </c>
      <c r="C39" t="s">
        <v>25</v>
      </c>
      <c r="D39" t="s">
        <v>19</v>
      </c>
      <c r="E39" s="1">
        <f t="shared" si="5"/>
        <v>0.41666666666666669</v>
      </c>
      <c r="F39" s="1">
        <f t="shared" si="5"/>
        <v>0.51388888888888884</v>
      </c>
      <c r="G39">
        <v>30</v>
      </c>
      <c r="H39">
        <v>600</v>
      </c>
      <c r="I39">
        <v>740</v>
      </c>
      <c r="S39">
        <f t="shared" si="2"/>
        <v>37</v>
      </c>
      <c r="AF39" t="e">
        <f>VLOOKUP("BA6",'40Trips'!$A$3:$I$26,8,FALSE)</f>
        <v>#N/A</v>
      </c>
    </row>
    <row r="40" spans="1:32" x14ac:dyDescent="0.25">
      <c r="A40" t="s">
        <v>89</v>
      </c>
      <c r="B40">
        <v>120</v>
      </c>
      <c r="C40" t="s">
        <v>25</v>
      </c>
      <c r="D40" t="s">
        <v>19</v>
      </c>
      <c r="E40" s="1">
        <f t="shared" si="5"/>
        <v>0.53125</v>
      </c>
      <c r="F40" s="1">
        <f t="shared" si="5"/>
        <v>0.61458333333333337</v>
      </c>
      <c r="G40">
        <v>30</v>
      </c>
      <c r="H40">
        <v>765</v>
      </c>
      <c r="I40">
        <v>885</v>
      </c>
      <c r="S40">
        <f t="shared" si="2"/>
        <v>38</v>
      </c>
    </row>
    <row r="41" spans="1:32" x14ac:dyDescent="0.25">
      <c r="A41" t="s">
        <v>90</v>
      </c>
      <c r="B41">
        <v>120</v>
      </c>
      <c r="C41" t="s">
        <v>25</v>
      </c>
      <c r="D41" t="s">
        <v>19</v>
      </c>
      <c r="E41" s="1">
        <f t="shared" si="5"/>
        <v>0.54166666666666663</v>
      </c>
      <c r="F41" s="1">
        <f t="shared" si="5"/>
        <v>0.625</v>
      </c>
      <c r="G41">
        <v>30</v>
      </c>
      <c r="H41">
        <v>780</v>
      </c>
      <c r="I41">
        <v>900</v>
      </c>
      <c r="S41">
        <f t="shared" si="2"/>
        <v>39</v>
      </c>
    </row>
    <row r="42" spans="1:32" x14ac:dyDescent="0.25">
      <c r="A42" t="s">
        <v>91</v>
      </c>
      <c r="B42">
        <v>135</v>
      </c>
      <c r="C42" t="s">
        <v>25</v>
      </c>
      <c r="D42" t="s">
        <v>19</v>
      </c>
      <c r="E42" s="1">
        <f t="shared" si="5"/>
        <v>0.67013888888888884</v>
      </c>
      <c r="F42" s="1">
        <f t="shared" si="5"/>
        <v>0.76388888888888884</v>
      </c>
      <c r="G42">
        <v>30</v>
      </c>
      <c r="H42">
        <v>965</v>
      </c>
      <c r="I42">
        <v>1100</v>
      </c>
      <c r="S42">
        <f t="shared" si="2"/>
        <v>40</v>
      </c>
    </row>
    <row r="43" spans="1:32" x14ac:dyDescent="0.25">
      <c r="A43" t="s">
        <v>48</v>
      </c>
      <c r="B43">
        <v>50</v>
      </c>
      <c r="C43" t="s">
        <v>47</v>
      </c>
      <c r="D43" t="s">
        <v>47</v>
      </c>
      <c r="E43" t="s">
        <v>47</v>
      </c>
      <c r="F43" t="s">
        <v>47</v>
      </c>
      <c r="G43">
        <v>0</v>
      </c>
      <c r="S43">
        <f t="shared" si="2"/>
        <v>41</v>
      </c>
    </row>
    <row r="44" spans="1:32" x14ac:dyDescent="0.25">
      <c r="A44" t="s">
        <v>62</v>
      </c>
      <c r="B44">
        <v>50</v>
      </c>
      <c r="C44" t="s">
        <v>7</v>
      </c>
      <c r="D44" t="s">
        <v>7</v>
      </c>
      <c r="E44" t="s">
        <v>47</v>
      </c>
      <c r="F44" t="s">
        <v>47</v>
      </c>
      <c r="G44">
        <v>0</v>
      </c>
      <c r="S44">
        <f t="shared" si="2"/>
        <v>42</v>
      </c>
    </row>
    <row r="45" spans="1:32" x14ac:dyDescent="0.25">
      <c r="A45" t="s">
        <v>67</v>
      </c>
      <c r="B45">
        <v>50</v>
      </c>
      <c r="C45" t="s">
        <v>8</v>
      </c>
      <c r="D45" t="s">
        <v>8</v>
      </c>
      <c r="E45" t="s">
        <v>47</v>
      </c>
      <c r="F45" t="s">
        <v>47</v>
      </c>
      <c r="G45">
        <v>0</v>
      </c>
      <c r="S45">
        <f t="shared" si="2"/>
        <v>43</v>
      </c>
    </row>
    <row r="46" spans="1:32" x14ac:dyDescent="0.25">
      <c r="A46" t="s">
        <v>68</v>
      </c>
      <c r="B46">
        <v>50</v>
      </c>
      <c r="C46" t="s">
        <v>19</v>
      </c>
      <c r="D46" t="s">
        <v>19</v>
      </c>
      <c r="E46" t="s">
        <v>47</v>
      </c>
      <c r="F46" t="s">
        <v>47</v>
      </c>
      <c r="G46">
        <v>0</v>
      </c>
      <c r="S46">
        <f t="shared" si="2"/>
        <v>44</v>
      </c>
    </row>
    <row r="49" spans="1:15" x14ac:dyDescent="0.25">
      <c r="A49" t="s">
        <v>53</v>
      </c>
    </row>
    <row r="50" spans="1:15" x14ac:dyDescent="0.25">
      <c r="A50" t="s">
        <v>51</v>
      </c>
      <c r="B50" t="s">
        <v>52</v>
      </c>
      <c r="F50" t="s">
        <v>50</v>
      </c>
      <c r="G50" t="s">
        <v>49</v>
      </c>
    </row>
    <row r="51" spans="1:15" x14ac:dyDescent="0.25">
      <c r="A51">
        <v>0</v>
      </c>
      <c r="B51" t="s">
        <v>46</v>
      </c>
      <c r="F51" s="5"/>
      <c r="G51">
        <v>0</v>
      </c>
      <c r="H51">
        <v>14</v>
      </c>
      <c r="I51">
        <v>29</v>
      </c>
      <c r="J51">
        <v>31</v>
      </c>
      <c r="K51">
        <v>13</v>
      </c>
      <c r="L51">
        <v>33</v>
      </c>
      <c r="M51">
        <v>18</v>
      </c>
      <c r="N51">
        <v>0</v>
      </c>
    </row>
    <row r="52" spans="1:15" x14ac:dyDescent="0.25">
      <c r="A52">
        <f>A51+1</f>
        <v>1</v>
      </c>
      <c r="B52" t="s">
        <v>6</v>
      </c>
      <c r="F52" s="5"/>
      <c r="G52" t="s">
        <v>46</v>
      </c>
      <c r="H52" t="str">
        <f>VLOOKUP(H51,$A$51:$B$82,2,FALSE)</f>
        <v>AD1</v>
      </c>
      <c r="I52" t="str">
        <f>VLOOKUP(I51,$A$51:$B$82,2,FALSE)</f>
        <v>DA1</v>
      </c>
      <c r="J52" t="str">
        <f>VLOOKUP(J51,$A$51:$B$82,2,FALSE)</f>
        <v>CS1</v>
      </c>
      <c r="K52" t="str">
        <f>VLOOKUP(K51,$A$51:$B$82,2,FALSE)</f>
        <v>AC5</v>
      </c>
      <c r="L52" t="str">
        <f>VLOOKUP(L51,$A$51:$B$84,2,FALSE)</f>
        <v>CS2b</v>
      </c>
      <c r="M52" t="str">
        <f>VLOOKUP(M51,$A$51:$B$82,2,FALSE)</f>
        <v>BA4</v>
      </c>
      <c r="N52" t="str">
        <f>VLOOKUP(N51,$A$51:$B$82,2,FALSE)</f>
        <v>DEPOT</v>
      </c>
    </row>
    <row r="53" spans="1:15" x14ac:dyDescent="0.25">
      <c r="A53">
        <f t="shared" ref="A53:A84" si="6">A52+1</f>
        <v>2</v>
      </c>
      <c r="B53" t="s">
        <v>9</v>
      </c>
      <c r="F53" s="6"/>
      <c r="G53">
        <v>0</v>
      </c>
      <c r="H53">
        <v>28</v>
      </c>
      <c r="I53">
        <v>24</v>
      </c>
      <c r="J53">
        <v>31</v>
      </c>
      <c r="K53">
        <v>20</v>
      </c>
      <c r="L53">
        <v>22</v>
      </c>
      <c r="M53">
        <v>33</v>
      </c>
      <c r="N53">
        <v>19</v>
      </c>
      <c r="O53">
        <v>0</v>
      </c>
    </row>
    <row r="54" spans="1:15" x14ac:dyDescent="0.25">
      <c r="A54">
        <f t="shared" si="6"/>
        <v>3</v>
      </c>
      <c r="B54" s="4" t="s">
        <v>10</v>
      </c>
      <c r="F54" s="6"/>
      <c r="G54" t="str">
        <f t="shared" ref="G54:L54" si="7">VLOOKUP(G53,$A$51:$B$82,2,FALSE)</f>
        <v>DEPOT</v>
      </c>
      <c r="H54" t="str">
        <f t="shared" si="7"/>
        <v>CD1</v>
      </c>
      <c r="I54" t="str">
        <f t="shared" si="7"/>
        <v>CA2</v>
      </c>
      <c r="J54" t="str">
        <f t="shared" si="7"/>
        <v>CS1</v>
      </c>
      <c r="K54" t="str">
        <f t="shared" si="7"/>
        <v>BA6</v>
      </c>
      <c r="L54" t="str">
        <f t="shared" si="7"/>
        <v>BA8</v>
      </c>
      <c r="M54" t="str">
        <f>VLOOKUP(M53,$A$51:$B$84,2,FALSE)</f>
        <v>CS2b</v>
      </c>
      <c r="N54" t="str">
        <f>VLOOKUP(N53,$A$51:$B$82,2,FALSE)</f>
        <v>BA5</v>
      </c>
      <c r="O54" t="str">
        <f>VLOOKUP(O53,$A$51:$B$82,2,FALSE)</f>
        <v>DEPOT</v>
      </c>
    </row>
    <row r="55" spans="1:15" x14ac:dyDescent="0.25">
      <c r="A55">
        <f t="shared" si="6"/>
        <v>4</v>
      </c>
      <c r="B55" t="s">
        <v>11</v>
      </c>
      <c r="F55" s="7"/>
      <c r="G55">
        <v>0</v>
      </c>
      <c r="H55">
        <v>10</v>
      </c>
      <c r="I55">
        <v>3</v>
      </c>
      <c r="J55">
        <v>32</v>
      </c>
      <c r="K55">
        <v>5</v>
      </c>
      <c r="L55">
        <v>32</v>
      </c>
      <c r="M55">
        <v>12</v>
      </c>
      <c r="N55">
        <v>0</v>
      </c>
    </row>
    <row r="56" spans="1:15" x14ac:dyDescent="0.25">
      <c r="A56">
        <f t="shared" si="6"/>
        <v>5</v>
      </c>
      <c r="B56" t="s">
        <v>12</v>
      </c>
      <c r="F56" s="7"/>
      <c r="G56" t="str">
        <f>VLOOKUP(G55,$A$51:$B$82,2,FALSE)</f>
        <v>DEPOT</v>
      </c>
      <c r="H56" t="str">
        <f>VLOOKUP(H55,$A$51:$B$82,2,FALSE)</f>
        <v>AC2</v>
      </c>
      <c r="I56" t="str">
        <f>VLOOKUP(I55,$A$51:$B$82,2,FALSE)</f>
        <v>AB3</v>
      </c>
      <c r="J56" t="str">
        <f>VLOOKUP(J55,$A$51:$B$84,2,FALSE)</f>
        <v>CS1a</v>
      </c>
      <c r="K56" t="str">
        <f>VLOOKUP(K55,$A$51:$B$82,2,FALSE)</f>
        <v>AB5</v>
      </c>
      <c r="L56" t="str">
        <f>VLOOKUP(L55,$A$51:$B$84,2,FALSE)</f>
        <v>CS1a</v>
      </c>
      <c r="M56" t="str">
        <f>VLOOKUP(M55,$A$51:$B$82,2,FALSE)</f>
        <v>AC4</v>
      </c>
      <c r="N56" t="str">
        <f>VLOOKUP(N55,$A$51:$B$82,2,FALSE)</f>
        <v>DEPOT</v>
      </c>
    </row>
    <row r="57" spans="1:15" x14ac:dyDescent="0.25">
      <c r="A57">
        <f t="shared" si="6"/>
        <v>6</v>
      </c>
      <c r="B57" t="s">
        <v>13</v>
      </c>
      <c r="F57" s="8"/>
      <c r="G57">
        <v>0</v>
      </c>
      <c r="H57">
        <v>23</v>
      </c>
      <c r="I57">
        <v>32</v>
      </c>
      <c r="J57">
        <v>2</v>
      </c>
      <c r="K57">
        <v>32</v>
      </c>
      <c r="L57">
        <v>4</v>
      </c>
      <c r="M57">
        <v>0</v>
      </c>
    </row>
    <row r="58" spans="1:15" x14ac:dyDescent="0.25">
      <c r="A58">
        <f t="shared" si="6"/>
        <v>7</v>
      </c>
      <c r="B58" t="s">
        <v>14</v>
      </c>
      <c r="F58" s="8"/>
      <c r="G58" t="str">
        <f>VLOOKUP(G57,$A$51:$B$82,2,FALSE)</f>
        <v>DEPOT</v>
      </c>
      <c r="H58" t="str">
        <f>VLOOKUP(H57,$A$51:$B$82,2,FALSE)</f>
        <v>CA1</v>
      </c>
      <c r="I58" t="str">
        <f>VLOOKUP(I57,$A$51:$B$84,2,FALSE)</f>
        <v>CS1a</v>
      </c>
      <c r="J58" t="str">
        <f>VLOOKUP(J57,$A$51:$B$82,2,FALSE)</f>
        <v>AB2</v>
      </c>
      <c r="K58" t="str">
        <f>VLOOKUP(K57,$A$51:$B$84,2,FALSE)</f>
        <v>CS1a</v>
      </c>
      <c r="L58" t="str">
        <f>VLOOKUP(L57,$A$51:$B$82,2,FALSE)</f>
        <v>AB4</v>
      </c>
      <c r="M58" t="str">
        <f>VLOOKUP(M57,$A$51:$B$82,2,FALSE)</f>
        <v>DEPOT</v>
      </c>
    </row>
    <row r="59" spans="1:15" x14ac:dyDescent="0.25">
      <c r="A59">
        <f t="shared" si="6"/>
        <v>8</v>
      </c>
      <c r="B59" t="s">
        <v>15</v>
      </c>
      <c r="F59" s="9"/>
      <c r="G59">
        <v>0</v>
      </c>
      <c r="H59">
        <v>16</v>
      </c>
      <c r="I59">
        <v>31</v>
      </c>
      <c r="J59">
        <v>26</v>
      </c>
      <c r="K59">
        <v>32</v>
      </c>
      <c r="L59">
        <v>7</v>
      </c>
      <c r="M59">
        <v>0</v>
      </c>
    </row>
    <row r="60" spans="1:15" x14ac:dyDescent="0.25">
      <c r="A60">
        <f t="shared" si="6"/>
        <v>9</v>
      </c>
      <c r="B60" t="s">
        <v>18</v>
      </c>
      <c r="F60" s="9"/>
      <c r="G60" t="str">
        <f>VLOOKUP(G59,$A$51:$B$82,2,FALSE)</f>
        <v>DEPOT</v>
      </c>
      <c r="H60" t="str">
        <f>VLOOKUP(H59,$A$51:$B$82,2,FALSE)</f>
        <v>BA2</v>
      </c>
      <c r="I60" t="str">
        <f>VLOOKUP(I59,$A$51:$B$82,2,FALSE)</f>
        <v>CS1</v>
      </c>
      <c r="J60" t="str">
        <f>VLOOKUP(J59,$A$51:$B$82,2,FALSE)</f>
        <v>CA4</v>
      </c>
      <c r="K60" t="str">
        <f>VLOOKUP(K59,$A$51:$B$84,2,FALSE)</f>
        <v>CS1a</v>
      </c>
      <c r="L60" t="str">
        <f>VLOOKUP(L59,$A$51:$B$82,2,FALSE)</f>
        <v>AB7</v>
      </c>
      <c r="M60" t="str">
        <f>VLOOKUP(M59,$A$51:$B$82,2,FALSE)</f>
        <v>DEPOT</v>
      </c>
    </row>
    <row r="61" spans="1:15" x14ac:dyDescent="0.25">
      <c r="A61">
        <f t="shared" si="6"/>
        <v>10</v>
      </c>
      <c r="B61" t="s">
        <v>20</v>
      </c>
      <c r="F61" s="10"/>
      <c r="G61">
        <v>0</v>
      </c>
      <c r="H61">
        <v>1</v>
      </c>
      <c r="I61">
        <v>31</v>
      </c>
      <c r="J61">
        <v>25</v>
      </c>
      <c r="K61">
        <v>32</v>
      </c>
      <c r="L61">
        <v>3</v>
      </c>
      <c r="M61">
        <v>0</v>
      </c>
    </row>
    <row r="62" spans="1:15" x14ac:dyDescent="0.25">
      <c r="A62">
        <f t="shared" si="6"/>
        <v>11</v>
      </c>
      <c r="B62" t="s">
        <v>21</v>
      </c>
      <c r="F62" s="10"/>
      <c r="G62" t="str">
        <f>VLOOKUP(G61,$A$51:$B$82,2,FALSE)</f>
        <v>DEPOT</v>
      </c>
      <c r="H62" t="str">
        <f>VLOOKUP(H61,$A$51:$B$82,2,FALSE)</f>
        <v>AB1</v>
      </c>
      <c r="I62" t="str">
        <f>VLOOKUP(I61,$A$51:$B$82,2,FALSE)</f>
        <v>CS1</v>
      </c>
      <c r="J62" t="str">
        <f>VLOOKUP(J61,$A$51:$B$82,2,FALSE)</f>
        <v>CA3</v>
      </c>
      <c r="K62" t="str">
        <f>VLOOKUP(K61,$A$51:$B$84,2,FALSE)</f>
        <v>CS1a</v>
      </c>
      <c r="L62" t="str">
        <f>VLOOKUP(L61,$A$51:$B$82,2,FALSE)</f>
        <v>AB3</v>
      </c>
      <c r="M62" t="str">
        <f>VLOOKUP(M61,$A$51:$B$82,2,FALSE)</f>
        <v>DEPOT</v>
      </c>
    </row>
    <row r="63" spans="1:15" x14ac:dyDescent="0.25">
      <c r="A63">
        <f t="shared" si="6"/>
        <v>12</v>
      </c>
      <c r="B63" t="s">
        <v>22</v>
      </c>
      <c r="F63" s="11"/>
      <c r="G63">
        <v>0</v>
      </c>
      <c r="H63">
        <v>15</v>
      </c>
      <c r="I63">
        <v>30</v>
      </c>
      <c r="J63">
        <v>8</v>
      </c>
      <c r="K63">
        <v>33</v>
      </c>
      <c r="L63">
        <v>17</v>
      </c>
      <c r="M63">
        <v>31</v>
      </c>
      <c r="N63">
        <v>21</v>
      </c>
      <c r="O63">
        <v>0</v>
      </c>
    </row>
    <row r="64" spans="1:15" x14ac:dyDescent="0.25">
      <c r="A64">
        <f t="shared" si="6"/>
        <v>13</v>
      </c>
      <c r="B64" t="s">
        <v>23</v>
      </c>
      <c r="F64" s="11"/>
      <c r="G64" t="str">
        <f>VLOOKUP(G63,$A$51:$B$82,2,FALSE)</f>
        <v>DEPOT</v>
      </c>
      <c r="H64" t="str">
        <f>VLOOKUP(H63,$A$51:$B$82,2,FALSE)</f>
        <v>BA1</v>
      </c>
      <c r="I64" t="str">
        <f>VLOOKUP(I63,$A$51:$B$82,2,FALSE)</f>
        <v>DC1</v>
      </c>
      <c r="J64" t="str">
        <f>VLOOKUP(J63,$A$51:$B$82,2,FALSE)</f>
        <v>AB8</v>
      </c>
      <c r="K64" t="str">
        <f>VLOOKUP(K63,$A$51:$B$84,2,FALSE)</f>
        <v>CS2b</v>
      </c>
      <c r="L64" t="str">
        <f>VLOOKUP(L63,$A$51:$B$82,2,FALSE)</f>
        <v>BA3</v>
      </c>
      <c r="M64" t="str">
        <f>VLOOKUP(M63,$A$51:$B$82,2,FALSE)</f>
        <v>CS1</v>
      </c>
      <c r="N64" t="str">
        <f>VLOOKUP(N63,$A$51:$B$82,2,FALSE)</f>
        <v>BA7</v>
      </c>
      <c r="O64" t="str">
        <f>VLOOKUP(O63,$A$51:$B$82,2,FALSE)</f>
        <v>DEPOT</v>
      </c>
    </row>
    <row r="65" spans="1:13" x14ac:dyDescent="0.25">
      <c r="A65">
        <f t="shared" si="6"/>
        <v>14</v>
      </c>
      <c r="B65" t="s">
        <v>24</v>
      </c>
      <c r="F65" s="12"/>
      <c r="G65">
        <v>0</v>
      </c>
      <c r="H65">
        <v>9</v>
      </c>
      <c r="I65">
        <v>32</v>
      </c>
      <c r="J65">
        <v>11</v>
      </c>
      <c r="K65">
        <v>31</v>
      </c>
      <c r="L65">
        <v>27</v>
      </c>
      <c r="M65">
        <v>0</v>
      </c>
    </row>
    <row r="66" spans="1:13" x14ac:dyDescent="0.25">
      <c r="A66">
        <f t="shared" si="6"/>
        <v>15</v>
      </c>
      <c r="B66" s="4" t="s">
        <v>26</v>
      </c>
      <c r="F66" s="12"/>
      <c r="G66" t="str">
        <f>VLOOKUP(G65,$A$51:$B$82,2,FALSE)</f>
        <v>DEPOT</v>
      </c>
      <c r="H66" t="str">
        <f>VLOOKUP(H65,$A$51:$B$82,2,FALSE)</f>
        <v>AC1</v>
      </c>
      <c r="I66" t="str">
        <f>VLOOKUP(I65,$A$51:$B$84,2,FALSE)</f>
        <v>CS1a</v>
      </c>
      <c r="J66" t="str">
        <f>VLOOKUP(J65,$A$51:$B$82,2,FALSE)</f>
        <v>AC3</v>
      </c>
      <c r="K66" t="str">
        <f>VLOOKUP(K65,$A$51:$B$82,2,FALSE)</f>
        <v>CS1</v>
      </c>
      <c r="L66" t="str">
        <f>VLOOKUP(L65,$A$51:$B$82,2,FALSE)</f>
        <v>CA5</v>
      </c>
      <c r="M66" t="str">
        <f>VLOOKUP(M65,$A$51:$B$82,2,FALSE)</f>
        <v>DEPOT</v>
      </c>
    </row>
    <row r="67" spans="1:13" x14ac:dyDescent="0.25">
      <c r="A67">
        <f t="shared" si="6"/>
        <v>16</v>
      </c>
      <c r="B67" t="s">
        <v>27</v>
      </c>
      <c r="F67" s="13"/>
    </row>
    <row r="68" spans="1:13" x14ac:dyDescent="0.25">
      <c r="A68">
        <f t="shared" si="6"/>
        <v>17</v>
      </c>
      <c r="B68" t="s">
        <v>28</v>
      </c>
      <c r="F68" s="13"/>
    </row>
    <row r="69" spans="1:13" x14ac:dyDescent="0.25">
      <c r="A69">
        <f t="shared" si="6"/>
        <v>18</v>
      </c>
      <c r="B69" t="s">
        <v>29</v>
      </c>
      <c r="F69" s="4"/>
    </row>
    <row r="70" spans="1:13" x14ac:dyDescent="0.25">
      <c r="A70">
        <f t="shared" si="6"/>
        <v>19</v>
      </c>
      <c r="B70" t="s">
        <v>30</v>
      </c>
      <c r="F70" s="4"/>
    </row>
    <row r="71" spans="1:13" x14ac:dyDescent="0.25">
      <c r="A71">
        <f t="shared" si="6"/>
        <v>20</v>
      </c>
      <c r="B71" t="s">
        <v>31</v>
      </c>
      <c r="F71" s="14"/>
    </row>
    <row r="72" spans="1:13" x14ac:dyDescent="0.25">
      <c r="A72">
        <f t="shared" si="6"/>
        <v>21</v>
      </c>
      <c r="B72" t="s">
        <v>32</v>
      </c>
      <c r="F72" s="14"/>
    </row>
    <row r="73" spans="1:13" x14ac:dyDescent="0.25">
      <c r="A73">
        <f t="shared" si="6"/>
        <v>22</v>
      </c>
      <c r="B73" t="s">
        <v>33</v>
      </c>
      <c r="F73" s="15"/>
    </row>
    <row r="74" spans="1:13" x14ac:dyDescent="0.25">
      <c r="A74">
        <f t="shared" si="6"/>
        <v>23</v>
      </c>
      <c r="B74" t="s">
        <v>34</v>
      </c>
      <c r="F74" s="15"/>
    </row>
    <row r="75" spans="1:13" x14ac:dyDescent="0.25">
      <c r="A75">
        <f t="shared" si="6"/>
        <v>24</v>
      </c>
      <c r="B75" t="s">
        <v>35</v>
      </c>
    </row>
    <row r="76" spans="1:13" x14ac:dyDescent="0.25">
      <c r="A76">
        <f t="shared" si="6"/>
        <v>25</v>
      </c>
      <c r="B76" t="s">
        <v>36</v>
      </c>
    </row>
    <row r="77" spans="1:13" x14ac:dyDescent="0.25">
      <c r="A77">
        <f t="shared" si="6"/>
        <v>26</v>
      </c>
      <c r="B77" t="s">
        <v>37</v>
      </c>
    </row>
    <row r="78" spans="1:13" x14ac:dyDescent="0.25">
      <c r="A78">
        <f t="shared" si="6"/>
        <v>27</v>
      </c>
      <c r="B78" t="s">
        <v>38</v>
      </c>
    </row>
    <row r="79" spans="1:13" x14ac:dyDescent="0.25">
      <c r="A79">
        <f t="shared" si="6"/>
        <v>28</v>
      </c>
      <c r="B79" t="s">
        <v>39</v>
      </c>
    </row>
    <row r="80" spans="1:13" x14ac:dyDescent="0.25">
      <c r="A80">
        <f t="shared" si="6"/>
        <v>29</v>
      </c>
      <c r="B80" t="s">
        <v>40</v>
      </c>
    </row>
    <row r="81" spans="1:2" x14ac:dyDescent="0.25">
      <c r="A81">
        <f t="shared" si="6"/>
        <v>30</v>
      </c>
      <c r="B81" t="s">
        <v>41</v>
      </c>
    </row>
    <row r="82" spans="1:2" x14ac:dyDescent="0.25">
      <c r="A82">
        <f t="shared" si="6"/>
        <v>31</v>
      </c>
      <c r="B82" t="s">
        <v>48</v>
      </c>
    </row>
    <row r="83" spans="1:2" x14ac:dyDescent="0.25">
      <c r="A83">
        <f t="shared" si="6"/>
        <v>32</v>
      </c>
      <c r="B83" t="s">
        <v>62</v>
      </c>
    </row>
    <row r="84" spans="1:2" x14ac:dyDescent="0.25">
      <c r="A84">
        <f t="shared" si="6"/>
        <v>33</v>
      </c>
      <c r="B84" t="s">
        <v>67</v>
      </c>
    </row>
  </sheetData>
  <conditionalFormatting sqref="J53:L55 G51:I74 J51:N52 M55:N55 M53:O54 J56:N56 J43:L50 J63:L66 J57:M62 M63:O64 M65:M66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396F3-E8F6-4A02-8C97-991C94A5CD92}">
  <dimension ref="A1:AQ42"/>
  <sheetViews>
    <sheetView workbookViewId="0">
      <selection sqref="A1:A1048576"/>
    </sheetView>
  </sheetViews>
  <sheetFormatPr defaultRowHeight="15" x14ac:dyDescent="0.25"/>
  <sheetData>
    <row r="1" spans="1:43" x14ac:dyDescent="0.25">
      <c r="B1" t="s">
        <v>46</v>
      </c>
      <c r="C1" t="s">
        <v>6</v>
      </c>
      <c r="D1" t="s">
        <v>9</v>
      </c>
      <c r="E1" t="s">
        <v>10</v>
      </c>
      <c r="F1" t="s">
        <v>11</v>
      </c>
      <c r="G1" t="s">
        <v>18</v>
      </c>
      <c r="H1" t="s">
        <v>20</v>
      </c>
      <c r="I1" t="s">
        <v>21</v>
      </c>
      <c r="J1" t="s">
        <v>22</v>
      </c>
      <c r="K1" t="s">
        <v>24</v>
      </c>
      <c r="L1" t="s">
        <v>73</v>
      </c>
      <c r="M1" t="s">
        <v>74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75</v>
      </c>
      <c r="T1" t="s">
        <v>76</v>
      </c>
      <c r="U1" t="s">
        <v>77</v>
      </c>
      <c r="V1" t="s">
        <v>78</v>
      </c>
      <c r="W1" t="s">
        <v>34</v>
      </c>
      <c r="X1" t="s">
        <v>35</v>
      </c>
      <c r="Y1" t="s">
        <v>36</v>
      </c>
      <c r="Z1" t="s">
        <v>37</v>
      </c>
      <c r="AA1" t="s">
        <v>79</v>
      </c>
      <c r="AB1" t="s">
        <v>80</v>
      </c>
      <c r="AC1" t="s">
        <v>81</v>
      </c>
      <c r="AD1" t="s">
        <v>82</v>
      </c>
      <c r="AE1" t="s">
        <v>39</v>
      </c>
      <c r="AF1" t="s">
        <v>83</v>
      </c>
      <c r="AG1" t="s">
        <v>84</v>
      </c>
      <c r="AH1" t="s">
        <v>85</v>
      </c>
      <c r="AI1" t="s">
        <v>40</v>
      </c>
      <c r="AJ1" t="s">
        <v>86</v>
      </c>
      <c r="AK1" t="s">
        <v>87</v>
      </c>
      <c r="AL1" t="s">
        <v>88</v>
      </c>
      <c r="AM1" t="s">
        <v>41</v>
      </c>
      <c r="AN1" t="s">
        <v>89</v>
      </c>
      <c r="AO1" t="s">
        <v>90</v>
      </c>
      <c r="AP1" t="s">
        <v>91</v>
      </c>
    </row>
    <row r="2" spans="1:43" x14ac:dyDescent="0.25">
      <c r="A2" t="s">
        <v>46</v>
      </c>
      <c r="B2">
        <v>0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/>
    </row>
    <row r="3" spans="1:43" x14ac:dyDescent="0.25">
      <c r="A3" t="s">
        <v>6</v>
      </c>
      <c r="B3" s="3">
        <v>1</v>
      </c>
      <c r="C3">
        <f>IF(AND(VLOOKUP(C$1,'40Trips'!$A$3:$I$42,8,FALSE)-VLOOKUP($A3,'40Trips'!$A$3:$I$42,9,FALSE)&gt;=VLOOKUP(VLOOKUP(C$1, '40Trips'!$A$3:$I$42,3,FALSE),'40Trips'!$J$32:$K$35, 2, FALSE)),1,0)</f>
        <v>0</v>
      </c>
      <c r="D3">
        <f>IF(AND(VLOOKUP(D$1,'40Trips'!$A$3:$I$42,8,FALSE)-VLOOKUP($A3,'40Trips'!$A$3:$I$42,9,FALSE)&gt;=VLOOKUP(VLOOKUP(D$1, '40Trips'!$A$3:$I$42,3,FALSE),'40Trips'!$J$32:$K$35, 2, FALSE)),1,0)</f>
        <v>1</v>
      </c>
      <c r="E3">
        <f>IF(AND(VLOOKUP(E$1,'40Trips'!$A$3:$I$42,8,FALSE)-VLOOKUP($A3,'40Trips'!$A$3:$I$42,9,FALSE)&gt;=VLOOKUP(VLOOKUP(E$1, '40Trips'!$A$3:$I$42,3,FALSE),'40Trips'!$J$32:$K$35, 2, FALSE)),1,0)</f>
        <v>1</v>
      </c>
      <c r="F3">
        <f>IF(AND(VLOOKUP(F$1,'40Trips'!$A$3:$I$42,8,FALSE)-VLOOKUP($A3,'40Trips'!$A$3:$I$42,9,FALSE)&gt;=VLOOKUP(VLOOKUP(F$1, '40Trips'!$A$3:$I$42,3,FALSE),'40Trips'!$J$32:$K$35, 2, FALSE)),1,0)</f>
        <v>1</v>
      </c>
      <c r="G3">
        <f>IF(AND(VLOOKUP(G$1,'40Trips'!$A$3:$I$42,8,FALSE)-VLOOKUP($A3,'40Trips'!$A$3:$I$42,9,FALSE)&gt;=VLOOKUP(VLOOKUP(G$1, '40Trips'!$A$3:$I$42,3,FALSE),'40Trips'!$J$32:$K$35, 2, FALSE)),1,0)</f>
        <v>0</v>
      </c>
      <c r="H3">
        <f>IF(AND(VLOOKUP(H$1,'40Trips'!$A$3:$I$42,8,FALSE)-VLOOKUP($A3,'40Trips'!$A$3:$I$42,9,FALSE)&gt;=VLOOKUP(VLOOKUP(H$1, '40Trips'!$A$3:$I$42,3,FALSE),'40Trips'!$J$32:$K$35, 2, FALSE)),1,0)</f>
        <v>0</v>
      </c>
      <c r="I3">
        <f>IF(AND(VLOOKUP(I$1,'40Trips'!$A$3:$I$42,8,FALSE)-VLOOKUP($A3,'40Trips'!$A$3:$I$42,9,FALSE)&gt;=VLOOKUP(VLOOKUP(I$1, '40Trips'!$A$3:$I$42,3,FALSE),'40Trips'!$J$32:$K$35, 2, FALSE)),1,0)</f>
        <v>1</v>
      </c>
      <c r="J3">
        <f>IF(AND(VLOOKUP(J$1,'40Trips'!$A$3:$I$42,8,FALSE)-VLOOKUP($A3,'40Trips'!$A$3:$I$42,9,FALSE)&gt;=VLOOKUP(VLOOKUP(J$1, '40Trips'!$A$3:$I$42,3,FALSE),'40Trips'!$J$32:$K$35, 2, FALSE)),1,0)</f>
        <v>1</v>
      </c>
      <c r="K3">
        <f>IF(AND(VLOOKUP(K$1,'40Trips'!$A$3:$I$42,8,FALSE)-VLOOKUP($A3,'40Trips'!$A$3:$I$42,9,FALSE)&gt;=VLOOKUP(VLOOKUP(K$1, '40Trips'!$A$3:$I$42,3,FALSE),'40Trips'!$J$32:$K$35, 2, FALSE)),1,0)</f>
        <v>0</v>
      </c>
      <c r="L3">
        <f>IF(AND(VLOOKUP(L$1,'40Trips'!$A$3:$I$42,8,FALSE)-VLOOKUP($A3,'40Trips'!$A$3:$I$42,9,FALSE)&gt;=VLOOKUP(VLOOKUP(L$1, '40Trips'!$A$3:$I$42,3,FALSE),'40Trips'!$J$32:$K$35, 2, FALSE)),1,0)</f>
        <v>0</v>
      </c>
      <c r="M3">
        <f>IF(AND(VLOOKUP(M$1,'40Trips'!$A$3:$I$42,8,FALSE)-VLOOKUP($A3,'40Trips'!$A$3:$I$42,9,FALSE)&gt;=VLOOKUP(VLOOKUP(M$1, '40Trips'!$A$3:$I$42,3,FALSE),'40Trips'!$J$32:$K$35, 2, FALSE)),1,0)</f>
        <v>1</v>
      </c>
      <c r="N3">
        <f>IF(AND(VLOOKUP(N$1,'40Trips'!$A$3:$I$42,8,FALSE)-VLOOKUP($A3,'40Trips'!$A$3:$I$42,9,FALSE)&gt;=VLOOKUP(VLOOKUP(N$1, '40Trips'!$A$3:$I$42,3,FALSE),'40Trips'!$J$32:$K$35, 2, FALSE)),1,0)</f>
        <v>0</v>
      </c>
      <c r="O3">
        <f>IF(AND(VLOOKUP(O$1,'40Trips'!$A$3:$I$42,8,FALSE)-VLOOKUP($A3,'40Trips'!$A$3:$I$42,9,FALSE)&gt;=VLOOKUP(VLOOKUP(O$1, '40Trips'!$A$3:$I$42,3,FALSE),'40Trips'!$J$32:$K$35, 2, FALSE)),1,0)</f>
        <v>0</v>
      </c>
      <c r="P3">
        <f>IF(AND(VLOOKUP(P$1,'40Trips'!$A$3:$I$42,8,FALSE)-VLOOKUP($A3,'40Trips'!$A$3:$I$42,9,FALSE)&gt;=VLOOKUP(VLOOKUP(P$1, '40Trips'!$A$3:$I$42,3,FALSE),'40Trips'!$J$32:$K$35, 2, FALSE)),1,0)</f>
        <v>1</v>
      </c>
      <c r="Q3">
        <f>IF(AND(VLOOKUP(Q$1,'40Trips'!$A$3:$I$42,8,FALSE)-VLOOKUP($A3,'40Trips'!$A$3:$I$42,9,FALSE)&gt;=VLOOKUP(VLOOKUP(Q$1, '40Trips'!$A$3:$I$42,3,FALSE),'40Trips'!$J$32:$K$35, 2, FALSE)),1,0)</f>
        <v>1</v>
      </c>
      <c r="R3">
        <f>IF(AND(VLOOKUP(R$1,'40Trips'!$A$3:$I$42,8,FALSE)-VLOOKUP($A3,'40Trips'!$A$3:$I$42,9,FALSE)&gt;=VLOOKUP(VLOOKUP(R$1, '40Trips'!$A$3:$I$42,3,FALSE),'40Trips'!$J$32:$K$35, 2, FALSE)),1,0)</f>
        <v>1</v>
      </c>
      <c r="S3">
        <f>IF(AND(VLOOKUP(S$1,'40Trips'!$A$3:$I$42,8,FALSE)-VLOOKUP($A3,'40Trips'!$A$3:$I$42,9,FALSE)&gt;=VLOOKUP(VLOOKUP(S$1, '40Trips'!$A$3:$I$42,3,FALSE),'40Trips'!$J$32:$K$35, 2, FALSE)),1,0)</f>
        <v>0</v>
      </c>
      <c r="T3">
        <f>IF(AND(VLOOKUP(T$1,'40Trips'!$A$3:$I$42,8,FALSE)-VLOOKUP($A3,'40Trips'!$A$3:$I$42,9,FALSE)&gt;=VLOOKUP(VLOOKUP(T$1, '40Trips'!$A$3:$I$42,3,FALSE),'40Trips'!$J$32:$K$35, 2, FALSE)),1,0)</f>
        <v>0</v>
      </c>
      <c r="U3">
        <f>IF(AND(VLOOKUP(U$1,'40Trips'!$A$3:$I$42,8,FALSE)-VLOOKUP($A3,'40Trips'!$A$3:$I$42,9,FALSE)&gt;=VLOOKUP(VLOOKUP(U$1, '40Trips'!$A$3:$I$42,3,FALSE),'40Trips'!$J$32:$K$35, 2, FALSE)),1,0)</f>
        <v>1</v>
      </c>
      <c r="V3">
        <f>IF(AND(VLOOKUP(V$1,'40Trips'!$A$3:$I$42,8,FALSE)-VLOOKUP($A3,'40Trips'!$A$3:$I$42,9,FALSE)&gt;=VLOOKUP(VLOOKUP(V$1, '40Trips'!$A$3:$I$42,3,FALSE),'40Trips'!$J$32:$K$35, 2, FALSE)),1,0)</f>
        <v>1</v>
      </c>
      <c r="W3">
        <f>IF(AND(VLOOKUP(W$1,'40Trips'!$A$3:$I$42,8,FALSE)-VLOOKUP($A3,'40Trips'!$A$3:$I$42,9,FALSE)&gt;=VLOOKUP(VLOOKUP(W$1, '40Trips'!$A$3:$I$42,3,FALSE),'40Trips'!$J$32:$K$35, 2, FALSE)),1,0)</f>
        <v>0</v>
      </c>
      <c r="X3">
        <f>IF(AND(VLOOKUP(X$1,'40Trips'!$A$3:$I$42,8,FALSE)-VLOOKUP($A3,'40Trips'!$A$3:$I$42,9,FALSE)&gt;=VLOOKUP(VLOOKUP(X$1, '40Trips'!$A$3:$I$42,3,FALSE),'40Trips'!$J$32:$K$35, 2, FALSE)),1,0)</f>
        <v>1</v>
      </c>
      <c r="Y3">
        <f>IF(AND(VLOOKUP(Y$1,'40Trips'!$A$3:$I$42,8,FALSE)-VLOOKUP($A3,'40Trips'!$A$3:$I$42,9,FALSE)&gt;=VLOOKUP(VLOOKUP(Y$1, '40Trips'!$A$3:$I$42,3,FALSE),'40Trips'!$J$32:$K$35, 2, FALSE)),1,0)</f>
        <v>1</v>
      </c>
      <c r="Z3">
        <f>IF(AND(VLOOKUP(Z$1,'40Trips'!$A$3:$I$42,8,FALSE)-VLOOKUP($A3,'40Trips'!$A$3:$I$42,9,FALSE)&gt;=VLOOKUP(VLOOKUP(Z$1, '40Trips'!$A$3:$I$42,3,FALSE),'40Trips'!$J$32:$K$35, 2, FALSE)),1,0)</f>
        <v>1</v>
      </c>
      <c r="AA3">
        <f>IF(AND(VLOOKUP(AA$1,'40Trips'!$A$3:$I$42,8,FALSE)-VLOOKUP($A3,'40Trips'!$A$3:$I$42,9,FALSE)&gt;=VLOOKUP(VLOOKUP(AA$1, '40Trips'!$A$3:$I$42,3,FALSE),'40Trips'!$J$32:$K$35, 2, FALSE)),1,0)</f>
        <v>0</v>
      </c>
      <c r="AB3">
        <f>IF(AND(VLOOKUP(AB$1,'40Trips'!$A$3:$I$42,8,FALSE)-VLOOKUP($A3,'40Trips'!$A$3:$I$42,9,FALSE)&gt;=VLOOKUP(VLOOKUP(AB$1, '40Trips'!$A$3:$I$42,3,FALSE),'40Trips'!$J$32:$K$35, 2, FALSE)),1,0)</f>
        <v>0</v>
      </c>
      <c r="AC3">
        <f>IF(AND(VLOOKUP(AC$1,'40Trips'!$A$3:$I$42,8,FALSE)-VLOOKUP($A3,'40Trips'!$A$3:$I$42,9,FALSE)&gt;=VLOOKUP(VLOOKUP(AC$1, '40Trips'!$A$3:$I$42,3,FALSE),'40Trips'!$J$32:$K$35, 2, FALSE)),1,0)</f>
        <v>1</v>
      </c>
      <c r="AD3">
        <f>IF(AND(VLOOKUP(AD$1,'40Trips'!$A$3:$I$42,8,FALSE)-VLOOKUP($A3,'40Trips'!$A$3:$I$42,9,FALSE)&gt;=VLOOKUP(VLOOKUP(AD$1, '40Trips'!$A$3:$I$42,3,FALSE),'40Trips'!$J$32:$K$35, 2, FALSE)),1,0)</f>
        <v>1</v>
      </c>
      <c r="AE3">
        <f>IF(AND(VLOOKUP(AE$1,'40Trips'!$A$3:$I$42,8,FALSE)-VLOOKUP($A3,'40Trips'!$A$3:$I$42,9,FALSE)&gt;=VLOOKUP(VLOOKUP(AE$1, '40Trips'!$A$3:$I$42,3,FALSE),'40Trips'!$J$32:$K$35, 2, FALSE)),1,0)</f>
        <v>0</v>
      </c>
      <c r="AF3">
        <f>IF(AND(VLOOKUP(AF$1,'40Trips'!$A$3:$I$42,8,FALSE)-VLOOKUP($A3,'40Trips'!$A$3:$I$42,9,FALSE)&gt;=VLOOKUP(VLOOKUP(AF$1, '40Trips'!$A$3:$I$42,3,FALSE),'40Trips'!$J$32:$K$35, 2, FALSE)),1,0)</f>
        <v>0</v>
      </c>
      <c r="AG3">
        <f>IF(AND(VLOOKUP(AG$1,'40Trips'!$A$3:$I$42,8,FALSE)-VLOOKUP($A3,'40Trips'!$A$3:$I$42,9,FALSE)&gt;=VLOOKUP(VLOOKUP(AG$1, '40Trips'!$A$3:$I$42,3,FALSE),'40Trips'!$J$32:$K$35, 2, FALSE)),1,0)</f>
        <v>0</v>
      </c>
      <c r="AH3">
        <f>IF(AND(VLOOKUP(AH$1,'40Trips'!$A$3:$I$42,8,FALSE)-VLOOKUP($A3,'40Trips'!$A$3:$I$42,9,FALSE)&gt;=VLOOKUP(VLOOKUP(AH$1, '40Trips'!$A$3:$I$42,3,FALSE),'40Trips'!$J$32:$K$35, 2, FALSE)),1,0)</f>
        <v>1</v>
      </c>
      <c r="AI3">
        <f>IF(AND(VLOOKUP(AI$1,'40Trips'!$A$3:$I$42,8,FALSE)-VLOOKUP($A3,'40Trips'!$A$3:$I$42,9,FALSE)&gt;=VLOOKUP(VLOOKUP(AI$1, '40Trips'!$A$3:$I$42,3,FALSE),'40Trips'!$J$32:$K$35, 2, FALSE)),1,0)</f>
        <v>1</v>
      </c>
      <c r="AJ3">
        <f>IF(AND(VLOOKUP(AJ$1,'40Trips'!$A$3:$I$42,8,FALSE)-VLOOKUP($A3,'40Trips'!$A$3:$I$42,9,FALSE)&gt;=VLOOKUP(VLOOKUP(AJ$1, '40Trips'!$A$3:$I$42,3,FALSE),'40Trips'!$J$32:$K$35, 2, FALSE)),1,0)</f>
        <v>1</v>
      </c>
      <c r="AK3">
        <f>IF(AND(VLOOKUP(AK$1,'40Trips'!$A$3:$I$42,8,FALSE)-VLOOKUP($A3,'40Trips'!$A$3:$I$42,9,FALSE)&gt;=VLOOKUP(VLOOKUP(AK$1, '40Trips'!$A$3:$I$42,3,FALSE),'40Trips'!$J$32:$K$35, 2, FALSE)),1,0)</f>
        <v>1</v>
      </c>
      <c r="AL3">
        <f>IF(AND(VLOOKUP(AL$1,'40Trips'!$A$3:$I$42,8,FALSE)-VLOOKUP($A3,'40Trips'!$A$3:$I$42,9,FALSE)&gt;=VLOOKUP(VLOOKUP(AL$1, '40Trips'!$A$3:$I$42,3,FALSE),'40Trips'!$J$32:$K$35, 2, FALSE)),1,0)</f>
        <v>1</v>
      </c>
      <c r="AM3">
        <f>IF(AND(VLOOKUP(AM$1,'40Trips'!$A$3:$I$42,8,FALSE)-VLOOKUP($A3,'40Trips'!$A$3:$I$42,9,FALSE)&gt;=VLOOKUP(VLOOKUP(AM$1, '40Trips'!$A$3:$I$42,3,FALSE),'40Trips'!$J$32:$K$35, 2, FALSE)),1,0)</f>
        <v>0</v>
      </c>
      <c r="AN3">
        <f>IF(AND(VLOOKUP(AN$1,'40Trips'!$A$3:$I$42,8,FALSE)-VLOOKUP($A3,'40Trips'!$A$3:$I$42,9,FALSE)&gt;=VLOOKUP(VLOOKUP(AN$1, '40Trips'!$A$3:$I$42,3,FALSE),'40Trips'!$J$32:$K$35, 2, FALSE)),1,0)</f>
        <v>1</v>
      </c>
      <c r="AO3">
        <f>IF(AND(VLOOKUP(AO$1,'40Trips'!$A$3:$I$42,8,FALSE)-VLOOKUP($A3,'40Trips'!$A$3:$I$42,9,FALSE)&gt;=VLOOKUP(VLOOKUP(AO$1, '40Trips'!$A$3:$I$42,3,FALSE),'40Trips'!$J$32:$K$35, 2, FALSE)),1,0)</f>
        <v>1</v>
      </c>
      <c r="AP3">
        <f>IF(AND(VLOOKUP(AP$1,'40Trips'!$A$3:$I$42,8,FALSE)-VLOOKUP($A3,'40Trips'!$A$3:$I$42,9,FALSE)&gt;=VLOOKUP(VLOOKUP(AP$1, '40Trips'!$A$3:$I$42,3,FALSE),'40Trips'!$J$32:$K$35, 2, FALSE)),1,0)</f>
        <v>1</v>
      </c>
    </row>
    <row r="4" spans="1:43" x14ac:dyDescent="0.25">
      <c r="A4" t="s">
        <v>9</v>
      </c>
      <c r="B4" s="3">
        <v>1</v>
      </c>
      <c r="C4">
        <f>IF(AND(VLOOKUP(C$1,'40Trips'!$A$3:$I$42,8,FALSE)-VLOOKUP($A4,'40Trips'!$A$3:$I$42,9,FALSE)&gt;=VLOOKUP(VLOOKUP(C$1, '40Trips'!$A$3:$I$42,3,FALSE),'40Trips'!$J$32:$K$35, 2, FALSE)),1,0)</f>
        <v>0</v>
      </c>
      <c r="D4">
        <f>IF(AND(VLOOKUP(D$1,'40Trips'!$A$3:$I$42,8,FALSE)-VLOOKUP($A4,'40Trips'!$A$3:$I$42,9,FALSE)&gt;=VLOOKUP(VLOOKUP(D$1, '40Trips'!$A$3:$I$42,3,FALSE),'40Trips'!$J$32:$K$35, 2, FALSE)),1,0)</f>
        <v>0</v>
      </c>
      <c r="E4">
        <f>IF(AND(VLOOKUP(E$1,'40Trips'!$A$3:$I$42,8,FALSE)-VLOOKUP($A4,'40Trips'!$A$3:$I$42,9,FALSE)&gt;=VLOOKUP(VLOOKUP(E$1, '40Trips'!$A$3:$I$42,3,FALSE),'40Trips'!$J$32:$K$35, 2, FALSE)),1,0)</f>
        <v>0</v>
      </c>
      <c r="F4">
        <f>IF(AND(VLOOKUP(F$1,'40Trips'!$A$3:$I$42,8,FALSE)-VLOOKUP($A4,'40Trips'!$A$3:$I$42,9,FALSE)&gt;=VLOOKUP(VLOOKUP(F$1, '40Trips'!$A$3:$I$42,3,FALSE),'40Trips'!$J$32:$K$35, 2, FALSE)),1,0)</f>
        <v>1</v>
      </c>
      <c r="G4">
        <f>IF(AND(VLOOKUP(G$1,'40Trips'!$A$3:$I$42,8,FALSE)-VLOOKUP($A4,'40Trips'!$A$3:$I$42,9,FALSE)&gt;=VLOOKUP(VLOOKUP(G$1, '40Trips'!$A$3:$I$42,3,FALSE),'40Trips'!$J$32:$K$35, 2, FALSE)),1,0)</f>
        <v>0</v>
      </c>
      <c r="H4">
        <f>IF(AND(VLOOKUP(H$1,'40Trips'!$A$3:$I$42,8,FALSE)-VLOOKUP($A4,'40Trips'!$A$3:$I$42,9,FALSE)&gt;=VLOOKUP(VLOOKUP(H$1, '40Trips'!$A$3:$I$42,3,FALSE),'40Trips'!$J$32:$K$35, 2, FALSE)),1,0)</f>
        <v>0</v>
      </c>
      <c r="I4">
        <f>IF(AND(VLOOKUP(I$1,'40Trips'!$A$3:$I$42,8,FALSE)-VLOOKUP($A4,'40Trips'!$A$3:$I$42,9,FALSE)&gt;=VLOOKUP(VLOOKUP(I$1, '40Trips'!$A$3:$I$42,3,FALSE),'40Trips'!$J$32:$K$35, 2, FALSE)),1,0)</f>
        <v>0</v>
      </c>
      <c r="J4">
        <f>IF(AND(VLOOKUP(J$1,'40Trips'!$A$3:$I$42,8,FALSE)-VLOOKUP($A4,'40Trips'!$A$3:$I$42,9,FALSE)&gt;=VLOOKUP(VLOOKUP(J$1, '40Trips'!$A$3:$I$42,3,FALSE),'40Trips'!$J$32:$K$35, 2, FALSE)),1,0)</f>
        <v>1</v>
      </c>
      <c r="K4">
        <f>IF(AND(VLOOKUP(K$1,'40Trips'!$A$3:$I$42,8,FALSE)-VLOOKUP($A4,'40Trips'!$A$3:$I$42,9,FALSE)&gt;=VLOOKUP(VLOOKUP(K$1, '40Trips'!$A$3:$I$42,3,FALSE),'40Trips'!$J$32:$K$35, 2, FALSE)),1,0)</f>
        <v>0</v>
      </c>
      <c r="L4">
        <f>IF(AND(VLOOKUP(L$1,'40Trips'!$A$3:$I$42,8,FALSE)-VLOOKUP($A4,'40Trips'!$A$3:$I$42,9,FALSE)&gt;=VLOOKUP(VLOOKUP(L$1, '40Trips'!$A$3:$I$42,3,FALSE),'40Trips'!$J$32:$K$35, 2, FALSE)),1,0)</f>
        <v>0</v>
      </c>
      <c r="M4">
        <f>IF(AND(VLOOKUP(M$1,'40Trips'!$A$3:$I$42,8,FALSE)-VLOOKUP($A4,'40Trips'!$A$3:$I$42,9,FALSE)&gt;=VLOOKUP(VLOOKUP(M$1, '40Trips'!$A$3:$I$42,3,FALSE),'40Trips'!$J$32:$K$35, 2, FALSE)),1,0)</f>
        <v>0</v>
      </c>
      <c r="N4">
        <f>IF(AND(VLOOKUP(N$1,'40Trips'!$A$3:$I$42,8,FALSE)-VLOOKUP($A4,'40Trips'!$A$3:$I$42,9,FALSE)&gt;=VLOOKUP(VLOOKUP(N$1, '40Trips'!$A$3:$I$42,3,FALSE),'40Trips'!$J$32:$K$35, 2, FALSE)),1,0)</f>
        <v>0</v>
      </c>
      <c r="O4">
        <f>IF(AND(VLOOKUP(O$1,'40Trips'!$A$3:$I$42,8,FALSE)-VLOOKUP($A4,'40Trips'!$A$3:$I$42,9,FALSE)&gt;=VLOOKUP(VLOOKUP(O$1, '40Trips'!$A$3:$I$42,3,FALSE),'40Trips'!$J$32:$K$35, 2, FALSE)),1,0)</f>
        <v>0</v>
      </c>
      <c r="P4">
        <f>IF(AND(VLOOKUP(P$1,'40Trips'!$A$3:$I$42,8,FALSE)-VLOOKUP($A4,'40Trips'!$A$3:$I$42,9,FALSE)&gt;=VLOOKUP(VLOOKUP(P$1, '40Trips'!$A$3:$I$42,3,FALSE),'40Trips'!$J$32:$K$35, 2, FALSE)),1,0)</f>
        <v>0</v>
      </c>
      <c r="Q4">
        <f>IF(AND(VLOOKUP(Q$1,'40Trips'!$A$3:$I$42,8,FALSE)-VLOOKUP($A4,'40Trips'!$A$3:$I$42,9,FALSE)&gt;=VLOOKUP(VLOOKUP(Q$1, '40Trips'!$A$3:$I$42,3,FALSE),'40Trips'!$J$32:$K$35, 2, FALSE)),1,0)</f>
        <v>0</v>
      </c>
      <c r="R4">
        <f>IF(AND(VLOOKUP(R$1,'40Trips'!$A$3:$I$42,8,FALSE)-VLOOKUP($A4,'40Trips'!$A$3:$I$42,9,FALSE)&gt;=VLOOKUP(VLOOKUP(R$1, '40Trips'!$A$3:$I$42,3,FALSE),'40Trips'!$J$32:$K$35, 2, FALSE)),1,0)</f>
        <v>1</v>
      </c>
      <c r="S4">
        <f>IF(AND(VLOOKUP(S$1,'40Trips'!$A$3:$I$42,8,FALSE)-VLOOKUP($A4,'40Trips'!$A$3:$I$42,9,FALSE)&gt;=VLOOKUP(VLOOKUP(S$1, '40Trips'!$A$3:$I$42,3,FALSE),'40Trips'!$J$32:$K$35, 2, FALSE)),1,0)</f>
        <v>0</v>
      </c>
      <c r="T4">
        <f>IF(AND(VLOOKUP(T$1,'40Trips'!$A$3:$I$42,8,FALSE)-VLOOKUP($A4,'40Trips'!$A$3:$I$42,9,FALSE)&gt;=VLOOKUP(VLOOKUP(T$1, '40Trips'!$A$3:$I$42,3,FALSE),'40Trips'!$J$32:$K$35, 2, FALSE)),1,0)</f>
        <v>0</v>
      </c>
      <c r="U4">
        <f>IF(AND(VLOOKUP(U$1,'40Trips'!$A$3:$I$42,8,FALSE)-VLOOKUP($A4,'40Trips'!$A$3:$I$42,9,FALSE)&gt;=VLOOKUP(VLOOKUP(U$1, '40Trips'!$A$3:$I$42,3,FALSE),'40Trips'!$J$32:$K$35, 2, FALSE)),1,0)</f>
        <v>0</v>
      </c>
      <c r="V4">
        <f>IF(AND(VLOOKUP(V$1,'40Trips'!$A$3:$I$42,8,FALSE)-VLOOKUP($A4,'40Trips'!$A$3:$I$42,9,FALSE)&gt;=VLOOKUP(VLOOKUP(V$1, '40Trips'!$A$3:$I$42,3,FALSE),'40Trips'!$J$32:$K$35, 2, FALSE)),1,0)</f>
        <v>1</v>
      </c>
      <c r="W4">
        <f>IF(AND(VLOOKUP(W$1,'40Trips'!$A$3:$I$42,8,FALSE)-VLOOKUP($A4,'40Trips'!$A$3:$I$42,9,FALSE)&gt;=VLOOKUP(VLOOKUP(W$1, '40Trips'!$A$3:$I$42,3,FALSE),'40Trips'!$J$32:$K$35, 2, FALSE)),1,0)</f>
        <v>0</v>
      </c>
      <c r="X4">
        <f>IF(AND(VLOOKUP(X$1,'40Trips'!$A$3:$I$42,8,FALSE)-VLOOKUP($A4,'40Trips'!$A$3:$I$42,9,FALSE)&gt;=VLOOKUP(VLOOKUP(X$1, '40Trips'!$A$3:$I$42,3,FALSE),'40Trips'!$J$32:$K$35, 2, FALSE)),1,0)</f>
        <v>0</v>
      </c>
      <c r="Y4">
        <f>IF(AND(VLOOKUP(Y$1,'40Trips'!$A$3:$I$42,8,FALSE)-VLOOKUP($A4,'40Trips'!$A$3:$I$42,9,FALSE)&gt;=VLOOKUP(VLOOKUP(Y$1, '40Trips'!$A$3:$I$42,3,FALSE),'40Trips'!$J$32:$K$35, 2, FALSE)),1,0)</f>
        <v>0</v>
      </c>
      <c r="Z4">
        <f>IF(AND(VLOOKUP(Z$1,'40Trips'!$A$3:$I$42,8,FALSE)-VLOOKUP($A4,'40Trips'!$A$3:$I$42,9,FALSE)&gt;=VLOOKUP(VLOOKUP(Z$1, '40Trips'!$A$3:$I$42,3,FALSE),'40Trips'!$J$32:$K$35, 2, FALSE)),1,0)</f>
        <v>1</v>
      </c>
      <c r="AA4">
        <f>IF(AND(VLOOKUP(AA$1,'40Trips'!$A$3:$I$42,8,FALSE)-VLOOKUP($A4,'40Trips'!$A$3:$I$42,9,FALSE)&gt;=VLOOKUP(VLOOKUP(AA$1, '40Trips'!$A$3:$I$42,3,FALSE),'40Trips'!$J$32:$K$35, 2, FALSE)),1,0)</f>
        <v>0</v>
      </c>
      <c r="AB4">
        <f>IF(AND(VLOOKUP(AB$1,'40Trips'!$A$3:$I$42,8,FALSE)-VLOOKUP($A4,'40Trips'!$A$3:$I$42,9,FALSE)&gt;=VLOOKUP(VLOOKUP(AB$1, '40Trips'!$A$3:$I$42,3,FALSE),'40Trips'!$J$32:$K$35, 2, FALSE)),1,0)</f>
        <v>0</v>
      </c>
      <c r="AC4">
        <f>IF(AND(VLOOKUP(AC$1,'40Trips'!$A$3:$I$42,8,FALSE)-VLOOKUP($A4,'40Trips'!$A$3:$I$42,9,FALSE)&gt;=VLOOKUP(VLOOKUP(AC$1, '40Trips'!$A$3:$I$42,3,FALSE),'40Trips'!$J$32:$K$35, 2, FALSE)),1,0)</f>
        <v>1</v>
      </c>
      <c r="AD4">
        <f>IF(AND(VLOOKUP(AD$1,'40Trips'!$A$3:$I$42,8,FALSE)-VLOOKUP($A4,'40Trips'!$A$3:$I$42,9,FALSE)&gt;=VLOOKUP(VLOOKUP(AD$1, '40Trips'!$A$3:$I$42,3,FALSE),'40Trips'!$J$32:$K$35, 2, FALSE)),1,0)</f>
        <v>1</v>
      </c>
      <c r="AE4">
        <f>IF(AND(VLOOKUP(AE$1,'40Trips'!$A$3:$I$42,8,FALSE)-VLOOKUP($A4,'40Trips'!$A$3:$I$42,9,FALSE)&gt;=VLOOKUP(VLOOKUP(AE$1, '40Trips'!$A$3:$I$42,3,FALSE),'40Trips'!$J$32:$K$35, 2, FALSE)),1,0)</f>
        <v>0</v>
      </c>
      <c r="AF4">
        <f>IF(AND(VLOOKUP(AF$1,'40Trips'!$A$3:$I$42,8,FALSE)-VLOOKUP($A4,'40Trips'!$A$3:$I$42,9,FALSE)&gt;=VLOOKUP(VLOOKUP(AF$1, '40Trips'!$A$3:$I$42,3,FALSE),'40Trips'!$J$32:$K$35, 2, FALSE)),1,0)</f>
        <v>0</v>
      </c>
      <c r="AG4">
        <f>IF(AND(VLOOKUP(AG$1,'40Trips'!$A$3:$I$42,8,FALSE)-VLOOKUP($A4,'40Trips'!$A$3:$I$42,9,FALSE)&gt;=VLOOKUP(VLOOKUP(AG$1, '40Trips'!$A$3:$I$42,3,FALSE),'40Trips'!$J$32:$K$35, 2, FALSE)),1,0)</f>
        <v>0</v>
      </c>
      <c r="AH4">
        <f>IF(AND(VLOOKUP(AH$1,'40Trips'!$A$3:$I$42,8,FALSE)-VLOOKUP($A4,'40Trips'!$A$3:$I$42,9,FALSE)&gt;=VLOOKUP(VLOOKUP(AH$1, '40Trips'!$A$3:$I$42,3,FALSE),'40Trips'!$J$32:$K$35, 2, FALSE)),1,0)</f>
        <v>0</v>
      </c>
      <c r="AI4">
        <f>IF(AND(VLOOKUP(AI$1,'40Trips'!$A$3:$I$42,8,FALSE)-VLOOKUP($A4,'40Trips'!$A$3:$I$42,9,FALSE)&gt;=VLOOKUP(VLOOKUP(AI$1, '40Trips'!$A$3:$I$42,3,FALSE),'40Trips'!$J$32:$K$35, 2, FALSE)),1,0)</f>
        <v>0</v>
      </c>
      <c r="AJ4">
        <f>IF(AND(VLOOKUP(AJ$1,'40Trips'!$A$3:$I$42,8,FALSE)-VLOOKUP($A4,'40Trips'!$A$3:$I$42,9,FALSE)&gt;=VLOOKUP(VLOOKUP(AJ$1, '40Trips'!$A$3:$I$42,3,FALSE),'40Trips'!$J$32:$K$35, 2, FALSE)),1,0)</f>
        <v>0</v>
      </c>
      <c r="AK4">
        <f>IF(AND(VLOOKUP(AK$1,'40Trips'!$A$3:$I$42,8,FALSE)-VLOOKUP($A4,'40Trips'!$A$3:$I$42,9,FALSE)&gt;=VLOOKUP(VLOOKUP(AK$1, '40Trips'!$A$3:$I$42,3,FALSE),'40Trips'!$J$32:$K$35, 2, FALSE)),1,0)</f>
        <v>0</v>
      </c>
      <c r="AL4">
        <f>IF(AND(VLOOKUP(AL$1,'40Trips'!$A$3:$I$42,8,FALSE)-VLOOKUP($A4,'40Trips'!$A$3:$I$42,9,FALSE)&gt;=VLOOKUP(VLOOKUP(AL$1, '40Trips'!$A$3:$I$42,3,FALSE),'40Trips'!$J$32:$K$35, 2, FALSE)),1,0)</f>
        <v>1</v>
      </c>
      <c r="AM4">
        <f>IF(AND(VLOOKUP(AM$1,'40Trips'!$A$3:$I$42,8,FALSE)-VLOOKUP($A4,'40Trips'!$A$3:$I$42,9,FALSE)&gt;=VLOOKUP(VLOOKUP(AM$1, '40Trips'!$A$3:$I$42,3,FALSE),'40Trips'!$J$32:$K$35, 2, FALSE)),1,0)</f>
        <v>0</v>
      </c>
      <c r="AN4">
        <f>IF(AND(VLOOKUP(AN$1,'40Trips'!$A$3:$I$42,8,FALSE)-VLOOKUP($A4,'40Trips'!$A$3:$I$42,9,FALSE)&gt;=VLOOKUP(VLOOKUP(AN$1, '40Trips'!$A$3:$I$42,3,FALSE),'40Trips'!$J$32:$K$35, 2, FALSE)),1,0)</f>
        <v>0</v>
      </c>
      <c r="AO4">
        <f>IF(AND(VLOOKUP(AO$1,'40Trips'!$A$3:$I$42,8,FALSE)-VLOOKUP($A4,'40Trips'!$A$3:$I$42,9,FALSE)&gt;=VLOOKUP(VLOOKUP(AO$1, '40Trips'!$A$3:$I$42,3,FALSE),'40Trips'!$J$32:$K$35, 2, FALSE)),1,0)</f>
        <v>0</v>
      </c>
      <c r="AP4">
        <f>IF(AND(VLOOKUP(AP$1,'40Trips'!$A$3:$I$42,8,FALSE)-VLOOKUP($A4,'40Trips'!$A$3:$I$42,9,FALSE)&gt;=VLOOKUP(VLOOKUP(AP$1, '40Trips'!$A$3:$I$42,3,FALSE),'40Trips'!$J$32:$K$35, 2, FALSE)),1,0)</f>
        <v>1</v>
      </c>
    </row>
    <row r="5" spans="1:43" x14ac:dyDescent="0.25">
      <c r="A5" t="s">
        <v>10</v>
      </c>
      <c r="B5" s="3">
        <v>1</v>
      </c>
      <c r="C5">
        <f>IF(AND(VLOOKUP(C$1,'40Trips'!$A$3:$I$42,8,FALSE)-VLOOKUP($A5,'40Trips'!$A$3:$I$42,9,FALSE)&gt;=VLOOKUP(VLOOKUP(C$1, '40Trips'!$A$3:$I$42,3,FALSE),'40Trips'!$J$32:$K$35, 2, FALSE)),1,0)</f>
        <v>0</v>
      </c>
      <c r="D5">
        <f>IF(AND(VLOOKUP(D$1,'40Trips'!$A$3:$I$42,8,FALSE)-VLOOKUP($A5,'40Trips'!$A$3:$I$42,9,FALSE)&gt;=VLOOKUP(VLOOKUP(D$1, '40Trips'!$A$3:$I$42,3,FALSE),'40Trips'!$J$32:$K$35, 2, FALSE)),1,0)</f>
        <v>0</v>
      </c>
      <c r="E5">
        <f>IF(AND(VLOOKUP(E$1,'40Trips'!$A$3:$I$42,8,FALSE)-VLOOKUP($A5,'40Trips'!$A$3:$I$42,9,FALSE)&gt;=VLOOKUP(VLOOKUP(E$1, '40Trips'!$A$3:$I$42,3,FALSE),'40Trips'!$J$32:$K$35, 2, FALSE)),1,0)</f>
        <v>0</v>
      </c>
      <c r="F5">
        <f>IF(AND(VLOOKUP(F$1,'40Trips'!$A$3:$I$42,8,FALSE)-VLOOKUP($A5,'40Trips'!$A$3:$I$42,9,FALSE)&gt;=VLOOKUP(VLOOKUP(F$1, '40Trips'!$A$3:$I$42,3,FALSE),'40Trips'!$J$32:$K$35, 2, FALSE)),1,0)</f>
        <v>0</v>
      </c>
      <c r="G5">
        <f>IF(AND(VLOOKUP(G$1,'40Trips'!$A$3:$I$42,8,FALSE)-VLOOKUP($A5,'40Trips'!$A$3:$I$42,9,FALSE)&gt;=VLOOKUP(VLOOKUP(G$1, '40Trips'!$A$3:$I$42,3,FALSE),'40Trips'!$J$32:$K$35, 2, FALSE)),1,0)</f>
        <v>0</v>
      </c>
      <c r="H5">
        <f>IF(AND(VLOOKUP(H$1,'40Trips'!$A$3:$I$42,8,FALSE)-VLOOKUP($A5,'40Trips'!$A$3:$I$42,9,FALSE)&gt;=VLOOKUP(VLOOKUP(H$1, '40Trips'!$A$3:$I$42,3,FALSE),'40Trips'!$J$32:$K$35, 2, FALSE)),1,0)</f>
        <v>0</v>
      </c>
      <c r="I5">
        <f>IF(AND(VLOOKUP(I$1,'40Trips'!$A$3:$I$42,8,FALSE)-VLOOKUP($A5,'40Trips'!$A$3:$I$42,9,FALSE)&gt;=VLOOKUP(VLOOKUP(I$1, '40Trips'!$A$3:$I$42,3,FALSE),'40Trips'!$J$32:$K$35, 2, FALSE)),1,0)</f>
        <v>0</v>
      </c>
      <c r="J5">
        <f>IF(AND(VLOOKUP(J$1,'40Trips'!$A$3:$I$42,8,FALSE)-VLOOKUP($A5,'40Trips'!$A$3:$I$42,9,FALSE)&gt;=VLOOKUP(VLOOKUP(J$1, '40Trips'!$A$3:$I$42,3,FALSE),'40Trips'!$J$32:$K$35, 2, FALSE)),1,0)</f>
        <v>1</v>
      </c>
      <c r="K5">
        <f>IF(AND(VLOOKUP(K$1,'40Trips'!$A$3:$I$42,8,FALSE)-VLOOKUP($A5,'40Trips'!$A$3:$I$42,9,FALSE)&gt;=VLOOKUP(VLOOKUP(K$1, '40Trips'!$A$3:$I$42,3,FALSE),'40Trips'!$J$32:$K$35, 2, FALSE)),1,0)</f>
        <v>0</v>
      </c>
      <c r="L5">
        <f>IF(AND(VLOOKUP(L$1,'40Trips'!$A$3:$I$42,8,FALSE)-VLOOKUP($A5,'40Trips'!$A$3:$I$42,9,FALSE)&gt;=VLOOKUP(VLOOKUP(L$1, '40Trips'!$A$3:$I$42,3,FALSE),'40Trips'!$J$32:$K$35, 2, FALSE)),1,0)</f>
        <v>0</v>
      </c>
      <c r="M5">
        <f>IF(AND(VLOOKUP(M$1,'40Trips'!$A$3:$I$42,8,FALSE)-VLOOKUP($A5,'40Trips'!$A$3:$I$42,9,FALSE)&gt;=VLOOKUP(VLOOKUP(M$1, '40Trips'!$A$3:$I$42,3,FALSE),'40Trips'!$J$32:$K$35, 2, FALSE)),1,0)</f>
        <v>0</v>
      </c>
      <c r="N5">
        <f>IF(AND(VLOOKUP(N$1,'40Trips'!$A$3:$I$42,8,FALSE)-VLOOKUP($A5,'40Trips'!$A$3:$I$42,9,FALSE)&gt;=VLOOKUP(VLOOKUP(N$1, '40Trips'!$A$3:$I$42,3,FALSE),'40Trips'!$J$32:$K$35, 2, FALSE)),1,0)</f>
        <v>0</v>
      </c>
      <c r="O5">
        <f>IF(AND(VLOOKUP(O$1,'40Trips'!$A$3:$I$42,8,FALSE)-VLOOKUP($A5,'40Trips'!$A$3:$I$42,9,FALSE)&gt;=VLOOKUP(VLOOKUP(O$1, '40Trips'!$A$3:$I$42,3,FALSE),'40Trips'!$J$32:$K$35, 2, FALSE)),1,0)</f>
        <v>0</v>
      </c>
      <c r="P5">
        <f>IF(AND(VLOOKUP(P$1,'40Trips'!$A$3:$I$42,8,FALSE)-VLOOKUP($A5,'40Trips'!$A$3:$I$42,9,FALSE)&gt;=VLOOKUP(VLOOKUP(P$1, '40Trips'!$A$3:$I$42,3,FALSE),'40Trips'!$J$32:$K$35, 2, FALSE)),1,0)</f>
        <v>0</v>
      </c>
      <c r="Q5">
        <f>IF(AND(VLOOKUP(Q$1,'40Trips'!$A$3:$I$42,8,FALSE)-VLOOKUP($A5,'40Trips'!$A$3:$I$42,9,FALSE)&gt;=VLOOKUP(VLOOKUP(Q$1, '40Trips'!$A$3:$I$42,3,FALSE),'40Trips'!$J$32:$K$35, 2, FALSE)),1,0)</f>
        <v>0</v>
      </c>
      <c r="R5">
        <f>IF(AND(VLOOKUP(R$1,'40Trips'!$A$3:$I$42,8,FALSE)-VLOOKUP($A5,'40Trips'!$A$3:$I$42,9,FALSE)&gt;=VLOOKUP(VLOOKUP(R$1, '40Trips'!$A$3:$I$42,3,FALSE),'40Trips'!$J$32:$K$35, 2, FALSE)),1,0)</f>
        <v>0</v>
      </c>
      <c r="S5">
        <f>IF(AND(VLOOKUP(S$1,'40Trips'!$A$3:$I$42,8,FALSE)-VLOOKUP($A5,'40Trips'!$A$3:$I$42,9,FALSE)&gt;=VLOOKUP(VLOOKUP(S$1, '40Trips'!$A$3:$I$42,3,FALSE),'40Trips'!$J$32:$K$35, 2, FALSE)),1,0)</f>
        <v>0</v>
      </c>
      <c r="T5">
        <f>IF(AND(VLOOKUP(T$1,'40Trips'!$A$3:$I$42,8,FALSE)-VLOOKUP($A5,'40Trips'!$A$3:$I$42,9,FALSE)&gt;=VLOOKUP(VLOOKUP(T$1, '40Trips'!$A$3:$I$42,3,FALSE),'40Trips'!$J$32:$K$35, 2, FALSE)),1,0)</f>
        <v>0</v>
      </c>
      <c r="U5">
        <f>IF(AND(VLOOKUP(U$1,'40Trips'!$A$3:$I$42,8,FALSE)-VLOOKUP($A5,'40Trips'!$A$3:$I$42,9,FALSE)&gt;=VLOOKUP(VLOOKUP(U$1, '40Trips'!$A$3:$I$42,3,FALSE),'40Trips'!$J$32:$K$35, 2, FALSE)),1,0)</f>
        <v>0</v>
      </c>
      <c r="V5">
        <f>IF(AND(VLOOKUP(V$1,'40Trips'!$A$3:$I$42,8,FALSE)-VLOOKUP($A5,'40Trips'!$A$3:$I$42,9,FALSE)&gt;=VLOOKUP(VLOOKUP(V$1, '40Trips'!$A$3:$I$42,3,FALSE),'40Trips'!$J$32:$K$35, 2, FALSE)),1,0)</f>
        <v>0</v>
      </c>
      <c r="W5">
        <f>IF(AND(VLOOKUP(W$1,'40Trips'!$A$3:$I$42,8,FALSE)-VLOOKUP($A5,'40Trips'!$A$3:$I$42,9,FALSE)&gt;=VLOOKUP(VLOOKUP(W$1, '40Trips'!$A$3:$I$42,3,FALSE),'40Trips'!$J$32:$K$35, 2, FALSE)),1,0)</f>
        <v>0</v>
      </c>
      <c r="X5">
        <f>IF(AND(VLOOKUP(X$1,'40Trips'!$A$3:$I$42,8,FALSE)-VLOOKUP($A5,'40Trips'!$A$3:$I$42,9,FALSE)&gt;=VLOOKUP(VLOOKUP(X$1, '40Trips'!$A$3:$I$42,3,FALSE),'40Trips'!$J$32:$K$35, 2, FALSE)),1,0)</f>
        <v>0</v>
      </c>
      <c r="Y5">
        <f>IF(AND(VLOOKUP(Y$1,'40Trips'!$A$3:$I$42,8,FALSE)-VLOOKUP($A5,'40Trips'!$A$3:$I$42,9,FALSE)&gt;=VLOOKUP(VLOOKUP(Y$1, '40Trips'!$A$3:$I$42,3,FALSE),'40Trips'!$J$32:$K$35, 2, FALSE)),1,0)</f>
        <v>0</v>
      </c>
      <c r="Z5">
        <f>IF(AND(VLOOKUP(Z$1,'40Trips'!$A$3:$I$42,8,FALSE)-VLOOKUP($A5,'40Trips'!$A$3:$I$42,9,FALSE)&gt;=VLOOKUP(VLOOKUP(Z$1, '40Trips'!$A$3:$I$42,3,FALSE),'40Trips'!$J$32:$K$35, 2, FALSE)),1,0)</f>
        <v>0</v>
      </c>
      <c r="AA5">
        <f>IF(AND(VLOOKUP(AA$1,'40Trips'!$A$3:$I$42,8,FALSE)-VLOOKUP($A5,'40Trips'!$A$3:$I$42,9,FALSE)&gt;=VLOOKUP(VLOOKUP(AA$1, '40Trips'!$A$3:$I$42,3,FALSE),'40Trips'!$J$32:$K$35, 2, FALSE)),1,0)</f>
        <v>0</v>
      </c>
      <c r="AB5">
        <f>IF(AND(VLOOKUP(AB$1,'40Trips'!$A$3:$I$42,8,FALSE)-VLOOKUP($A5,'40Trips'!$A$3:$I$42,9,FALSE)&gt;=VLOOKUP(VLOOKUP(AB$1, '40Trips'!$A$3:$I$42,3,FALSE),'40Trips'!$J$32:$K$35, 2, FALSE)),1,0)</f>
        <v>0</v>
      </c>
      <c r="AC5">
        <f>IF(AND(VLOOKUP(AC$1,'40Trips'!$A$3:$I$42,8,FALSE)-VLOOKUP($A5,'40Trips'!$A$3:$I$42,9,FALSE)&gt;=VLOOKUP(VLOOKUP(AC$1, '40Trips'!$A$3:$I$42,3,FALSE),'40Trips'!$J$32:$K$35, 2, FALSE)),1,0)</f>
        <v>0</v>
      </c>
      <c r="AD5">
        <f>IF(AND(VLOOKUP(AD$1,'40Trips'!$A$3:$I$42,8,FALSE)-VLOOKUP($A5,'40Trips'!$A$3:$I$42,9,FALSE)&gt;=VLOOKUP(VLOOKUP(AD$1, '40Trips'!$A$3:$I$42,3,FALSE),'40Trips'!$J$32:$K$35, 2, FALSE)),1,0)</f>
        <v>0</v>
      </c>
      <c r="AE5">
        <f>IF(AND(VLOOKUP(AE$1,'40Trips'!$A$3:$I$42,8,FALSE)-VLOOKUP($A5,'40Trips'!$A$3:$I$42,9,FALSE)&gt;=VLOOKUP(VLOOKUP(AE$1, '40Trips'!$A$3:$I$42,3,FALSE),'40Trips'!$J$32:$K$35, 2, FALSE)),1,0)</f>
        <v>0</v>
      </c>
      <c r="AF5">
        <f>IF(AND(VLOOKUP(AF$1,'40Trips'!$A$3:$I$42,8,FALSE)-VLOOKUP($A5,'40Trips'!$A$3:$I$42,9,FALSE)&gt;=VLOOKUP(VLOOKUP(AF$1, '40Trips'!$A$3:$I$42,3,FALSE),'40Trips'!$J$32:$K$35, 2, FALSE)),1,0)</f>
        <v>0</v>
      </c>
      <c r="AG5">
        <f>IF(AND(VLOOKUP(AG$1,'40Trips'!$A$3:$I$42,8,FALSE)-VLOOKUP($A5,'40Trips'!$A$3:$I$42,9,FALSE)&gt;=VLOOKUP(VLOOKUP(AG$1, '40Trips'!$A$3:$I$42,3,FALSE),'40Trips'!$J$32:$K$35, 2, FALSE)),1,0)</f>
        <v>0</v>
      </c>
      <c r="AH5">
        <f>IF(AND(VLOOKUP(AH$1,'40Trips'!$A$3:$I$42,8,FALSE)-VLOOKUP($A5,'40Trips'!$A$3:$I$42,9,FALSE)&gt;=VLOOKUP(VLOOKUP(AH$1, '40Trips'!$A$3:$I$42,3,FALSE),'40Trips'!$J$32:$K$35, 2, FALSE)),1,0)</f>
        <v>0</v>
      </c>
      <c r="AI5">
        <f>IF(AND(VLOOKUP(AI$1,'40Trips'!$A$3:$I$42,8,FALSE)-VLOOKUP($A5,'40Trips'!$A$3:$I$42,9,FALSE)&gt;=VLOOKUP(VLOOKUP(AI$1, '40Trips'!$A$3:$I$42,3,FALSE),'40Trips'!$J$32:$K$35, 2, FALSE)),1,0)</f>
        <v>0</v>
      </c>
      <c r="AJ5">
        <f>IF(AND(VLOOKUP(AJ$1,'40Trips'!$A$3:$I$42,8,FALSE)-VLOOKUP($A5,'40Trips'!$A$3:$I$42,9,FALSE)&gt;=VLOOKUP(VLOOKUP(AJ$1, '40Trips'!$A$3:$I$42,3,FALSE),'40Trips'!$J$32:$K$35, 2, FALSE)),1,0)</f>
        <v>0</v>
      </c>
      <c r="AK5">
        <f>IF(AND(VLOOKUP(AK$1,'40Trips'!$A$3:$I$42,8,FALSE)-VLOOKUP($A5,'40Trips'!$A$3:$I$42,9,FALSE)&gt;=VLOOKUP(VLOOKUP(AK$1, '40Trips'!$A$3:$I$42,3,FALSE),'40Trips'!$J$32:$K$35, 2, FALSE)),1,0)</f>
        <v>0</v>
      </c>
      <c r="AL5">
        <f>IF(AND(VLOOKUP(AL$1,'40Trips'!$A$3:$I$42,8,FALSE)-VLOOKUP($A5,'40Trips'!$A$3:$I$42,9,FALSE)&gt;=VLOOKUP(VLOOKUP(AL$1, '40Trips'!$A$3:$I$42,3,FALSE),'40Trips'!$J$32:$K$35, 2, FALSE)),1,0)</f>
        <v>1</v>
      </c>
      <c r="AM5">
        <f>IF(AND(VLOOKUP(AM$1,'40Trips'!$A$3:$I$42,8,FALSE)-VLOOKUP($A5,'40Trips'!$A$3:$I$42,9,FALSE)&gt;=VLOOKUP(VLOOKUP(AM$1, '40Trips'!$A$3:$I$42,3,FALSE),'40Trips'!$J$32:$K$35, 2, FALSE)),1,0)</f>
        <v>0</v>
      </c>
      <c r="AN5">
        <f>IF(AND(VLOOKUP(AN$1,'40Trips'!$A$3:$I$42,8,FALSE)-VLOOKUP($A5,'40Trips'!$A$3:$I$42,9,FALSE)&gt;=VLOOKUP(VLOOKUP(AN$1, '40Trips'!$A$3:$I$42,3,FALSE),'40Trips'!$J$32:$K$35, 2, FALSE)),1,0)</f>
        <v>0</v>
      </c>
      <c r="AO5">
        <f>IF(AND(VLOOKUP(AO$1,'40Trips'!$A$3:$I$42,8,FALSE)-VLOOKUP($A5,'40Trips'!$A$3:$I$42,9,FALSE)&gt;=VLOOKUP(VLOOKUP(AO$1, '40Trips'!$A$3:$I$42,3,FALSE),'40Trips'!$J$32:$K$35, 2, FALSE)),1,0)</f>
        <v>0</v>
      </c>
      <c r="AP5">
        <f>IF(AND(VLOOKUP(AP$1,'40Trips'!$A$3:$I$42,8,FALSE)-VLOOKUP($A5,'40Trips'!$A$3:$I$42,9,FALSE)&gt;=VLOOKUP(VLOOKUP(AP$1, '40Trips'!$A$3:$I$42,3,FALSE),'40Trips'!$J$32:$K$35, 2, FALSE)),1,0)</f>
        <v>0</v>
      </c>
    </row>
    <row r="6" spans="1:43" x14ac:dyDescent="0.25">
      <c r="A6" t="s">
        <v>11</v>
      </c>
      <c r="B6" s="3">
        <v>1</v>
      </c>
      <c r="C6">
        <f>IF(AND(VLOOKUP(C$1,'40Trips'!$A$3:$I$42,8,FALSE)-VLOOKUP($A6,'40Trips'!$A$3:$I$42,9,FALSE)&gt;=VLOOKUP(VLOOKUP(C$1, '40Trips'!$A$3:$I$42,3,FALSE),'40Trips'!$J$32:$K$35, 2, FALSE)),1,0)</f>
        <v>0</v>
      </c>
      <c r="D6">
        <f>IF(AND(VLOOKUP(D$1,'40Trips'!$A$3:$I$42,8,FALSE)-VLOOKUP($A6,'40Trips'!$A$3:$I$42,9,FALSE)&gt;=VLOOKUP(VLOOKUP(D$1, '40Trips'!$A$3:$I$42,3,FALSE),'40Trips'!$J$32:$K$35, 2, FALSE)),1,0)</f>
        <v>0</v>
      </c>
      <c r="E6">
        <f>IF(AND(VLOOKUP(E$1,'40Trips'!$A$3:$I$42,8,FALSE)-VLOOKUP($A6,'40Trips'!$A$3:$I$42,9,FALSE)&gt;=VLOOKUP(VLOOKUP(E$1, '40Trips'!$A$3:$I$42,3,FALSE),'40Trips'!$J$32:$K$35, 2, FALSE)),1,0)</f>
        <v>0</v>
      </c>
      <c r="F6">
        <f>IF(AND(VLOOKUP(F$1,'40Trips'!$A$3:$I$42,8,FALSE)-VLOOKUP($A6,'40Trips'!$A$3:$I$42,9,FALSE)&gt;=VLOOKUP(VLOOKUP(F$1, '40Trips'!$A$3:$I$42,3,FALSE),'40Trips'!$J$32:$K$35, 2, FALSE)),1,0)</f>
        <v>0</v>
      </c>
      <c r="G6">
        <f>IF(AND(VLOOKUP(G$1,'40Trips'!$A$3:$I$42,8,FALSE)-VLOOKUP($A6,'40Trips'!$A$3:$I$42,9,FALSE)&gt;=VLOOKUP(VLOOKUP(G$1, '40Trips'!$A$3:$I$42,3,FALSE),'40Trips'!$J$32:$K$35, 2, FALSE)),1,0)</f>
        <v>0</v>
      </c>
      <c r="H6">
        <f>IF(AND(VLOOKUP(H$1,'40Trips'!$A$3:$I$42,8,FALSE)-VLOOKUP($A6,'40Trips'!$A$3:$I$42,9,FALSE)&gt;=VLOOKUP(VLOOKUP(H$1, '40Trips'!$A$3:$I$42,3,FALSE),'40Trips'!$J$32:$K$35, 2, FALSE)),1,0)</f>
        <v>0</v>
      </c>
      <c r="I6">
        <f>IF(AND(VLOOKUP(I$1,'40Trips'!$A$3:$I$42,8,FALSE)-VLOOKUP($A6,'40Trips'!$A$3:$I$42,9,FALSE)&gt;=VLOOKUP(VLOOKUP(I$1, '40Trips'!$A$3:$I$42,3,FALSE),'40Trips'!$J$32:$K$35, 2, FALSE)),1,0)</f>
        <v>0</v>
      </c>
      <c r="J6">
        <f>IF(AND(VLOOKUP(J$1,'40Trips'!$A$3:$I$42,8,FALSE)-VLOOKUP($A6,'40Trips'!$A$3:$I$42,9,FALSE)&gt;=VLOOKUP(VLOOKUP(J$1, '40Trips'!$A$3:$I$42,3,FALSE),'40Trips'!$J$32:$K$35, 2, FALSE)),1,0)</f>
        <v>1</v>
      </c>
      <c r="K6">
        <f>IF(AND(VLOOKUP(K$1,'40Trips'!$A$3:$I$42,8,FALSE)-VLOOKUP($A6,'40Trips'!$A$3:$I$42,9,FALSE)&gt;=VLOOKUP(VLOOKUP(K$1, '40Trips'!$A$3:$I$42,3,FALSE),'40Trips'!$J$32:$K$35, 2, FALSE)),1,0)</f>
        <v>0</v>
      </c>
      <c r="L6">
        <f>IF(AND(VLOOKUP(L$1,'40Trips'!$A$3:$I$42,8,FALSE)-VLOOKUP($A6,'40Trips'!$A$3:$I$42,9,FALSE)&gt;=VLOOKUP(VLOOKUP(L$1, '40Trips'!$A$3:$I$42,3,FALSE),'40Trips'!$J$32:$K$35, 2, FALSE)),1,0)</f>
        <v>0</v>
      </c>
      <c r="M6">
        <f>IF(AND(VLOOKUP(M$1,'40Trips'!$A$3:$I$42,8,FALSE)-VLOOKUP($A6,'40Trips'!$A$3:$I$42,9,FALSE)&gt;=VLOOKUP(VLOOKUP(M$1, '40Trips'!$A$3:$I$42,3,FALSE),'40Trips'!$J$32:$K$35, 2, FALSE)),1,0)</f>
        <v>0</v>
      </c>
      <c r="N6">
        <f>IF(AND(VLOOKUP(N$1,'40Trips'!$A$3:$I$42,8,FALSE)-VLOOKUP($A6,'40Trips'!$A$3:$I$42,9,FALSE)&gt;=VLOOKUP(VLOOKUP(N$1, '40Trips'!$A$3:$I$42,3,FALSE),'40Trips'!$J$32:$K$35, 2, FALSE)),1,0)</f>
        <v>0</v>
      </c>
      <c r="O6">
        <f>IF(AND(VLOOKUP(O$1,'40Trips'!$A$3:$I$42,8,FALSE)-VLOOKUP($A6,'40Trips'!$A$3:$I$42,9,FALSE)&gt;=VLOOKUP(VLOOKUP(O$1, '40Trips'!$A$3:$I$42,3,FALSE),'40Trips'!$J$32:$K$35, 2, FALSE)),1,0)</f>
        <v>0</v>
      </c>
      <c r="P6">
        <f>IF(AND(VLOOKUP(P$1,'40Trips'!$A$3:$I$42,8,FALSE)-VLOOKUP($A6,'40Trips'!$A$3:$I$42,9,FALSE)&gt;=VLOOKUP(VLOOKUP(P$1, '40Trips'!$A$3:$I$42,3,FALSE),'40Trips'!$J$32:$K$35, 2, FALSE)),1,0)</f>
        <v>0</v>
      </c>
      <c r="Q6">
        <f>IF(AND(VLOOKUP(Q$1,'40Trips'!$A$3:$I$42,8,FALSE)-VLOOKUP($A6,'40Trips'!$A$3:$I$42,9,FALSE)&gt;=VLOOKUP(VLOOKUP(Q$1, '40Trips'!$A$3:$I$42,3,FALSE),'40Trips'!$J$32:$K$35, 2, FALSE)),1,0)</f>
        <v>0</v>
      </c>
      <c r="R6">
        <f>IF(AND(VLOOKUP(R$1,'40Trips'!$A$3:$I$42,8,FALSE)-VLOOKUP($A6,'40Trips'!$A$3:$I$42,9,FALSE)&gt;=VLOOKUP(VLOOKUP(R$1, '40Trips'!$A$3:$I$42,3,FALSE),'40Trips'!$J$32:$K$35, 2, FALSE)),1,0)</f>
        <v>0</v>
      </c>
      <c r="S6">
        <f>IF(AND(VLOOKUP(S$1,'40Trips'!$A$3:$I$42,8,FALSE)-VLOOKUP($A6,'40Trips'!$A$3:$I$42,9,FALSE)&gt;=VLOOKUP(VLOOKUP(S$1, '40Trips'!$A$3:$I$42,3,FALSE),'40Trips'!$J$32:$K$35, 2, FALSE)),1,0)</f>
        <v>0</v>
      </c>
      <c r="T6">
        <f>IF(AND(VLOOKUP(T$1,'40Trips'!$A$3:$I$42,8,FALSE)-VLOOKUP($A6,'40Trips'!$A$3:$I$42,9,FALSE)&gt;=VLOOKUP(VLOOKUP(T$1, '40Trips'!$A$3:$I$42,3,FALSE),'40Trips'!$J$32:$K$35, 2, FALSE)),1,0)</f>
        <v>0</v>
      </c>
      <c r="U6">
        <f>IF(AND(VLOOKUP(U$1,'40Trips'!$A$3:$I$42,8,FALSE)-VLOOKUP($A6,'40Trips'!$A$3:$I$42,9,FALSE)&gt;=VLOOKUP(VLOOKUP(U$1, '40Trips'!$A$3:$I$42,3,FALSE),'40Trips'!$J$32:$K$35, 2, FALSE)),1,0)</f>
        <v>0</v>
      </c>
      <c r="V6">
        <f>IF(AND(VLOOKUP(V$1,'40Trips'!$A$3:$I$42,8,FALSE)-VLOOKUP($A6,'40Trips'!$A$3:$I$42,9,FALSE)&gt;=VLOOKUP(VLOOKUP(V$1, '40Trips'!$A$3:$I$42,3,FALSE),'40Trips'!$J$32:$K$35, 2, FALSE)),1,0)</f>
        <v>0</v>
      </c>
      <c r="W6">
        <f>IF(AND(VLOOKUP(W$1,'40Trips'!$A$3:$I$42,8,FALSE)-VLOOKUP($A6,'40Trips'!$A$3:$I$42,9,FALSE)&gt;=VLOOKUP(VLOOKUP(W$1, '40Trips'!$A$3:$I$42,3,FALSE),'40Trips'!$J$32:$K$35, 2, FALSE)),1,0)</f>
        <v>0</v>
      </c>
      <c r="X6">
        <f>IF(AND(VLOOKUP(X$1,'40Trips'!$A$3:$I$42,8,FALSE)-VLOOKUP($A6,'40Trips'!$A$3:$I$42,9,FALSE)&gt;=VLOOKUP(VLOOKUP(X$1, '40Trips'!$A$3:$I$42,3,FALSE),'40Trips'!$J$32:$K$35, 2, FALSE)),1,0)</f>
        <v>0</v>
      </c>
      <c r="Y6">
        <f>IF(AND(VLOOKUP(Y$1,'40Trips'!$A$3:$I$42,8,FALSE)-VLOOKUP($A6,'40Trips'!$A$3:$I$42,9,FALSE)&gt;=VLOOKUP(VLOOKUP(Y$1, '40Trips'!$A$3:$I$42,3,FALSE),'40Trips'!$J$32:$K$35, 2, FALSE)),1,0)</f>
        <v>0</v>
      </c>
      <c r="Z6">
        <f>IF(AND(VLOOKUP(Z$1,'40Trips'!$A$3:$I$42,8,FALSE)-VLOOKUP($A6,'40Trips'!$A$3:$I$42,9,FALSE)&gt;=VLOOKUP(VLOOKUP(Z$1, '40Trips'!$A$3:$I$42,3,FALSE),'40Trips'!$J$32:$K$35, 2, FALSE)),1,0)</f>
        <v>0</v>
      </c>
      <c r="AA6">
        <f>IF(AND(VLOOKUP(AA$1,'40Trips'!$A$3:$I$42,8,FALSE)-VLOOKUP($A6,'40Trips'!$A$3:$I$42,9,FALSE)&gt;=VLOOKUP(VLOOKUP(AA$1, '40Trips'!$A$3:$I$42,3,FALSE),'40Trips'!$J$32:$K$35, 2, FALSE)),1,0)</f>
        <v>0</v>
      </c>
      <c r="AB6">
        <f>IF(AND(VLOOKUP(AB$1,'40Trips'!$A$3:$I$42,8,FALSE)-VLOOKUP($A6,'40Trips'!$A$3:$I$42,9,FALSE)&gt;=VLOOKUP(VLOOKUP(AB$1, '40Trips'!$A$3:$I$42,3,FALSE),'40Trips'!$J$32:$K$35, 2, FALSE)),1,0)</f>
        <v>0</v>
      </c>
      <c r="AC6">
        <f>IF(AND(VLOOKUP(AC$1,'40Trips'!$A$3:$I$42,8,FALSE)-VLOOKUP($A6,'40Trips'!$A$3:$I$42,9,FALSE)&gt;=VLOOKUP(VLOOKUP(AC$1, '40Trips'!$A$3:$I$42,3,FALSE),'40Trips'!$J$32:$K$35, 2, FALSE)),1,0)</f>
        <v>0</v>
      </c>
      <c r="AD6">
        <f>IF(AND(VLOOKUP(AD$1,'40Trips'!$A$3:$I$42,8,FALSE)-VLOOKUP($A6,'40Trips'!$A$3:$I$42,9,FALSE)&gt;=VLOOKUP(VLOOKUP(AD$1, '40Trips'!$A$3:$I$42,3,FALSE),'40Trips'!$J$32:$K$35, 2, FALSE)),1,0)</f>
        <v>0</v>
      </c>
      <c r="AE6">
        <f>IF(AND(VLOOKUP(AE$1,'40Trips'!$A$3:$I$42,8,FALSE)-VLOOKUP($A6,'40Trips'!$A$3:$I$42,9,FALSE)&gt;=VLOOKUP(VLOOKUP(AE$1, '40Trips'!$A$3:$I$42,3,FALSE),'40Trips'!$J$32:$K$35, 2, FALSE)),1,0)</f>
        <v>0</v>
      </c>
      <c r="AF6">
        <f>IF(AND(VLOOKUP(AF$1,'40Trips'!$A$3:$I$42,8,FALSE)-VLOOKUP($A6,'40Trips'!$A$3:$I$42,9,FALSE)&gt;=VLOOKUP(VLOOKUP(AF$1, '40Trips'!$A$3:$I$42,3,FALSE),'40Trips'!$J$32:$K$35, 2, FALSE)),1,0)</f>
        <v>0</v>
      </c>
      <c r="AG6">
        <f>IF(AND(VLOOKUP(AG$1,'40Trips'!$A$3:$I$42,8,FALSE)-VLOOKUP($A6,'40Trips'!$A$3:$I$42,9,FALSE)&gt;=VLOOKUP(VLOOKUP(AG$1, '40Trips'!$A$3:$I$42,3,FALSE),'40Trips'!$J$32:$K$35, 2, FALSE)),1,0)</f>
        <v>0</v>
      </c>
      <c r="AH6">
        <f>IF(AND(VLOOKUP(AH$1,'40Trips'!$A$3:$I$42,8,FALSE)-VLOOKUP($A6,'40Trips'!$A$3:$I$42,9,FALSE)&gt;=VLOOKUP(VLOOKUP(AH$1, '40Trips'!$A$3:$I$42,3,FALSE),'40Trips'!$J$32:$K$35, 2, FALSE)),1,0)</f>
        <v>0</v>
      </c>
      <c r="AI6">
        <f>IF(AND(VLOOKUP(AI$1,'40Trips'!$A$3:$I$42,8,FALSE)-VLOOKUP($A6,'40Trips'!$A$3:$I$42,9,FALSE)&gt;=VLOOKUP(VLOOKUP(AI$1, '40Trips'!$A$3:$I$42,3,FALSE),'40Trips'!$J$32:$K$35, 2, FALSE)),1,0)</f>
        <v>0</v>
      </c>
      <c r="AJ6">
        <f>IF(AND(VLOOKUP(AJ$1,'40Trips'!$A$3:$I$42,8,FALSE)-VLOOKUP($A6,'40Trips'!$A$3:$I$42,9,FALSE)&gt;=VLOOKUP(VLOOKUP(AJ$1, '40Trips'!$A$3:$I$42,3,FALSE),'40Trips'!$J$32:$K$35, 2, FALSE)),1,0)</f>
        <v>0</v>
      </c>
      <c r="AK6">
        <f>IF(AND(VLOOKUP(AK$1,'40Trips'!$A$3:$I$42,8,FALSE)-VLOOKUP($A6,'40Trips'!$A$3:$I$42,9,FALSE)&gt;=VLOOKUP(VLOOKUP(AK$1, '40Trips'!$A$3:$I$42,3,FALSE),'40Trips'!$J$32:$K$35, 2, FALSE)),1,0)</f>
        <v>0</v>
      </c>
      <c r="AL6">
        <f>IF(AND(VLOOKUP(AL$1,'40Trips'!$A$3:$I$42,8,FALSE)-VLOOKUP($A6,'40Trips'!$A$3:$I$42,9,FALSE)&gt;=VLOOKUP(VLOOKUP(AL$1, '40Trips'!$A$3:$I$42,3,FALSE),'40Trips'!$J$32:$K$35, 2, FALSE)),1,0)</f>
        <v>0</v>
      </c>
      <c r="AM6">
        <f>IF(AND(VLOOKUP(AM$1,'40Trips'!$A$3:$I$42,8,FALSE)-VLOOKUP($A6,'40Trips'!$A$3:$I$42,9,FALSE)&gt;=VLOOKUP(VLOOKUP(AM$1, '40Trips'!$A$3:$I$42,3,FALSE),'40Trips'!$J$32:$K$35, 2, FALSE)),1,0)</f>
        <v>0</v>
      </c>
      <c r="AN6">
        <f>IF(AND(VLOOKUP(AN$1,'40Trips'!$A$3:$I$42,8,FALSE)-VLOOKUP($A6,'40Trips'!$A$3:$I$42,9,FALSE)&gt;=VLOOKUP(VLOOKUP(AN$1, '40Trips'!$A$3:$I$42,3,FALSE),'40Trips'!$J$32:$K$35, 2, FALSE)),1,0)</f>
        <v>0</v>
      </c>
      <c r="AO6">
        <f>IF(AND(VLOOKUP(AO$1,'40Trips'!$A$3:$I$42,8,FALSE)-VLOOKUP($A6,'40Trips'!$A$3:$I$42,9,FALSE)&gt;=VLOOKUP(VLOOKUP(AO$1, '40Trips'!$A$3:$I$42,3,FALSE),'40Trips'!$J$32:$K$35, 2, FALSE)),1,0)</f>
        <v>0</v>
      </c>
      <c r="AP6">
        <f>IF(AND(VLOOKUP(AP$1,'40Trips'!$A$3:$I$42,8,FALSE)-VLOOKUP($A6,'40Trips'!$A$3:$I$42,9,FALSE)&gt;=VLOOKUP(VLOOKUP(AP$1, '40Trips'!$A$3:$I$42,3,FALSE),'40Trips'!$J$32:$K$35, 2, FALSE)),1,0)</f>
        <v>0</v>
      </c>
    </row>
    <row r="7" spans="1:43" x14ac:dyDescent="0.25">
      <c r="A7" t="s">
        <v>18</v>
      </c>
      <c r="B7" s="3">
        <v>1</v>
      </c>
      <c r="C7">
        <f>IF(AND(VLOOKUP(C$1,'40Trips'!$A$3:$I$42,8,FALSE)-VLOOKUP($A7,'40Trips'!$A$3:$I$42,9,FALSE)&gt;=VLOOKUP(VLOOKUP(C$1, '40Trips'!$A$3:$I$42,3,FALSE),'40Trips'!$J$32:$K$35, 2, FALSE)),1,0)</f>
        <v>0</v>
      </c>
      <c r="D7">
        <f>IF(AND(VLOOKUP(D$1,'40Trips'!$A$3:$I$42,8,FALSE)-VLOOKUP($A7,'40Trips'!$A$3:$I$42,9,FALSE)&gt;=VLOOKUP(VLOOKUP(D$1, '40Trips'!$A$3:$I$42,3,FALSE),'40Trips'!$J$32:$K$35, 2, FALSE)),1,0)</f>
        <v>1</v>
      </c>
      <c r="E7">
        <f>IF(AND(VLOOKUP(E$1,'40Trips'!$A$3:$I$42,8,FALSE)-VLOOKUP($A7,'40Trips'!$A$3:$I$42,9,FALSE)&gt;=VLOOKUP(VLOOKUP(E$1, '40Trips'!$A$3:$I$42,3,FALSE),'40Trips'!$J$32:$K$35, 2, FALSE)),1,0)</f>
        <v>1</v>
      </c>
      <c r="F7">
        <f>IF(AND(VLOOKUP(F$1,'40Trips'!$A$3:$I$42,8,FALSE)-VLOOKUP($A7,'40Trips'!$A$3:$I$42,9,FALSE)&gt;=VLOOKUP(VLOOKUP(F$1, '40Trips'!$A$3:$I$42,3,FALSE),'40Trips'!$J$32:$K$35, 2, FALSE)),1,0)</f>
        <v>1</v>
      </c>
      <c r="G7">
        <f>IF(AND(VLOOKUP(G$1,'40Trips'!$A$3:$I$42,8,FALSE)-VLOOKUP($A7,'40Trips'!$A$3:$I$42,9,FALSE)&gt;=VLOOKUP(VLOOKUP(G$1, '40Trips'!$A$3:$I$42,3,FALSE),'40Trips'!$J$32:$K$35, 2, FALSE)),1,0)</f>
        <v>0</v>
      </c>
      <c r="H7">
        <f>IF(AND(VLOOKUP(H$1,'40Trips'!$A$3:$I$42,8,FALSE)-VLOOKUP($A7,'40Trips'!$A$3:$I$42,9,FALSE)&gt;=VLOOKUP(VLOOKUP(H$1, '40Trips'!$A$3:$I$42,3,FALSE),'40Trips'!$J$32:$K$35, 2, FALSE)),1,0)</f>
        <v>0</v>
      </c>
      <c r="I7">
        <f>IF(AND(VLOOKUP(I$1,'40Trips'!$A$3:$I$42,8,FALSE)-VLOOKUP($A7,'40Trips'!$A$3:$I$42,9,FALSE)&gt;=VLOOKUP(VLOOKUP(I$1, '40Trips'!$A$3:$I$42,3,FALSE),'40Trips'!$J$32:$K$35, 2, FALSE)),1,0)</f>
        <v>1</v>
      </c>
      <c r="J7">
        <f>IF(AND(VLOOKUP(J$1,'40Trips'!$A$3:$I$42,8,FALSE)-VLOOKUP($A7,'40Trips'!$A$3:$I$42,9,FALSE)&gt;=VLOOKUP(VLOOKUP(J$1, '40Trips'!$A$3:$I$42,3,FALSE),'40Trips'!$J$32:$K$35, 2, FALSE)),1,0)</f>
        <v>1</v>
      </c>
      <c r="K7">
        <f>IF(AND(VLOOKUP(K$1,'40Trips'!$A$3:$I$42,8,FALSE)-VLOOKUP($A7,'40Trips'!$A$3:$I$42,9,FALSE)&gt;=VLOOKUP(VLOOKUP(K$1, '40Trips'!$A$3:$I$42,3,FALSE),'40Trips'!$J$32:$K$35, 2, FALSE)),1,0)</f>
        <v>0</v>
      </c>
      <c r="L7">
        <f>IF(AND(VLOOKUP(L$1,'40Trips'!$A$3:$I$42,8,FALSE)-VLOOKUP($A7,'40Trips'!$A$3:$I$42,9,FALSE)&gt;=VLOOKUP(VLOOKUP(L$1, '40Trips'!$A$3:$I$42,3,FALSE),'40Trips'!$J$32:$K$35, 2, FALSE)),1,0)</f>
        <v>0</v>
      </c>
      <c r="M7">
        <f>IF(AND(VLOOKUP(M$1,'40Trips'!$A$3:$I$42,8,FALSE)-VLOOKUP($A7,'40Trips'!$A$3:$I$42,9,FALSE)&gt;=VLOOKUP(VLOOKUP(M$1, '40Trips'!$A$3:$I$42,3,FALSE),'40Trips'!$J$32:$K$35, 2, FALSE)),1,0)</f>
        <v>1</v>
      </c>
      <c r="N7">
        <f>IF(AND(VLOOKUP(N$1,'40Trips'!$A$3:$I$42,8,FALSE)-VLOOKUP($A7,'40Trips'!$A$3:$I$42,9,FALSE)&gt;=VLOOKUP(VLOOKUP(N$1, '40Trips'!$A$3:$I$42,3,FALSE),'40Trips'!$J$32:$K$35, 2, FALSE)),1,0)</f>
        <v>0</v>
      </c>
      <c r="O7">
        <f>IF(AND(VLOOKUP(O$1,'40Trips'!$A$3:$I$42,8,FALSE)-VLOOKUP($A7,'40Trips'!$A$3:$I$42,9,FALSE)&gt;=VLOOKUP(VLOOKUP(O$1, '40Trips'!$A$3:$I$42,3,FALSE),'40Trips'!$J$32:$K$35, 2, FALSE)),1,0)</f>
        <v>0</v>
      </c>
      <c r="P7">
        <f>IF(AND(VLOOKUP(P$1,'40Trips'!$A$3:$I$42,8,FALSE)-VLOOKUP($A7,'40Trips'!$A$3:$I$42,9,FALSE)&gt;=VLOOKUP(VLOOKUP(P$1, '40Trips'!$A$3:$I$42,3,FALSE),'40Trips'!$J$32:$K$35, 2, FALSE)),1,0)</f>
        <v>1</v>
      </c>
      <c r="Q7">
        <f>IF(AND(VLOOKUP(Q$1,'40Trips'!$A$3:$I$42,8,FALSE)-VLOOKUP($A7,'40Trips'!$A$3:$I$42,9,FALSE)&gt;=VLOOKUP(VLOOKUP(Q$1, '40Trips'!$A$3:$I$42,3,FALSE),'40Trips'!$J$32:$K$35, 2, FALSE)),1,0)</f>
        <v>1</v>
      </c>
      <c r="R7">
        <f>IF(AND(VLOOKUP(R$1,'40Trips'!$A$3:$I$42,8,FALSE)-VLOOKUP($A7,'40Trips'!$A$3:$I$42,9,FALSE)&gt;=VLOOKUP(VLOOKUP(R$1, '40Trips'!$A$3:$I$42,3,FALSE),'40Trips'!$J$32:$K$35, 2, FALSE)),1,0)</f>
        <v>1</v>
      </c>
      <c r="S7">
        <f>IF(AND(VLOOKUP(S$1,'40Trips'!$A$3:$I$42,8,FALSE)-VLOOKUP($A7,'40Trips'!$A$3:$I$42,9,FALSE)&gt;=VLOOKUP(VLOOKUP(S$1, '40Trips'!$A$3:$I$42,3,FALSE),'40Trips'!$J$32:$K$35, 2, FALSE)),1,0)</f>
        <v>0</v>
      </c>
      <c r="T7">
        <f>IF(AND(VLOOKUP(T$1,'40Trips'!$A$3:$I$42,8,FALSE)-VLOOKUP($A7,'40Trips'!$A$3:$I$42,9,FALSE)&gt;=VLOOKUP(VLOOKUP(T$1, '40Trips'!$A$3:$I$42,3,FALSE),'40Trips'!$J$32:$K$35, 2, FALSE)),1,0)</f>
        <v>0</v>
      </c>
      <c r="U7">
        <f>IF(AND(VLOOKUP(U$1,'40Trips'!$A$3:$I$42,8,FALSE)-VLOOKUP($A7,'40Trips'!$A$3:$I$42,9,FALSE)&gt;=VLOOKUP(VLOOKUP(U$1, '40Trips'!$A$3:$I$42,3,FALSE),'40Trips'!$J$32:$K$35, 2, FALSE)),1,0)</f>
        <v>1</v>
      </c>
      <c r="V7">
        <f>IF(AND(VLOOKUP(V$1,'40Trips'!$A$3:$I$42,8,FALSE)-VLOOKUP($A7,'40Trips'!$A$3:$I$42,9,FALSE)&gt;=VLOOKUP(VLOOKUP(V$1, '40Trips'!$A$3:$I$42,3,FALSE),'40Trips'!$J$32:$K$35, 2, FALSE)),1,0)</f>
        <v>1</v>
      </c>
      <c r="W7">
        <f>IF(AND(VLOOKUP(W$1,'40Trips'!$A$3:$I$42,8,FALSE)-VLOOKUP($A7,'40Trips'!$A$3:$I$42,9,FALSE)&gt;=VLOOKUP(VLOOKUP(W$1, '40Trips'!$A$3:$I$42,3,FALSE),'40Trips'!$J$32:$K$35, 2, FALSE)),1,0)</f>
        <v>0</v>
      </c>
      <c r="X7">
        <f>IF(AND(VLOOKUP(X$1,'40Trips'!$A$3:$I$42,8,FALSE)-VLOOKUP($A7,'40Trips'!$A$3:$I$42,9,FALSE)&gt;=VLOOKUP(VLOOKUP(X$1, '40Trips'!$A$3:$I$42,3,FALSE),'40Trips'!$J$32:$K$35, 2, FALSE)),1,0)</f>
        <v>1</v>
      </c>
      <c r="Y7">
        <f>IF(AND(VLOOKUP(Y$1,'40Trips'!$A$3:$I$42,8,FALSE)-VLOOKUP($A7,'40Trips'!$A$3:$I$42,9,FALSE)&gt;=VLOOKUP(VLOOKUP(Y$1, '40Trips'!$A$3:$I$42,3,FALSE),'40Trips'!$J$32:$K$35, 2, FALSE)),1,0)</f>
        <v>1</v>
      </c>
      <c r="Z7">
        <f>IF(AND(VLOOKUP(Z$1,'40Trips'!$A$3:$I$42,8,FALSE)-VLOOKUP($A7,'40Trips'!$A$3:$I$42,9,FALSE)&gt;=VLOOKUP(VLOOKUP(Z$1, '40Trips'!$A$3:$I$42,3,FALSE),'40Trips'!$J$32:$K$35, 2, FALSE)),1,0)</f>
        <v>1</v>
      </c>
      <c r="AA7">
        <f>IF(AND(VLOOKUP(AA$1,'40Trips'!$A$3:$I$42,8,FALSE)-VLOOKUP($A7,'40Trips'!$A$3:$I$42,9,FALSE)&gt;=VLOOKUP(VLOOKUP(AA$1, '40Trips'!$A$3:$I$42,3,FALSE),'40Trips'!$J$32:$K$35, 2, FALSE)),1,0)</f>
        <v>0</v>
      </c>
      <c r="AB7">
        <f>IF(AND(VLOOKUP(AB$1,'40Trips'!$A$3:$I$42,8,FALSE)-VLOOKUP($A7,'40Trips'!$A$3:$I$42,9,FALSE)&gt;=VLOOKUP(VLOOKUP(AB$1, '40Trips'!$A$3:$I$42,3,FALSE),'40Trips'!$J$32:$K$35, 2, FALSE)),1,0)</f>
        <v>0</v>
      </c>
      <c r="AC7">
        <f>IF(AND(VLOOKUP(AC$1,'40Trips'!$A$3:$I$42,8,FALSE)-VLOOKUP($A7,'40Trips'!$A$3:$I$42,9,FALSE)&gt;=VLOOKUP(VLOOKUP(AC$1, '40Trips'!$A$3:$I$42,3,FALSE),'40Trips'!$J$32:$K$35, 2, FALSE)),1,0)</f>
        <v>1</v>
      </c>
      <c r="AD7">
        <f>IF(AND(VLOOKUP(AD$1,'40Trips'!$A$3:$I$42,8,FALSE)-VLOOKUP($A7,'40Trips'!$A$3:$I$42,9,FALSE)&gt;=VLOOKUP(VLOOKUP(AD$1, '40Trips'!$A$3:$I$42,3,FALSE),'40Trips'!$J$32:$K$35, 2, FALSE)),1,0)</f>
        <v>1</v>
      </c>
      <c r="AE7">
        <f>IF(AND(VLOOKUP(AE$1,'40Trips'!$A$3:$I$42,8,FALSE)-VLOOKUP($A7,'40Trips'!$A$3:$I$42,9,FALSE)&gt;=VLOOKUP(VLOOKUP(AE$1, '40Trips'!$A$3:$I$42,3,FALSE),'40Trips'!$J$32:$K$35, 2, FALSE)),1,0)</f>
        <v>0</v>
      </c>
      <c r="AF7">
        <f>IF(AND(VLOOKUP(AF$1,'40Trips'!$A$3:$I$42,8,FALSE)-VLOOKUP($A7,'40Trips'!$A$3:$I$42,9,FALSE)&gt;=VLOOKUP(VLOOKUP(AF$1, '40Trips'!$A$3:$I$42,3,FALSE),'40Trips'!$J$32:$K$35, 2, FALSE)),1,0)</f>
        <v>0</v>
      </c>
      <c r="AG7">
        <f>IF(AND(VLOOKUP(AG$1,'40Trips'!$A$3:$I$42,8,FALSE)-VLOOKUP($A7,'40Trips'!$A$3:$I$42,9,FALSE)&gt;=VLOOKUP(VLOOKUP(AG$1, '40Trips'!$A$3:$I$42,3,FALSE),'40Trips'!$J$32:$K$35, 2, FALSE)),1,0)</f>
        <v>0</v>
      </c>
      <c r="AH7">
        <f>IF(AND(VLOOKUP(AH$1,'40Trips'!$A$3:$I$42,8,FALSE)-VLOOKUP($A7,'40Trips'!$A$3:$I$42,9,FALSE)&gt;=VLOOKUP(VLOOKUP(AH$1, '40Trips'!$A$3:$I$42,3,FALSE),'40Trips'!$J$32:$K$35, 2, FALSE)),1,0)</f>
        <v>1</v>
      </c>
      <c r="AI7">
        <f>IF(AND(VLOOKUP(AI$1,'40Trips'!$A$3:$I$42,8,FALSE)-VLOOKUP($A7,'40Trips'!$A$3:$I$42,9,FALSE)&gt;=VLOOKUP(VLOOKUP(AI$1, '40Trips'!$A$3:$I$42,3,FALSE),'40Trips'!$J$32:$K$35, 2, FALSE)),1,0)</f>
        <v>1</v>
      </c>
      <c r="AJ7">
        <f>IF(AND(VLOOKUP(AJ$1,'40Trips'!$A$3:$I$42,8,FALSE)-VLOOKUP($A7,'40Trips'!$A$3:$I$42,9,FALSE)&gt;=VLOOKUP(VLOOKUP(AJ$1, '40Trips'!$A$3:$I$42,3,FALSE),'40Trips'!$J$32:$K$35, 2, FALSE)),1,0)</f>
        <v>1</v>
      </c>
      <c r="AK7">
        <f>IF(AND(VLOOKUP(AK$1,'40Trips'!$A$3:$I$42,8,FALSE)-VLOOKUP($A7,'40Trips'!$A$3:$I$42,9,FALSE)&gt;=VLOOKUP(VLOOKUP(AK$1, '40Trips'!$A$3:$I$42,3,FALSE),'40Trips'!$J$32:$K$35, 2, FALSE)),1,0)</f>
        <v>1</v>
      </c>
      <c r="AL7">
        <f>IF(AND(VLOOKUP(AL$1,'40Trips'!$A$3:$I$42,8,FALSE)-VLOOKUP($A7,'40Trips'!$A$3:$I$42,9,FALSE)&gt;=VLOOKUP(VLOOKUP(AL$1, '40Trips'!$A$3:$I$42,3,FALSE),'40Trips'!$J$32:$K$35, 2, FALSE)),1,0)</f>
        <v>1</v>
      </c>
      <c r="AM7">
        <f>IF(AND(VLOOKUP(AM$1,'40Trips'!$A$3:$I$42,8,FALSE)-VLOOKUP($A7,'40Trips'!$A$3:$I$42,9,FALSE)&gt;=VLOOKUP(VLOOKUP(AM$1, '40Trips'!$A$3:$I$42,3,FALSE),'40Trips'!$J$32:$K$35, 2, FALSE)),1,0)</f>
        <v>0</v>
      </c>
      <c r="AN7">
        <f>IF(AND(VLOOKUP(AN$1,'40Trips'!$A$3:$I$42,8,FALSE)-VLOOKUP($A7,'40Trips'!$A$3:$I$42,9,FALSE)&gt;=VLOOKUP(VLOOKUP(AN$1, '40Trips'!$A$3:$I$42,3,FALSE),'40Trips'!$J$32:$K$35, 2, FALSE)),1,0)</f>
        <v>1</v>
      </c>
      <c r="AO7">
        <f>IF(AND(VLOOKUP(AO$1,'40Trips'!$A$3:$I$42,8,FALSE)-VLOOKUP($A7,'40Trips'!$A$3:$I$42,9,FALSE)&gt;=VLOOKUP(VLOOKUP(AO$1, '40Trips'!$A$3:$I$42,3,FALSE),'40Trips'!$J$32:$K$35, 2, FALSE)),1,0)</f>
        <v>1</v>
      </c>
      <c r="AP7">
        <f>IF(AND(VLOOKUP(AP$1,'40Trips'!$A$3:$I$42,8,FALSE)-VLOOKUP($A7,'40Trips'!$A$3:$I$42,9,FALSE)&gt;=VLOOKUP(VLOOKUP(AP$1, '40Trips'!$A$3:$I$42,3,FALSE),'40Trips'!$J$32:$K$35, 2, FALSE)),1,0)</f>
        <v>1</v>
      </c>
    </row>
    <row r="8" spans="1:43" x14ac:dyDescent="0.25">
      <c r="A8" t="s">
        <v>20</v>
      </c>
      <c r="B8" s="3">
        <v>1</v>
      </c>
      <c r="C8">
        <f>IF(AND(VLOOKUP(C$1,'40Trips'!$A$3:$I$42,8,FALSE)-VLOOKUP($A8,'40Trips'!$A$3:$I$42,9,FALSE)&gt;=VLOOKUP(VLOOKUP(C$1, '40Trips'!$A$3:$I$42,3,FALSE),'40Trips'!$J$32:$K$35, 2, FALSE)),1,0)</f>
        <v>0</v>
      </c>
      <c r="D8">
        <f>IF(AND(VLOOKUP(D$1,'40Trips'!$A$3:$I$42,8,FALSE)-VLOOKUP($A8,'40Trips'!$A$3:$I$42,9,FALSE)&gt;=VLOOKUP(VLOOKUP(D$1, '40Trips'!$A$3:$I$42,3,FALSE),'40Trips'!$J$32:$K$35, 2, FALSE)),1,0)</f>
        <v>0</v>
      </c>
      <c r="E8">
        <f>IF(AND(VLOOKUP(E$1,'40Trips'!$A$3:$I$42,8,FALSE)-VLOOKUP($A8,'40Trips'!$A$3:$I$42,9,FALSE)&gt;=VLOOKUP(VLOOKUP(E$1, '40Trips'!$A$3:$I$42,3,FALSE),'40Trips'!$J$32:$K$35, 2, FALSE)),1,0)</f>
        <v>1</v>
      </c>
      <c r="F8">
        <f>IF(AND(VLOOKUP(F$1,'40Trips'!$A$3:$I$42,8,FALSE)-VLOOKUP($A8,'40Trips'!$A$3:$I$42,9,FALSE)&gt;=VLOOKUP(VLOOKUP(F$1, '40Trips'!$A$3:$I$42,3,FALSE),'40Trips'!$J$32:$K$35, 2, FALSE)),1,0)</f>
        <v>1</v>
      </c>
      <c r="G8">
        <f>IF(AND(VLOOKUP(G$1,'40Trips'!$A$3:$I$42,8,FALSE)-VLOOKUP($A8,'40Trips'!$A$3:$I$42,9,FALSE)&gt;=VLOOKUP(VLOOKUP(G$1, '40Trips'!$A$3:$I$42,3,FALSE),'40Trips'!$J$32:$K$35, 2, FALSE)),1,0)</f>
        <v>0</v>
      </c>
      <c r="H8">
        <f>IF(AND(VLOOKUP(H$1,'40Trips'!$A$3:$I$42,8,FALSE)-VLOOKUP($A8,'40Trips'!$A$3:$I$42,9,FALSE)&gt;=VLOOKUP(VLOOKUP(H$1, '40Trips'!$A$3:$I$42,3,FALSE),'40Trips'!$J$32:$K$35, 2, FALSE)),1,0)</f>
        <v>0</v>
      </c>
      <c r="I8">
        <f>IF(AND(VLOOKUP(I$1,'40Trips'!$A$3:$I$42,8,FALSE)-VLOOKUP($A8,'40Trips'!$A$3:$I$42,9,FALSE)&gt;=VLOOKUP(VLOOKUP(I$1, '40Trips'!$A$3:$I$42,3,FALSE),'40Trips'!$J$32:$K$35, 2, FALSE)),1,0)</f>
        <v>0</v>
      </c>
      <c r="J8">
        <f>IF(AND(VLOOKUP(J$1,'40Trips'!$A$3:$I$42,8,FALSE)-VLOOKUP($A8,'40Trips'!$A$3:$I$42,9,FALSE)&gt;=VLOOKUP(VLOOKUP(J$1, '40Trips'!$A$3:$I$42,3,FALSE),'40Trips'!$J$32:$K$35, 2, FALSE)),1,0)</f>
        <v>1</v>
      </c>
      <c r="K8">
        <f>IF(AND(VLOOKUP(K$1,'40Trips'!$A$3:$I$42,8,FALSE)-VLOOKUP($A8,'40Trips'!$A$3:$I$42,9,FALSE)&gt;=VLOOKUP(VLOOKUP(K$1, '40Trips'!$A$3:$I$42,3,FALSE),'40Trips'!$J$32:$K$35, 2, FALSE)),1,0)</f>
        <v>0</v>
      </c>
      <c r="L8">
        <f>IF(AND(VLOOKUP(L$1,'40Trips'!$A$3:$I$42,8,FALSE)-VLOOKUP($A8,'40Trips'!$A$3:$I$42,9,FALSE)&gt;=VLOOKUP(VLOOKUP(L$1, '40Trips'!$A$3:$I$42,3,FALSE),'40Trips'!$J$32:$K$35, 2, FALSE)),1,0)</f>
        <v>0</v>
      </c>
      <c r="M8">
        <f>IF(AND(VLOOKUP(M$1,'40Trips'!$A$3:$I$42,8,FALSE)-VLOOKUP($A8,'40Trips'!$A$3:$I$42,9,FALSE)&gt;=VLOOKUP(VLOOKUP(M$1, '40Trips'!$A$3:$I$42,3,FALSE),'40Trips'!$J$32:$K$35, 2, FALSE)),1,0)</f>
        <v>0</v>
      </c>
      <c r="N8">
        <f>IF(AND(VLOOKUP(N$1,'40Trips'!$A$3:$I$42,8,FALSE)-VLOOKUP($A8,'40Trips'!$A$3:$I$42,9,FALSE)&gt;=VLOOKUP(VLOOKUP(N$1, '40Trips'!$A$3:$I$42,3,FALSE),'40Trips'!$J$32:$K$35, 2, FALSE)),1,0)</f>
        <v>0</v>
      </c>
      <c r="O8">
        <f>IF(AND(VLOOKUP(O$1,'40Trips'!$A$3:$I$42,8,FALSE)-VLOOKUP($A8,'40Trips'!$A$3:$I$42,9,FALSE)&gt;=VLOOKUP(VLOOKUP(O$1, '40Trips'!$A$3:$I$42,3,FALSE),'40Trips'!$J$32:$K$35, 2, FALSE)),1,0)</f>
        <v>0</v>
      </c>
      <c r="P8">
        <f>IF(AND(VLOOKUP(P$1,'40Trips'!$A$3:$I$42,8,FALSE)-VLOOKUP($A8,'40Trips'!$A$3:$I$42,9,FALSE)&gt;=VLOOKUP(VLOOKUP(P$1, '40Trips'!$A$3:$I$42,3,FALSE),'40Trips'!$J$32:$K$35, 2, FALSE)),1,0)</f>
        <v>0</v>
      </c>
      <c r="Q8">
        <f>IF(AND(VLOOKUP(Q$1,'40Trips'!$A$3:$I$42,8,FALSE)-VLOOKUP($A8,'40Trips'!$A$3:$I$42,9,FALSE)&gt;=VLOOKUP(VLOOKUP(Q$1, '40Trips'!$A$3:$I$42,3,FALSE),'40Trips'!$J$32:$K$35, 2, FALSE)),1,0)</f>
        <v>0</v>
      </c>
      <c r="R8">
        <f>IF(AND(VLOOKUP(R$1,'40Trips'!$A$3:$I$42,8,FALSE)-VLOOKUP($A8,'40Trips'!$A$3:$I$42,9,FALSE)&gt;=VLOOKUP(VLOOKUP(R$1, '40Trips'!$A$3:$I$42,3,FALSE),'40Trips'!$J$32:$K$35, 2, FALSE)),1,0)</f>
        <v>1</v>
      </c>
      <c r="S8">
        <f>IF(AND(VLOOKUP(S$1,'40Trips'!$A$3:$I$42,8,FALSE)-VLOOKUP($A8,'40Trips'!$A$3:$I$42,9,FALSE)&gt;=VLOOKUP(VLOOKUP(S$1, '40Trips'!$A$3:$I$42,3,FALSE),'40Trips'!$J$32:$K$35, 2, FALSE)),1,0)</f>
        <v>0</v>
      </c>
      <c r="T8">
        <f>IF(AND(VLOOKUP(T$1,'40Trips'!$A$3:$I$42,8,FALSE)-VLOOKUP($A8,'40Trips'!$A$3:$I$42,9,FALSE)&gt;=VLOOKUP(VLOOKUP(T$1, '40Trips'!$A$3:$I$42,3,FALSE),'40Trips'!$J$32:$K$35, 2, FALSE)),1,0)</f>
        <v>0</v>
      </c>
      <c r="U8">
        <f>IF(AND(VLOOKUP(U$1,'40Trips'!$A$3:$I$42,8,FALSE)-VLOOKUP($A8,'40Trips'!$A$3:$I$42,9,FALSE)&gt;=VLOOKUP(VLOOKUP(U$1, '40Trips'!$A$3:$I$42,3,FALSE),'40Trips'!$J$32:$K$35, 2, FALSE)),1,0)</f>
        <v>0</v>
      </c>
      <c r="V8">
        <f>IF(AND(VLOOKUP(V$1,'40Trips'!$A$3:$I$42,8,FALSE)-VLOOKUP($A8,'40Trips'!$A$3:$I$42,9,FALSE)&gt;=VLOOKUP(VLOOKUP(V$1, '40Trips'!$A$3:$I$42,3,FALSE),'40Trips'!$J$32:$K$35, 2, FALSE)),1,0)</f>
        <v>1</v>
      </c>
      <c r="W8">
        <f>IF(AND(VLOOKUP(W$1,'40Trips'!$A$3:$I$42,8,FALSE)-VLOOKUP($A8,'40Trips'!$A$3:$I$42,9,FALSE)&gt;=VLOOKUP(VLOOKUP(W$1, '40Trips'!$A$3:$I$42,3,FALSE),'40Trips'!$J$32:$K$35, 2, FALSE)),1,0)</f>
        <v>0</v>
      </c>
      <c r="X8">
        <f>IF(AND(VLOOKUP(X$1,'40Trips'!$A$3:$I$42,8,FALSE)-VLOOKUP($A8,'40Trips'!$A$3:$I$42,9,FALSE)&gt;=VLOOKUP(VLOOKUP(X$1, '40Trips'!$A$3:$I$42,3,FALSE),'40Trips'!$J$32:$K$35, 2, FALSE)),1,0)</f>
        <v>0</v>
      </c>
      <c r="Y8">
        <f>IF(AND(VLOOKUP(Y$1,'40Trips'!$A$3:$I$42,8,FALSE)-VLOOKUP($A8,'40Trips'!$A$3:$I$42,9,FALSE)&gt;=VLOOKUP(VLOOKUP(Y$1, '40Trips'!$A$3:$I$42,3,FALSE),'40Trips'!$J$32:$K$35, 2, FALSE)),1,0)</f>
        <v>1</v>
      </c>
      <c r="Z8">
        <f>IF(AND(VLOOKUP(Z$1,'40Trips'!$A$3:$I$42,8,FALSE)-VLOOKUP($A8,'40Trips'!$A$3:$I$42,9,FALSE)&gt;=VLOOKUP(VLOOKUP(Z$1, '40Trips'!$A$3:$I$42,3,FALSE),'40Trips'!$J$32:$K$35, 2, FALSE)),1,0)</f>
        <v>1</v>
      </c>
      <c r="AA8">
        <f>IF(AND(VLOOKUP(AA$1,'40Trips'!$A$3:$I$42,8,FALSE)-VLOOKUP($A8,'40Trips'!$A$3:$I$42,9,FALSE)&gt;=VLOOKUP(VLOOKUP(AA$1, '40Trips'!$A$3:$I$42,3,FALSE),'40Trips'!$J$32:$K$35, 2, FALSE)),1,0)</f>
        <v>0</v>
      </c>
      <c r="AB8">
        <f>IF(AND(VLOOKUP(AB$1,'40Trips'!$A$3:$I$42,8,FALSE)-VLOOKUP($A8,'40Trips'!$A$3:$I$42,9,FALSE)&gt;=VLOOKUP(VLOOKUP(AB$1, '40Trips'!$A$3:$I$42,3,FALSE),'40Trips'!$J$32:$K$35, 2, FALSE)),1,0)</f>
        <v>0</v>
      </c>
      <c r="AC8">
        <f>IF(AND(VLOOKUP(AC$1,'40Trips'!$A$3:$I$42,8,FALSE)-VLOOKUP($A8,'40Trips'!$A$3:$I$42,9,FALSE)&gt;=VLOOKUP(VLOOKUP(AC$1, '40Trips'!$A$3:$I$42,3,FALSE),'40Trips'!$J$32:$K$35, 2, FALSE)),1,0)</f>
        <v>1</v>
      </c>
      <c r="AD8">
        <f>IF(AND(VLOOKUP(AD$1,'40Trips'!$A$3:$I$42,8,FALSE)-VLOOKUP($A8,'40Trips'!$A$3:$I$42,9,FALSE)&gt;=VLOOKUP(VLOOKUP(AD$1, '40Trips'!$A$3:$I$42,3,FALSE),'40Trips'!$J$32:$K$35, 2, FALSE)),1,0)</f>
        <v>1</v>
      </c>
      <c r="AE8">
        <f>IF(AND(VLOOKUP(AE$1,'40Trips'!$A$3:$I$42,8,FALSE)-VLOOKUP($A8,'40Trips'!$A$3:$I$42,9,FALSE)&gt;=VLOOKUP(VLOOKUP(AE$1, '40Trips'!$A$3:$I$42,3,FALSE),'40Trips'!$J$32:$K$35, 2, FALSE)),1,0)</f>
        <v>0</v>
      </c>
      <c r="AF8">
        <f>IF(AND(VLOOKUP(AF$1,'40Trips'!$A$3:$I$42,8,FALSE)-VLOOKUP($A8,'40Trips'!$A$3:$I$42,9,FALSE)&gt;=VLOOKUP(VLOOKUP(AF$1, '40Trips'!$A$3:$I$42,3,FALSE),'40Trips'!$J$32:$K$35, 2, FALSE)),1,0)</f>
        <v>0</v>
      </c>
      <c r="AG8">
        <f>IF(AND(VLOOKUP(AG$1,'40Trips'!$A$3:$I$42,8,FALSE)-VLOOKUP($A8,'40Trips'!$A$3:$I$42,9,FALSE)&gt;=VLOOKUP(VLOOKUP(AG$1, '40Trips'!$A$3:$I$42,3,FALSE),'40Trips'!$J$32:$K$35, 2, FALSE)),1,0)</f>
        <v>0</v>
      </c>
      <c r="AH8">
        <f>IF(AND(VLOOKUP(AH$1,'40Trips'!$A$3:$I$42,8,FALSE)-VLOOKUP($A8,'40Trips'!$A$3:$I$42,9,FALSE)&gt;=VLOOKUP(VLOOKUP(AH$1, '40Trips'!$A$3:$I$42,3,FALSE),'40Trips'!$J$32:$K$35, 2, FALSE)),1,0)</f>
        <v>0</v>
      </c>
      <c r="AI8">
        <f>IF(AND(VLOOKUP(AI$1,'40Trips'!$A$3:$I$42,8,FALSE)-VLOOKUP($A8,'40Trips'!$A$3:$I$42,9,FALSE)&gt;=VLOOKUP(VLOOKUP(AI$1, '40Trips'!$A$3:$I$42,3,FALSE),'40Trips'!$J$32:$K$35, 2, FALSE)),1,0)</f>
        <v>0</v>
      </c>
      <c r="AJ8">
        <f>IF(AND(VLOOKUP(AJ$1,'40Trips'!$A$3:$I$42,8,FALSE)-VLOOKUP($A8,'40Trips'!$A$3:$I$42,9,FALSE)&gt;=VLOOKUP(VLOOKUP(AJ$1, '40Trips'!$A$3:$I$42,3,FALSE),'40Trips'!$J$32:$K$35, 2, FALSE)),1,0)</f>
        <v>0</v>
      </c>
      <c r="AK8">
        <f>IF(AND(VLOOKUP(AK$1,'40Trips'!$A$3:$I$42,8,FALSE)-VLOOKUP($A8,'40Trips'!$A$3:$I$42,9,FALSE)&gt;=VLOOKUP(VLOOKUP(AK$1, '40Trips'!$A$3:$I$42,3,FALSE),'40Trips'!$J$32:$K$35, 2, FALSE)),1,0)</f>
        <v>0</v>
      </c>
      <c r="AL8">
        <f>IF(AND(VLOOKUP(AL$1,'40Trips'!$A$3:$I$42,8,FALSE)-VLOOKUP($A8,'40Trips'!$A$3:$I$42,9,FALSE)&gt;=VLOOKUP(VLOOKUP(AL$1, '40Trips'!$A$3:$I$42,3,FALSE),'40Trips'!$J$32:$K$35, 2, FALSE)),1,0)</f>
        <v>1</v>
      </c>
      <c r="AM8">
        <f>IF(AND(VLOOKUP(AM$1,'40Trips'!$A$3:$I$42,8,FALSE)-VLOOKUP($A8,'40Trips'!$A$3:$I$42,9,FALSE)&gt;=VLOOKUP(VLOOKUP(AM$1, '40Trips'!$A$3:$I$42,3,FALSE),'40Trips'!$J$32:$K$35, 2, FALSE)),1,0)</f>
        <v>0</v>
      </c>
      <c r="AN8">
        <f>IF(AND(VLOOKUP(AN$1,'40Trips'!$A$3:$I$42,8,FALSE)-VLOOKUP($A8,'40Trips'!$A$3:$I$42,9,FALSE)&gt;=VLOOKUP(VLOOKUP(AN$1, '40Trips'!$A$3:$I$42,3,FALSE),'40Trips'!$J$32:$K$35, 2, FALSE)),1,0)</f>
        <v>0</v>
      </c>
      <c r="AO8">
        <f>IF(AND(VLOOKUP(AO$1,'40Trips'!$A$3:$I$42,8,FALSE)-VLOOKUP($A8,'40Trips'!$A$3:$I$42,9,FALSE)&gt;=VLOOKUP(VLOOKUP(AO$1, '40Trips'!$A$3:$I$42,3,FALSE),'40Trips'!$J$32:$K$35, 2, FALSE)),1,0)</f>
        <v>0</v>
      </c>
      <c r="AP8">
        <f>IF(AND(VLOOKUP(AP$1,'40Trips'!$A$3:$I$42,8,FALSE)-VLOOKUP($A8,'40Trips'!$A$3:$I$42,9,FALSE)&gt;=VLOOKUP(VLOOKUP(AP$1, '40Trips'!$A$3:$I$42,3,FALSE),'40Trips'!$J$32:$K$35, 2, FALSE)),1,0)</f>
        <v>1</v>
      </c>
    </row>
    <row r="9" spans="1:43" x14ac:dyDescent="0.25">
      <c r="A9" t="s">
        <v>21</v>
      </c>
      <c r="B9" s="3">
        <v>1</v>
      </c>
      <c r="C9">
        <f>IF(AND(VLOOKUP(C$1,'40Trips'!$A$3:$I$42,8,FALSE)-VLOOKUP($A9,'40Trips'!$A$3:$I$42,9,FALSE)&gt;=VLOOKUP(VLOOKUP(C$1, '40Trips'!$A$3:$I$42,3,FALSE),'40Trips'!$J$32:$K$35, 2, FALSE)),1,0)</f>
        <v>0</v>
      </c>
      <c r="D9">
        <f>IF(AND(VLOOKUP(D$1,'40Trips'!$A$3:$I$42,8,FALSE)-VLOOKUP($A9,'40Trips'!$A$3:$I$42,9,FALSE)&gt;=VLOOKUP(VLOOKUP(D$1, '40Trips'!$A$3:$I$42,3,FALSE),'40Trips'!$J$32:$K$35, 2, FALSE)),1,0)</f>
        <v>0</v>
      </c>
      <c r="E9">
        <f>IF(AND(VLOOKUP(E$1,'40Trips'!$A$3:$I$42,8,FALSE)-VLOOKUP($A9,'40Trips'!$A$3:$I$42,9,FALSE)&gt;=VLOOKUP(VLOOKUP(E$1, '40Trips'!$A$3:$I$42,3,FALSE),'40Trips'!$J$32:$K$35, 2, FALSE)),1,0)</f>
        <v>0</v>
      </c>
      <c r="F9">
        <f>IF(AND(VLOOKUP(F$1,'40Trips'!$A$3:$I$42,8,FALSE)-VLOOKUP($A9,'40Trips'!$A$3:$I$42,9,FALSE)&gt;=VLOOKUP(VLOOKUP(F$1, '40Trips'!$A$3:$I$42,3,FALSE),'40Trips'!$J$32:$K$35, 2, FALSE)),1,0)</f>
        <v>0</v>
      </c>
      <c r="G9">
        <f>IF(AND(VLOOKUP(G$1,'40Trips'!$A$3:$I$42,8,FALSE)-VLOOKUP($A9,'40Trips'!$A$3:$I$42,9,FALSE)&gt;=VLOOKUP(VLOOKUP(G$1, '40Trips'!$A$3:$I$42,3,FALSE),'40Trips'!$J$32:$K$35, 2, FALSE)),1,0)</f>
        <v>0</v>
      </c>
      <c r="H9">
        <f>IF(AND(VLOOKUP(H$1,'40Trips'!$A$3:$I$42,8,FALSE)-VLOOKUP($A9,'40Trips'!$A$3:$I$42,9,FALSE)&gt;=VLOOKUP(VLOOKUP(H$1, '40Trips'!$A$3:$I$42,3,FALSE),'40Trips'!$J$32:$K$35, 2, FALSE)),1,0)</f>
        <v>0</v>
      </c>
      <c r="I9">
        <f>IF(AND(VLOOKUP(I$1,'40Trips'!$A$3:$I$42,8,FALSE)-VLOOKUP($A9,'40Trips'!$A$3:$I$42,9,FALSE)&gt;=VLOOKUP(VLOOKUP(I$1, '40Trips'!$A$3:$I$42,3,FALSE),'40Trips'!$J$32:$K$35, 2, FALSE)),1,0)</f>
        <v>0</v>
      </c>
      <c r="J9">
        <f>IF(AND(VLOOKUP(J$1,'40Trips'!$A$3:$I$42,8,FALSE)-VLOOKUP($A9,'40Trips'!$A$3:$I$42,9,FALSE)&gt;=VLOOKUP(VLOOKUP(J$1, '40Trips'!$A$3:$I$42,3,FALSE),'40Trips'!$J$32:$K$35, 2, FALSE)),1,0)</f>
        <v>1</v>
      </c>
      <c r="K9">
        <f>IF(AND(VLOOKUP(K$1,'40Trips'!$A$3:$I$42,8,FALSE)-VLOOKUP($A9,'40Trips'!$A$3:$I$42,9,FALSE)&gt;=VLOOKUP(VLOOKUP(K$1, '40Trips'!$A$3:$I$42,3,FALSE),'40Trips'!$J$32:$K$35, 2, FALSE)),1,0)</f>
        <v>0</v>
      </c>
      <c r="L9">
        <f>IF(AND(VLOOKUP(L$1,'40Trips'!$A$3:$I$42,8,FALSE)-VLOOKUP($A9,'40Trips'!$A$3:$I$42,9,FALSE)&gt;=VLOOKUP(VLOOKUP(L$1, '40Trips'!$A$3:$I$42,3,FALSE),'40Trips'!$J$32:$K$35, 2, FALSE)),1,0)</f>
        <v>0</v>
      </c>
      <c r="M9">
        <f>IF(AND(VLOOKUP(M$1,'40Trips'!$A$3:$I$42,8,FALSE)-VLOOKUP($A9,'40Trips'!$A$3:$I$42,9,FALSE)&gt;=VLOOKUP(VLOOKUP(M$1, '40Trips'!$A$3:$I$42,3,FALSE),'40Trips'!$J$32:$K$35, 2, FALSE)),1,0)</f>
        <v>0</v>
      </c>
      <c r="N9">
        <f>IF(AND(VLOOKUP(N$1,'40Trips'!$A$3:$I$42,8,FALSE)-VLOOKUP($A9,'40Trips'!$A$3:$I$42,9,FALSE)&gt;=VLOOKUP(VLOOKUP(N$1, '40Trips'!$A$3:$I$42,3,FALSE),'40Trips'!$J$32:$K$35, 2, FALSE)),1,0)</f>
        <v>0</v>
      </c>
      <c r="O9">
        <f>IF(AND(VLOOKUP(O$1,'40Trips'!$A$3:$I$42,8,FALSE)-VLOOKUP($A9,'40Trips'!$A$3:$I$42,9,FALSE)&gt;=VLOOKUP(VLOOKUP(O$1, '40Trips'!$A$3:$I$42,3,FALSE),'40Trips'!$J$32:$K$35, 2, FALSE)),1,0)</f>
        <v>0</v>
      </c>
      <c r="P9">
        <f>IF(AND(VLOOKUP(P$1,'40Trips'!$A$3:$I$42,8,FALSE)-VLOOKUP($A9,'40Trips'!$A$3:$I$42,9,FALSE)&gt;=VLOOKUP(VLOOKUP(P$1, '40Trips'!$A$3:$I$42,3,FALSE),'40Trips'!$J$32:$K$35, 2, FALSE)),1,0)</f>
        <v>0</v>
      </c>
      <c r="Q9">
        <f>IF(AND(VLOOKUP(Q$1,'40Trips'!$A$3:$I$42,8,FALSE)-VLOOKUP($A9,'40Trips'!$A$3:$I$42,9,FALSE)&gt;=VLOOKUP(VLOOKUP(Q$1, '40Trips'!$A$3:$I$42,3,FALSE),'40Trips'!$J$32:$K$35, 2, FALSE)),1,0)</f>
        <v>0</v>
      </c>
      <c r="R9">
        <f>IF(AND(VLOOKUP(R$1,'40Trips'!$A$3:$I$42,8,FALSE)-VLOOKUP($A9,'40Trips'!$A$3:$I$42,9,FALSE)&gt;=VLOOKUP(VLOOKUP(R$1, '40Trips'!$A$3:$I$42,3,FALSE),'40Trips'!$J$32:$K$35, 2, FALSE)),1,0)</f>
        <v>0</v>
      </c>
      <c r="S9">
        <f>IF(AND(VLOOKUP(S$1,'40Trips'!$A$3:$I$42,8,FALSE)-VLOOKUP($A9,'40Trips'!$A$3:$I$42,9,FALSE)&gt;=VLOOKUP(VLOOKUP(S$1, '40Trips'!$A$3:$I$42,3,FALSE),'40Trips'!$J$32:$K$35, 2, FALSE)),1,0)</f>
        <v>0</v>
      </c>
      <c r="T9">
        <f>IF(AND(VLOOKUP(T$1,'40Trips'!$A$3:$I$42,8,FALSE)-VLOOKUP($A9,'40Trips'!$A$3:$I$42,9,FALSE)&gt;=VLOOKUP(VLOOKUP(T$1, '40Trips'!$A$3:$I$42,3,FALSE),'40Trips'!$J$32:$K$35, 2, FALSE)),1,0)</f>
        <v>0</v>
      </c>
      <c r="U9">
        <f>IF(AND(VLOOKUP(U$1,'40Trips'!$A$3:$I$42,8,FALSE)-VLOOKUP($A9,'40Trips'!$A$3:$I$42,9,FALSE)&gt;=VLOOKUP(VLOOKUP(U$1, '40Trips'!$A$3:$I$42,3,FALSE),'40Trips'!$J$32:$K$35, 2, FALSE)),1,0)</f>
        <v>0</v>
      </c>
      <c r="V9">
        <f>IF(AND(VLOOKUP(V$1,'40Trips'!$A$3:$I$42,8,FALSE)-VLOOKUP($A9,'40Trips'!$A$3:$I$42,9,FALSE)&gt;=VLOOKUP(VLOOKUP(V$1, '40Trips'!$A$3:$I$42,3,FALSE),'40Trips'!$J$32:$K$35, 2, FALSE)),1,0)</f>
        <v>1</v>
      </c>
      <c r="W9">
        <f>IF(AND(VLOOKUP(W$1,'40Trips'!$A$3:$I$42,8,FALSE)-VLOOKUP($A9,'40Trips'!$A$3:$I$42,9,FALSE)&gt;=VLOOKUP(VLOOKUP(W$1, '40Trips'!$A$3:$I$42,3,FALSE),'40Trips'!$J$32:$K$35, 2, FALSE)),1,0)</f>
        <v>0</v>
      </c>
      <c r="X9">
        <f>IF(AND(VLOOKUP(X$1,'40Trips'!$A$3:$I$42,8,FALSE)-VLOOKUP($A9,'40Trips'!$A$3:$I$42,9,FALSE)&gt;=VLOOKUP(VLOOKUP(X$1, '40Trips'!$A$3:$I$42,3,FALSE),'40Trips'!$J$32:$K$35, 2, FALSE)),1,0)</f>
        <v>0</v>
      </c>
      <c r="Y9">
        <f>IF(AND(VLOOKUP(Y$1,'40Trips'!$A$3:$I$42,8,FALSE)-VLOOKUP($A9,'40Trips'!$A$3:$I$42,9,FALSE)&gt;=VLOOKUP(VLOOKUP(Y$1, '40Trips'!$A$3:$I$42,3,FALSE),'40Trips'!$J$32:$K$35, 2, FALSE)),1,0)</f>
        <v>0</v>
      </c>
      <c r="Z9">
        <f>IF(AND(VLOOKUP(Z$1,'40Trips'!$A$3:$I$42,8,FALSE)-VLOOKUP($A9,'40Trips'!$A$3:$I$42,9,FALSE)&gt;=VLOOKUP(VLOOKUP(Z$1, '40Trips'!$A$3:$I$42,3,FALSE),'40Trips'!$J$32:$K$35, 2, FALSE)),1,0)</f>
        <v>0</v>
      </c>
      <c r="AA9">
        <f>IF(AND(VLOOKUP(AA$1,'40Trips'!$A$3:$I$42,8,FALSE)-VLOOKUP($A9,'40Trips'!$A$3:$I$42,9,FALSE)&gt;=VLOOKUP(VLOOKUP(AA$1, '40Trips'!$A$3:$I$42,3,FALSE),'40Trips'!$J$32:$K$35, 2, FALSE)),1,0)</f>
        <v>0</v>
      </c>
      <c r="AB9">
        <f>IF(AND(VLOOKUP(AB$1,'40Trips'!$A$3:$I$42,8,FALSE)-VLOOKUP($A9,'40Trips'!$A$3:$I$42,9,FALSE)&gt;=VLOOKUP(VLOOKUP(AB$1, '40Trips'!$A$3:$I$42,3,FALSE),'40Trips'!$J$32:$K$35, 2, FALSE)),1,0)</f>
        <v>0</v>
      </c>
      <c r="AC9">
        <f>IF(AND(VLOOKUP(AC$1,'40Trips'!$A$3:$I$42,8,FALSE)-VLOOKUP($A9,'40Trips'!$A$3:$I$42,9,FALSE)&gt;=VLOOKUP(VLOOKUP(AC$1, '40Trips'!$A$3:$I$42,3,FALSE),'40Trips'!$J$32:$K$35, 2, FALSE)),1,0)</f>
        <v>0</v>
      </c>
      <c r="AD9">
        <f>IF(AND(VLOOKUP(AD$1,'40Trips'!$A$3:$I$42,8,FALSE)-VLOOKUP($A9,'40Trips'!$A$3:$I$42,9,FALSE)&gt;=VLOOKUP(VLOOKUP(AD$1, '40Trips'!$A$3:$I$42,3,FALSE),'40Trips'!$J$32:$K$35, 2, FALSE)),1,0)</f>
        <v>1</v>
      </c>
      <c r="AE9">
        <f>IF(AND(VLOOKUP(AE$1,'40Trips'!$A$3:$I$42,8,FALSE)-VLOOKUP($A9,'40Trips'!$A$3:$I$42,9,FALSE)&gt;=VLOOKUP(VLOOKUP(AE$1, '40Trips'!$A$3:$I$42,3,FALSE),'40Trips'!$J$32:$K$35, 2, FALSE)),1,0)</f>
        <v>0</v>
      </c>
      <c r="AF9">
        <f>IF(AND(VLOOKUP(AF$1,'40Trips'!$A$3:$I$42,8,FALSE)-VLOOKUP($A9,'40Trips'!$A$3:$I$42,9,FALSE)&gt;=VLOOKUP(VLOOKUP(AF$1, '40Trips'!$A$3:$I$42,3,FALSE),'40Trips'!$J$32:$K$35, 2, FALSE)),1,0)</f>
        <v>0</v>
      </c>
      <c r="AG9">
        <f>IF(AND(VLOOKUP(AG$1,'40Trips'!$A$3:$I$42,8,FALSE)-VLOOKUP($A9,'40Trips'!$A$3:$I$42,9,FALSE)&gt;=VLOOKUP(VLOOKUP(AG$1, '40Trips'!$A$3:$I$42,3,FALSE),'40Trips'!$J$32:$K$35, 2, FALSE)),1,0)</f>
        <v>0</v>
      </c>
      <c r="AH9">
        <f>IF(AND(VLOOKUP(AH$1,'40Trips'!$A$3:$I$42,8,FALSE)-VLOOKUP($A9,'40Trips'!$A$3:$I$42,9,FALSE)&gt;=VLOOKUP(VLOOKUP(AH$1, '40Trips'!$A$3:$I$42,3,FALSE),'40Trips'!$J$32:$K$35, 2, FALSE)),1,0)</f>
        <v>0</v>
      </c>
      <c r="AI9">
        <f>IF(AND(VLOOKUP(AI$1,'40Trips'!$A$3:$I$42,8,FALSE)-VLOOKUP($A9,'40Trips'!$A$3:$I$42,9,FALSE)&gt;=VLOOKUP(VLOOKUP(AI$1, '40Trips'!$A$3:$I$42,3,FALSE),'40Trips'!$J$32:$K$35, 2, FALSE)),1,0)</f>
        <v>0</v>
      </c>
      <c r="AJ9">
        <f>IF(AND(VLOOKUP(AJ$1,'40Trips'!$A$3:$I$42,8,FALSE)-VLOOKUP($A9,'40Trips'!$A$3:$I$42,9,FALSE)&gt;=VLOOKUP(VLOOKUP(AJ$1, '40Trips'!$A$3:$I$42,3,FALSE),'40Trips'!$J$32:$K$35, 2, FALSE)),1,0)</f>
        <v>0</v>
      </c>
      <c r="AK9">
        <f>IF(AND(VLOOKUP(AK$1,'40Trips'!$A$3:$I$42,8,FALSE)-VLOOKUP($A9,'40Trips'!$A$3:$I$42,9,FALSE)&gt;=VLOOKUP(VLOOKUP(AK$1, '40Trips'!$A$3:$I$42,3,FALSE),'40Trips'!$J$32:$K$35, 2, FALSE)),1,0)</f>
        <v>0</v>
      </c>
      <c r="AL9">
        <f>IF(AND(VLOOKUP(AL$1,'40Trips'!$A$3:$I$42,8,FALSE)-VLOOKUP($A9,'40Trips'!$A$3:$I$42,9,FALSE)&gt;=VLOOKUP(VLOOKUP(AL$1, '40Trips'!$A$3:$I$42,3,FALSE),'40Trips'!$J$32:$K$35, 2, FALSE)),1,0)</f>
        <v>1</v>
      </c>
      <c r="AM9">
        <f>IF(AND(VLOOKUP(AM$1,'40Trips'!$A$3:$I$42,8,FALSE)-VLOOKUP($A9,'40Trips'!$A$3:$I$42,9,FALSE)&gt;=VLOOKUP(VLOOKUP(AM$1, '40Trips'!$A$3:$I$42,3,FALSE),'40Trips'!$J$32:$K$35, 2, FALSE)),1,0)</f>
        <v>0</v>
      </c>
      <c r="AN9">
        <f>IF(AND(VLOOKUP(AN$1,'40Trips'!$A$3:$I$42,8,FALSE)-VLOOKUP($A9,'40Trips'!$A$3:$I$42,9,FALSE)&gt;=VLOOKUP(VLOOKUP(AN$1, '40Trips'!$A$3:$I$42,3,FALSE),'40Trips'!$J$32:$K$35, 2, FALSE)),1,0)</f>
        <v>0</v>
      </c>
      <c r="AO9">
        <f>IF(AND(VLOOKUP(AO$1,'40Trips'!$A$3:$I$42,8,FALSE)-VLOOKUP($A9,'40Trips'!$A$3:$I$42,9,FALSE)&gt;=VLOOKUP(VLOOKUP(AO$1, '40Trips'!$A$3:$I$42,3,FALSE),'40Trips'!$J$32:$K$35, 2, FALSE)),1,0)</f>
        <v>0</v>
      </c>
      <c r="AP9">
        <f>IF(AND(VLOOKUP(AP$1,'40Trips'!$A$3:$I$42,8,FALSE)-VLOOKUP($A9,'40Trips'!$A$3:$I$42,9,FALSE)&gt;=VLOOKUP(VLOOKUP(AP$1, '40Trips'!$A$3:$I$42,3,FALSE),'40Trips'!$J$32:$K$35, 2, FALSE)),1,0)</f>
        <v>1</v>
      </c>
    </row>
    <row r="10" spans="1:43" x14ac:dyDescent="0.25">
      <c r="A10" t="s">
        <v>22</v>
      </c>
      <c r="B10" s="3">
        <v>1</v>
      </c>
      <c r="C10">
        <f>IF(AND(VLOOKUP(C$1,'40Trips'!$A$3:$I$42,8,FALSE)-VLOOKUP($A10,'40Trips'!$A$3:$I$42,9,FALSE)&gt;=VLOOKUP(VLOOKUP(C$1, '40Trips'!$A$3:$I$42,3,FALSE),'40Trips'!$J$32:$K$35, 2, FALSE)),1,0)</f>
        <v>0</v>
      </c>
      <c r="D10">
        <f>IF(AND(VLOOKUP(D$1,'40Trips'!$A$3:$I$42,8,FALSE)-VLOOKUP($A10,'40Trips'!$A$3:$I$42,9,FALSE)&gt;=VLOOKUP(VLOOKUP(D$1, '40Trips'!$A$3:$I$42,3,FALSE),'40Trips'!$J$32:$K$35, 2, FALSE)),1,0)</f>
        <v>0</v>
      </c>
      <c r="E10">
        <f>IF(AND(VLOOKUP(E$1,'40Trips'!$A$3:$I$42,8,FALSE)-VLOOKUP($A10,'40Trips'!$A$3:$I$42,9,FALSE)&gt;=VLOOKUP(VLOOKUP(E$1, '40Trips'!$A$3:$I$42,3,FALSE),'40Trips'!$J$32:$K$35, 2, FALSE)),1,0)</f>
        <v>0</v>
      </c>
      <c r="F10">
        <f>IF(AND(VLOOKUP(F$1,'40Trips'!$A$3:$I$42,8,FALSE)-VLOOKUP($A10,'40Trips'!$A$3:$I$42,9,FALSE)&gt;=VLOOKUP(VLOOKUP(F$1, '40Trips'!$A$3:$I$42,3,FALSE),'40Trips'!$J$32:$K$35, 2, FALSE)),1,0)</f>
        <v>0</v>
      </c>
      <c r="G10">
        <f>IF(AND(VLOOKUP(G$1,'40Trips'!$A$3:$I$42,8,FALSE)-VLOOKUP($A10,'40Trips'!$A$3:$I$42,9,FALSE)&gt;=VLOOKUP(VLOOKUP(G$1, '40Trips'!$A$3:$I$42,3,FALSE),'40Trips'!$J$32:$K$35, 2, FALSE)),1,0)</f>
        <v>0</v>
      </c>
      <c r="H10">
        <f>IF(AND(VLOOKUP(H$1,'40Trips'!$A$3:$I$42,8,FALSE)-VLOOKUP($A10,'40Trips'!$A$3:$I$42,9,FALSE)&gt;=VLOOKUP(VLOOKUP(H$1, '40Trips'!$A$3:$I$42,3,FALSE),'40Trips'!$J$32:$K$35, 2, FALSE)),1,0)</f>
        <v>0</v>
      </c>
      <c r="I10">
        <f>IF(AND(VLOOKUP(I$1,'40Trips'!$A$3:$I$42,8,FALSE)-VLOOKUP($A10,'40Trips'!$A$3:$I$42,9,FALSE)&gt;=VLOOKUP(VLOOKUP(I$1, '40Trips'!$A$3:$I$42,3,FALSE),'40Trips'!$J$32:$K$35, 2, FALSE)),1,0)</f>
        <v>0</v>
      </c>
      <c r="J10">
        <f>IF(AND(VLOOKUP(J$1,'40Trips'!$A$3:$I$42,8,FALSE)-VLOOKUP($A10,'40Trips'!$A$3:$I$42,9,FALSE)&gt;=VLOOKUP(VLOOKUP(J$1, '40Trips'!$A$3:$I$42,3,FALSE),'40Trips'!$J$32:$K$35, 2, FALSE)),1,0)</f>
        <v>0</v>
      </c>
      <c r="K10">
        <f>IF(AND(VLOOKUP(K$1,'40Trips'!$A$3:$I$42,8,FALSE)-VLOOKUP($A10,'40Trips'!$A$3:$I$42,9,FALSE)&gt;=VLOOKUP(VLOOKUP(K$1, '40Trips'!$A$3:$I$42,3,FALSE),'40Trips'!$J$32:$K$35, 2, FALSE)),1,0)</f>
        <v>0</v>
      </c>
      <c r="L10">
        <f>IF(AND(VLOOKUP(L$1,'40Trips'!$A$3:$I$42,8,FALSE)-VLOOKUP($A10,'40Trips'!$A$3:$I$42,9,FALSE)&gt;=VLOOKUP(VLOOKUP(L$1, '40Trips'!$A$3:$I$42,3,FALSE),'40Trips'!$J$32:$K$35, 2, FALSE)),1,0)</f>
        <v>0</v>
      </c>
      <c r="M10">
        <f>IF(AND(VLOOKUP(M$1,'40Trips'!$A$3:$I$42,8,FALSE)-VLOOKUP($A10,'40Trips'!$A$3:$I$42,9,FALSE)&gt;=VLOOKUP(VLOOKUP(M$1, '40Trips'!$A$3:$I$42,3,FALSE),'40Trips'!$J$32:$K$35, 2, FALSE)),1,0)</f>
        <v>0</v>
      </c>
      <c r="N10">
        <f>IF(AND(VLOOKUP(N$1,'40Trips'!$A$3:$I$42,8,FALSE)-VLOOKUP($A10,'40Trips'!$A$3:$I$42,9,FALSE)&gt;=VLOOKUP(VLOOKUP(N$1, '40Trips'!$A$3:$I$42,3,FALSE),'40Trips'!$J$32:$K$35, 2, FALSE)),1,0)</f>
        <v>0</v>
      </c>
      <c r="O10">
        <f>IF(AND(VLOOKUP(O$1,'40Trips'!$A$3:$I$42,8,FALSE)-VLOOKUP($A10,'40Trips'!$A$3:$I$42,9,FALSE)&gt;=VLOOKUP(VLOOKUP(O$1, '40Trips'!$A$3:$I$42,3,FALSE),'40Trips'!$J$32:$K$35, 2, FALSE)),1,0)</f>
        <v>0</v>
      </c>
      <c r="P10">
        <f>IF(AND(VLOOKUP(P$1,'40Trips'!$A$3:$I$42,8,FALSE)-VLOOKUP($A10,'40Trips'!$A$3:$I$42,9,FALSE)&gt;=VLOOKUP(VLOOKUP(P$1, '40Trips'!$A$3:$I$42,3,FALSE),'40Trips'!$J$32:$K$35, 2, FALSE)),1,0)</f>
        <v>0</v>
      </c>
      <c r="Q10">
        <f>IF(AND(VLOOKUP(Q$1,'40Trips'!$A$3:$I$42,8,FALSE)-VLOOKUP($A10,'40Trips'!$A$3:$I$42,9,FALSE)&gt;=VLOOKUP(VLOOKUP(Q$1, '40Trips'!$A$3:$I$42,3,FALSE),'40Trips'!$J$32:$K$35, 2, FALSE)),1,0)</f>
        <v>0</v>
      </c>
      <c r="R10">
        <f>IF(AND(VLOOKUP(R$1,'40Trips'!$A$3:$I$42,8,FALSE)-VLOOKUP($A10,'40Trips'!$A$3:$I$42,9,FALSE)&gt;=VLOOKUP(VLOOKUP(R$1, '40Trips'!$A$3:$I$42,3,FALSE),'40Trips'!$J$32:$K$35, 2, FALSE)),1,0)</f>
        <v>0</v>
      </c>
      <c r="S10">
        <f>IF(AND(VLOOKUP(S$1,'40Trips'!$A$3:$I$42,8,FALSE)-VLOOKUP($A10,'40Trips'!$A$3:$I$42,9,FALSE)&gt;=VLOOKUP(VLOOKUP(S$1, '40Trips'!$A$3:$I$42,3,FALSE),'40Trips'!$J$32:$K$35, 2, FALSE)),1,0)</f>
        <v>0</v>
      </c>
      <c r="T10">
        <f>IF(AND(VLOOKUP(T$1,'40Trips'!$A$3:$I$42,8,FALSE)-VLOOKUP($A10,'40Trips'!$A$3:$I$42,9,FALSE)&gt;=VLOOKUP(VLOOKUP(T$1, '40Trips'!$A$3:$I$42,3,FALSE),'40Trips'!$J$32:$K$35, 2, FALSE)),1,0)</f>
        <v>0</v>
      </c>
      <c r="U10">
        <f>IF(AND(VLOOKUP(U$1,'40Trips'!$A$3:$I$42,8,FALSE)-VLOOKUP($A10,'40Trips'!$A$3:$I$42,9,FALSE)&gt;=VLOOKUP(VLOOKUP(U$1, '40Trips'!$A$3:$I$42,3,FALSE),'40Trips'!$J$32:$K$35, 2, FALSE)),1,0)</f>
        <v>0</v>
      </c>
      <c r="V10">
        <f>IF(AND(VLOOKUP(V$1,'40Trips'!$A$3:$I$42,8,FALSE)-VLOOKUP($A10,'40Trips'!$A$3:$I$42,9,FALSE)&gt;=VLOOKUP(VLOOKUP(V$1, '40Trips'!$A$3:$I$42,3,FALSE),'40Trips'!$J$32:$K$35, 2, FALSE)),1,0)</f>
        <v>0</v>
      </c>
      <c r="W10">
        <f>IF(AND(VLOOKUP(W$1,'40Trips'!$A$3:$I$42,8,FALSE)-VLOOKUP($A10,'40Trips'!$A$3:$I$42,9,FALSE)&gt;=VLOOKUP(VLOOKUP(W$1, '40Trips'!$A$3:$I$42,3,FALSE),'40Trips'!$J$32:$K$35, 2, FALSE)),1,0)</f>
        <v>0</v>
      </c>
      <c r="X10">
        <f>IF(AND(VLOOKUP(X$1,'40Trips'!$A$3:$I$42,8,FALSE)-VLOOKUP($A10,'40Trips'!$A$3:$I$42,9,FALSE)&gt;=VLOOKUP(VLOOKUP(X$1, '40Trips'!$A$3:$I$42,3,FALSE),'40Trips'!$J$32:$K$35, 2, FALSE)),1,0)</f>
        <v>0</v>
      </c>
      <c r="Y10">
        <f>IF(AND(VLOOKUP(Y$1,'40Trips'!$A$3:$I$42,8,FALSE)-VLOOKUP($A10,'40Trips'!$A$3:$I$42,9,FALSE)&gt;=VLOOKUP(VLOOKUP(Y$1, '40Trips'!$A$3:$I$42,3,FALSE),'40Trips'!$J$32:$K$35, 2, FALSE)),1,0)</f>
        <v>0</v>
      </c>
      <c r="Z10">
        <f>IF(AND(VLOOKUP(Z$1,'40Trips'!$A$3:$I$42,8,FALSE)-VLOOKUP($A10,'40Trips'!$A$3:$I$42,9,FALSE)&gt;=VLOOKUP(VLOOKUP(Z$1, '40Trips'!$A$3:$I$42,3,FALSE),'40Trips'!$J$32:$K$35, 2, FALSE)),1,0)</f>
        <v>0</v>
      </c>
      <c r="AA10">
        <f>IF(AND(VLOOKUP(AA$1,'40Trips'!$A$3:$I$42,8,FALSE)-VLOOKUP($A10,'40Trips'!$A$3:$I$42,9,FALSE)&gt;=VLOOKUP(VLOOKUP(AA$1, '40Trips'!$A$3:$I$42,3,FALSE),'40Trips'!$J$32:$K$35, 2, FALSE)),1,0)</f>
        <v>0</v>
      </c>
      <c r="AB10">
        <f>IF(AND(VLOOKUP(AB$1,'40Trips'!$A$3:$I$42,8,FALSE)-VLOOKUP($A10,'40Trips'!$A$3:$I$42,9,FALSE)&gt;=VLOOKUP(VLOOKUP(AB$1, '40Trips'!$A$3:$I$42,3,FALSE),'40Trips'!$J$32:$K$35, 2, FALSE)),1,0)</f>
        <v>0</v>
      </c>
      <c r="AC10">
        <f>IF(AND(VLOOKUP(AC$1,'40Trips'!$A$3:$I$42,8,FALSE)-VLOOKUP($A10,'40Trips'!$A$3:$I$42,9,FALSE)&gt;=VLOOKUP(VLOOKUP(AC$1, '40Trips'!$A$3:$I$42,3,FALSE),'40Trips'!$J$32:$K$35, 2, FALSE)),1,0)</f>
        <v>0</v>
      </c>
      <c r="AD10">
        <f>IF(AND(VLOOKUP(AD$1,'40Trips'!$A$3:$I$42,8,FALSE)-VLOOKUP($A10,'40Trips'!$A$3:$I$42,9,FALSE)&gt;=VLOOKUP(VLOOKUP(AD$1, '40Trips'!$A$3:$I$42,3,FALSE),'40Trips'!$J$32:$K$35, 2, FALSE)),1,0)</f>
        <v>0</v>
      </c>
      <c r="AE10">
        <f>IF(AND(VLOOKUP(AE$1,'40Trips'!$A$3:$I$42,8,FALSE)-VLOOKUP($A10,'40Trips'!$A$3:$I$42,9,FALSE)&gt;=VLOOKUP(VLOOKUP(AE$1, '40Trips'!$A$3:$I$42,3,FALSE),'40Trips'!$J$32:$K$35, 2, FALSE)),1,0)</f>
        <v>0</v>
      </c>
      <c r="AF10">
        <f>IF(AND(VLOOKUP(AF$1,'40Trips'!$A$3:$I$42,8,FALSE)-VLOOKUP($A10,'40Trips'!$A$3:$I$42,9,FALSE)&gt;=VLOOKUP(VLOOKUP(AF$1, '40Trips'!$A$3:$I$42,3,FALSE),'40Trips'!$J$32:$K$35, 2, FALSE)),1,0)</f>
        <v>0</v>
      </c>
      <c r="AG10">
        <f>IF(AND(VLOOKUP(AG$1,'40Trips'!$A$3:$I$42,8,FALSE)-VLOOKUP($A10,'40Trips'!$A$3:$I$42,9,FALSE)&gt;=VLOOKUP(VLOOKUP(AG$1, '40Trips'!$A$3:$I$42,3,FALSE),'40Trips'!$J$32:$K$35, 2, FALSE)),1,0)</f>
        <v>0</v>
      </c>
      <c r="AH10">
        <f>IF(AND(VLOOKUP(AH$1,'40Trips'!$A$3:$I$42,8,FALSE)-VLOOKUP($A10,'40Trips'!$A$3:$I$42,9,FALSE)&gt;=VLOOKUP(VLOOKUP(AH$1, '40Trips'!$A$3:$I$42,3,FALSE),'40Trips'!$J$32:$K$35, 2, FALSE)),1,0)</f>
        <v>0</v>
      </c>
      <c r="AI10">
        <f>IF(AND(VLOOKUP(AI$1,'40Trips'!$A$3:$I$42,8,FALSE)-VLOOKUP($A10,'40Trips'!$A$3:$I$42,9,FALSE)&gt;=VLOOKUP(VLOOKUP(AI$1, '40Trips'!$A$3:$I$42,3,FALSE),'40Trips'!$J$32:$K$35, 2, FALSE)),1,0)</f>
        <v>0</v>
      </c>
      <c r="AJ10">
        <f>IF(AND(VLOOKUP(AJ$1,'40Trips'!$A$3:$I$42,8,FALSE)-VLOOKUP($A10,'40Trips'!$A$3:$I$42,9,FALSE)&gt;=VLOOKUP(VLOOKUP(AJ$1, '40Trips'!$A$3:$I$42,3,FALSE),'40Trips'!$J$32:$K$35, 2, FALSE)),1,0)</f>
        <v>0</v>
      </c>
      <c r="AK10">
        <f>IF(AND(VLOOKUP(AK$1,'40Trips'!$A$3:$I$42,8,FALSE)-VLOOKUP($A10,'40Trips'!$A$3:$I$42,9,FALSE)&gt;=VLOOKUP(VLOOKUP(AK$1, '40Trips'!$A$3:$I$42,3,FALSE),'40Trips'!$J$32:$K$35, 2, FALSE)),1,0)</f>
        <v>0</v>
      </c>
      <c r="AL10">
        <f>IF(AND(VLOOKUP(AL$1,'40Trips'!$A$3:$I$42,8,FALSE)-VLOOKUP($A10,'40Trips'!$A$3:$I$42,9,FALSE)&gt;=VLOOKUP(VLOOKUP(AL$1, '40Trips'!$A$3:$I$42,3,FALSE),'40Trips'!$J$32:$K$35, 2, FALSE)),1,0)</f>
        <v>0</v>
      </c>
      <c r="AM10">
        <f>IF(AND(VLOOKUP(AM$1,'40Trips'!$A$3:$I$42,8,FALSE)-VLOOKUP($A10,'40Trips'!$A$3:$I$42,9,FALSE)&gt;=VLOOKUP(VLOOKUP(AM$1, '40Trips'!$A$3:$I$42,3,FALSE),'40Trips'!$J$32:$K$35, 2, FALSE)),1,0)</f>
        <v>0</v>
      </c>
      <c r="AN10">
        <f>IF(AND(VLOOKUP(AN$1,'40Trips'!$A$3:$I$42,8,FALSE)-VLOOKUP($A10,'40Trips'!$A$3:$I$42,9,FALSE)&gt;=VLOOKUP(VLOOKUP(AN$1, '40Trips'!$A$3:$I$42,3,FALSE),'40Trips'!$J$32:$K$35, 2, FALSE)),1,0)</f>
        <v>0</v>
      </c>
      <c r="AO10">
        <f>IF(AND(VLOOKUP(AO$1,'40Trips'!$A$3:$I$42,8,FALSE)-VLOOKUP($A10,'40Trips'!$A$3:$I$42,9,FALSE)&gt;=VLOOKUP(VLOOKUP(AO$1, '40Trips'!$A$3:$I$42,3,FALSE),'40Trips'!$J$32:$K$35, 2, FALSE)),1,0)</f>
        <v>0</v>
      </c>
      <c r="AP10">
        <f>IF(AND(VLOOKUP(AP$1,'40Trips'!$A$3:$I$42,8,FALSE)-VLOOKUP($A10,'40Trips'!$A$3:$I$42,9,FALSE)&gt;=VLOOKUP(VLOOKUP(AP$1, '40Trips'!$A$3:$I$42,3,FALSE),'40Trips'!$J$32:$K$35, 2, FALSE)),1,0)</f>
        <v>0</v>
      </c>
    </row>
    <row r="11" spans="1:43" x14ac:dyDescent="0.25">
      <c r="A11" t="s">
        <v>24</v>
      </c>
      <c r="B11" s="3">
        <v>1</v>
      </c>
      <c r="C11">
        <f>IF(AND(VLOOKUP(C$1,'40Trips'!$A$3:$I$42,8,FALSE)-VLOOKUP($A11,'40Trips'!$A$3:$I$42,9,FALSE)&gt;=VLOOKUP(VLOOKUP(C$1, '40Trips'!$A$3:$I$42,3,FALSE),'40Trips'!$J$32:$K$35, 2, FALSE)),1,0)</f>
        <v>0</v>
      </c>
      <c r="D11">
        <f>IF(AND(VLOOKUP(D$1,'40Trips'!$A$3:$I$42,8,FALSE)-VLOOKUP($A11,'40Trips'!$A$3:$I$42,9,FALSE)&gt;=VLOOKUP(VLOOKUP(D$1, '40Trips'!$A$3:$I$42,3,FALSE),'40Trips'!$J$32:$K$35, 2, FALSE)),1,0)</f>
        <v>1</v>
      </c>
      <c r="E11">
        <f>IF(AND(VLOOKUP(E$1,'40Trips'!$A$3:$I$42,8,FALSE)-VLOOKUP($A11,'40Trips'!$A$3:$I$42,9,FALSE)&gt;=VLOOKUP(VLOOKUP(E$1, '40Trips'!$A$3:$I$42,3,FALSE),'40Trips'!$J$32:$K$35, 2, FALSE)),1,0)</f>
        <v>1</v>
      </c>
      <c r="F11">
        <f>IF(AND(VLOOKUP(F$1,'40Trips'!$A$3:$I$42,8,FALSE)-VLOOKUP($A11,'40Trips'!$A$3:$I$42,9,FALSE)&gt;=VLOOKUP(VLOOKUP(F$1, '40Trips'!$A$3:$I$42,3,FALSE),'40Trips'!$J$32:$K$35, 2, FALSE)),1,0)</f>
        <v>1</v>
      </c>
      <c r="G11">
        <f>IF(AND(VLOOKUP(G$1,'40Trips'!$A$3:$I$42,8,FALSE)-VLOOKUP($A11,'40Trips'!$A$3:$I$42,9,FALSE)&gt;=VLOOKUP(VLOOKUP(G$1, '40Trips'!$A$3:$I$42,3,FALSE),'40Trips'!$J$32:$K$35, 2, FALSE)),1,0)</f>
        <v>0</v>
      </c>
      <c r="H11">
        <f>IF(AND(VLOOKUP(H$1,'40Trips'!$A$3:$I$42,8,FALSE)-VLOOKUP($A11,'40Trips'!$A$3:$I$42,9,FALSE)&gt;=VLOOKUP(VLOOKUP(H$1, '40Trips'!$A$3:$I$42,3,FALSE),'40Trips'!$J$32:$K$35, 2, FALSE)),1,0)</f>
        <v>0</v>
      </c>
      <c r="I11">
        <f>IF(AND(VLOOKUP(I$1,'40Trips'!$A$3:$I$42,8,FALSE)-VLOOKUP($A11,'40Trips'!$A$3:$I$42,9,FALSE)&gt;=VLOOKUP(VLOOKUP(I$1, '40Trips'!$A$3:$I$42,3,FALSE),'40Trips'!$J$32:$K$35, 2, FALSE)),1,0)</f>
        <v>1</v>
      </c>
      <c r="J11">
        <f>IF(AND(VLOOKUP(J$1,'40Trips'!$A$3:$I$42,8,FALSE)-VLOOKUP($A11,'40Trips'!$A$3:$I$42,9,FALSE)&gt;=VLOOKUP(VLOOKUP(J$1, '40Trips'!$A$3:$I$42,3,FALSE),'40Trips'!$J$32:$K$35, 2, FALSE)),1,0)</f>
        <v>1</v>
      </c>
      <c r="K11">
        <f>IF(AND(VLOOKUP(K$1,'40Trips'!$A$3:$I$42,8,FALSE)-VLOOKUP($A11,'40Trips'!$A$3:$I$42,9,FALSE)&gt;=VLOOKUP(VLOOKUP(K$1, '40Trips'!$A$3:$I$42,3,FALSE),'40Trips'!$J$32:$K$35, 2, FALSE)),1,0)</f>
        <v>0</v>
      </c>
      <c r="L11">
        <f>IF(AND(VLOOKUP(L$1,'40Trips'!$A$3:$I$42,8,FALSE)-VLOOKUP($A11,'40Trips'!$A$3:$I$42,9,FALSE)&gt;=VLOOKUP(VLOOKUP(L$1, '40Trips'!$A$3:$I$42,3,FALSE),'40Trips'!$J$32:$K$35, 2, FALSE)),1,0)</f>
        <v>0</v>
      </c>
      <c r="M11">
        <f>IF(AND(VLOOKUP(M$1,'40Trips'!$A$3:$I$42,8,FALSE)-VLOOKUP($A11,'40Trips'!$A$3:$I$42,9,FALSE)&gt;=VLOOKUP(VLOOKUP(M$1, '40Trips'!$A$3:$I$42,3,FALSE),'40Trips'!$J$32:$K$35, 2, FALSE)),1,0)</f>
        <v>1</v>
      </c>
      <c r="N11">
        <f>IF(AND(VLOOKUP(N$1,'40Trips'!$A$3:$I$42,8,FALSE)-VLOOKUP($A11,'40Trips'!$A$3:$I$42,9,FALSE)&gt;=VLOOKUP(VLOOKUP(N$1, '40Trips'!$A$3:$I$42,3,FALSE),'40Trips'!$J$32:$K$35, 2, FALSE)),1,0)</f>
        <v>0</v>
      </c>
      <c r="O11">
        <f>IF(AND(VLOOKUP(O$1,'40Trips'!$A$3:$I$42,8,FALSE)-VLOOKUP($A11,'40Trips'!$A$3:$I$42,9,FALSE)&gt;=VLOOKUP(VLOOKUP(O$1, '40Trips'!$A$3:$I$42,3,FALSE),'40Trips'!$J$32:$K$35, 2, FALSE)),1,0)</f>
        <v>0</v>
      </c>
      <c r="P11">
        <f>IF(AND(VLOOKUP(P$1,'40Trips'!$A$3:$I$42,8,FALSE)-VLOOKUP($A11,'40Trips'!$A$3:$I$42,9,FALSE)&gt;=VLOOKUP(VLOOKUP(P$1, '40Trips'!$A$3:$I$42,3,FALSE),'40Trips'!$J$32:$K$35, 2, FALSE)),1,0)</f>
        <v>1</v>
      </c>
      <c r="Q11">
        <f>IF(AND(VLOOKUP(Q$1,'40Trips'!$A$3:$I$42,8,FALSE)-VLOOKUP($A11,'40Trips'!$A$3:$I$42,9,FALSE)&gt;=VLOOKUP(VLOOKUP(Q$1, '40Trips'!$A$3:$I$42,3,FALSE),'40Trips'!$J$32:$K$35, 2, FALSE)),1,0)</f>
        <v>1</v>
      </c>
      <c r="R11">
        <f>IF(AND(VLOOKUP(R$1,'40Trips'!$A$3:$I$42,8,FALSE)-VLOOKUP($A11,'40Trips'!$A$3:$I$42,9,FALSE)&gt;=VLOOKUP(VLOOKUP(R$1, '40Trips'!$A$3:$I$42,3,FALSE),'40Trips'!$J$32:$K$35, 2, FALSE)),1,0)</f>
        <v>1</v>
      </c>
      <c r="S11">
        <f>IF(AND(VLOOKUP(S$1,'40Trips'!$A$3:$I$42,8,FALSE)-VLOOKUP($A11,'40Trips'!$A$3:$I$42,9,FALSE)&gt;=VLOOKUP(VLOOKUP(S$1, '40Trips'!$A$3:$I$42,3,FALSE),'40Trips'!$J$32:$K$35, 2, FALSE)),1,0)</f>
        <v>0</v>
      </c>
      <c r="T11">
        <f>IF(AND(VLOOKUP(T$1,'40Trips'!$A$3:$I$42,8,FALSE)-VLOOKUP($A11,'40Trips'!$A$3:$I$42,9,FALSE)&gt;=VLOOKUP(VLOOKUP(T$1, '40Trips'!$A$3:$I$42,3,FALSE),'40Trips'!$J$32:$K$35, 2, FALSE)),1,0)</f>
        <v>0</v>
      </c>
      <c r="U11">
        <f>IF(AND(VLOOKUP(U$1,'40Trips'!$A$3:$I$42,8,FALSE)-VLOOKUP($A11,'40Trips'!$A$3:$I$42,9,FALSE)&gt;=VLOOKUP(VLOOKUP(U$1, '40Trips'!$A$3:$I$42,3,FALSE),'40Trips'!$J$32:$K$35, 2, FALSE)),1,0)</f>
        <v>1</v>
      </c>
      <c r="V11">
        <f>IF(AND(VLOOKUP(V$1,'40Trips'!$A$3:$I$42,8,FALSE)-VLOOKUP($A11,'40Trips'!$A$3:$I$42,9,FALSE)&gt;=VLOOKUP(VLOOKUP(V$1, '40Trips'!$A$3:$I$42,3,FALSE),'40Trips'!$J$32:$K$35, 2, FALSE)),1,0)</f>
        <v>1</v>
      </c>
      <c r="W11">
        <f>IF(AND(VLOOKUP(W$1,'40Trips'!$A$3:$I$42,8,FALSE)-VLOOKUP($A11,'40Trips'!$A$3:$I$42,9,FALSE)&gt;=VLOOKUP(VLOOKUP(W$1, '40Trips'!$A$3:$I$42,3,FALSE),'40Trips'!$J$32:$K$35, 2, FALSE)),1,0)</f>
        <v>0</v>
      </c>
      <c r="X11">
        <f>IF(AND(VLOOKUP(X$1,'40Trips'!$A$3:$I$42,8,FALSE)-VLOOKUP($A11,'40Trips'!$A$3:$I$42,9,FALSE)&gt;=VLOOKUP(VLOOKUP(X$1, '40Trips'!$A$3:$I$42,3,FALSE),'40Trips'!$J$32:$K$35, 2, FALSE)),1,0)</f>
        <v>1</v>
      </c>
      <c r="Y11">
        <f>IF(AND(VLOOKUP(Y$1,'40Trips'!$A$3:$I$42,8,FALSE)-VLOOKUP($A11,'40Trips'!$A$3:$I$42,9,FALSE)&gt;=VLOOKUP(VLOOKUP(Y$1, '40Trips'!$A$3:$I$42,3,FALSE),'40Trips'!$J$32:$K$35, 2, FALSE)),1,0)</f>
        <v>1</v>
      </c>
      <c r="Z11">
        <f>IF(AND(VLOOKUP(Z$1,'40Trips'!$A$3:$I$42,8,FALSE)-VLOOKUP($A11,'40Trips'!$A$3:$I$42,9,FALSE)&gt;=VLOOKUP(VLOOKUP(Z$1, '40Trips'!$A$3:$I$42,3,FALSE),'40Trips'!$J$32:$K$35, 2, FALSE)),1,0)</f>
        <v>1</v>
      </c>
      <c r="AA11">
        <f>IF(AND(VLOOKUP(AA$1,'40Trips'!$A$3:$I$42,8,FALSE)-VLOOKUP($A11,'40Trips'!$A$3:$I$42,9,FALSE)&gt;=VLOOKUP(VLOOKUP(AA$1, '40Trips'!$A$3:$I$42,3,FALSE),'40Trips'!$J$32:$K$35, 2, FALSE)),1,0)</f>
        <v>0</v>
      </c>
      <c r="AB11">
        <f>IF(AND(VLOOKUP(AB$1,'40Trips'!$A$3:$I$42,8,FALSE)-VLOOKUP($A11,'40Trips'!$A$3:$I$42,9,FALSE)&gt;=VLOOKUP(VLOOKUP(AB$1, '40Trips'!$A$3:$I$42,3,FALSE),'40Trips'!$J$32:$K$35, 2, FALSE)),1,0)</f>
        <v>0</v>
      </c>
      <c r="AC11">
        <f>IF(AND(VLOOKUP(AC$1,'40Trips'!$A$3:$I$42,8,FALSE)-VLOOKUP($A11,'40Trips'!$A$3:$I$42,9,FALSE)&gt;=VLOOKUP(VLOOKUP(AC$1, '40Trips'!$A$3:$I$42,3,FALSE),'40Trips'!$J$32:$K$35, 2, FALSE)),1,0)</f>
        <v>1</v>
      </c>
      <c r="AD11">
        <f>IF(AND(VLOOKUP(AD$1,'40Trips'!$A$3:$I$42,8,FALSE)-VLOOKUP($A11,'40Trips'!$A$3:$I$42,9,FALSE)&gt;=VLOOKUP(VLOOKUP(AD$1, '40Trips'!$A$3:$I$42,3,FALSE),'40Trips'!$J$32:$K$35, 2, FALSE)),1,0)</f>
        <v>1</v>
      </c>
      <c r="AE11">
        <f>IF(AND(VLOOKUP(AE$1,'40Trips'!$A$3:$I$42,8,FALSE)-VLOOKUP($A11,'40Trips'!$A$3:$I$42,9,FALSE)&gt;=VLOOKUP(VLOOKUP(AE$1, '40Trips'!$A$3:$I$42,3,FALSE),'40Trips'!$J$32:$K$35, 2, FALSE)),1,0)</f>
        <v>0</v>
      </c>
      <c r="AF11">
        <f>IF(AND(VLOOKUP(AF$1,'40Trips'!$A$3:$I$42,8,FALSE)-VLOOKUP($A11,'40Trips'!$A$3:$I$42,9,FALSE)&gt;=VLOOKUP(VLOOKUP(AF$1, '40Trips'!$A$3:$I$42,3,FALSE),'40Trips'!$J$32:$K$35, 2, FALSE)),1,0)</f>
        <v>0</v>
      </c>
      <c r="AG11">
        <f>IF(AND(VLOOKUP(AG$1,'40Trips'!$A$3:$I$42,8,FALSE)-VLOOKUP($A11,'40Trips'!$A$3:$I$42,9,FALSE)&gt;=VLOOKUP(VLOOKUP(AG$1, '40Trips'!$A$3:$I$42,3,FALSE),'40Trips'!$J$32:$K$35, 2, FALSE)),1,0)</f>
        <v>0</v>
      </c>
      <c r="AH11">
        <f>IF(AND(VLOOKUP(AH$1,'40Trips'!$A$3:$I$42,8,FALSE)-VLOOKUP($A11,'40Trips'!$A$3:$I$42,9,FALSE)&gt;=VLOOKUP(VLOOKUP(AH$1, '40Trips'!$A$3:$I$42,3,FALSE),'40Trips'!$J$32:$K$35, 2, FALSE)),1,0)</f>
        <v>1</v>
      </c>
      <c r="AI11">
        <f>IF(AND(VLOOKUP(AI$1,'40Trips'!$A$3:$I$42,8,FALSE)-VLOOKUP($A11,'40Trips'!$A$3:$I$42,9,FALSE)&gt;=VLOOKUP(VLOOKUP(AI$1, '40Trips'!$A$3:$I$42,3,FALSE),'40Trips'!$J$32:$K$35, 2, FALSE)),1,0)</f>
        <v>1</v>
      </c>
      <c r="AJ11">
        <f>IF(AND(VLOOKUP(AJ$1,'40Trips'!$A$3:$I$42,8,FALSE)-VLOOKUP($A11,'40Trips'!$A$3:$I$42,9,FALSE)&gt;=VLOOKUP(VLOOKUP(AJ$1, '40Trips'!$A$3:$I$42,3,FALSE),'40Trips'!$J$32:$K$35, 2, FALSE)),1,0)</f>
        <v>1</v>
      </c>
      <c r="AK11">
        <f>IF(AND(VLOOKUP(AK$1,'40Trips'!$A$3:$I$42,8,FALSE)-VLOOKUP($A11,'40Trips'!$A$3:$I$42,9,FALSE)&gt;=VLOOKUP(VLOOKUP(AK$1, '40Trips'!$A$3:$I$42,3,FALSE),'40Trips'!$J$32:$K$35, 2, FALSE)),1,0)</f>
        <v>1</v>
      </c>
      <c r="AL11">
        <f>IF(AND(VLOOKUP(AL$1,'40Trips'!$A$3:$I$42,8,FALSE)-VLOOKUP($A11,'40Trips'!$A$3:$I$42,9,FALSE)&gt;=VLOOKUP(VLOOKUP(AL$1, '40Trips'!$A$3:$I$42,3,FALSE),'40Trips'!$J$32:$K$35, 2, FALSE)),1,0)</f>
        <v>1</v>
      </c>
      <c r="AM11">
        <f>IF(AND(VLOOKUP(AM$1,'40Trips'!$A$3:$I$42,8,FALSE)-VLOOKUP($A11,'40Trips'!$A$3:$I$42,9,FALSE)&gt;=VLOOKUP(VLOOKUP(AM$1, '40Trips'!$A$3:$I$42,3,FALSE),'40Trips'!$J$32:$K$35, 2, FALSE)),1,0)</f>
        <v>0</v>
      </c>
      <c r="AN11">
        <f>IF(AND(VLOOKUP(AN$1,'40Trips'!$A$3:$I$42,8,FALSE)-VLOOKUP($A11,'40Trips'!$A$3:$I$42,9,FALSE)&gt;=VLOOKUP(VLOOKUP(AN$1, '40Trips'!$A$3:$I$42,3,FALSE),'40Trips'!$J$32:$K$35, 2, FALSE)),1,0)</f>
        <v>1</v>
      </c>
      <c r="AO11">
        <f>IF(AND(VLOOKUP(AO$1,'40Trips'!$A$3:$I$42,8,FALSE)-VLOOKUP($A11,'40Trips'!$A$3:$I$42,9,FALSE)&gt;=VLOOKUP(VLOOKUP(AO$1, '40Trips'!$A$3:$I$42,3,FALSE),'40Trips'!$J$32:$K$35, 2, FALSE)),1,0)</f>
        <v>1</v>
      </c>
      <c r="AP11">
        <f>IF(AND(VLOOKUP(AP$1,'40Trips'!$A$3:$I$42,8,FALSE)-VLOOKUP($A11,'40Trips'!$A$3:$I$42,9,FALSE)&gt;=VLOOKUP(VLOOKUP(AP$1, '40Trips'!$A$3:$I$42,3,FALSE),'40Trips'!$J$32:$K$35, 2, FALSE)),1,0)</f>
        <v>1</v>
      </c>
    </row>
    <row r="12" spans="1:43" x14ac:dyDescent="0.25">
      <c r="A12" t="s">
        <v>73</v>
      </c>
      <c r="B12" s="3">
        <v>1</v>
      </c>
      <c r="C12">
        <f>IF(AND(VLOOKUP(C$1,'40Trips'!$A$3:$I$42,8,FALSE)-VLOOKUP($A12,'40Trips'!$A$3:$I$42,9,FALSE)&gt;=VLOOKUP(VLOOKUP(C$1, '40Trips'!$A$3:$I$42,3,FALSE),'40Trips'!$J$32:$K$35, 2, FALSE)),1,0)</f>
        <v>0</v>
      </c>
      <c r="D12">
        <f>IF(AND(VLOOKUP(D$1,'40Trips'!$A$3:$I$42,8,FALSE)-VLOOKUP($A12,'40Trips'!$A$3:$I$42,9,FALSE)&gt;=VLOOKUP(VLOOKUP(D$1, '40Trips'!$A$3:$I$42,3,FALSE),'40Trips'!$J$32:$K$35, 2, FALSE)),1,0)</f>
        <v>0</v>
      </c>
      <c r="E12">
        <f>IF(AND(VLOOKUP(E$1,'40Trips'!$A$3:$I$42,8,FALSE)-VLOOKUP($A12,'40Trips'!$A$3:$I$42,9,FALSE)&gt;=VLOOKUP(VLOOKUP(E$1, '40Trips'!$A$3:$I$42,3,FALSE),'40Trips'!$J$32:$K$35, 2, FALSE)),1,0)</f>
        <v>1</v>
      </c>
      <c r="F12">
        <f>IF(AND(VLOOKUP(F$1,'40Trips'!$A$3:$I$42,8,FALSE)-VLOOKUP($A12,'40Trips'!$A$3:$I$42,9,FALSE)&gt;=VLOOKUP(VLOOKUP(F$1, '40Trips'!$A$3:$I$42,3,FALSE),'40Trips'!$J$32:$K$35, 2, FALSE)),1,0)</f>
        <v>1</v>
      </c>
      <c r="G12">
        <f>IF(AND(VLOOKUP(G$1,'40Trips'!$A$3:$I$42,8,FALSE)-VLOOKUP($A12,'40Trips'!$A$3:$I$42,9,FALSE)&gt;=VLOOKUP(VLOOKUP(G$1, '40Trips'!$A$3:$I$42,3,FALSE),'40Trips'!$J$32:$K$35, 2, FALSE)),1,0)</f>
        <v>0</v>
      </c>
      <c r="H12">
        <f>IF(AND(VLOOKUP(H$1,'40Trips'!$A$3:$I$42,8,FALSE)-VLOOKUP($A12,'40Trips'!$A$3:$I$42,9,FALSE)&gt;=VLOOKUP(VLOOKUP(H$1, '40Trips'!$A$3:$I$42,3,FALSE),'40Trips'!$J$32:$K$35, 2, FALSE)),1,0)</f>
        <v>0</v>
      </c>
      <c r="I12">
        <f>IF(AND(VLOOKUP(I$1,'40Trips'!$A$3:$I$42,8,FALSE)-VLOOKUP($A12,'40Trips'!$A$3:$I$42,9,FALSE)&gt;=VLOOKUP(VLOOKUP(I$1, '40Trips'!$A$3:$I$42,3,FALSE),'40Trips'!$J$32:$K$35, 2, FALSE)),1,0)</f>
        <v>1</v>
      </c>
      <c r="J12">
        <f>IF(AND(VLOOKUP(J$1,'40Trips'!$A$3:$I$42,8,FALSE)-VLOOKUP($A12,'40Trips'!$A$3:$I$42,9,FALSE)&gt;=VLOOKUP(VLOOKUP(J$1, '40Trips'!$A$3:$I$42,3,FALSE),'40Trips'!$J$32:$K$35, 2, FALSE)),1,0)</f>
        <v>1</v>
      </c>
      <c r="K12">
        <f>IF(AND(VLOOKUP(K$1,'40Trips'!$A$3:$I$42,8,FALSE)-VLOOKUP($A12,'40Trips'!$A$3:$I$42,9,FALSE)&gt;=VLOOKUP(VLOOKUP(K$1, '40Trips'!$A$3:$I$42,3,FALSE),'40Trips'!$J$32:$K$35, 2, FALSE)),1,0)</f>
        <v>0</v>
      </c>
      <c r="L12">
        <f>IF(AND(VLOOKUP(L$1,'40Trips'!$A$3:$I$42,8,FALSE)-VLOOKUP($A12,'40Trips'!$A$3:$I$42,9,FALSE)&gt;=VLOOKUP(VLOOKUP(L$1, '40Trips'!$A$3:$I$42,3,FALSE),'40Trips'!$J$32:$K$35, 2, FALSE)),1,0)</f>
        <v>0</v>
      </c>
      <c r="M12">
        <f>IF(AND(VLOOKUP(M$1,'40Trips'!$A$3:$I$42,8,FALSE)-VLOOKUP($A12,'40Trips'!$A$3:$I$42,9,FALSE)&gt;=VLOOKUP(VLOOKUP(M$1, '40Trips'!$A$3:$I$42,3,FALSE),'40Trips'!$J$32:$K$35, 2, FALSE)),1,0)</f>
        <v>1</v>
      </c>
      <c r="N12">
        <f>IF(AND(VLOOKUP(N$1,'40Trips'!$A$3:$I$42,8,FALSE)-VLOOKUP($A12,'40Trips'!$A$3:$I$42,9,FALSE)&gt;=VLOOKUP(VLOOKUP(N$1, '40Trips'!$A$3:$I$42,3,FALSE),'40Trips'!$J$32:$K$35, 2, FALSE)),1,0)</f>
        <v>0</v>
      </c>
      <c r="O12">
        <f>IF(AND(VLOOKUP(O$1,'40Trips'!$A$3:$I$42,8,FALSE)-VLOOKUP($A12,'40Trips'!$A$3:$I$42,9,FALSE)&gt;=VLOOKUP(VLOOKUP(O$1, '40Trips'!$A$3:$I$42,3,FALSE),'40Trips'!$J$32:$K$35, 2, FALSE)),1,0)</f>
        <v>0</v>
      </c>
      <c r="P12">
        <f>IF(AND(VLOOKUP(P$1,'40Trips'!$A$3:$I$42,8,FALSE)-VLOOKUP($A12,'40Trips'!$A$3:$I$42,9,FALSE)&gt;=VLOOKUP(VLOOKUP(P$1, '40Trips'!$A$3:$I$42,3,FALSE),'40Trips'!$J$32:$K$35, 2, FALSE)),1,0)</f>
        <v>0</v>
      </c>
      <c r="Q12">
        <f>IF(AND(VLOOKUP(Q$1,'40Trips'!$A$3:$I$42,8,FALSE)-VLOOKUP($A12,'40Trips'!$A$3:$I$42,9,FALSE)&gt;=VLOOKUP(VLOOKUP(Q$1, '40Trips'!$A$3:$I$42,3,FALSE),'40Trips'!$J$32:$K$35, 2, FALSE)),1,0)</f>
        <v>1</v>
      </c>
      <c r="R12">
        <f>IF(AND(VLOOKUP(R$1,'40Trips'!$A$3:$I$42,8,FALSE)-VLOOKUP($A12,'40Trips'!$A$3:$I$42,9,FALSE)&gt;=VLOOKUP(VLOOKUP(R$1, '40Trips'!$A$3:$I$42,3,FALSE),'40Trips'!$J$32:$K$35, 2, FALSE)),1,0)</f>
        <v>1</v>
      </c>
      <c r="S12">
        <f>IF(AND(VLOOKUP(S$1,'40Trips'!$A$3:$I$42,8,FALSE)-VLOOKUP($A12,'40Trips'!$A$3:$I$42,9,FALSE)&gt;=VLOOKUP(VLOOKUP(S$1, '40Trips'!$A$3:$I$42,3,FALSE),'40Trips'!$J$32:$K$35, 2, FALSE)),1,0)</f>
        <v>0</v>
      </c>
      <c r="T12">
        <f>IF(AND(VLOOKUP(T$1,'40Trips'!$A$3:$I$42,8,FALSE)-VLOOKUP($A12,'40Trips'!$A$3:$I$42,9,FALSE)&gt;=VLOOKUP(VLOOKUP(T$1, '40Trips'!$A$3:$I$42,3,FALSE),'40Trips'!$J$32:$K$35, 2, FALSE)),1,0)</f>
        <v>0</v>
      </c>
      <c r="U12">
        <f>IF(AND(VLOOKUP(U$1,'40Trips'!$A$3:$I$42,8,FALSE)-VLOOKUP($A12,'40Trips'!$A$3:$I$42,9,FALSE)&gt;=VLOOKUP(VLOOKUP(U$1, '40Trips'!$A$3:$I$42,3,FALSE),'40Trips'!$J$32:$K$35, 2, FALSE)),1,0)</f>
        <v>1</v>
      </c>
      <c r="V12">
        <f>IF(AND(VLOOKUP(V$1,'40Trips'!$A$3:$I$42,8,FALSE)-VLOOKUP($A12,'40Trips'!$A$3:$I$42,9,FALSE)&gt;=VLOOKUP(VLOOKUP(V$1, '40Trips'!$A$3:$I$42,3,FALSE),'40Trips'!$J$32:$K$35, 2, FALSE)),1,0)</f>
        <v>1</v>
      </c>
      <c r="W12">
        <f>IF(AND(VLOOKUP(W$1,'40Trips'!$A$3:$I$42,8,FALSE)-VLOOKUP($A12,'40Trips'!$A$3:$I$42,9,FALSE)&gt;=VLOOKUP(VLOOKUP(W$1, '40Trips'!$A$3:$I$42,3,FALSE),'40Trips'!$J$32:$K$35, 2, FALSE)),1,0)</f>
        <v>0</v>
      </c>
      <c r="X12">
        <f>IF(AND(VLOOKUP(X$1,'40Trips'!$A$3:$I$42,8,FALSE)-VLOOKUP($A12,'40Trips'!$A$3:$I$42,9,FALSE)&gt;=VLOOKUP(VLOOKUP(X$1, '40Trips'!$A$3:$I$42,3,FALSE),'40Trips'!$J$32:$K$35, 2, FALSE)),1,0)</f>
        <v>0</v>
      </c>
      <c r="Y12">
        <f>IF(AND(VLOOKUP(Y$1,'40Trips'!$A$3:$I$42,8,FALSE)-VLOOKUP($A12,'40Trips'!$A$3:$I$42,9,FALSE)&gt;=VLOOKUP(VLOOKUP(Y$1, '40Trips'!$A$3:$I$42,3,FALSE),'40Trips'!$J$32:$K$35, 2, FALSE)),1,0)</f>
        <v>1</v>
      </c>
      <c r="Z12">
        <f>IF(AND(VLOOKUP(Z$1,'40Trips'!$A$3:$I$42,8,FALSE)-VLOOKUP($A12,'40Trips'!$A$3:$I$42,9,FALSE)&gt;=VLOOKUP(VLOOKUP(Z$1, '40Trips'!$A$3:$I$42,3,FALSE),'40Trips'!$J$32:$K$35, 2, FALSE)),1,0)</f>
        <v>1</v>
      </c>
      <c r="AA12">
        <f>IF(AND(VLOOKUP(AA$1,'40Trips'!$A$3:$I$42,8,FALSE)-VLOOKUP($A12,'40Trips'!$A$3:$I$42,9,FALSE)&gt;=VLOOKUP(VLOOKUP(AA$1, '40Trips'!$A$3:$I$42,3,FALSE),'40Trips'!$J$32:$K$35, 2, FALSE)),1,0)</f>
        <v>0</v>
      </c>
      <c r="AB12">
        <f>IF(AND(VLOOKUP(AB$1,'40Trips'!$A$3:$I$42,8,FALSE)-VLOOKUP($A12,'40Trips'!$A$3:$I$42,9,FALSE)&gt;=VLOOKUP(VLOOKUP(AB$1, '40Trips'!$A$3:$I$42,3,FALSE),'40Trips'!$J$32:$K$35, 2, FALSE)),1,0)</f>
        <v>0</v>
      </c>
      <c r="AC12">
        <f>IF(AND(VLOOKUP(AC$1,'40Trips'!$A$3:$I$42,8,FALSE)-VLOOKUP($A12,'40Trips'!$A$3:$I$42,9,FALSE)&gt;=VLOOKUP(VLOOKUP(AC$1, '40Trips'!$A$3:$I$42,3,FALSE),'40Trips'!$J$32:$K$35, 2, FALSE)),1,0)</f>
        <v>1</v>
      </c>
      <c r="AD12">
        <f>IF(AND(VLOOKUP(AD$1,'40Trips'!$A$3:$I$42,8,FALSE)-VLOOKUP($A12,'40Trips'!$A$3:$I$42,9,FALSE)&gt;=VLOOKUP(VLOOKUP(AD$1, '40Trips'!$A$3:$I$42,3,FALSE),'40Trips'!$J$32:$K$35, 2, FALSE)),1,0)</f>
        <v>1</v>
      </c>
      <c r="AE12">
        <f>IF(AND(VLOOKUP(AE$1,'40Trips'!$A$3:$I$42,8,FALSE)-VLOOKUP($A12,'40Trips'!$A$3:$I$42,9,FALSE)&gt;=VLOOKUP(VLOOKUP(AE$1, '40Trips'!$A$3:$I$42,3,FALSE),'40Trips'!$J$32:$K$35, 2, FALSE)),1,0)</f>
        <v>0</v>
      </c>
      <c r="AF12">
        <f>IF(AND(VLOOKUP(AF$1,'40Trips'!$A$3:$I$42,8,FALSE)-VLOOKUP($A12,'40Trips'!$A$3:$I$42,9,FALSE)&gt;=VLOOKUP(VLOOKUP(AF$1, '40Trips'!$A$3:$I$42,3,FALSE),'40Trips'!$J$32:$K$35, 2, FALSE)),1,0)</f>
        <v>0</v>
      </c>
      <c r="AG12">
        <f>IF(AND(VLOOKUP(AG$1,'40Trips'!$A$3:$I$42,8,FALSE)-VLOOKUP($A12,'40Trips'!$A$3:$I$42,9,FALSE)&gt;=VLOOKUP(VLOOKUP(AG$1, '40Trips'!$A$3:$I$42,3,FALSE),'40Trips'!$J$32:$K$35, 2, FALSE)),1,0)</f>
        <v>0</v>
      </c>
      <c r="AH12">
        <f>IF(AND(VLOOKUP(AH$1,'40Trips'!$A$3:$I$42,8,FALSE)-VLOOKUP($A12,'40Trips'!$A$3:$I$42,9,FALSE)&gt;=VLOOKUP(VLOOKUP(AH$1, '40Trips'!$A$3:$I$42,3,FALSE),'40Trips'!$J$32:$K$35, 2, FALSE)),1,0)</f>
        <v>0</v>
      </c>
      <c r="AI12">
        <f>IF(AND(VLOOKUP(AI$1,'40Trips'!$A$3:$I$42,8,FALSE)-VLOOKUP($A12,'40Trips'!$A$3:$I$42,9,FALSE)&gt;=VLOOKUP(VLOOKUP(AI$1, '40Trips'!$A$3:$I$42,3,FALSE),'40Trips'!$J$32:$K$35, 2, FALSE)),1,0)</f>
        <v>0</v>
      </c>
      <c r="AJ12">
        <f>IF(AND(VLOOKUP(AJ$1,'40Trips'!$A$3:$I$42,8,FALSE)-VLOOKUP($A12,'40Trips'!$A$3:$I$42,9,FALSE)&gt;=VLOOKUP(VLOOKUP(AJ$1, '40Trips'!$A$3:$I$42,3,FALSE),'40Trips'!$J$32:$K$35, 2, FALSE)),1,0)</f>
        <v>0</v>
      </c>
      <c r="AK12">
        <f>IF(AND(VLOOKUP(AK$1,'40Trips'!$A$3:$I$42,8,FALSE)-VLOOKUP($A12,'40Trips'!$A$3:$I$42,9,FALSE)&gt;=VLOOKUP(VLOOKUP(AK$1, '40Trips'!$A$3:$I$42,3,FALSE),'40Trips'!$J$32:$K$35, 2, FALSE)),1,0)</f>
        <v>1</v>
      </c>
      <c r="AL12">
        <f>IF(AND(VLOOKUP(AL$1,'40Trips'!$A$3:$I$42,8,FALSE)-VLOOKUP($A12,'40Trips'!$A$3:$I$42,9,FALSE)&gt;=VLOOKUP(VLOOKUP(AL$1, '40Trips'!$A$3:$I$42,3,FALSE),'40Trips'!$J$32:$K$35, 2, FALSE)),1,0)</f>
        <v>1</v>
      </c>
      <c r="AM12">
        <f>IF(AND(VLOOKUP(AM$1,'40Trips'!$A$3:$I$42,8,FALSE)-VLOOKUP($A12,'40Trips'!$A$3:$I$42,9,FALSE)&gt;=VLOOKUP(VLOOKUP(AM$1, '40Trips'!$A$3:$I$42,3,FALSE),'40Trips'!$J$32:$K$35, 2, FALSE)),1,0)</f>
        <v>0</v>
      </c>
      <c r="AN12">
        <f>IF(AND(VLOOKUP(AN$1,'40Trips'!$A$3:$I$42,8,FALSE)-VLOOKUP($A12,'40Trips'!$A$3:$I$42,9,FALSE)&gt;=VLOOKUP(VLOOKUP(AN$1, '40Trips'!$A$3:$I$42,3,FALSE),'40Trips'!$J$32:$K$35, 2, FALSE)),1,0)</f>
        <v>0</v>
      </c>
      <c r="AO12">
        <f>IF(AND(VLOOKUP(AO$1,'40Trips'!$A$3:$I$42,8,FALSE)-VLOOKUP($A12,'40Trips'!$A$3:$I$42,9,FALSE)&gt;=VLOOKUP(VLOOKUP(AO$1, '40Trips'!$A$3:$I$42,3,FALSE),'40Trips'!$J$32:$K$35, 2, FALSE)),1,0)</f>
        <v>0</v>
      </c>
      <c r="AP12">
        <f>IF(AND(VLOOKUP(AP$1,'40Trips'!$A$3:$I$42,8,FALSE)-VLOOKUP($A12,'40Trips'!$A$3:$I$42,9,FALSE)&gt;=VLOOKUP(VLOOKUP(AP$1, '40Trips'!$A$3:$I$42,3,FALSE),'40Trips'!$J$32:$K$35, 2, FALSE)),1,0)</f>
        <v>1</v>
      </c>
    </row>
    <row r="13" spans="1:43" x14ac:dyDescent="0.25">
      <c r="A13" t="s">
        <v>74</v>
      </c>
      <c r="B13" s="3">
        <v>1</v>
      </c>
      <c r="C13">
        <f>IF(AND(VLOOKUP(C$1,'40Trips'!$A$3:$I$42,8,FALSE)-VLOOKUP($A13,'40Trips'!$A$3:$I$42,9,FALSE)&gt;=VLOOKUP(VLOOKUP(C$1, '40Trips'!$A$3:$I$42,3,FALSE),'40Trips'!$J$32:$K$35, 2, FALSE)),1,0)</f>
        <v>0</v>
      </c>
      <c r="D13">
        <f>IF(AND(VLOOKUP(D$1,'40Trips'!$A$3:$I$42,8,FALSE)-VLOOKUP($A13,'40Trips'!$A$3:$I$42,9,FALSE)&gt;=VLOOKUP(VLOOKUP(D$1, '40Trips'!$A$3:$I$42,3,FALSE),'40Trips'!$J$32:$K$35, 2, FALSE)),1,0)</f>
        <v>0</v>
      </c>
      <c r="E13">
        <f>IF(AND(VLOOKUP(E$1,'40Trips'!$A$3:$I$42,8,FALSE)-VLOOKUP($A13,'40Trips'!$A$3:$I$42,9,FALSE)&gt;=VLOOKUP(VLOOKUP(E$1, '40Trips'!$A$3:$I$42,3,FALSE),'40Trips'!$J$32:$K$35, 2, FALSE)),1,0)</f>
        <v>0</v>
      </c>
      <c r="F13">
        <f>IF(AND(VLOOKUP(F$1,'40Trips'!$A$3:$I$42,8,FALSE)-VLOOKUP($A13,'40Trips'!$A$3:$I$42,9,FALSE)&gt;=VLOOKUP(VLOOKUP(F$1, '40Trips'!$A$3:$I$42,3,FALSE),'40Trips'!$J$32:$K$35, 2, FALSE)),1,0)</f>
        <v>0</v>
      </c>
      <c r="G13">
        <f>IF(AND(VLOOKUP(G$1,'40Trips'!$A$3:$I$42,8,FALSE)-VLOOKUP($A13,'40Trips'!$A$3:$I$42,9,FALSE)&gt;=VLOOKUP(VLOOKUP(G$1, '40Trips'!$A$3:$I$42,3,FALSE),'40Trips'!$J$32:$K$35, 2, FALSE)),1,0)</f>
        <v>0</v>
      </c>
      <c r="H13">
        <f>IF(AND(VLOOKUP(H$1,'40Trips'!$A$3:$I$42,8,FALSE)-VLOOKUP($A13,'40Trips'!$A$3:$I$42,9,FALSE)&gt;=VLOOKUP(VLOOKUP(H$1, '40Trips'!$A$3:$I$42,3,FALSE),'40Trips'!$J$32:$K$35, 2, FALSE)),1,0)</f>
        <v>0</v>
      </c>
      <c r="I13">
        <f>IF(AND(VLOOKUP(I$1,'40Trips'!$A$3:$I$42,8,FALSE)-VLOOKUP($A13,'40Trips'!$A$3:$I$42,9,FALSE)&gt;=VLOOKUP(VLOOKUP(I$1, '40Trips'!$A$3:$I$42,3,FALSE),'40Trips'!$J$32:$K$35, 2, FALSE)),1,0)</f>
        <v>0</v>
      </c>
      <c r="J13">
        <f>IF(AND(VLOOKUP(J$1,'40Trips'!$A$3:$I$42,8,FALSE)-VLOOKUP($A13,'40Trips'!$A$3:$I$42,9,FALSE)&gt;=VLOOKUP(VLOOKUP(J$1, '40Trips'!$A$3:$I$42,3,FALSE),'40Trips'!$J$32:$K$35, 2, FALSE)),1,0)</f>
        <v>1</v>
      </c>
      <c r="K13">
        <f>IF(AND(VLOOKUP(K$1,'40Trips'!$A$3:$I$42,8,FALSE)-VLOOKUP($A13,'40Trips'!$A$3:$I$42,9,FALSE)&gt;=VLOOKUP(VLOOKUP(K$1, '40Trips'!$A$3:$I$42,3,FALSE),'40Trips'!$J$32:$K$35, 2, FALSE)),1,0)</f>
        <v>0</v>
      </c>
      <c r="L13">
        <f>IF(AND(VLOOKUP(L$1,'40Trips'!$A$3:$I$42,8,FALSE)-VLOOKUP($A13,'40Trips'!$A$3:$I$42,9,FALSE)&gt;=VLOOKUP(VLOOKUP(L$1, '40Trips'!$A$3:$I$42,3,FALSE),'40Trips'!$J$32:$K$35, 2, FALSE)),1,0)</f>
        <v>0</v>
      </c>
      <c r="M13">
        <f>IF(AND(VLOOKUP(M$1,'40Trips'!$A$3:$I$42,8,FALSE)-VLOOKUP($A13,'40Trips'!$A$3:$I$42,9,FALSE)&gt;=VLOOKUP(VLOOKUP(M$1, '40Trips'!$A$3:$I$42,3,FALSE),'40Trips'!$J$32:$K$35, 2, FALSE)),1,0)</f>
        <v>0</v>
      </c>
      <c r="N13">
        <f>IF(AND(VLOOKUP(N$1,'40Trips'!$A$3:$I$42,8,FALSE)-VLOOKUP($A13,'40Trips'!$A$3:$I$42,9,FALSE)&gt;=VLOOKUP(VLOOKUP(N$1, '40Trips'!$A$3:$I$42,3,FALSE),'40Trips'!$J$32:$K$35, 2, FALSE)),1,0)</f>
        <v>0</v>
      </c>
      <c r="O13">
        <f>IF(AND(VLOOKUP(O$1,'40Trips'!$A$3:$I$42,8,FALSE)-VLOOKUP($A13,'40Trips'!$A$3:$I$42,9,FALSE)&gt;=VLOOKUP(VLOOKUP(O$1, '40Trips'!$A$3:$I$42,3,FALSE),'40Trips'!$J$32:$K$35, 2, FALSE)),1,0)</f>
        <v>0</v>
      </c>
      <c r="P13">
        <f>IF(AND(VLOOKUP(P$1,'40Trips'!$A$3:$I$42,8,FALSE)-VLOOKUP($A13,'40Trips'!$A$3:$I$42,9,FALSE)&gt;=VLOOKUP(VLOOKUP(P$1, '40Trips'!$A$3:$I$42,3,FALSE),'40Trips'!$J$32:$K$35, 2, FALSE)),1,0)</f>
        <v>0</v>
      </c>
      <c r="Q13">
        <f>IF(AND(VLOOKUP(Q$1,'40Trips'!$A$3:$I$42,8,FALSE)-VLOOKUP($A13,'40Trips'!$A$3:$I$42,9,FALSE)&gt;=VLOOKUP(VLOOKUP(Q$1, '40Trips'!$A$3:$I$42,3,FALSE),'40Trips'!$J$32:$K$35, 2, FALSE)),1,0)</f>
        <v>0</v>
      </c>
      <c r="R13">
        <f>IF(AND(VLOOKUP(R$1,'40Trips'!$A$3:$I$42,8,FALSE)-VLOOKUP($A13,'40Trips'!$A$3:$I$42,9,FALSE)&gt;=VLOOKUP(VLOOKUP(R$1, '40Trips'!$A$3:$I$42,3,FALSE),'40Trips'!$J$32:$K$35, 2, FALSE)),1,0)</f>
        <v>0</v>
      </c>
      <c r="S13">
        <f>IF(AND(VLOOKUP(S$1,'40Trips'!$A$3:$I$42,8,FALSE)-VLOOKUP($A13,'40Trips'!$A$3:$I$42,9,FALSE)&gt;=VLOOKUP(VLOOKUP(S$1, '40Trips'!$A$3:$I$42,3,FALSE),'40Trips'!$J$32:$K$35, 2, FALSE)),1,0)</f>
        <v>0</v>
      </c>
      <c r="T13">
        <f>IF(AND(VLOOKUP(T$1,'40Trips'!$A$3:$I$42,8,FALSE)-VLOOKUP($A13,'40Trips'!$A$3:$I$42,9,FALSE)&gt;=VLOOKUP(VLOOKUP(T$1, '40Trips'!$A$3:$I$42,3,FALSE),'40Trips'!$J$32:$K$35, 2, FALSE)),1,0)</f>
        <v>0</v>
      </c>
      <c r="U13">
        <f>IF(AND(VLOOKUP(U$1,'40Trips'!$A$3:$I$42,8,FALSE)-VLOOKUP($A13,'40Trips'!$A$3:$I$42,9,FALSE)&gt;=VLOOKUP(VLOOKUP(U$1, '40Trips'!$A$3:$I$42,3,FALSE),'40Trips'!$J$32:$K$35, 2, FALSE)),1,0)</f>
        <v>0</v>
      </c>
      <c r="V13">
        <f>IF(AND(VLOOKUP(V$1,'40Trips'!$A$3:$I$42,8,FALSE)-VLOOKUP($A13,'40Trips'!$A$3:$I$42,9,FALSE)&gt;=VLOOKUP(VLOOKUP(V$1, '40Trips'!$A$3:$I$42,3,FALSE),'40Trips'!$J$32:$K$35, 2, FALSE)),1,0)</f>
        <v>1</v>
      </c>
      <c r="W13">
        <f>IF(AND(VLOOKUP(W$1,'40Trips'!$A$3:$I$42,8,FALSE)-VLOOKUP($A13,'40Trips'!$A$3:$I$42,9,FALSE)&gt;=VLOOKUP(VLOOKUP(W$1, '40Trips'!$A$3:$I$42,3,FALSE),'40Trips'!$J$32:$K$35, 2, FALSE)),1,0)</f>
        <v>0</v>
      </c>
      <c r="X13">
        <f>IF(AND(VLOOKUP(X$1,'40Trips'!$A$3:$I$42,8,FALSE)-VLOOKUP($A13,'40Trips'!$A$3:$I$42,9,FALSE)&gt;=VLOOKUP(VLOOKUP(X$1, '40Trips'!$A$3:$I$42,3,FALSE),'40Trips'!$J$32:$K$35, 2, FALSE)),1,0)</f>
        <v>0</v>
      </c>
      <c r="Y13">
        <f>IF(AND(VLOOKUP(Y$1,'40Trips'!$A$3:$I$42,8,FALSE)-VLOOKUP($A13,'40Trips'!$A$3:$I$42,9,FALSE)&gt;=VLOOKUP(VLOOKUP(Y$1, '40Trips'!$A$3:$I$42,3,FALSE),'40Trips'!$J$32:$K$35, 2, FALSE)),1,0)</f>
        <v>0</v>
      </c>
      <c r="Z13">
        <f>IF(AND(VLOOKUP(Z$1,'40Trips'!$A$3:$I$42,8,FALSE)-VLOOKUP($A13,'40Trips'!$A$3:$I$42,9,FALSE)&gt;=VLOOKUP(VLOOKUP(Z$1, '40Trips'!$A$3:$I$42,3,FALSE),'40Trips'!$J$32:$K$35, 2, FALSE)),1,0)</f>
        <v>0</v>
      </c>
      <c r="AA13">
        <f>IF(AND(VLOOKUP(AA$1,'40Trips'!$A$3:$I$42,8,FALSE)-VLOOKUP($A13,'40Trips'!$A$3:$I$42,9,FALSE)&gt;=VLOOKUP(VLOOKUP(AA$1, '40Trips'!$A$3:$I$42,3,FALSE),'40Trips'!$J$32:$K$35, 2, FALSE)),1,0)</f>
        <v>0</v>
      </c>
      <c r="AB13">
        <f>IF(AND(VLOOKUP(AB$1,'40Trips'!$A$3:$I$42,8,FALSE)-VLOOKUP($A13,'40Trips'!$A$3:$I$42,9,FALSE)&gt;=VLOOKUP(VLOOKUP(AB$1, '40Trips'!$A$3:$I$42,3,FALSE),'40Trips'!$J$32:$K$35, 2, FALSE)),1,0)</f>
        <v>0</v>
      </c>
      <c r="AC13">
        <f>IF(AND(VLOOKUP(AC$1,'40Trips'!$A$3:$I$42,8,FALSE)-VLOOKUP($A13,'40Trips'!$A$3:$I$42,9,FALSE)&gt;=VLOOKUP(VLOOKUP(AC$1, '40Trips'!$A$3:$I$42,3,FALSE),'40Trips'!$J$32:$K$35, 2, FALSE)),1,0)</f>
        <v>0</v>
      </c>
      <c r="AD13">
        <f>IF(AND(VLOOKUP(AD$1,'40Trips'!$A$3:$I$42,8,FALSE)-VLOOKUP($A13,'40Trips'!$A$3:$I$42,9,FALSE)&gt;=VLOOKUP(VLOOKUP(AD$1, '40Trips'!$A$3:$I$42,3,FALSE),'40Trips'!$J$32:$K$35, 2, FALSE)),1,0)</f>
        <v>1</v>
      </c>
      <c r="AE13">
        <f>IF(AND(VLOOKUP(AE$1,'40Trips'!$A$3:$I$42,8,FALSE)-VLOOKUP($A13,'40Trips'!$A$3:$I$42,9,FALSE)&gt;=VLOOKUP(VLOOKUP(AE$1, '40Trips'!$A$3:$I$42,3,FALSE),'40Trips'!$J$32:$K$35, 2, FALSE)),1,0)</f>
        <v>0</v>
      </c>
      <c r="AF13">
        <f>IF(AND(VLOOKUP(AF$1,'40Trips'!$A$3:$I$42,8,FALSE)-VLOOKUP($A13,'40Trips'!$A$3:$I$42,9,FALSE)&gt;=VLOOKUP(VLOOKUP(AF$1, '40Trips'!$A$3:$I$42,3,FALSE),'40Trips'!$J$32:$K$35, 2, FALSE)),1,0)</f>
        <v>0</v>
      </c>
      <c r="AG13">
        <f>IF(AND(VLOOKUP(AG$1,'40Trips'!$A$3:$I$42,8,FALSE)-VLOOKUP($A13,'40Trips'!$A$3:$I$42,9,FALSE)&gt;=VLOOKUP(VLOOKUP(AG$1, '40Trips'!$A$3:$I$42,3,FALSE),'40Trips'!$J$32:$K$35, 2, FALSE)),1,0)</f>
        <v>0</v>
      </c>
      <c r="AH13">
        <f>IF(AND(VLOOKUP(AH$1,'40Trips'!$A$3:$I$42,8,FALSE)-VLOOKUP($A13,'40Trips'!$A$3:$I$42,9,FALSE)&gt;=VLOOKUP(VLOOKUP(AH$1, '40Trips'!$A$3:$I$42,3,FALSE),'40Trips'!$J$32:$K$35, 2, FALSE)),1,0)</f>
        <v>0</v>
      </c>
      <c r="AI13">
        <f>IF(AND(VLOOKUP(AI$1,'40Trips'!$A$3:$I$42,8,FALSE)-VLOOKUP($A13,'40Trips'!$A$3:$I$42,9,FALSE)&gt;=VLOOKUP(VLOOKUP(AI$1, '40Trips'!$A$3:$I$42,3,FALSE),'40Trips'!$J$32:$K$35, 2, FALSE)),1,0)</f>
        <v>0</v>
      </c>
      <c r="AJ13">
        <f>IF(AND(VLOOKUP(AJ$1,'40Trips'!$A$3:$I$42,8,FALSE)-VLOOKUP($A13,'40Trips'!$A$3:$I$42,9,FALSE)&gt;=VLOOKUP(VLOOKUP(AJ$1, '40Trips'!$A$3:$I$42,3,FALSE),'40Trips'!$J$32:$K$35, 2, FALSE)),1,0)</f>
        <v>0</v>
      </c>
      <c r="AK13">
        <f>IF(AND(VLOOKUP(AK$1,'40Trips'!$A$3:$I$42,8,FALSE)-VLOOKUP($A13,'40Trips'!$A$3:$I$42,9,FALSE)&gt;=VLOOKUP(VLOOKUP(AK$1, '40Trips'!$A$3:$I$42,3,FALSE),'40Trips'!$J$32:$K$35, 2, FALSE)),1,0)</f>
        <v>0</v>
      </c>
      <c r="AL13">
        <f>IF(AND(VLOOKUP(AL$1,'40Trips'!$A$3:$I$42,8,FALSE)-VLOOKUP($A13,'40Trips'!$A$3:$I$42,9,FALSE)&gt;=VLOOKUP(VLOOKUP(AL$1, '40Trips'!$A$3:$I$42,3,FALSE),'40Trips'!$J$32:$K$35, 2, FALSE)),1,0)</f>
        <v>1</v>
      </c>
      <c r="AM13">
        <f>IF(AND(VLOOKUP(AM$1,'40Trips'!$A$3:$I$42,8,FALSE)-VLOOKUP($A13,'40Trips'!$A$3:$I$42,9,FALSE)&gt;=VLOOKUP(VLOOKUP(AM$1, '40Trips'!$A$3:$I$42,3,FALSE),'40Trips'!$J$32:$K$35, 2, FALSE)),1,0)</f>
        <v>0</v>
      </c>
      <c r="AN13">
        <f>IF(AND(VLOOKUP(AN$1,'40Trips'!$A$3:$I$42,8,FALSE)-VLOOKUP($A13,'40Trips'!$A$3:$I$42,9,FALSE)&gt;=VLOOKUP(VLOOKUP(AN$1, '40Trips'!$A$3:$I$42,3,FALSE),'40Trips'!$J$32:$K$35, 2, FALSE)),1,0)</f>
        <v>0</v>
      </c>
      <c r="AO13">
        <f>IF(AND(VLOOKUP(AO$1,'40Trips'!$A$3:$I$42,8,FALSE)-VLOOKUP($A13,'40Trips'!$A$3:$I$42,9,FALSE)&gt;=VLOOKUP(VLOOKUP(AO$1, '40Trips'!$A$3:$I$42,3,FALSE),'40Trips'!$J$32:$K$35, 2, FALSE)),1,0)</f>
        <v>0</v>
      </c>
      <c r="AP13">
        <f>IF(AND(VLOOKUP(AP$1,'40Trips'!$A$3:$I$42,8,FALSE)-VLOOKUP($A13,'40Trips'!$A$3:$I$42,9,FALSE)&gt;=VLOOKUP(VLOOKUP(AP$1, '40Trips'!$A$3:$I$42,3,FALSE),'40Trips'!$J$32:$K$35, 2, FALSE)),1,0)</f>
        <v>1</v>
      </c>
    </row>
    <row r="14" spans="1:43" x14ac:dyDescent="0.25">
      <c r="A14" t="s">
        <v>26</v>
      </c>
      <c r="B14" s="3">
        <v>1</v>
      </c>
      <c r="C14">
        <f>IF(AND(VLOOKUP(C$1,'40Trips'!$A$3:$I$42,8,FALSE)-VLOOKUP($A14,'40Trips'!$A$3:$I$42,9,FALSE)&gt;=VLOOKUP(VLOOKUP(C$1, '40Trips'!$A$3:$I$42,3,FALSE),'40Trips'!$J$32:$K$35, 2, FALSE)),1,0)</f>
        <v>0</v>
      </c>
      <c r="D14">
        <f>IF(AND(VLOOKUP(D$1,'40Trips'!$A$3:$I$42,8,FALSE)-VLOOKUP($A14,'40Trips'!$A$3:$I$42,9,FALSE)&gt;=VLOOKUP(VLOOKUP(D$1, '40Trips'!$A$3:$I$42,3,FALSE),'40Trips'!$J$32:$K$35, 2, FALSE)),1,0)</f>
        <v>1</v>
      </c>
      <c r="E14">
        <f>IF(AND(VLOOKUP(E$1,'40Trips'!$A$3:$I$42,8,FALSE)-VLOOKUP($A14,'40Trips'!$A$3:$I$42,9,FALSE)&gt;=VLOOKUP(VLOOKUP(E$1, '40Trips'!$A$3:$I$42,3,FALSE),'40Trips'!$J$32:$K$35, 2, FALSE)),1,0)</f>
        <v>1</v>
      </c>
      <c r="F14">
        <f>IF(AND(VLOOKUP(F$1,'40Trips'!$A$3:$I$42,8,FALSE)-VLOOKUP($A14,'40Trips'!$A$3:$I$42,9,FALSE)&gt;=VLOOKUP(VLOOKUP(F$1, '40Trips'!$A$3:$I$42,3,FALSE),'40Trips'!$J$32:$K$35, 2, FALSE)),1,0)</f>
        <v>1</v>
      </c>
      <c r="G14">
        <f>IF(AND(VLOOKUP(G$1,'40Trips'!$A$3:$I$42,8,FALSE)-VLOOKUP($A14,'40Trips'!$A$3:$I$42,9,FALSE)&gt;=VLOOKUP(VLOOKUP(G$1, '40Trips'!$A$3:$I$42,3,FALSE),'40Trips'!$J$32:$K$35, 2, FALSE)),1,0)</f>
        <v>0</v>
      </c>
      <c r="H14">
        <f>IF(AND(VLOOKUP(H$1,'40Trips'!$A$3:$I$42,8,FALSE)-VLOOKUP($A14,'40Trips'!$A$3:$I$42,9,FALSE)&gt;=VLOOKUP(VLOOKUP(H$1, '40Trips'!$A$3:$I$42,3,FALSE),'40Trips'!$J$32:$K$35, 2, FALSE)),1,0)</f>
        <v>0</v>
      </c>
      <c r="I14">
        <f>IF(AND(VLOOKUP(I$1,'40Trips'!$A$3:$I$42,8,FALSE)-VLOOKUP($A14,'40Trips'!$A$3:$I$42,9,FALSE)&gt;=VLOOKUP(VLOOKUP(I$1, '40Trips'!$A$3:$I$42,3,FALSE),'40Trips'!$J$32:$K$35, 2, FALSE)),1,0)</f>
        <v>1</v>
      </c>
      <c r="J14">
        <f>IF(AND(VLOOKUP(J$1,'40Trips'!$A$3:$I$42,8,FALSE)-VLOOKUP($A14,'40Trips'!$A$3:$I$42,9,FALSE)&gt;=VLOOKUP(VLOOKUP(J$1, '40Trips'!$A$3:$I$42,3,FALSE),'40Trips'!$J$32:$K$35, 2, FALSE)),1,0)</f>
        <v>1</v>
      </c>
      <c r="K14">
        <f>IF(AND(VLOOKUP(K$1,'40Trips'!$A$3:$I$42,8,FALSE)-VLOOKUP($A14,'40Trips'!$A$3:$I$42,9,FALSE)&gt;=VLOOKUP(VLOOKUP(K$1, '40Trips'!$A$3:$I$42,3,FALSE),'40Trips'!$J$32:$K$35, 2, FALSE)),1,0)</f>
        <v>0</v>
      </c>
      <c r="L14">
        <f>IF(AND(VLOOKUP(L$1,'40Trips'!$A$3:$I$42,8,FALSE)-VLOOKUP($A14,'40Trips'!$A$3:$I$42,9,FALSE)&gt;=VLOOKUP(VLOOKUP(L$1, '40Trips'!$A$3:$I$42,3,FALSE),'40Trips'!$J$32:$K$35, 2, FALSE)),1,0)</f>
        <v>0</v>
      </c>
      <c r="M14">
        <f>IF(AND(VLOOKUP(M$1,'40Trips'!$A$3:$I$42,8,FALSE)-VLOOKUP($A14,'40Trips'!$A$3:$I$42,9,FALSE)&gt;=VLOOKUP(VLOOKUP(M$1, '40Trips'!$A$3:$I$42,3,FALSE),'40Trips'!$J$32:$K$35, 2, FALSE)),1,0)</f>
        <v>1</v>
      </c>
      <c r="N14">
        <f>IF(AND(VLOOKUP(N$1,'40Trips'!$A$3:$I$42,8,FALSE)-VLOOKUP($A14,'40Trips'!$A$3:$I$42,9,FALSE)&gt;=VLOOKUP(VLOOKUP(N$1, '40Trips'!$A$3:$I$42,3,FALSE),'40Trips'!$J$32:$K$35, 2, FALSE)),1,0)</f>
        <v>0</v>
      </c>
      <c r="O14">
        <f>IF(AND(VLOOKUP(O$1,'40Trips'!$A$3:$I$42,8,FALSE)-VLOOKUP($A14,'40Trips'!$A$3:$I$42,9,FALSE)&gt;=VLOOKUP(VLOOKUP(O$1, '40Trips'!$A$3:$I$42,3,FALSE),'40Trips'!$J$32:$K$35, 2, FALSE)),1,0)</f>
        <v>0</v>
      </c>
      <c r="P14">
        <f>IF(AND(VLOOKUP(P$1,'40Trips'!$A$3:$I$42,8,FALSE)-VLOOKUP($A14,'40Trips'!$A$3:$I$42,9,FALSE)&gt;=VLOOKUP(VLOOKUP(P$1, '40Trips'!$A$3:$I$42,3,FALSE),'40Trips'!$J$32:$K$35, 2, FALSE)),1,0)</f>
        <v>1</v>
      </c>
      <c r="Q14">
        <f>IF(AND(VLOOKUP(Q$1,'40Trips'!$A$3:$I$42,8,FALSE)-VLOOKUP($A14,'40Trips'!$A$3:$I$42,9,FALSE)&gt;=VLOOKUP(VLOOKUP(Q$1, '40Trips'!$A$3:$I$42,3,FALSE),'40Trips'!$J$32:$K$35, 2, FALSE)),1,0)</f>
        <v>1</v>
      </c>
      <c r="R14">
        <f>IF(AND(VLOOKUP(R$1,'40Trips'!$A$3:$I$42,8,FALSE)-VLOOKUP($A14,'40Trips'!$A$3:$I$42,9,FALSE)&gt;=VLOOKUP(VLOOKUP(R$1, '40Trips'!$A$3:$I$42,3,FALSE),'40Trips'!$J$32:$K$35, 2, FALSE)),1,0)</f>
        <v>1</v>
      </c>
      <c r="S14">
        <f>IF(AND(VLOOKUP(S$1,'40Trips'!$A$3:$I$42,8,FALSE)-VLOOKUP($A14,'40Trips'!$A$3:$I$42,9,FALSE)&gt;=VLOOKUP(VLOOKUP(S$1, '40Trips'!$A$3:$I$42,3,FALSE),'40Trips'!$J$32:$K$35, 2, FALSE)),1,0)</f>
        <v>0</v>
      </c>
      <c r="T14">
        <f>IF(AND(VLOOKUP(T$1,'40Trips'!$A$3:$I$42,8,FALSE)-VLOOKUP($A14,'40Trips'!$A$3:$I$42,9,FALSE)&gt;=VLOOKUP(VLOOKUP(T$1, '40Trips'!$A$3:$I$42,3,FALSE),'40Trips'!$J$32:$K$35, 2, FALSE)),1,0)</f>
        <v>0</v>
      </c>
      <c r="U14">
        <f>IF(AND(VLOOKUP(U$1,'40Trips'!$A$3:$I$42,8,FALSE)-VLOOKUP($A14,'40Trips'!$A$3:$I$42,9,FALSE)&gt;=VLOOKUP(VLOOKUP(U$1, '40Trips'!$A$3:$I$42,3,FALSE),'40Trips'!$J$32:$K$35, 2, FALSE)),1,0)</f>
        <v>1</v>
      </c>
      <c r="V14">
        <f>IF(AND(VLOOKUP(V$1,'40Trips'!$A$3:$I$42,8,FALSE)-VLOOKUP($A14,'40Trips'!$A$3:$I$42,9,FALSE)&gt;=VLOOKUP(VLOOKUP(V$1, '40Trips'!$A$3:$I$42,3,FALSE),'40Trips'!$J$32:$K$35, 2, FALSE)),1,0)</f>
        <v>1</v>
      </c>
      <c r="W14">
        <f>IF(AND(VLOOKUP(W$1,'40Trips'!$A$3:$I$42,8,FALSE)-VLOOKUP($A14,'40Trips'!$A$3:$I$42,9,FALSE)&gt;=VLOOKUP(VLOOKUP(W$1, '40Trips'!$A$3:$I$42,3,FALSE),'40Trips'!$J$32:$K$35, 2, FALSE)),1,0)</f>
        <v>0</v>
      </c>
      <c r="X14">
        <f>IF(AND(VLOOKUP(X$1,'40Trips'!$A$3:$I$42,8,FALSE)-VLOOKUP($A14,'40Trips'!$A$3:$I$42,9,FALSE)&gt;=VLOOKUP(VLOOKUP(X$1, '40Trips'!$A$3:$I$42,3,FALSE),'40Trips'!$J$32:$K$35, 2, FALSE)),1,0)</f>
        <v>1</v>
      </c>
      <c r="Y14">
        <f>IF(AND(VLOOKUP(Y$1,'40Trips'!$A$3:$I$42,8,FALSE)-VLOOKUP($A14,'40Trips'!$A$3:$I$42,9,FALSE)&gt;=VLOOKUP(VLOOKUP(Y$1, '40Trips'!$A$3:$I$42,3,FALSE),'40Trips'!$J$32:$K$35, 2, FALSE)),1,0)</f>
        <v>1</v>
      </c>
      <c r="Z14">
        <f>IF(AND(VLOOKUP(Z$1,'40Trips'!$A$3:$I$42,8,FALSE)-VLOOKUP($A14,'40Trips'!$A$3:$I$42,9,FALSE)&gt;=VLOOKUP(VLOOKUP(Z$1, '40Trips'!$A$3:$I$42,3,FALSE),'40Trips'!$J$32:$K$35, 2, FALSE)),1,0)</f>
        <v>1</v>
      </c>
      <c r="AA14">
        <f>IF(AND(VLOOKUP(AA$1,'40Trips'!$A$3:$I$42,8,FALSE)-VLOOKUP($A14,'40Trips'!$A$3:$I$42,9,FALSE)&gt;=VLOOKUP(VLOOKUP(AA$1, '40Trips'!$A$3:$I$42,3,FALSE),'40Trips'!$J$32:$K$35, 2, FALSE)),1,0)</f>
        <v>0</v>
      </c>
      <c r="AB14">
        <f>IF(AND(VLOOKUP(AB$1,'40Trips'!$A$3:$I$42,8,FALSE)-VLOOKUP($A14,'40Trips'!$A$3:$I$42,9,FALSE)&gt;=VLOOKUP(VLOOKUP(AB$1, '40Trips'!$A$3:$I$42,3,FALSE),'40Trips'!$J$32:$K$35, 2, FALSE)),1,0)</f>
        <v>0</v>
      </c>
      <c r="AC14">
        <f>IF(AND(VLOOKUP(AC$1,'40Trips'!$A$3:$I$42,8,FALSE)-VLOOKUP($A14,'40Trips'!$A$3:$I$42,9,FALSE)&gt;=VLOOKUP(VLOOKUP(AC$1, '40Trips'!$A$3:$I$42,3,FALSE),'40Trips'!$J$32:$K$35, 2, FALSE)),1,0)</f>
        <v>1</v>
      </c>
      <c r="AD14">
        <f>IF(AND(VLOOKUP(AD$1,'40Trips'!$A$3:$I$42,8,FALSE)-VLOOKUP($A14,'40Trips'!$A$3:$I$42,9,FALSE)&gt;=VLOOKUP(VLOOKUP(AD$1, '40Trips'!$A$3:$I$42,3,FALSE),'40Trips'!$J$32:$K$35, 2, FALSE)),1,0)</f>
        <v>1</v>
      </c>
      <c r="AE14">
        <f>IF(AND(VLOOKUP(AE$1,'40Trips'!$A$3:$I$42,8,FALSE)-VLOOKUP($A14,'40Trips'!$A$3:$I$42,9,FALSE)&gt;=VLOOKUP(VLOOKUP(AE$1, '40Trips'!$A$3:$I$42,3,FALSE),'40Trips'!$J$32:$K$35, 2, FALSE)),1,0)</f>
        <v>0</v>
      </c>
      <c r="AF14">
        <f>IF(AND(VLOOKUP(AF$1,'40Trips'!$A$3:$I$42,8,FALSE)-VLOOKUP($A14,'40Trips'!$A$3:$I$42,9,FALSE)&gt;=VLOOKUP(VLOOKUP(AF$1, '40Trips'!$A$3:$I$42,3,FALSE),'40Trips'!$J$32:$K$35, 2, FALSE)),1,0)</f>
        <v>0</v>
      </c>
      <c r="AG14">
        <f>IF(AND(VLOOKUP(AG$1,'40Trips'!$A$3:$I$42,8,FALSE)-VLOOKUP($A14,'40Trips'!$A$3:$I$42,9,FALSE)&gt;=VLOOKUP(VLOOKUP(AG$1, '40Trips'!$A$3:$I$42,3,FALSE),'40Trips'!$J$32:$K$35, 2, FALSE)),1,0)</f>
        <v>0</v>
      </c>
      <c r="AH14">
        <f>IF(AND(VLOOKUP(AH$1,'40Trips'!$A$3:$I$42,8,FALSE)-VLOOKUP($A14,'40Trips'!$A$3:$I$42,9,FALSE)&gt;=VLOOKUP(VLOOKUP(AH$1, '40Trips'!$A$3:$I$42,3,FALSE),'40Trips'!$J$32:$K$35, 2, FALSE)),1,0)</f>
        <v>1</v>
      </c>
      <c r="AI14">
        <f>IF(AND(VLOOKUP(AI$1,'40Trips'!$A$3:$I$42,8,FALSE)-VLOOKUP($A14,'40Trips'!$A$3:$I$42,9,FALSE)&gt;=VLOOKUP(VLOOKUP(AI$1, '40Trips'!$A$3:$I$42,3,FALSE),'40Trips'!$J$32:$K$35, 2, FALSE)),1,0)</f>
        <v>1</v>
      </c>
      <c r="AJ14">
        <f>IF(AND(VLOOKUP(AJ$1,'40Trips'!$A$3:$I$42,8,FALSE)-VLOOKUP($A14,'40Trips'!$A$3:$I$42,9,FALSE)&gt;=VLOOKUP(VLOOKUP(AJ$1, '40Trips'!$A$3:$I$42,3,FALSE),'40Trips'!$J$32:$K$35, 2, FALSE)),1,0)</f>
        <v>1</v>
      </c>
      <c r="AK14">
        <f>IF(AND(VLOOKUP(AK$1,'40Trips'!$A$3:$I$42,8,FALSE)-VLOOKUP($A14,'40Trips'!$A$3:$I$42,9,FALSE)&gt;=VLOOKUP(VLOOKUP(AK$1, '40Trips'!$A$3:$I$42,3,FALSE),'40Trips'!$J$32:$K$35, 2, FALSE)),1,0)</f>
        <v>1</v>
      </c>
      <c r="AL14">
        <f>IF(AND(VLOOKUP(AL$1,'40Trips'!$A$3:$I$42,8,FALSE)-VLOOKUP($A14,'40Trips'!$A$3:$I$42,9,FALSE)&gt;=VLOOKUP(VLOOKUP(AL$1, '40Trips'!$A$3:$I$42,3,FALSE),'40Trips'!$J$32:$K$35, 2, FALSE)),1,0)</f>
        <v>1</v>
      </c>
      <c r="AM14">
        <f>IF(AND(VLOOKUP(AM$1,'40Trips'!$A$3:$I$42,8,FALSE)-VLOOKUP($A14,'40Trips'!$A$3:$I$42,9,FALSE)&gt;=VLOOKUP(VLOOKUP(AM$1, '40Trips'!$A$3:$I$42,3,FALSE),'40Trips'!$J$32:$K$35, 2, FALSE)),1,0)</f>
        <v>0</v>
      </c>
      <c r="AN14">
        <f>IF(AND(VLOOKUP(AN$1,'40Trips'!$A$3:$I$42,8,FALSE)-VLOOKUP($A14,'40Trips'!$A$3:$I$42,9,FALSE)&gt;=VLOOKUP(VLOOKUP(AN$1, '40Trips'!$A$3:$I$42,3,FALSE),'40Trips'!$J$32:$K$35, 2, FALSE)),1,0)</f>
        <v>1</v>
      </c>
      <c r="AO14">
        <f>IF(AND(VLOOKUP(AO$1,'40Trips'!$A$3:$I$42,8,FALSE)-VLOOKUP($A14,'40Trips'!$A$3:$I$42,9,FALSE)&gt;=VLOOKUP(VLOOKUP(AO$1, '40Trips'!$A$3:$I$42,3,FALSE),'40Trips'!$J$32:$K$35, 2, FALSE)),1,0)</f>
        <v>1</v>
      </c>
      <c r="AP14">
        <f>IF(AND(VLOOKUP(AP$1,'40Trips'!$A$3:$I$42,8,FALSE)-VLOOKUP($A14,'40Trips'!$A$3:$I$42,9,FALSE)&gt;=VLOOKUP(VLOOKUP(AP$1, '40Trips'!$A$3:$I$42,3,FALSE),'40Trips'!$J$32:$K$35, 2, FALSE)),1,0)</f>
        <v>1</v>
      </c>
    </row>
    <row r="15" spans="1:43" x14ac:dyDescent="0.25">
      <c r="A15" t="s">
        <v>27</v>
      </c>
      <c r="B15" s="3">
        <v>1</v>
      </c>
      <c r="C15">
        <f>IF(AND(VLOOKUP(C$1,'40Trips'!$A$3:$I$42,8,FALSE)-VLOOKUP($A15,'40Trips'!$A$3:$I$42,9,FALSE)&gt;=VLOOKUP(VLOOKUP(C$1, '40Trips'!$A$3:$I$42,3,FALSE),'40Trips'!$J$32:$K$35, 2, FALSE)),1,0)</f>
        <v>0</v>
      </c>
      <c r="D15">
        <f>IF(AND(VLOOKUP(D$1,'40Trips'!$A$3:$I$42,8,FALSE)-VLOOKUP($A15,'40Trips'!$A$3:$I$42,9,FALSE)&gt;=VLOOKUP(VLOOKUP(D$1, '40Trips'!$A$3:$I$42,3,FALSE),'40Trips'!$J$32:$K$35, 2, FALSE)),1,0)</f>
        <v>0</v>
      </c>
      <c r="E15">
        <f>IF(AND(VLOOKUP(E$1,'40Trips'!$A$3:$I$42,8,FALSE)-VLOOKUP($A15,'40Trips'!$A$3:$I$42,9,FALSE)&gt;=VLOOKUP(VLOOKUP(E$1, '40Trips'!$A$3:$I$42,3,FALSE),'40Trips'!$J$32:$K$35, 2, FALSE)),1,0)</f>
        <v>1</v>
      </c>
      <c r="F15">
        <f>IF(AND(VLOOKUP(F$1,'40Trips'!$A$3:$I$42,8,FALSE)-VLOOKUP($A15,'40Trips'!$A$3:$I$42,9,FALSE)&gt;=VLOOKUP(VLOOKUP(F$1, '40Trips'!$A$3:$I$42,3,FALSE),'40Trips'!$J$32:$K$35, 2, FALSE)),1,0)</f>
        <v>1</v>
      </c>
      <c r="G15">
        <f>IF(AND(VLOOKUP(G$1,'40Trips'!$A$3:$I$42,8,FALSE)-VLOOKUP($A15,'40Trips'!$A$3:$I$42,9,FALSE)&gt;=VLOOKUP(VLOOKUP(G$1, '40Trips'!$A$3:$I$42,3,FALSE),'40Trips'!$J$32:$K$35, 2, FALSE)),1,0)</f>
        <v>0</v>
      </c>
      <c r="H15">
        <f>IF(AND(VLOOKUP(H$1,'40Trips'!$A$3:$I$42,8,FALSE)-VLOOKUP($A15,'40Trips'!$A$3:$I$42,9,FALSE)&gt;=VLOOKUP(VLOOKUP(H$1, '40Trips'!$A$3:$I$42,3,FALSE),'40Trips'!$J$32:$K$35, 2, FALSE)),1,0)</f>
        <v>0</v>
      </c>
      <c r="I15">
        <f>IF(AND(VLOOKUP(I$1,'40Trips'!$A$3:$I$42,8,FALSE)-VLOOKUP($A15,'40Trips'!$A$3:$I$42,9,FALSE)&gt;=VLOOKUP(VLOOKUP(I$1, '40Trips'!$A$3:$I$42,3,FALSE),'40Trips'!$J$32:$K$35, 2, FALSE)),1,0)</f>
        <v>1</v>
      </c>
      <c r="J15">
        <f>IF(AND(VLOOKUP(J$1,'40Trips'!$A$3:$I$42,8,FALSE)-VLOOKUP($A15,'40Trips'!$A$3:$I$42,9,FALSE)&gt;=VLOOKUP(VLOOKUP(J$1, '40Trips'!$A$3:$I$42,3,FALSE),'40Trips'!$J$32:$K$35, 2, FALSE)),1,0)</f>
        <v>1</v>
      </c>
      <c r="K15">
        <f>IF(AND(VLOOKUP(K$1,'40Trips'!$A$3:$I$42,8,FALSE)-VLOOKUP($A15,'40Trips'!$A$3:$I$42,9,FALSE)&gt;=VLOOKUP(VLOOKUP(K$1, '40Trips'!$A$3:$I$42,3,FALSE),'40Trips'!$J$32:$K$35, 2, FALSE)),1,0)</f>
        <v>0</v>
      </c>
      <c r="L15">
        <f>IF(AND(VLOOKUP(L$1,'40Trips'!$A$3:$I$42,8,FALSE)-VLOOKUP($A15,'40Trips'!$A$3:$I$42,9,FALSE)&gt;=VLOOKUP(VLOOKUP(L$1, '40Trips'!$A$3:$I$42,3,FALSE),'40Trips'!$J$32:$K$35, 2, FALSE)),1,0)</f>
        <v>0</v>
      </c>
      <c r="M15">
        <f>IF(AND(VLOOKUP(M$1,'40Trips'!$A$3:$I$42,8,FALSE)-VLOOKUP($A15,'40Trips'!$A$3:$I$42,9,FALSE)&gt;=VLOOKUP(VLOOKUP(M$1, '40Trips'!$A$3:$I$42,3,FALSE),'40Trips'!$J$32:$K$35, 2, FALSE)),1,0)</f>
        <v>1</v>
      </c>
      <c r="N15">
        <f>IF(AND(VLOOKUP(N$1,'40Trips'!$A$3:$I$42,8,FALSE)-VLOOKUP($A15,'40Trips'!$A$3:$I$42,9,FALSE)&gt;=VLOOKUP(VLOOKUP(N$1, '40Trips'!$A$3:$I$42,3,FALSE),'40Trips'!$J$32:$K$35, 2, FALSE)),1,0)</f>
        <v>0</v>
      </c>
      <c r="O15">
        <f>IF(AND(VLOOKUP(O$1,'40Trips'!$A$3:$I$42,8,FALSE)-VLOOKUP($A15,'40Trips'!$A$3:$I$42,9,FALSE)&gt;=VLOOKUP(VLOOKUP(O$1, '40Trips'!$A$3:$I$42,3,FALSE),'40Trips'!$J$32:$K$35, 2, FALSE)),1,0)</f>
        <v>0</v>
      </c>
      <c r="P15">
        <f>IF(AND(VLOOKUP(P$1,'40Trips'!$A$3:$I$42,8,FALSE)-VLOOKUP($A15,'40Trips'!$A$3:$I$42,9,FALSE)&gt;=VLOOKUP(VLOOKUP(P$1, '40Trips'!$A$3:$I$42,3,FALSE),'40Trips'!$J$32:$K$35, 2, FALSE)),1,0)</f>
        <v>0</v>
      </c>
      <c r="Q15">
        <f>IF(AND(VLOOKUP(Q$1,'40Trips'!$A$3:$I$42,8,FALSE)-VLOOKUP($A15,'40Trips'!$A$3:$I$42,9,FALSE)&gt;=VLOOKUP(VLOOKUP(Q$1, '40Trips'!$A$3:$I$42,3,FALSE),'40Trips'!$J$32:$K$35, 2, FALSE)),1,0)</f>
        <v>1</v>
      </c>
      <c r="R15">
        <f>IF(AND(VLOOKUP(R$1,'40Trips'!$A$3:$I$42,8,FALSE)-VLOOKUP($A15,'40Trips'!$A$3:$I$42,9,FALSE)&gt;=VLOOKUP(VLOOKUP(R$1, '40Trips'!$A$3:$I$42,3,FALSE),'40Trips'!$J$32:$K$35, 2, FALSE)),1,0)</f>
        <v>1</v>
      </c>
      <c r="S15">
        <f>IF(AND(VLOOKUP(S$1,'40Trips'!$A$3:$I$42,8,FALSE)-VLOOKUP($A15,'40Trips'!$A$3:$I$42,9,FALSE)&gt;=VLOOKUP(VLOOKUP(S$1, '40Trips'!$A$3:$I$42,3,FALSE),'40Trips'!$J$32:$K$35, 2, FALSE)),1,0)</f>
        <v>0</v>
      </c>
      <c r="T15">
        <f>IF(AND(VLOOKUP(T$1,'40Trips'!$A$3:$I$42,8,FALSE)-VLOOKUP($A15,'40Trips'!$A$3:$I$42,9,FALSE)&gt;=VLOOKUP(VLOOKUP(T$1, '40Trips'!$A$3:$I$42,3,FALSE),'40Trips'!$J$32:$K$35, 2, FALSE)),1,0)</f>
        <v>0</v>
      </c>
      <c r="U15">
        <f>IF(AND(VLOOKUP(U$1,'40Trips'!$A$3:$I$42,8,FALSE)-VLOOKUP($A15,'40Trips'!$A$3:$I$42,9,FALSE)&gt;=VLOOKUP(VLOOKUP(U$1, '40Trips'!$A$3:$I$42,3,FALSE),'40Trips'!$J$32:$K$35, 2, FALSE)),1,0)</f>
        <v>1</v>
      </c>
      <c r="V15">
        <f>IF(AND(VLOOKUP(V$1,'40Trips'!$A$3:$I$42,8,FALSE)-VLOOKUP($A15,'40Trips'!$A$3:$I$42,9,FALSE)&gt;=VLOOKUP(VLOOKUP(V$1, '40Trips'!$A$3:$I$42,3,FALSE),'40Trips'!$J$32:$K$35, 2, FALSE)),1,0)</f>
        <v>1</v>
      </c>
      <c r="W15">
        <f>IF(AND(VLOOKUP(W$1,'40Trips'!$A$3:$I$42,8,FALSE)-VLOOKUP($A15,'40Trips'!$A$3:$I$42,9,FALSE)&gt;=VLOOKUP(VLOOKUP(W$1, '40Trips'!$A$3:$I$42,3,FALSE),'40Trips'!$J$32:$K$35, 2, FALSE)),1,0)</f>
        <v>0</v>
      </c>
      <c r="X15">
        <f>IF(AND(VLOOKUP(X$1,'40Trips'!$A$3:$I$42,8,FALSE)-VLOOKUP($A15,'40Trips'!$A$3:$I$42,9,FALSE)&gt;=VLOOKUP(VLOOKUP(X$1, '40Trips'!$A$3:$I$42,3,FALSE),'40Trips'!$J$32:$K$35, 2, FALSE)),1,0)</f>
        <v>0</v>
      </c>
      <c r="Y15">
        <f>IF(AND(VLOOKUP(Y$1,'40Trips'!$A$3:$I$42,8,FALSE)-VLOOKUP($A15,'40Trips'!$A$3:$I$42,9,FALSE)&gt;=VLOOKUP(VLOOKUP(Y$1, '40Trips'!$A$3:$I$42,3,FALSE),'40Trips'!$J$32:$K$35, 2, FALSE)),1,0)</f>
        <v>1</v>
      </c>
      <c r="Z15">
        <f>IF(AND(VLOOKUP(Z$1,'40Trips'!$A$3:$I$42,8,FALSE)-VLOOKUP($A15,'40Trips'!$A$3:$I$42,9,FALSE)&gt;=VLOOKUP(VLOOKUP(Z$1, '40Trips'!$A$3:$I$42,3,FALSE),'40Trips'!$J$32:$K$35, 2, FALSE)),1,0)</f>
        <v>1</v>
      </c>
      <c r="AA15">
        <f>IF(AND(VLOOKUP(AA$1,'40Trips'!$A$3:$I$42,8,FALSE)-VLOOKUP($A15,'40Trips'!$A$3:$I$42,9,FALSE)&gt;=VLOOKUP(VLOOKUP(AA$1, '40Trips'!$A$3:$I$42,3,FALSE),'40Trips'!$J$32:$K$35, 2, FALSE)),1,0)</f>
        <v>0</v>
      </c>
      <c r="AB15">
        <f>IF(AND(VLOOKUP(AB$1,'40Trips'!$A$3:$I$42,8,FALSE)-VLOOKUP($A15,'40Trips'!$A$3:$I$42,9,FALSE)&gt;=VLOOKUP(VLOOKUP(AB$1, '40Trips'!$A$3:$I$42,3,FALSE),'40Trips'!$J$32:$K$35, 2, FALSE)),1,0)</f>
        <v>0</v>
      </c>
      <c r="AC15">
        <f>IF(AND(VLOOKUP(AC$1,'40Trips'!$A$3:$I$42,8,FALSE)-VLOOKUP($A15,'40Trips'!$A$3:$I$42,9,FALSE)&gt;=VLOOKUP(VLOOKUP(AC$1, '40Trips'!$A$3:$I$42,3,FALSE),'40Trips'!$J$32:$K$35, 2, FALSE)),1,0)</f>
        <v>1</v>
      </c>
      <c r="AD15">
        <f>IF(AND(VLOOKUP(AD$1,'40Trips'!$A$3:$I$42,8,FALSE)-VLOOKUP($A15,'40Trips'!$A$3:$I$42,9,FALSE)&gt;=VLOOKUP(VLOOKUP(AD$1, '40Trips'!$A$3:$I$42,3,FALSE),'40Trips'!$J$32:$K$35, 2, FALSE)),1,0)</f>
        <v>1</v>
      </c>
      <c r="AE15">
        <f>IF(AND(VLOOKUP(AE$1,'40Trips'!$A$3:$I$42,8,FALSE)-VLOOKUP($A15,'40Trips'!$A$3:$I$42,9,FALSE)&gt;=VLOOKUP(VLOOKUP(AE$1, '40Trips'!$A$3:$I$42,3,FALSE),'40Trips'!$J$32:$K$35, 2, FALSE)),1,0)</f>
        <v>0</v>
      </c>
      <c r="AF15">
        <f>IF(AND(VLOOKUP(AF$1,'40Trips'!$A$3:$I$42,8,FALSE)-VLOOKUP($A15,'40Trips'!$A$3:$I$42,9,FALSE)&gt;=VLOOKUP(VLOOKUP(AF$1, '40Trips'!$A$3:$I$42,3,FALSE),'40Trips'!$J$32:$K$35, 2, FALSE)),1,0)</f>
        <v>0</v>
      </c>
      <c r="AG15">
        <f>IF(AND(VLOOKUP(AG$1,'40Trips'!$A$3:$I$42,8,FALSE)-VLOOKUP($A15,'40Trips'!$A$3:$I$42,9,FALSE)&gt;=VLOOKUP(VLOOKUP(AG$1, '40Trips'!$A$3:$I$42,3,FALSE),'40Trips'!$J$32:$K$35, 2, FALSE)),1,0)</f>
        <v>0</v>
      </c>
      <c r="AH15">
        <f>IF(AND(VLOOKUP(AH$1,'40Trips'!$A$3:$I$42,8,FALSE)-VLOOKUP($A15,'40Trips'!$A$3:$I$42,9,FALSE)&gt;=VLOOKUP(VLOOKUP(AH$1, '40Trips'!$A$3:$I$42,3,FALSE),'40Trips'!$J$32:$K$35, 2, FALSE)),1,0)</f>
        <v>0</v>
      </c>
      <c r="AI15">
        <f>IF(AND(VLOOKUP(AI$1,'40Trips'!$A$3:$I$42,8,FALSE)-VLOOKUP($A15,'40Trips'!$A$3:$I$42,9,FALSE)&gt;=VLOOKUP(VLOOKUP(AI$1, '40Trips'!$A$3:$I$42,3,FALSE),'40Trips'!$J$32:$K$35, 2, FALSE)),1,0)</f>
        <v>0</v>
      </c>
      <c r="AJ15">
        <f>IF(AND(VLOOKUP(AJ$1,'40Trips'!$A$3:$I$42,8,FALSE)-VLOOKUP($A15,'40Trips'!$A$3:$I$42,9,FALSE)&gt;=VLOOKUP(VLOOKUP(AJ$1, '40Trips'!$A$3:$I$42,3,FALSE),'40Trips'!$J$32:$K$35, 2, FALSE)),1,0)</f>
        <v>0</v>
      </c>
      <c r="AK15">
        <f>IF(AND(VLOOKUP(AK$1,'40Trips'!$A$3:$I$42,8,FALSE)-VLOOKUP($A15,'40Trips'!$A$3:$I$42,9,FALSE)&gt;=VLOOKUP(VLOOKUP(AK$1, '40Trips'!$A$3:$I$42,3,FALSE),'40Trips'!$J$32:$K$35, 2, FALSE)),1,0)</f>
        <v>1</v>
      </c>
      <c r="AL15">
        <f>IF(AND(VLOOKUP(AL$1,'40Trips'!$A$3:$I$42,8,FALSE)-VLOOKUP($A15,'40Trips'!$A$3:$I$42,9,FALSE)&gt;=VLOOKUP(VLOOKUP(AL$1, '40Trips'!$A$3:$I$42,3,FALSE),'40Trips'!$J$32:$K$35, 2, FALSE)),1,0)</f>
        <v>1</v>
      </c>
      <c r="AM15">
        <f>IF(AND(VLOOKUP(AM$1,'40Trips'!$A$3:$I$42,8,FALSE)-VLOOKUP($A15,'40Trips'!$A$3:$I$42,9,FALSE)&gt;=VLOOKUP(VLOOKUP(AM$1, '40Trips'!$A$3:$I$42,3,FALSE),'40Trips'!$J$32:$K$35, 2, FALSE)),1,0)</f>
        <v>0</v>
      </c>
      <c r="AN15">
        <f>IF(AND(VLOOKUP(AN$1,'40Trips'!$A$3:$I$42,8,FALSE)-VLOOKUP($A15,'40Trips'!$A$3:$I$42,9,FALSE)&gt;=VLOOKUP(VLOOKUP(AN$1, '40Trips'!$A$3:$I$42,3,FALSE),'40Trips'!$J$32:$K$35, 2, FALSE)),1,0)</f>
        <v>0</v>
      </c>
      <c r="AO15">
        <f>IF(AND(VLOOKUP(AO$1,'40Trips'!$A$3:$I$42,8,FALSE)-VLOOKUP($A15,'40Trips'!$A$3:$I$42,9,FALSE)&gt;=VLOOKUP(VLOOKUP(AO$1, '40Trips'!$A$3:$I$42,3,FALSE),'40Trips'!$J$32:$K$35, 2, FALSE)),1,0)</f>
        <v>1</v>
      </c>
      <c r="AP15">
        <f>IF(AND(VLOOKUP(AP$1,'40Trips'!$A$3:$I$42,8,FALSE)-VLOOKUP($A15,'40Trips'!$A$3:$I$42,9,FALSE)&gt;=VLOOKUP(VLOOKUP(AP$1, '40Trips'!$A$3:$I$42,3,FALSE),'40Trips'!$J$32:$K$35, 2, FALSE)),1,0)</f>
        <v>1</v>
      </c>
    </row>
    <row r="16" spans="1:43" x14ac:dyDescent="0.25">
      <c r="A16" t="s">
        <v>28</v>
      </c>
      <c r="B16" s="3">
        <v>1</v>
      </c>
      <c r="C16">
        <f>IF(AND(VLOOKUP(C$1,'40Trips'!$A$3:$I$42,8,FALSE)-VLOOKUP($A16,'40Trips'!$A$3:$I$42,9,FALSE)&gt;=VLOOKUP(VLOOKUP(C$1, '40Trips'!$A$3:$I$42,3,FALSE),'40Trips'!$J$32:$K$35, 2, FALSE)),1,0)</f>
        <v>0</v>
      </c>
      <c r="D16">
        <f>IF(AND(VLOOKUP(D$1,'40Trips'!$A$3:$I$42,8,FALSE)-VLOOKUP($A16,'40Trips'!$A$3:$I$42,9,FALSE)&gt;=VLOOKUP(VLOOKUP(D$1, '40Trips'!$A$3:$I$42,3,FALSE),'40Trips'!$J$32:$K$35, 2, FALSE)),1,0)</f>
        <v>0</v>
      </c>
      <c r="E16">
        <f>IF(AND(VLOOKUP(E$1,'40Trips'!$A$3:$I$42,8,FALSE)-VLOOKUP($A16,'40Trips'!$A$3:$I$42,9,FALSE)&gt;=VLOOKUP(VLOOKUP(E$1, '40Trips'!$A$3:$I$42,3,FALSE),'40Trips'!$J$32:$K$35, 2, FALSE)),1,0)</f>
        <v>0</v>
      </c>
      <c r="F16">
        <f>IF(AND(VLOOKUP(F$1,'40Trips'!$A$3:$I$42,8,FALSE)-VLOOKUP($A16,'40Trips'!$A$3:$I$42,9,FALSE)&gt;=VLOOKUP(VLOOKUP(F$1, '40Trips'!$A$3:$I$42,3,FALSE),'40Trips'!$J$32:$K$35, 2, FALSE)),1,0)</f>
        <v>1</v>
      </c>
      <c r="G16">
        <f>IF(AND(VLOOKUP(G$1,'40Trips'!$A$3:$I$42,8,FALSE)-VLOOKUP($A16,'40Trips'!$A$3:$I$42,9,FALSE)&gt;=VLOOKUP(VLOOKUP(G$1, '40Trips'!$A$3:$I$42,3,FALSE),'40Trips'!$J$32:$K$35, 2, FALSE)),1,0)</f>
        <v>0</v>
      </c>
      <c r="H16">
        <f>IF(AND(VLOOKUP(H$1,'40Trips'!$A$3:$I$42,8,FALSE)-VLOOKUP($A16,'40Trips'!$A$3:$I$42,9,FALSE)&gt;=VLOOKUP(VLOOKUP(H$1, '40Trips'!$A$3:$I$42,3,FALSE),'40Trips'!$J$32:$K$35, 2, FALSE)),1,0)</f>
        <v>0</v>
      </c>
      <c r="I16">
        <f>IF(AND(VLOOKUP(I$1,'40Trips'!$A$3:$I$42,8,FALSE)-VLOOKUP($A16,'40Trips'!$A$3:$I$42,9,FALSE)&gt;=VLOOKUP(VLOOKUP(I$1, '40Trips'!$A$3:$I$42,3,FALSE),'40Trips'!$J$32:$K$35, 2, FALSE)),1,0)</f>
        <v>0</v>
      </c>
      <c r="J16">
        <f>IF(AND(VLOOKUP(J$1,'40Trips'!$A$3:$I$42,8,FALSE)-VLOOKUP($A16,'40Trips'!$A$3:$I$42,9,FALSE)&gt;=VLOOKUP(VLOOKUP(J$1, '40Trips'!$A$3:$I$42,3,FALSE),'40Trips'!$J$32:$K$35, 2, FALSE)),1,0)</f>
        <v>1</v>
      </c>
      <c r="K16">
        <f>IF(AND(VLOOKUP(K$1,'40Trips'!$A$3:$I$42,8,FALSE)-VLOOKUP($A16,'40Trips'!$A$3:$I$42,9,FALSE)&gt;=VLOOKUP(VLOOKUP(K$1, '40Trips'!$A$3:$I$42,3,FALSE),'40Trips'!$J$32:$K$35, 2, FALSE)),1,0)</f>
        <v>0</v>
      </c>
      <c r="L16">
        <f>IF(AND(VLOOKUP(L$1,'40Trips'!$A$3:$I$42,8,FALSE)-VLOOKUP($A16,'40Trips'!$A$3:$I$42,9,FALSE)&gt;=VLOOKUP(VLOOKUP(L$1, '40Trips'!$A$3:$I$42,3,FALSE),'40Trips'!$J$32:$K$35, 2, FALSE)),1,0)</f>
        <v>0</v>
      </c>
      <c r="M16">
        <f>IF(AND(VLOOKUP(M$1,'40Trips'!$A$3:$I$42,8,FALSE)-VLOOKUP($A16,'40Trips'!$A$3:$I$42,9,FALSE)&gt;=VLOOKUP(VLOOKUP(M$1, '40Trips'!$A$3:$I$42,3,FALSE),'40Trips'!$J$32:$K$35, 2, FALSE)),1,0)</f>
        <v>0</v>
      </c>
      <c r="N16">
        <f>IF(AND(VLOOKUP(N$1,'40Trips'!$A$3:$I$42,8,FALSE)-VLOOKUP($A16,'40Trips'!$A$3:$I$42,9,FALSE)&gt;=VLOOKUP(VLOOKUP(N$1, '40Trips'!$A$3:$I$42,3,FALSE),'40Trips'!$J$32:$K$35, 2, FALSE)),1,0)</f>
        <v>0</v>
      </c>
      <c r="O16">
        <f>IF(AND(VLOOKUP(O$1,'40Trips'!$A$3:$I$42,8,FALSE)-VLOOKUP($A16,'40Trips'!$A$3:$I$42,9,FALSE)&gt;=VLOOKUP(VLOOKUP(O$1, '40Trips'!$A$3:$I$42,3,FALSE),'40Trips'!$J$32:$K$35, 2, FALSE)),1,0)</f>
        <v>0</v>
      </c>
      <c r="P16">
        <f>IF(AND(VLOOKUP(P$1,'40Trips'!$A$3:$I$42,8,FALSE)-VLOOKUP($A16,'40Trips'!$A$3:$I$42,9,FALSE)&gt;=VLOOKUP(VLOOKUP(P$1, '40Trips'!$A$3:$I$42,3,FALSE),'40Trips'!$J$32:$K$35, 2, FALSE)),1,0)</f>
        <v>0</v>
      </c>
      <c r="Q16">
        <f>IF(AND(VLOOKUP(Q$1,'40Trips'!$A$3:$I$42,8,FALSE)-VLOOKUP($A16,'40Trips'!$A$3:$I$42,9,FALSE)&gt;=VLOOKUP(VLOOKUP(Q$1, '40Trips'!$A$3:$I$42,3,FALSE),'40Trips'!$J$32:$K$35, 2, FALSE)),1,0)</f>
        <v>0</v>
      </c>
      <c r="R16">
        <f>IF(AND(VLOOKUP(R$1,'40Trips'!$A$3:$I$42,8,FALSE)-VLOOKUP($A16,'40Trips'!$A$3:$I$42,9,FALSE)&gt;=VLOOKUP(VLOOKUP(R$1, '40Trips'!$A$3:$I$42,3,FALSE),'40Trips'!$J$32:$K$35, 2, FALSE)),1,0)</f>
        <v>1</v>
      </c>
      <c r="S16">
        <f>IF(AND(VLOOKUP(S$1,'40Trips'!$A$3:$I$42,8,FALSE)-VLOOKUP($A16,'40Trips'!$A$3:$I$42,9,FALSE)&gt;=VLOOKUP(VLOOKUP(S$1, '40Trips'!$A$3:$I$42,3,FALSE),'40Trips'!$J$32:$K$35, 2, FALSE)),1,0)</f>
        <v>0</v>
      </c>
      <c r="T16">
        <f>IF(AND(VLOOKUP(T$1,'40Trips'!$A$3:$I$42,8,FALSE)-VLOOKUP($A16,'40Trips'!$A$3:$I$42,9,FALSE)&gt;=VLOOKUP(VLOOKUP(T$1, '40Trips'!$A$3:$I$42,3,FALSE),'40Trips'!$J$32:$K$35, 2, FALSE)),1,0)</f>
        <v>0</v>
      </c>
      <c r="U16">
        <f>IF(AND(VLOOKUP(U$1,'40Trips'!$A$3:$I$42,8,FALSE)-VLOOKUP($A16,'40Trips'!$A$3:$I$42,9,FALSE)&gt;=VLOOKUP(VLOOKUP(U$1, '40Trips'!$A$3:$I$42,3,FALSE),'40Trips'!$J$32:$K$35, 2, FALSE)),1,0)</f>
        <v>0</v>
      </c>
      <c r="V16">
        <f>IF(AND(VLOOKUP(V$1,'40Trips'!$A$3:$I$42,8,FALSE)-VLOOKUP($A16,'40Trips'!$A$3:$I$42,9,FALSE)&gt;=VLOOKUP(VLOOKUP(V$1, '40Trips'!$A$3:$I$42,3,FALSE),'40Trips'!$J$32:$K$35, 2, FALSE)),1,0)</f>
        <v>1</v>
      </c>
      <c r="W16">
        <f>IF(AND(VLOOKUP(W$1,'40Trips'!$A$3:$I$42,8,FALSE)-VLOOKUP($A16,'40Trips'!$A$3:$I$42,9,FALSE)&gt;=VLOOKUP(VLOOKUP(W$1, '40Trips'!$A$3:$I$42,3,FALSE),'40Trips'!$J$32:$K$35, 2, FALSE)),1,0)</f>
        <v>0</v>
      </c>
      <c r="X16">
        <f>IF(AND(VLOOKUP(X$1,'40Trips'!$A$3:$I$42,8,FALSE)-VLOOKUP($A16,'40Trips'!$A$3:$I$42,9,FALSE)&gt;=VLOOKUP(VLOOKUP(X$1, '40Trips'!$A$3:$I$42,3,FALSE),'40Trips'!$J$32:$K$35, 2, FALSE)),1,0)</f>
        <v>0</v>
      </c>
      <c r="Y16">
        <f>IF(AND(VLOOKUP(Y$1,'40Trips'!$A$3:$I$42,8,FALSE)-VLOOKUP($A16,'40Trips'!$A$3:$I$42,9,FALSE)&gt;=VLOOKUP(VLOOKUP(Y$1, '40Trips'!$A$3:$I$42,3,FALSE),'40Trips'!$J$32:$K$35, 2, FALSE)),1,0)</f>
        <v>0</v>
      </c>
      <c r="Z16">
        <f>IF(AND(VLOOKUP(Z$1,'40Trips'!$A$3:$I$42,8,FALSE)-VLOOKUP($A16,'40Trips'!$A$3:$I$42,9,FALSE)&gt;=VLOOKUP(VLOOKUP(Z$1, '40Trips'!$A$3:$I$42,3,FALSE),'40Trips'!$J$32:$K$35, 2, FALSE)),1,0)</f>
        <v>1</v>
      </c>
      <c r="AA16">
        <f>IF(AND(VLOOKUP(AA$1,'40Trips'!$A$3:$I$42,8,FALSE)-VLOOKUP($A16,'40Trips'!$A$3:$I$42,9,FALSE)&gt;=VLOOKUP(VLOOKUP(AA$1, '40Trips'!$A$3:$I$42,3,FALSE),'40Trips'!$J$32:$K$35, 2, FALSE)),1,0)</f>
        <v>0</v>
      </c>
      <c r="AB16">
        <f>IF(AND(VLOOKUP(AB$1,'40Trips'!$A$3:$I$42,8,FALSE)-VLOOKUP($A16,'40Trips'!$A$3:$I$42,9,FALSE)&gt;=VLOOKUP(VLOOKUP(AB$1, '40Trips'!$A$3:$I$42,3,FALSE),'40Trips'!$J$32:$K$35, 2, FALSE)),1,0)</f>
        <v>0</v>
      </c>
      <c r="AC16">
        <f>IF(AND(VLOOKUP(AC$1,'40Trips'!$A$3:$I$42,8,FALSE)-VLOOKUP($A16,'40Trips'!$A$3:$I$42,9,FALSE)&gt;=VLOOKUP(VLOOKUP(AC$1, '40Trips'!$A$3:$I$42,3,FALSE),'40Trips'!$J$32:$K$35, 2, FALSE)),1,0)</f>
        <v>1</v>
      </c>
      <c r="AD16">
        <f>IF(AND(VLOOKUP(AD$1,'40Trips'!$A$3:$I$42,8,FALSE)-VLOOKUP($A16,'40Trips'!$A$3:$I$42,9,FALSE)&gt;=VLOOKUP(VLOOKUP(AD$1, '40Trips'!$A$3:$I$42,3,FALSE),'40Trips'!$J$32:$K$35, 2, FALSE)),1,0)</f>
        <v>1</v>
      </c>
      <c r="AE16">
        <f>IF(AND(VLOOKUP(AE$1,'40Trips'!$A$3:$I$42,8,FALSE)-VLOOKUP($A16,'40Trips'!$A$3:$I$42,9,FALSE)&gt;=VLOOKUP(VLOOKUP(AE$1, '40Trips'!$A$3:$I$42,3,FALSE),'40Trips'!$J$32:$K$35, 2, FALSE)),1,0)</f>
        <v>0</v>
      </c>
      <c r="AF16">
        <f>IF(AND(VLOOKUP(AF$1,'40Trips'!$A$3:$I$42,8,FALSE)-VLOOKUP($A16,'40Trips'!$A$3:$I$42,9,FALSE)&gt;=VLOOKUP(VLOOKUP(AF$1, '40Trips'!$A$3:$I$42,3,FALSE),'40Trips'!$J$32:$K$35, 2, FALSE)),1,0)</f>
        <v>0</v>
      </c>
      <c r="AG16">
        <f>IF(AND(VLOOKUP(AG$1,'40Trips'!$A$3:$I$42,8,FALSE)-VLOOKUP($A16,'40Trips'!$A$3:$I$42,9,FALSE)&gt;=VLOOKUP(VLOOKUP(AG$1, '40Trips'!$A$3:$I$42,3,FALSE),'40Trips'!$J$32:$K$35, 2, FALSE)),1,0)</f>
        <v>0</v>
      </c>
      <c r="AH16">
        <f>IF(AND(VLOOKUP(AH$1,'40Trips'!$A$3:$I$42,8,FALSE)-VLOOKUP($A16,'40Trips'!$A$3:$I$42,9,FALSE)&gt;=VLOOKUP(VLOOKUP(AH$1, '40Trips'!$A$3:$I$42,3,FALSE),'40Trips'!$J$32:$K$35, 2, FALSE)),1,0)</f>
        <v>0</v>
      </c>
      <c r="AI16">
        <f>IF(AND(VLOOKUP(AI$1,'40Trips'!$A$3:$I$42,8,FALSE)-VLOOKUP($A16,'40Trips'!$A$3:$I$42,9,FALSE)&gt;=VLOOKUP(VLOOKUP(AI$1, '40Trips'!$A$3:$I$42,3,FALSE),'40Trips'!$J$32:$K$35, 2, FALSE)),1,0)</f>
        <v>0</v>
      </c>
      <c r="AJ16">
        <f>IF(AND(VLOOKUP(AJ$1,'40Trips'!$A$3:$I$42,8,FALSE)-VLOOKUP($A16,'40Trips'!$A$3:$I$42,9,FALSE)&gt;=VLOOKUP(VLOOKUP(AJ$1, '40Trips'!$A$3:$I$42,3,FALSE),'40Trips'!$J$32:$K$35, 2, FALSE)),1,0)</f>
        <v>0</v>
      </c>
      <c r="AK16">
        <f>IF(AND(VLOOKUP(AK$1,'40Trips'!$A$3:$I$42,8,FALSE)-VLOOKUP($A16,'40Trips'!$A$3:$I$42,9,FALSE)&gt;=VLOOKUP(VLOOKUP(AK$1, '40Trips'!$A$3:$I$42,3,FALSE),'40Trips'!$J$32:$K$35, 2, FALSE)),1,0)</f>
        <v>0</v>
      </c>
      <c r="AL16">
        <f>IF(AND(VLOOKUP(AL$1,'40Trips'!$A$3:$I$42,8,FALSE)-VLOOKUP($A16,'40Trips'!$A$3:$I$42,9,FALSE)&gt;=VLOOKUP(VLOOKUP(AL$1, '40Trips'!$A$3:$I$42,3,FALSE),'40Trips'!$J$32:$K$35, 2, FALSE)),1,0)</f>
        <v>1</v>
      </c>
      <c r="AM16">
        <f>IF(AND(VLOOKUP(AM$1,'40Trips'!$A$3:$I$42,8,FALSE)-VLOOKUP($A16,'40Trips'!$A$3:$I$42,9,FALSE)&gt;=VLOOKUP(VLOOKUP(AM$1, '40Trips'!$A$3:$I$42,3,FALSE),'40Trips'!$J$32:$K$35, 2, FALSE)),1,0)</f>
        <v>0</v>
      </c>
      <c r="AN16">
        <f>IF(AND(VLOOKUP(AN$1,'40Trips'!$A$3:$I$42,8,FALSE)-VLOOKUP($A16,'40Trips'!$A$3:$I$42,9,FALSE)&gt;=VLOOKUP(VLOOKUP(AN$1, '40Trips'!$A$3:$I$42,3,FALSE),'40Trips'!$J$32:$K$35, 2, FALSE)),1,0)</f>
        <v>0</v>
      </c>
      <c r="AO16">
        <f>IF(AND(VLOOKUP(AO$1,'40Trips'!$A$3:$I$42,8,FALSE)-VLOOKUP($A16,'40Trips'!$A$3:$I$42,9,FALSE)&gt;=VLOOKUP(VLOOKUP(AO$1, '40Trips'!$A$3:$I$42,3,FALSE),'40Trips'!$J$32:$K$35, 2, FALSE)),1,0)</f>
        <v>0</v>
      </c>
      <c r="AP16">
        <f>IF(AND(VLOOKUP(AP$1,'40Trips'!$A$3:$I$42,8,FALSE)-VLOOKUP($A16,'40Trips'!$A$3:$I$42,9,FALSE)&gt;=VLOOKUP(VLOOKUP(AP$1, '40Trips'!$A$3:$I$42,3,FALSE),'40Trips'!$J$32:$K$35, 2, FALSE)),1,0)</f>
        <v>1</v>
      </c>
    </row>
    <row r="17" spans="1:42" x14ac:dyDescent="0.25">
      <c r="A17" t="s">
        <v>29</v>
      </c>
      <c r="B17" s="3">
        <v>1</v>
      </c>
      <c r="C17">
        <f>IF(AND(VLOOKUP(C$1,'40Trips'!$A$3:$I$42,8,FALSE)-VLOOKUP($A17,'40Trips'!$A$3:$I$42,9,FALSE)&gt;=VLOOKUP(VLOOKUP(C$1, '40Trips'!$A$3:$I$42,3,FALSE),'40Trips'!$J$32:$K$35, 2, FALSE)),1,0)</f>
        <v>0</v>
      </c>
      <c r="D17">
        <f>IF(AND(VLOOKUP(D$1,'40Trips'!$A$3:$I$42,8,FALSE)-VLOOKUP($A17,'40Trips'!$A$3:$I$42,9,FALSE)&gt;=VLOOKUP(VLOOKUP(D$1, '40Trips'!$A$3:$I$42,3,FALSE),'40Trips'!$J$32:$K$35, 2, FALSE)),1,0)</f>
        <v>0</v>
      </c>
      <c r="E17">
        <f>IF(AND(VLOOKUP(E$1,'40Trips'!$A$3:$I$42,8,FALSE)-VLOOKUP($A17,'40Trips'!$A$3:$I$42,9,FALSE)&gt;=VLOOKUP(VLOOKUP(E$1, '40Trips'!$A$3:$I$42,3,FALSE),'40Trips'!$J$32:$K$35, 2, FALSE)),1,0)</f>
        <v>0</v>
      </c>
      <c r="F17">
        <f>IF(AND(VLOOKUP(F$1,'40Trips'!$A$3:$I$42,8,FALSE)-VLOOKUP($A17,'40Trips'!$A$3:$I$42,9,FALSE)&gt;=VLOOKUP(VLOOKUP(F$1, '40Trips'!$A$3:$I$42,3,FALSE),'40Trips'!$J$32:$K$35, 2, FALSE)),1,0)</f>
        <v>0</v>
      </c>
      <c r="G17">
        <f>IF(AND(VLOOKUP(G$1,'40Trips'!$A$3:$I$42,8,FALSE)-VLOOKUP($A17,'40Trips'!$A$3:$I$42,9,FALSE)&gt;=VLOOKUP(VLOOKUP(G$1, '40Trips'!$A$3:$I$42,3,FALSE),'40Trips'!$J$32:$K$35, 2, FALSE)),1,0)</f>
        <v>0</v>
      </c>
      <c r="H17">
        <f>IF(AND(VLOOKUP(H$1,'40Trips'!$A$3:$I$42,8,FALSE)-VLOOKUP($A17,'40Trips'!$A$3:$I$42,9,FALSE)&gt;=VLOOKUP(VLOOKUP(H$1, '40Trips'!$A$3:$I$42,3,FALSE),'40Trips'!$J$32:$K$35, 2, FALSE)),1,0)</f>
        <v>0</v>
      </c>
      <c r="I17">
        <f>IF(AND(VLOOKUP(I$1,'40Trips'!$A$3:$I$42,8,FALSE)-VLOOKUP($A17,'40Trips'!$A$3:$I$42,9,FALSE)&gt;=VLOOKUP(VLOOKUP(I$1, '40Trips'!$A$3:$I$42,3,FALSE),'40Trips'!$J$32:$K$35, 2, FALSE)),1,0)</f>
        <v>0</v>
      </c>
      <c r="J17">
        <f>IF(AND(VLOOKUP(J$1,'40Trips'!$A$3:$I$42,8,FALSE)-VLOOKUP($A17,'40Trips'!$A$3:$I$42,9,FALSE)&gt;=VLOOKUP(VLOOKUP(J$1, '40Trips'!$A$3:$I$42,3,FALSE),'40Trips'!$J$32:$K$35, 2, FALSE)),1,0)</f>
        <v>1</v>
      </c>
      <c r="K17">
        <f>IF(AND(VLOOKUP(K$1,'40Trips'!$A$3:$I$42,8,FALSE)-VLOOKUP($A17,'40Trips'!$A$3:$I$42,9,FALSE)&gt;=VLOOKUP(VLOOKUP(K$1, '40Trips'!$A$3:$I$42,3,FALSE),'40Trips'!$J$32:$K$35, 2, FALSE)),1,0)</f>
        <v>0</v>
      </c>
      <c r="L17">
        <f>IF(AND(VLOOKUP(L$1,'40Trips'!$A$3:$I$42,8,FALSE)-VLOOKUP($A17,'40Trips'!$A$3:$I$42,9,FALSE)&gt;=VLOOKUP(VLOOKUP(L$1, '40Trips'!$A$3:$I$42,3,FALSE),'40Trips'!$J$32:$K$35, 2, FALSE)),1,0)</f>
        <v>0</v>
      </c>
      <c r="M17">
        <f>IF(AND(VLOOKUP(M$1,'40Trips'!$A$3:$I$42,8,FALSE)-VLOOKUP($A17,'40Trips'!$A$3:$I$42,9,FALSE)&gt;=VLOOKUP(VLOOKUP(M$1, '40Trips'!$A$3:$I$42,3,FALSE),'40Trips'!$J$32:$K$35, 2, FALSE)),1,0)</f>
        <v>0</v>
      </c>
      <c r="N17">
        <f>IF(AND(VLOOKUP(N$1,'40Trips'!$A$3:$I$42,8,FALSE)-VLOOKUP($A17,'40Trips'!$A$3:$I$42,9,FALSE)&gt;=VLOOKUP(VLOOKUP(N$1, '40Trips'!$A$3:$I$42,3,FALSE),'40Trips'!$J$32:$K$35, 2, FALSE)),1,0)</f>
        <v>0</v>
      </c>
      <c r="O17">
        <f>IF(AND(VLOOKUP(O$1,'40Trips'!$A$3:$I$42,8,FALSE)-VLOOKUP($A17,'40Trips'!$A$3:$I$42,9,FALSE)&gt;=VLOOKUP(VLOOKUP(O$1, '40Trips'!$A$3:$I$42,3,FALSE),'40Trips'!$J$32:$K$35, 2, FALSE)),1,0)</f>
        <v>0</v>
      </c>
      <c r="P17">
        <f>IF(AND(VLOOKUP(P$1,'40Trips'!$A$3:$I$42,8,FALSE)-VLOOKUP($A17,'40Trips'!$A$3:$I$42,9,FALSE)&gt;=VLOOKUP(VLOOKUP(P$1, '40Trips'!$A$3:$I$42,3,FALSE),'40Trips'!$J$32:$K$35, 2, FALSE)),1,0)</f>
        <v>0</v>
      </c>
      <c r="Q17">
        <f>IF(AND(VLOOKUP(Q$1,'40Trips'!$A$3:$I$42,8,FALSE)-VLOOKUP($A17,'40Trips'!$A$3:$I$42,9,FALSE)&gt;=VLOOKUP(VLOOKUP(Q$1, '40Trips'!$A$3:$I$42,3,FALSE),'40Trips'!$J$32:$K$35, 2, FALSE)),1,0)</f>
        <v>0</v>
      </c>
      <c r="R17">
        <f>IF(AND(VLOOKUP(R$1,'40Trips'!$A$3:$I$42,8,FALSE)-VLOOKUP($A17,'40Trips'!$A$3:$I$42,9,FALSE)&gt;=VLOOKUP(VLOOKUP(R$1, '40Trips'!$A$3:$I$42,3,FALSE),'40Trips'!$J$32:$K$35, 2, FALSE)),1,0)</f>
        <v>0</v>
      </c>
      <c r="S17">
        <f>IF(AND(VLOOKUP(S$1,'40Trips'!$A$3:$I$42,8,FALSE)-VLOOKUP($A17,'40Trips'!$A$3:$I$42,9,FALSE)&gt;=VLOOKUP(VLOOKUP(S$1, '40Trips'!$A$3:$I$42,3,FALSE),'40Trips'!$J$32:$K$35, 2, FALSE)),1,0)</f>
        <v>0</v>
      </c>
      <c r="T17">
        <f>IF(AND(VLOOKUP(T$1,'40Trips'!$A$3:$I$42,8,FALSE)-VLOOKUP($A17,'40Trips'!$A$3:$I$42,9,FALSE)&gt;=VLOOKUP(VLOOKUP(T$1, '40Trips'!$A$3:$I$42,3,FALSE),'40Trips'!$J$32:$K$35, 2, FALSE)),1,0)</f>
        <v>0</v>
      </c>
      <c r="U17">
        <f>IF(AND(VLOOKUP(U$1,'40Trips'!$A$3:$I$42,8,FALSE)-VLOOKUP($A17,'40Trips'!$A$3:$I$42,9,FALSE)&gt;=VLOOKUP(VLOOKUP(U$1, '40Trips'!$A$3:$I$42,3,FALSE),'40Trips'!$J$32:$K$35, 2, FALSE)),1,0)</f>
        <v>0</v>
      </c>
      <c r="V17">
        <f>IF(AND(VLOOKUP(V$1,'40Trips'!$A$3:$I$42,8,FALSE)-VLOOKUP($A17,'40Trips'!$A$3:$I$42,9,FALSE)&gt;=VLOOKUP(VLOOKUP(V$1, '40Trips'!$A$3:$I$42,3,FALSE),'40Trips'!$J$32:$K$35, 2, FALSE)),1,0)</f>
        <v>0</v>
      </c>
      <c r="W17">
        <f>IF(AND(VLOOKUP(W$1,'40Trips'!$A$3:$I$42,8,FALSE)-VLOOKUP($A17,'40Trips'!$A$3:$I$42,9,FALSE)&gt;=VLOOKUP(VLOOKUP(W$1, '40Trips'!$A$3:$I$42,3,FALSE),'40Trips'!$J$32:$K$35, 2, FALSE)),1,0)</f>
        <v>0</v>
      </c>
      <c r="X17">
        <f>IF(AND(VLOOKUP(X$1,'40Trips'!$A$3:$I$42,8,FALSE)-VLOOKUP($A17,'40Trips'!$A$3:$I$42,9,FALSE)&gt;=VLOOKUP(VLOOKUP(X$1, '40Trips'!$A$3:$I$42,3,FALSE),'40Trips'!$J$32:$K$35, 2, FALSE)),1,0)</f>
        <v>0</v>
      </c>
      <c r="Y17">
        <f>IF(AND(VLOOKUP(Y$1,'40Trips'!$A$3:$I$42,8,FALSE)-VLOOKUP($A17,'40Trips'!$A$3:$I$42,9,FALSE)&gt;=VLOOKUP(VLOOKUP(Y$1, '40Trips'!$A$3:$I$42,3,FALSE),'40Trips'!$J$32:$K$35, 2, FALSE)),1,0)</f>
        <v>0</v>
      </c>
      <c r="Z17">
        <f>IF(AND(VLOOKUP(Z$1,'40Trips'!$A$3:$I$42,8,FALSE)-VLOOKUP($A17,'40Trips'!$A$3:$I$42,9,FALSE)&gt;=VLOOKUP(VLOOKUP(Z$1, '40Trips'!$A$3:$I$42,3,FALSE),'40Trips'!$J$32:$K$35, 2, FALSE)),1,0)</f>
        <v>0</v>
      </c>
      <c r="AA17">
        <f>IF(AND(VLOOKUP(AA$1,'40Trips'!$A$3:$I$42,8,FALSE)-VLOOKUP($A17,'40Trips'!$A$3:$I$42,9,FALSE)&gt;=VLOOKUP(VLOOKUP(AA$1, '40Trips'!$A$3:$I$42,3,FALSE),'40Trips'!$J$32:$K$35, 2, FALSE)),1,0)</f>
        <v>0</v>
      </c>
      <c r="AB17">
        <f>IF(AND(VLOOKUP(AB$1,'40Trips'!$A$3:$I$42,8,FALSE)-VLOOKUP($A17,'40Trips'!$A$3:$I$42,9,FALSE)&gt;=VLOOKUP(VLOOKUP(AB$1, '40Trips'!$A$3:$I$42,3,FALSE),'40Trips'!$J$32:$K$35, 2, FALSE)),1,0)</f>
        <v>0</v>
      </c>
      <c r="AC17">
        <f>IF(AND(VLOOKUP(AC$1,'40Trips'!$A$3:$I$42,8,FALSE)-VLOOKUP($A17,'40Trips'!$A$3:$I$42,9,FALSE)&gt;=VLOOKUP(VLOOKUP(AC$1, '40Trips'!$A$3:$I$42,3,FALSE),'40Trips'!$J$32:$K$35, 2, FALSE)),1,0)</f>
        <v>0</v>
      </c>
      <c r="AD17">
        <f>IF(AND(VLOOKUP(AD$1,'40Trips'!$A$3:$I$42,8,FALSE)-VLOOKUP($A17,'40Trips'!$A$3:$I$42,9,FALSE)&gt;=VLOOKUP(VLOOKUP(AD$1, '40Trips'!$A$3:$I$42,3,FALSE),'40Trips'!$J$32:$K$35, 2, FALSE)),1,0)</f>
        <v>0</v>
      </c>
      <c r="AE17">
        <f>IF(AND(VLOOKUP(AE$1,'40Trips'!$A$3:$I$42,8,FALSE)-VLOOKUP($A17,'40Trips'!$A$3:$I$42,9,FALSE)&gt;=VLOOKUP(VLOOKUP(AE$1, '40Trips'!$A$3:$I$42,3,FALSE),'40Trips'!$J$32:$K$35, 2, FALSE)),1,0)</f>
        <v>0</v>
      </c>
      <c r="AF17">
        <f>IF(AND(VLOOKUP(AF$1,'40Trips'!$A$3:$I$42,8,FALSE)-VLOOKUP($A17,'40Trips'!$A$3:$I$42,9,FALSE)&gt;=VLOOKUP(VLOOKUP(AF$1, '40Trips'!$A$3:$I$42,3,FALSE),'40Trips'!$J$32:$K$35, 2, FALSE)),1,0)</f>
        <v>0</v>
      </c>
      <c r="AG17">
        <f>IF(AND(VLOOKUP(AG$1,'40Trips'!$A$3:$I$42,8,FALSE)-VLOOKUP($A17,'40Trips'!$A$3:$I$42,9,FALSE)&gt;=VLOOKUP(VLOOKUP(AG$1, '40Trips'!$A$3:$I$42,3,FALSE),'40Trips'!$J$32:$K$35, 2, FALSE)),1,0)</f>
        <v>0</v>
      </c>
      <c r="AH17">
        <f>IF(AND(VLOOKUP(AH$1,'40Trips'!$A$3:$I$42,8,FALSE)-VLOOKUP($A17,'40Trips'!$A$3:$I$42,9,FALSE)&gt;=VLOOKUP(VLOOKUP(AH$1, '40Trips'!$A$3:$I$42,3,FALSE),'40Trips'!$J$32:$K$35, 2, FALSE)),1,0)</f>
        <v>0</v>
      </c>
      <c r="AI17">
        <f>IF(AND(VLOOKUP(AI$1,'40Trips'!$A$3:$I$42,8,FALSE)-VLOOKUP($A17,'40Trips'!$A$3:$I$42,9,FALSE)&gt;=VLOOKUP(VLOOKUP(AI$1, '40Trips'!$A$3:$I$42,3,FALSE),'40Trips'!$J$32:$K$35, 2, FALSE)),1,0)</f>
        <v>0</v>
      </c>
      <c r="AJ17">
        <f>IF(AND(VLOOKUP(AJ$1,'40Trips'!$A$3:$I$42,8,FALSE)-VLOOKUP($A17,'40Trips'!$A$3:$I$42,9,FALSE)&gt;=VLOOKUP(VLOOKUP(AJ$1, '40Trips'!$A$3:$I$42,3,FALSE),'40Trips'!$J$32:$K$35, 2, FALSE)),1,0)</f>
        <v>0</v>
      </c>
      <c r="AK17">
        <f>IF(AND(VLOOKUP(AK$1,'40Trips'!$A$3:$I$42,8,FALSE)-VLOOKUP($A17,'40Trips'!$A$3:$I$42,9,FALSE)&gt;=VLOOKUP(VLOOKUP(AK$1, '40Trips'!$A$3:$I$42,3,FALSE),'40Trips'!$J$32:$K$35, 2, FALSE)),1,0)</f>
        <v>0</v>
      </c>
      <c r="AL17">
        <f>IF(AND(VLOOKUP(AL$1,'40Trips'!$A$3:$I$42,8,FALSE)-VLOOKUP($A17,'40Trips'!$A$3:$I$42,9,FALSE)&gt;=VLOOKUP(VLOOKUP(AL$1, '40Trips'!$A$3:$I$42,3,FALSE),'40Trips'!$J$32:$K$35, 2, FALSE)),1,0)</f>
        <v>1</v>
      </c>
      <c r="AM17">
        <f>IF(AND(VLOOKUP(AM$1,'40Trips'!$A$3:$I$42,8,FALSE)-VLOOKUP($A17,'40Trips'!$A$3:$I$42,9,FALSE)&gt;=VLOOKUP(VLOOKUP(AM$1, '40Trips'!$A$3:$I$42,3,FALSE),'40Trips'!$J$32:$K$35, 2, FALSE)),1,0)</f>
        <v>0</v>
      </c>
      <c r="AN17">
        <f>IF(AND(VLOOKUP(AN$1,'40Trips'!$A$3:$I$42,8,FALSE)-VLOOKUP($A17,'40Trips'!$A$3:$I$42,9,FALSE)&gt;=VLOOKUP(VLOOKUP(AN$1, '40Trips'!$A$3:$I$42,3,FALSE),'40Trips'!$J$32:$K$35, 2, FALSE)),1,0)</f>
        <v>0</v>
      </c>
      <c r="AO17">
        <f>IF(AND(VLOOKUP(AO$1,'40Trips'!$A$3:$I$42,8,FALSE)-VLOOKUP($A17,'40Trips'!$A$3:$I$42,9,FALSE)&gt;=VLOOKUP(VLOOKUP(AO$1, '40Trips'!$A$3:$I$42,3,FALSE),'40Trips'!$J$32:$K$35, 2, FALSE)),1,0)</f>
        <v>0</v>
      </c>
      <c r="AP17">
        <f>IF(AND(VLOOKUP(AP$1,'40Trips'!$A$3:$I$42,8,FALSE)-VLOOKUP($A17,'40Trips'!$A$3:$I$42,9,FALSE)&gt;=VLOOKUP(VLOOKUP(AP$1, '40Trips'!$A$3:$I$42,3,FALSE),'40Trips'!$J$32:$K$35, 2, FALSE)),1,0)</f>
        <v>1</v>
      </c>
    </row>
    <row r="18" spans="1:42" x14ac:dyDescent="0.25">
      <c r="A18" t="s">
        <v>30</v>
      </c>
      <c r="B18" s="3">
        <v>1</v>
      </c>
      <c r="C18">
        <f>IF(AND(VLOOKUP(C$1,'40Trips'!$A$3:$I$42,8,FALSE)-VLOOKUP($A18,'40Trips'!$A$3:$I$42,9,FALSE)&gt;=VLOOKUP(VLOOKUP(C$1, '40Trips'!$A$3:$I$42,3,FALSE),'40Trips'!$J$32:$K$35, 2, FALSE)),1,0)</f>
        <v>0</v>
      </c>
      <c r="D18">
        <f>IF(AND(VLOOKUP(D$1,'40Trips'!$A$3:$I$42,8,FALSE)-VLOOKUP($A18,'40Trips'!$A$3:$I$42,9,FALSE)&gt;=VLOOKUP(VLOOKUP(D$1, '40Trips'!$A$3:$I$42,3,FALSE),'40Trips'!$J$32:$K$35, 2, FALSE)),1,0)</f>
        <v>0</v>
      </c>
      <c r="E18">
        <f>IF(AND(VLOOKUP(E$1,'40Trips'!$A$3:$I$42,8,FALSE)-VLOOKUP($A18,'40Trips'!$A$3:$I$42,9,FALSE)&gt;=VLOOKUP(VLOOKUP(E$1, '40Trips'!$A$3:$I$42,3,FALSE),'40Trips'!$J$32:$K$35, 2, FALSE)),1,0)</f>
        <v>0</v>
      </c>
      <c r="F18">
        <f>IF(AND(VLOOKUP(F$1,'40Trips'!$A$3:$I$42,8,FALSE)-VLOOKUP($A18,'40Trips'!$A$3:$I$42,9,FALSE)&gt;=VLOOKUP(VLOOKUP(F$1, '40Trips'!$A$3:$I$42,3,FALSE),'40Trips'!$J$32:$K$35, 2, FALSE)),1,0)</f>
        <v>0</v>
      </c>
      <c r="G18">
        <f>IF(AND(VLOOKUP(G$1,'40Trips'!$A$3:$I$42,8,FALSE)-VLOOKUP($A18,'40Trips'!$A$3:$I$42,9,FALSE)&gt;=VLOOKUP(VLOOKUP(G$1, '40Trips'!$A$3:$I$42,3,FALSE),'40Trips'!$J$32:$K$35, 2, FALSE)),1,0)</f>
        <v>0</v>
      </c>
      <c r="H18">
        <f>IF(AND(VLOOKUP(H$1,'40Trips'!$A$3:$I$42,8,FALSE)-VLOOKUP($A18,'40Trips'!$A$3:$I$42,9,FALSE)&gt;=VLOOKUP(VLOOKUP(H$1, '40Trips'!$A$3:$I$42,3,FALSE),'40Trips'!$J$32:$K$35, 2, FALSE)),1,0)</f>
        <v>0</v>
      </c>
      <c r="I18">
        <f>IF(AND(VLOOKUP(I$1,'40Trips'!$A$3:$I$42,8,FALSE)-VLOOKUP($A18,'40Trips'!$A$3:$I$42,9,FALSE)&gt;=VLOOKUP(VLOOKUP(I$1, '40Trips'!$A$3:$I$42,3,FALSE),'40Trips'!$J$32:$K$35, 2, FALSE)),1,0)</f>
        <v>0</v>
      </c>
      <c r="J18">
        <f>IF(AND(VLOOKUP(J$1,'40Trips'!$A$3:$I$42,8,FALSE)-VLOOKUP($A18,'40Trips'!$A$3:$I$42,9,FALSE)&gt;=VLOOKUP(VLOOKUP(J$1, '40Trips'!$A$3:$I$42,3,FALSE),'40Trips'!$J$32:$K$35, 2, FALSE)),1,0)</f>
        <v>1</v>
      </c>
      <c r="K18">
        <f>IF(AND(VLOOKUP(K$1,'40Trips'!$A$3:$I$42,8,FALSE)-VLOOKUP($A18,'40Trips'!$A$3:$I$42,9,FALSE)&gt;=VLOOKUP(VLOOKUP(K$1, '40Trips'!$A$3:$I$42,3,FALSE),'40Trips'!$J$32:$K$35, 2, FALSE)),1,0)</f>
        <v>0</v>
      </c>
      <c r="L18">
        <f>IF(AND(VLOOKUP(L$1,'40Trips'!$A$3:$I$42,8,FALSE)-VLOOKUP($A18,'40Trips'!$A$3:$I$42,9,FALSE)&gt;=VLOOKUP(VLOOKUP(L$1, '40Trips'!$A$3:$I$42,3,FALSE),'40Trips'!$J$32:$K$35, 2, FALSE)),1,0)</f>
        <v>0</v>
      </c>
      <c r="M18">
        <f>IF(AND(VLOOKUP(M$1,'40Trips'!$A$3:$I$42,8,FALSE)-VLOOKUP($A18,'40Trips'!$A$3:$I$42,9,FALSE)&gt;=VLOOKUP(VLOOKUP(M$1, '40Trips'!$A$3:$I$42,3,FALSE),'40Trips'!$J$32:$K$35, 2, FALSE)),1,0)</f>
        <v>0</v>
      </c>
      <c r="N18">
        <f>IF(AND(VLOOKUP(N$1,'40Trips'!$A$3:$I$42,8,FALSE)-VLOOKUP($A18,'40Trips'!$A$3:$I$42,9,FALSE)&gt;=VLOOKUP(VLOOKUP(N$1, '40Trips'!$A$3:$I$42,3,FALSE),'40Trips'!$J$32:$K$35, 2, FALSE)),1,0)</f>
        <v>0</v>
      </c>
      <c r="O18">
        <f>IF(AND(VLOOKUP(O$1,'40Trips'!$A$3:$I$42,8,FALSE)-VLOOKUP($A18,'40Trips'!$A$3:$I$42,9,FALSE)&gt;=VLOOKUP(VLOOKUP(O$1, '40Trips'!$A$3:$I$42,3,FALSE),'40Trips'!$J$32:$K$35, 2, FALSE)),1,0)</f>
        <v>0</v>
      </c>
      <c r="P18">
        <f>IF(AND(VLOOKUP(P$1,'40Trips'!$A$3:$I$42,8,FALSE)-VLOOKUP($A18,'40Trips'!$A$3:$I$42,9,FALSE)&gt;=VLOOKUP(VLOOKUP(P$1, '40Trips'!$A$3:$I$42,3,FALSE),'40Trips'!$J$32:$K$35, 2, FALSE)),1,0)</f>
        <v>0</v>
      </c>
      <c r="Q18">
        <f>IF(AND(VLOOKUP(Q$1,'40Trips'!$A$3:$I$42,8,FALSE)-VLOOKUP($A18,'40Trips'!$A$3:$I$42,9,FALSE)&gt;=VLOOKUP(VLOOKUP(Q$1, '40Trips'!$A$3:$I$42,3,FALSE),'40Trips'!$J$32:$K$35, 2, FALSE)),1,0)</f>
        <v>0</v>
      </c>
      <c r="R18">
        <f>IF(AND(VLOOKUP(R$1,'40Trips'!$A$3:$I$42,8,FALSE)-VLOOKUP($A18,'40Trips'!$A$3:$I$42,9,FALSE)&gt;=VLOOKUP(VLOOKUP(R$1, '40Trips'!$A$3:$I$42,3,FALSE),'40Trips'!$J$32:$K$35, 2, FALSE)),1,0)</f>
        <v>0</v>
      </c>
      <c r="S18">
        <f>IF(AND(VLOOKUP(S$1,'40Trips'!$A$3:$I$42,8,FALSE)-VLOOKUP($A18,'40Trips'!$A$3:$I$42,9,FALSE)&gt;=VLOOKUP(VLOOKUP(S$1, '40Trips'!$A$3:$I$42,3,FALSE),'40Trips'!$J$32:$K$35, 2, FALSE)),1,0)</f>
        <v>0</v>
      </c>
      <c r="T18">
        <f>IF(AND(VLOOKUP(T$1,'40Trips'!$A$3:$I$42,8,FALSE)-VLOOKUP($A18,'40Trips'!$A$3:$I$42,9,FALSE)&gt;=VLOOKUP(VLOOKUP(T$1, '40Trips'!$A$3:$I$42,3,FALSE),'40Trips'!$J$32:$K$35, 2, FALSE)),1,0)</f>
        <v>0</v>
      </c>
      <c r="U18">
        <f>IF(AND(VLOOKUP(U$1,'40Trips'!$A$3:$I$42,8,FALSE)-VLOOKUP($A18,'40Trips'!$A$3:$I$42,9,FALSE)&gt;=VLOOKUP(VLOOKUP(U$1, '40Trips'!$A$3:$I$42,3,FALSE),'40Trips'!$J$32:$K$35, 2, FALSE)),1,0)</f>
        <v>0</v>
      </c>
      <c r="V18">
        <f>IF(AND(VLOOKUP(V$1,'40Trips'!$A$3:$I$42,8,FALSE)-VLOOKUP($A18,'40Trips'!$A$3:$I$42,9,FALSE)&gt;=VLOOKUP(VLOOKUP(V$1, '40Trips'!$A$3:$I$42,3,FALSE),'40Trips'!$J$32:$K$35, 2, FALSE)),1,0)</f>
        <v>0</v>
      </c>
      <c r="W18">
        <f>IF(AND(VLOOKUP(W$1,'40Trips'!$A$3:$I$42,8,FALSE)-VLOOKUP($A18,'40Trips'!$A$3:$I$42,9,FALSE)&gt;=VLOOKUP(VLOOKUP(W$1, '40Trips'!$A$3:$I$42,3,FALSE),'40Trips'!$J$32:$K$35, 2, FALSE)),1,0)</f>
        <v>0</v>
      </c>
      <c r="X18">
        <f>IF(AND(VLOOKUP(X$1,'40Trips'!$A$3:$I$42,8,FALSE)-VLOOKUP($A18,'40Trips'!$A$3:$I$42,9,FALSE)&gt;=VLOOKUP(VLOOKUP(X$1, '40Trips'!$A$3:$I$42,3,FALSE),'40Trips'!$J$32:$K$35, 2, FALSE)),1,0)</f>
        <v>0</v>
      </c>
      <c r="Y18">
        <f>IF(AND(VLOOKUP(Y$1,'40Trips'!$A$3:$I$42,8,FALSE)-VLOOKUP($A18,'40Trips'!$A$3:$I$42,9,FALSE)&gt;=VLOOKUP(VLOOKUP(Y$1, '40Trips'!$A$3:$I$42,3,FALSE),'40Trips'!$J$32:$K$35, 2, FALSE)),1,0)</f>
        <v>0</v>
      </c>
      <c r="Z18">
        <f>IF(AND(VLOOKUP(Z$1,'40Trips'!$A$3:$I$42,8,FALSE)-VLOOKUP($A18,'40Trips'!$A$3:$I$42,9,FALSE)&gt;=VLOOKUP(VLOOKUP(Z$1, '40Trips'!$A$3:$I$42,3,FALSE),'40Trips'!$J$32:$K$35, 2, FALSE)),1,0)</f>
        <v>0</v>
      </c>
      <c r="AA18">
        <f>IF(AND(VLOOKUP(AA$1,'40Trips'!$A$3:$I$42,8,FALSE)-VLOOKUP($A18,'40Trips'!$A$3:$I$42,9,FALSE)&gt;=VLOOKUP(VLOOKUP(AA$1, '40Trips'!$A$3:$I$42,3,FALSE),'40Trips'!$J$32:$K$35, 2, FALSE)),1,0)</f>
        <v>0</v>
      </c>
      <c r="AB18">
        <f>IF(AND(VLOOKUP(AB$1,'40Trips'!$A$3:$I$42,8,FALSE)-VLOOKUP($A18,'40Trips'!$A$3:$I$42,9,FALSE)&gt;=VLOOKUP(VLOOKUP(AB$1, '40Trips'!$A$3:$I$42,3,FALSE),'40Trips'!$J$32:$K$35, 2, FALSE)),1,0)</f>
        <v>0</v>
      </c>
      <c r="AC18">
        <f>IF(AND(VLOOKUP(AC$1,'40Trips'!$A$3:$I$42,8,FALSE)-VLOOKUP($A18,'40Trips'!$A$3:$I$42,9,FALSE)&gt;=VLOOKUP(VLOOKUP(AC$1, '40Trips'!$A$3:$I$42,3,FALSE),'40Trips'!$J$32:$K$35, 2, FALSE)),1,0)</f>
        <v>0</v>
      </c>
      <c r="AD18">
        <f>IF(AND(VLOOKUP(AD$1,'40Trips'!$A$3:$I$42,8,FALSE)-VLOOKUP($A18,'40Trips'!$A$3:$I$42,9,FALSE)&gt;=VLOOKUP(VLOOKUP(AD$1, '40Trips'!$A$3:$I$42,3,FALSE),'40Trips'!$J$32:$K$35, 2, FALSE)),1,0)</f>
        <v>0</v>
      </c>
      <c r="AE18">
        <f>IF(AND(VLOOKUP(AE$1,'40Trips'!$A$3:$I$42,8,FALSE)-VLOOKUP($A18,'40Trips'!$A$3:$I$42,9,FALSE)&gt;=VLOOKUP(VLOOKUP(AE$1, '40Trips'!$A$3:$I$42,3,FALSE),'40Trips'!$J$32:$K$35, 2, FALSE)),1,0)</f>
        <v>0</v>
      </c>
      <c r="AF18">
        <f>IF(AND(VLOOKUP(AF$1,'40Trips'!$A$3:$I$42,8,FALSE)-VLOOKUP($A18,'40Trips'!$A$3:$I$42,9,FALSE)&gt;=VLOOKUP(VLOOKUP(AF$1, '40Trips'!$A$3:$I$42,3,FALSE),'40Trips'!$J$32:$K$35, 2, FALSE)),1,0)</f>
        <v>0</v>
      </c>
      <c r="AG18">
        <f>IF(AND(VLOOKUP(AG$1,'40Trips'!$A$3:$I$42,8,FALSE)-VLOOKUP($A18,'40Trips'!$A$3:$I$42,9,FALSE)&gt;=VLOOKUP(VLOOKUP(AG$1, '40Trips'!$A$3:$I$42,3,FALSE),'40Trips'!$J$32:$K$35, 2, FALSE)),1,0)</f>
        <v>0</v>
      </c>
      <c r="AH18">
        <f>IF(AND(VLOOKUP(AH$1,'40Trips'!$A$3:$I$42,8,FALSE)-VLOOKUP($A18,'40Trips'!$A$3:$I$42,9,FALSE)&gt;=VLOOKUP(VLOOKUP(AH$1, '40Trips'!$A$3:$I$42,3,FALSE),'40Trips'!$J$32:$K$35, 2, FALSE)),1,0)</f>
        <v>0</v>
      </c>
      <c r="AI18">
        <f>IF(AND(VLOOKUP(AI$1,'40Trips'!$A$3:$I$42,8,FALSE)-VLOOKUP($A18,'40Trips'!$A$3:$I$42,9,FALSE)&gt;=VLOOKUP(VLOOKUP(AI$1, '40Trips'!$A$3:$I$42,3,FALSE),'40Trips'!$J$32:$K$35, 2, FALSE)),1,0)</f>
        <v>0</v>
      </c>
      <c r="AJ18">
        <f>IF(AND(VLOOKUP(AJ$1,'40Trips'!$A$3:$I$42,8,FALSE)-VLOOKUP($A18,'40Trips'!$A$3:$I$42,9,FALSE)&gt;=VLOOKUP(VLOOKUP(AJ$1, '40Trips'!$A$3:$I$42,3,FALSE),'40Trips'!$J$32:$K$35, 2, FALSE)),1,0)</f>
        <v>0</v>
      </c>
      <c r="AK18">
        <f>IF(AND(VLOOKUP(AK$1,'40Trips'!$A$3:$I$42,8,FALSE)-VLOOKUP($A18,'40Trips'!$A$3:$I$42,9,FALSE)&gt;=VLOOKUP(VLOOKUP(AK$1, '40Trips'!$A$3:$I$42,3,FALSE),'40Trips'!$J$32:$K$35, 2, FALSE)),1,0)</f>
        <v>0</v>
      </c>
      <c r="AL18">
        <f>IF(AND(VLOOKUP(AL$1,'40Trips'!$A$3:$I$42,8,FALSE)-VLOOKUP($A18,'40Trips'!$A$3:$I$42,9,FALSE)&gt;=VLOOKUP(VLOOKUP(AL$1, '40Trips'!$A$3:$I$42,3,FALSE),'40Trips'!$J$32:$K$35, 2, FALSE)),1,0)</f>
        <v>0</v>
      </c>
      <c r="AM18">
        <f>IF(AND(VLOOKUP(AM$1,'40Trips'!$A$3:$I$42,8,FALSE)-VLOOKUP($A18,'40Trips'!$A$3:$I$42,9,FALSE)&gt;=VLOOKUP(VLOOKUP(AM$1, '40Trips'!$A$3:$I$42,3,FALSE),'40Trips'!$J$32:$K$35, 2, FALSE)),1,0)</f>
        <v>0</v>
      </c>
      <c r="AN18">
        <f>IF(AND(VLOOKUP(AN$1,'40Trips'!$A$3:$I$42,8,FALSE)-VLOOKUP($A18,'40Trips'!$A$3:$I$42,9,FALSE)&gt;=VLOOKUP(VLOOKUP(AN$1, '40Trips'!$A$3:$I$42,3,FALSE),'40Trips'!$J$32:$K$35, 2, FALSE)),1,0)</f>
        <v>0</v>
      </c>
      <c r="AO18">
        <f>IF(AND(VLOOKUP(AO$1,'40Trips'!$A$3:$I$42,8,FALSE)-VLOOKUP($A18,'40Trips'!$A$3:$I$42,9,FALSE)&gt;=VLOOKUP(VLOOKUP(AO$1, '40Trips'!$A$3:$I$42,3,FALSE),'40Trips'!$J$32:$K$35, 2, FALSE)),1,0)</f>
        <v>0</v>
      </c>
      <c r="AP18">
        <f>IF(AND(VLOOKUP(AP$1,'40Trips'!$A$3:$I$42,8,FALSE)-VLOOKUP($A18,'40Trips'!$A$3:$I$42,9,FALSE)&gt;=VLOOKUP(VLOOKUP(AP$1, '40Trips'!$A$3:$I$42,3,FALSE),'40Trips'!$J$32:$K$35, 2, FALSE)),1,0)</f>
        <v>0</v>
      </c>
    </row>
    <row r="19" spans="1:42" x14ac:dyDescent="0.25">
      <c r="A19" t="s">
        <v>75</v>
      </c>
      <c r="B19" s="3">
        <v>1</v>
      </c>
      <c r="C19">
        <f>IF(AND(VLOOKUP(C$1,'40Trips'!$A$3:$I$42,8,FALSE)-VLOOKUP($A19,'40Trips'!$A$3:$I$42,9,FALSE)&gt;=VLOOKUP(VLOOKUP(C$1, '40Trips'!$A$3:$I$42,3,FALSE),'40Trips'!$J$32:$K$35, 2, FALSE)),1,0)</f>
        <v>1</v>
      </c>
      <c r="D19">
        <f>IF(AND(VLOOKUP(D$1,'40Trips'!$A$3:$I$42,8,FALSE)-VLOOKUP($A19,'40Trips'!$A$3:$I$42,9,FALSE)&gt;=VLOOKUP(VLOOKUP(D$1, '40Trips'!$A$3:$I$42,3,FALSE),'40Trips'!$J$32:$K$35, 2, FALSE)),1,0)</f>
        <v>1</v>
      </c>
      <c r="E19">
        <f>IF(AND(VLOOKUP(E$1,'40Trips'!$A$3:$I$42,8,FALSE)-VLOOKUP($A19,'40Trips'!$A$3:$I$42,9,FALSE)&gt;=VLOOKUP(VLOOKUP(E$1, '40Trips'!$A$3:$I$42,3,FALSE),'40Trips'!$J$32:$K$35, 2, FALSE)),1,0)</f>
        <v>1</v>
      </c>
      <c r="F19">
        <f>IF(AND(VLOOKUP(F$1,'40Trips'!$A$3:$I$42,8,FALSE)-VLOOKUP($A19,'40Trips'!$A$3:$I$42,9,FALSE)&gt;=VLOOKUP(VLOOKUP(F$1, '40Trips'!$A$3:$I$42,3,FALSE),'40Trips'!$J$32:$K$35, 2, FALSE)),1,0)</f>
        <v>1</v>
      </c>
      <c r="G19">
        <f>IF(AND(VLOOKUP(G$1,'40Trips'!$A$3:$I$42,8,FALSE)-VLOOKUP($A19,'40Trips'!$A$3:$I$42,9,FALSE)&gt;=VLOOKUP(VLOOKUP(G$1, '40Trips'!$A$3:$I$42,3,FALSE),'40Trips'!$J$32:$K$35, 2, FALSE)),1,0)</f>
        <v>1</v>
      </c>
      <c r="H19">
        <f>IF(AND(VLOOKUP(H$1,'40Trips'!$A$3:$I$42,8,FALSE)-VLOOKUP($A19,'40Trips'!$A$3:$I$42,9,FALSE)&gt;=VLOOKUP(VLOOKUP(H$1, '40Trips'!$A$3:$I$42,3,FALSE),'40Trips'!$J$32:$K$35, 2, FALSE)),1,0)</f>
        <v>1</v>
      </c>
      <c r="I19">
        <f>IF(AND(VLOOKUP(I$1,'40Trips'!$A$3:$I$42,8,FALSE)-VLOOKUP($A19,'40Trips'!$A$3:$I$42,9,FALSE)&gt;=VLOOKUP(VLOOKUP(I$1, '40Trips'!$A$3:$I$42,3,FALSE),'40Trips'!$J$32:$K$35, 2, FALSE)),1,0)</f>
        <v>1</v>
      </c>
      <c r="J19">
        <f>IF(AND(VLOOKUP(J$1,'40Trips'!$A$3:$I$42,8,FALSE)-VLOOKUP($A19,'40Trips'!$A$3:$I$42,9,FALSE)&gt;=VLOOKUP(VLOOKUP(J$1, '40Trips'!$A$3:$I$42,3,FALSE),'40Trips'!$J$32:$K$35, 2, FALSE)),1,0)</f>
        <v>1</v>
      </c>
      <c r="K19">
        <f>IF(AND(VLOOKUP(K$1,'40Trips'!$A$3:$I$42,8,FALSE)-VLOOKUP($A19,'40Trips'!$A$3:$I$42,9,FALSE)&gt;=VLOOKUP(VLOOKUP(K$1, '40Trips'!$A$3:$I$42,3,FALSE),'40Trips'!$J$32:$K$35, 2, FALSE)),1,0)</f>
        <v>1</v>
      </c>
      <c r="L19">
        <f>IF(AND(VLOOKUP(L$1,'40Trips'!$A$3:$I$42,8,FALSE)-VLOOKUP($A19,'40Trips'!$A$3:$I$42,9,FALSE)&gt;=VLOOKUP(VLOOKUP(L$1, '40Trips'!$A$3:$I$42,3,FALSE),'40Trips'!$J$32:$K$35, 2, FALSE)),1,0)</f>
        <v>1</v>
      </c>
      <c r="M19">
        <f>IF(AND(VLOOKUP(M$1,'40Trips'!$A$3:$I$42,8,FALSE)-VLOOKUP($A19,'40Trips'!$A$3:$I$42,9,FALSE)&gt;=VLOOKUP(VLOOKUP(M$1, '40Trips'!$A$3:$I$42,3,FALSE),'40Trips'!$J$32:$K$35, 2, FALSE)),1,0)</f>
        <v>1</v>
      </c>
      <c r="N19">
        <f>IF(AND(VLOOKUP(N$1,'40Trips'!$A$3:$I$42,8,FALSE)-VLOOKUP($A19,'40Trips'!$A$3:$I$42,9,FALSE)&gt;=VLOOKUP(VLOOKUP(N$1, '40Trips'!$A$3:$I$42,3,FALSE),'40Trips'!$J$32:$K$35, 2, FALSE)),1,0)</f>
        <v>1</v>
      </c>
      <c r="O19">
        <f>IF(AND(VLOOKUP(O$1,'40Trips'!$A$3:$I$42,8,FALSE)-VLOOKUP($A19,'40Trips'!$A$3:$I$42,9,FALSE)&gt;=VLOOKUP(VLOOKUP(O$1, '40Trips'!$A$3:$I$42,3,FALSE),'40Trips'!$J$32:$K$35, 2, FALSE)),1,0)</f>
        <v>1</v>
      </c>
      <c r="P19">
        <f>IF(AND(VLOOKUP(P$1,'40Trips'!$A$3:$I$42,8,FALSE)-VLOOKUP($A19,'40Trips'!$A$3:$I$42,9,FALSE)&gt;=VLOOKUP(VLOOKUP(P$1, '40Trips'!$A$3:$I$42,3,FALSE),'40Trips'!$J$32:$K$35, 2, FALSE)),1,0)</f>
        <v>1</v>
      </c>
      <c r="Q19">
        <f>IF(AND(VLOOKUP(Q$1,'40Trips'!$A$3:$I$42,8,FALSE)-VLOOKUP($A19,'40Trips'!$A$3:$I$42,9,FALSE)&gt;=VLOOKUP(VLOOKUP(Q$1, '40Trips'!$A$3:$I$42,3,FALSE),'40Trips'!$J$32:$K$35, 2, FALSE)),1,0)</f>
        <v>1</v>
      </c>
      <c r="R19">
        <f>IF(AND(VLOOKUP(R$1,'40Trips'!$A$3:$I$42,8,FALSE)-VLOOKUP($A19,'40Trips'!$A$3:$I$42,9,FALSE)&gt;=VLOOKUP(VLOOKUP(R$1, '40Trips'!$A$3:$I$42,3,FALSE),'40Trips'!$J$32:$K$35, 2, FALSE)),1,0)</f>
        <v>1</v>
      </c>
      <c r="S19">
        <f>IF(AND(VLOOKUP(S$1,'40Trips'!$A$3:$I$42,8,FALSE)-VLOOKUP($A19,'40Trips'!$A$3:$I$42,9,FALSE)&gt;=VLOOKUP(VLOOKUP(S$1, '40Trips'!$A$3:$I$42,3,FALSE),'40Trips'!$J$32:$K$35, 2, FALSE)),1,0)</f>
        <v>0</v>
      </c>
      <c r="T19">
        <f>IF(AND(VLOOKUP(T$1,'40Trips'!$A$3:$I$42,8,FALSE)-VLOOKUP($A19,'40Trips'!$A$3:$I$42,9,FALSE)&gt;=VLOOKUP(VLOOKUP(T$1, '40Trips'!$A$3:$I$42,3,FALSE),'40Trips'!$J$32:$K$35, 2, FALSE)),1,0)</f>
        <v>1</v>
      </c>
      <c r="U19">
        <f>IF(AND(VLOOKUP(U$1,'40Trips'!$A$3:$I$42,8,FALSE)-VLOOKUP($A19,'40Trips'!$A$3:$I$42,9,FALSE)&gt;=VLOOKUP(VLOOKUP(U$1, '40Trips'!$A$3:$I$42,3,FALSE),'40Trips'!$J$32:$K$35, 2, FALSE)),1,0)</f>
        <v>1</v>
      </c>
      <c r="V19">
        <f>IF(AND(VLOOKUP(V$1,'40Trips'!$A$3:$I$42,8,FALSE)-VLOOKUP($A19,'40Trips'!$A$3:$I$42,9,FALSE)&gt;=VLOOKUP(VLOOKUP(V$1, '40Trips'!$A$3:$I$42,3,FALSE),'40Trips'!$J$32:$K$35, 2, FALSE)),1,0)</f>
        <v>1</v>
      </c>
      <c r="W19">
        <f>IF(AND(VLOOKUP(W$1,'40Trips'!$A$3:$I$42,8,FALSE)-VLOOKUP($A19,'40Trips'!$A$3:$I$42,9,FALSE)&gt;=VLOOKUP(VLOOKUP(W$1, '40Trips'!$A$3:$I$42,3,FALSE),'40Trips'!$J$32:$K$35, 2, FALSE)),1,0)</f>
        <v>1</v>
      </c>
      <c r="X19">
        <f>IF(AND(VLOOKUP(X$1,'40Trips'!$A$3:$I$42,8,FALSE)-VLOOKUP($A19,'40Trips'!$A$3:$I$42,9,FALSE)&gt;=VLOOKUP(VLOOKUP(X$1, '40Trips'!$A$3:$I$42,3,FALSE),'40Trips'!$J$32:$K$35, 2, FALSE)),1,0)</f>
        <v>1</v>
      </c>
      <c r="Y19">
        <f>IF(AND(VLOOKUP(Y$1,'40Trips'!$A$3:$I$42,8,FALSE)-VLOOKUP($A19,'40Trips'!$A$3:$I$42,9,FALSE)&gt;=VLOOKUP(VLOOKUP(Y$1, '40Trips'!$A$3:$I$42,3,FALSE),'40Trips'!$J$32:$K$35, 2, FALSE)),1,0)</f>
        <v>1</v>
      </c>
      <c r="Z19">
        <f>IF(AND(VLOOKUP(Z$1,'40Trips'!$A$3:$I$42,8,FALSE)-VLOOKUP($A19,'40Trips'!$A$3:$I$42,9,FALSE)&gt;=VLOOKUP(VLOOKUP(Z$1, '40Trips'!$A$3:$I$42,3,FALSE),'40Trips'!$J$32:$K$35, 2, FALSE)),1,0)</f>
        <v>1</v>
      </c>
      <c r="AA19">
        <f>IF(AND(VLOOKUP(AA$1,'40Trips'!$A$3:$I$42,8,FALSE)-VLOOKUP($A19,'40Trips'!$A$3:$I$42,9,FALSE)&gt;=VLOOKUP(VLOOKUP(AA$1, '40Trips'!$A$3:$I$42,3,FALSE),'40Trips'!$J$32:$K$35, 2, FALSE)),1,0)</f>
        <v>1</v>
      </c>
      <c r="AB19">
        <f>IF(AND(VLOOKUP(AB$1,'40Trips'!$A$3:$I$42,8,FALSE)-VLOOKUP($A19,'40Trips'!$A$3:$I$42,9,FALSE)&gt;=VLOOKUP(VLOOKUP(AB$1, '40Trips'!$A$3:$I$42,3,FALSE),'40Trips'!$J$32:$K$35, 2, FALSE)),1,0)</f>
        <v>1</v>
      </c>
      <c r="AC19">
        <f>IF(AND(VLOOKUP(AC$1,'40Trips'!$A$3:$I$42,8,FALSE)-VLOOKUP($A19,'40Trips'!$A$3:$I$42,9,FALSE)&gt;=VLOOKUP(VLOOKUP(AC$1, '40Trips'!$A$3:$I$42,3,FALSE),'40Trips'!$J$32:$K$35, 2, FALSE)),1,0)</f>
        <v>1</v>
      </c>
      <c r="AD19">
        <f>IF(AND(VLOOKUP(AD$1,'40Trips'!$A$3:$I$42,8,FALSE)-VLOOKUP($A19,'40Trips'!$A$3:$I$42,9,FALSE)&gt;=VLOOKUP(VLOOKUP(AD$1, '40Trips'!$A$3:$I$42,3,FALSE),'40Trips'!$J$32:$K$35, 2, FALSE)),1,0)</f>
        <v>1</v>
      </c>
      <c r="AE19">
        <f>IF(AND(VLOOKUP(AE$1,'40Trips'!$A$3:$I$42,8,FALSE)-VLOOKUP($A19,'40Trips'!$A$3:$I$42,9,FALSE)&gt;=VLOOKUP(VLOOKUP(AE$1, '40Trips'!$A$3:$I$42,3,FALSE),'40Trips'!$J$32:$K$35, 2, FALSE)),1,0)</f>
        <v>1</v>
      </c>
      <c r="AF19">
        <f>IF(AND(VLOOKUP(AF$1,'40Trips'!$A$3:$I$42,8,FALSE)-VLOOKUP($A19,'40Trips'!$A$3:$I$42,9,FALSE)&gt;=VLOOKUP(VLOOKUP(AF$1, '40Trips'!$A$3:$I$42,3,FALSE),'40Trips'!$J$32:$K$35, 2, FALSE)),1,0)</f>
        <v>1</v>
      </c>
      <c r="AG19">
        <f>IF(AND(VLOOKUP(AG$1,'40Trips'!$A$3:$I$42,8,FALSE)-VLOOKUP($A19,'40Trips'!$A$3:$I$42,9,FALSE)&gt;=VLOOKUP(VLOOKUP(AG$1, '40Trips'!$A$3:$I$42,3,FALSE),'40Trips'!$J$32:$K$35, 2, FALSE)),1,0)</f>
        <v>1</v>
      </c>
      <c r="AH19">
        <f>IF(AND(VLOOKUP(AH$1,'40Trips'!$A$3:$I$42,8,FALSE)-VLOOKUP($A19,'40Trips'!$A$3:$I$42,9,FALSE)&gt;=VLOOKUP(VLOOKUP(AH$1, '40Trips'!$A$3:$I$42,3,FALSE),'40Trips'!$J$32:$K$35, 2, FALSE)),1,0)</f>
        <v>1</v>
      </c>
      <c r="AI19">
        <f>IF(AND(VLOOKUP(AI$1,'40Trips'!$A$3:$I$42,8,FALSE)-VLOOKUP($A19,'40Trips'!$A$3:$I$42,9,FALSE)&gt;=VLOOKUP(VLOOKUP(AI$1, '40Trips'!$A$3:$I$42,3,FALSE),'40Trips'!$J$32:$K$35, 2, FALSE)),1,0)</f>
        <v>1</v>
      </c>
      <c r="AJ19">
        <f>IF(AND(VLOOKUP(AJ$1,'40Trips'!$A$3:$I$42,8,FALSE)-VLOOKUP($A19,'40Trips'!$A$3:$I$42,9,FALSE)&gt;=VLOOKUP(VLOOKUP(AJ$1, '40Trips'!$A$3:$I$42,3,FALSE),'40Trips'!$J$32:$K$35, 2, FALSE)),1,0)</f>
        <v>1</v>
      </c>
      <c r="AK19">
        <f>IF(AND(VLOOKUP(AK$1,'40Trips'!$A$3:$I$42,8,FALSE)-VLOOKUP($A19,'40Trips'!$A$3:$I$42,9,FALSE)&gt;=VLOOKUP(VLOOKUP(AK$1, '40Trips'!$A$3:$I$42,3,FALSE),'40Trips'!$J$32:$K$35, 2, FALSE)),1,0)</f>
        <v>1</v>
      </c>
      <c r="AL19">
        <f>IF(AND(VLOOKUP(AL$1,'40Trips'!$A$3:$I$42,8,FALSE)-VLOOKUP($A19,'40Trips'!$A$3:$I$42,9,FALSE)&gt;=VLOOKUP(VLOOKUP(AL$1, '40Trips'!$A$3:$I$42,3,FALSE),'40Trips'!$J$32:$K$35, 2, FALSE)),1,0)</f>
        <v>1</v>
      </c>
      <c r="AM19">
        <f>IF(AND(VLOOKUP(AM$1,'40Trips'!$A$3:$I$42,8,FALSE)-VLOOKUP($A19,'40Trips'!$A$3:$I$42,9,FALSE)&gt;=VLOOKUP(VLOOKUP(AM$1, '40Trips'!$A$3:$I$42,3,FALSE),'40Trips'!$J$32:$K$35, 2, FALSE)),1,0)</f>
        <v>1</v>
      </c>
      <c r="AN19">
        <f>IF(AND(VLOOKUP(AN$1,'40Trips'!$A$3:$I$42,8,FALSE)-VLOOKUP($A19,'40Trips'!$A$3:$I$42,9,FALSE)&gt;=VLOOKUP(VLOOKUP(AN$1, '40Trips'!$A$3:$I$42,3,FALSE),'40Trips'!$J$32:$K$35, 2, FALSE)),1,0)</f>
        <v>1</v>
      </c>
      <c r="AO19">
        <f>IF(AND(VLOOKUP(AO$1,'40Trips'!$A$3:$I$42,8,FALSE)-VLOOKUP($A19,'40Trips'!$A$3:$I$42,9,FALSE)&gt;=VLOOKUP(VLOOKUP(AO$1, '40Trips'!$A$3:$I$42,3,FALSE),'40Trips'!$J$32:$K$35, 2, FALSE)),1,0)</f>
        <v>1</v>
      </c>
      <c r="AP19">
        <f>IF(AND(VLOOKUP(AP$1,'40Trips'!$A$3:$I$42,8,FALSE)-VLOOKUP($A19,'40Trips'!$A$3:$I$42,9,FALSE)&gt;=VLOOKUP(VLOOKUP(AP$1, '40Trips'!$A$3:$I$42,3,FALSE),'40Trips'!$J$32:$K$35, 2, FALSE)),1,0)</f>
        <v>1</v>
      </c>
    </row>
    <row r="20" spans="1:42" x14ac:dyDescent="0.25">
      <c r="A20" t="s">
        <v>76</v>
      </c>
      <c r="B20" s="3">
        <v>1</v>
      </c>
      <c r="C20">
        <f>IF(AND(VLOOKUP(C$1,'40Trips'!$A$3:$I$42,8,FALSE)-VLOOKUP($A20,'40Trips'!$A$3:$I$42,9,FALSE)&gt;=VLOOKUP(VLOOKUP(C$1, '40Trips'!$A$3:$I$42,3,FALSE),'40Trips'!$J$32:$K$35, 2, FALSE)),1,0)</f>
        <v>0</v>
      </c>
      <c r="D20">
        <f>IF(AND(VLOOKUP(D$1,'40Trips'!$A$3:$I$42,8,FALSE)-VLOOKUP($A20,'40Trips'!$A$3:$I$42,9,FALSE)&gt;=VLOOKUP(VLOOKUP(D$1, '40Trips'!$A$3:$I$42,3,FALSE),'40Trips'!$J$32:$K$35, 2, FALSE)),1,0)</f>
        <v>0</v>
      </c>
      <c r="E20">
        <f>IF(AND(VLOOKUP(E$1,'40Trips'!$A$3:$I$42,8,FALSE)-VLOOKUP($A20,'40Trips'!$A$3:$I$42,9,FALSE)&gt;=VLOOKUP(VLOOKUP(E$1, '40Trips'!$A$3:$I$42,3,FALSE),'40Trips'!$J$32:$K$35, 2, FALSE)),1,0)</f>
        <v>1</v>
      </c>
      <c r="F20">
        <f>IF(AND(VLOOKUP(F$1,'40Trips'!$A$3:$I$42,8,FALSE)-VLOOKUP($A20,'40Trips'!$A$3:$I$42,9,FALSE)&gt;=VLOOKUP(VLOOKUP(F$1, '40Trips'!$A$3:$I$42,3,FALSE),'40Trips'!$J$32:$K$35, 2, FALSE)),1,0)</f>
        <v>1</v>
      </c>
      <c r="G20">
        <f>IF(AND(VLOOKUP(G$1,'40Trips'!$A$3:$I$42,8,FALSE)-VLOOKUP($A20,'40Trips'!$A$3:$I$42,9,FALSE)&gt;=VLOOKUP(VLOOKUP(G$1, '40Trips'!$A$3:$I$42,3,FALSE),'40Trips'!$J$32:$K$35, 2, FALSE)),1,0)</f>
        <v>0</v>
      </c>
      <c r="H20">
        <f>IF(AND(VLOOKUP(H$1,'40Trips'!$A$3:$I$42,8,FALSE)-VLOOKUP($A20,'40Trips'!$A$3:$I$42,9,FALSE)&gt;=VLOOKUP(VLOOKUP(H$1, '40Trips'!$A$3:$I$42,3,FALSE),'40Trips'!$J$32:$K$35, 2, FALSE)),1,0)</f>
        <v>0</v>
      </c>
      <c r="I20">
        <f>IF(AND(VLOOKUP(I$1,'40Trips'!$A$3:$I$42,8,FALSE)-VLOOKUP($A20,'40Trips'!$A$3:$I$42,9,FALSE)&gt;=VLOOKUP(VLOOKUP(I$1, '40Trips'!$A$3:$I$42,3,FALSE),'40Trips'!$J$32:$K$35, 2, FALSE)),1,0)</f>
        <v>1</v>
      </c>
      <c r="J20">
        <f>IF(AND(VLOOKUP(J$1,'40Trips'!$A$3:$I$42,8,FALSE)-VLOOKUP($A20,'40Trips'!$A$3:$I$42,9,FALSE)&gt;=VLOOKUP(VLOOKUP(J$1, '40Trips'!$A$3:$I$42,3,FALSE),'40Trips'!$J$32:$K$35, 2, FALSE)),1,0)</f>
        <v>1</v>
      </c>
      <c r="K20">
        <f>IF(AND(VLOOKUP(K$1,'40Trips'!$A$3:$I$42,8,FALSE)-VLOOKUP($A20,'40Trips'!$A$3:$I$42,9,FALSE)&gt;=VLOOKUP(VLOOKUP(K$1, '40Trips'!$A$3:$I$42,3,FALSE),'40Trips'!$J$32:$K$35, 2, FALSE)),1,0)</f>
        <v>0</v>
      </c>
      <c r="L20">
        <f>IF(AND(VLOOKUP(L$1,'40Trips'!$A$3:$I$42,8,FALSE)-VLOOKUP($A20,'40Trips'!$A$3:$I$42,9,FALSE)&gt;=VLOOKUP(VLOOKUP(L$1, '40Trips'!$A$3:$I$42,3,FALSE),'40Trips'!$J$32:$K$35, 2, FALSE)),1,0)</f>
        <v>0</v>
      </c>
      <c r="M20">
        <f>IF(AND(VLOOKUP(M$1,'40Trips'!$A$3:$I$42,8,FALSE)-VLOOKUP($A20,'40Trips'!$A$3:$I$42,9,FALSE)&gt;=VLOOKUP(VLOOKUP(M$1, '40Trips'!$A$3:$I$42,3,FALSE),'40Trips'!$J$32:$K$35, 2, FALSE)),1,0)</f>
        <v>1</v>
      </c>
      <c r="N20">
        <f>IF(AND(VLOOKUP(N$1,'40Trips'!$A$3:$I$42,8,FALSE)-VLOOKUP($A20,'40Trips'!$A$3:$I$42,9,FALSE)&gt;=VLOOKUP(VLOOKUP(N$1, '40Trips'!$A$3:$I$42,3,FALSE),'40Trips'!$J$32:$K$35, 2, FALSE)),1,0)</f>
        <v>0</v>
      </c>
      <c r="O20">
        <f>IF(AND(VLOOKUP(O$1,'40Trips'!$A$3:$I$42,8,FALSE)-VLOOKUP($A20,'40Trips'!$A$3:$I$42,9,FALSE)&gt;=VLOOKUP(VLOOKUP(O$1, '40Trips'!$A$3:$I$42,3,FALSE),'40Trips'!$J$32:$K$35, 2, FALSE)),1,0)</f>
        <v>0</v>
      </c>
      <c r="P20">
        <f>IF(AND(VLOOKUP(P$1,'40Trips'!$A$3:$I$42,8,FALSE)-VLOOKUP($A20,'40Trips'!$A$3:$I$42,9,FALSE)&gt;=VLOOKUP(VLOOKUP(P$1, '40Trips'!$A$3:$I$42,3,FALSE),'40Trips'!$J$32:$K$35, 2, FALSE)),1,0)</f>
        <v>0</v>
      </c>
      <c r="Q20">
        <f>IF(AND(VLOOKUP(Q$1,'40Trips'!$A$3:$I$42,8,FALSE)-VLOOKUP($A20,'40Trips'!$A$3:$I$42,9,FALSE)&gt;=VLOOKUP(VLOOKUP(Q$1, '40Trips'!$A$3:$I$42,3,FALSE),'40Trips'!$J$32:$K$35, 2, FALSE)),1,0)</f>
        <v>1</v>
      </c>
      <c r="R20">
        <f>IF(AND(VLOOKUP(R$1,'40Trips'!$A$3:$I$42,8,FALSE)-VLOOKUP($A20,'40Trips'!$A$3:$I$42,9,FALSE)&gt;=VLOOKUP(VLOOKUP(R$1, '40Trips'!$A$3:$I$42,3,FALSE),'40Trips'!$J$32:$K$35, 2, FALSE)),1,0)</f>
        <v>1</v>
      </c>
      <c r="S20">
        <f>IF(AND(VLOOKUP(S$1,'40Trips'!$A$3:$I$42,8,FALSE)-VLOOKUP($A20,'40Trips'!$A$3:$I$42,9,FALSE)&gt;=VLOOKUP(VLOOKUP(S$1, '40Trips'!$A$3:$I$42,3,FALSE),'40Trips'!$J$32:$K$35, 2, FALSE)),1,0)</f>
        <v>0</v>
      </c>
      <c r="T20">
        <f>IF(AND(VLOOKUP(T$1,'40Trips'!$A$3:$I$42,8,FALSE)-VLOOKUP($A20,'40Trips'!$A$3:$I$42,9,FALSE)&gt;=VLOOKUP(VLOOKUP(T$1, '40Trips'!$A$3:$I$42,3,FALSE),'40Trips'!$J$32:$K$35, 2, FALSE)),1,0)</f>
        <v>0</v>
      </c>
      <c r="U20">
        <f>IF(AND(VLOOKUP(U$1,'40Trips'!$A$3:$I$42,8,FALSE)-VLOOKUP($A20,'40Trips'!$A$3:$I$42,9,FALSE)&gt;=VLOOKUP(VLOOKUP(U$1, '40Trips'!$A$3:$I$42,3,FALSE),'40Trips'!$J$32:$K$35, 2, FALSE)),1,0)</f>
        <v>1</v>
      </c>
      <c r="V20">
        <f>IF(AND(VLOOKUP(V$1,'40Trips'!$A$3:$I$42,8,FALSE)-VLOOKUP($A20,'40Trips'!$A$3:$I$42,9,FALSE)&gt;=VLOOKUP(VLOOKUP(V$1, '40Trips'!$A$3:$I$42,3,FALSE),'40Trips'!$J$32:$K$35, 2, FALSE)),1,0)</f>
        <v>1</v>
      </c>
      <c r="W20">
        <f>IF(AND(VLOOKUP(W$1,'40Trips'!$A$3:$I$42,8,FALSE)-VLOOKUP($A20,'40Trips'!$A$3:$I$42,9,FALSE)&gt;=VLOOKUP(VLOOKUP(W$1, '40Trips'!$A$3:$I$42,3,FALSE),'40Trips'!$J$32:$K$35, 2, FALSE)),1,0)</f>
        <v>0</v>
      </c>
      <c r="X20">
        <f>IF(AND(VLOOKUP(X$1,'40Trips'!$A$3:$I$42,8,FALSE)-VLOOKUP($A20,'40Trips'!$A$3:$I$42,9,FALSE)&gt;=VLOOKUP(VLOOKUP(X$1, '40Trips'!$A$3:$I$42,3,FALSE),'40Trips'!$J$32:$K$35, 2, FALSE)),1,0)</f>
        <v>0</v>
      </c>
      <c r="Y20">
        <f>IF(AND(VLOOKUP(Y$1,'40Trips'!$A$3:$I$42,8,FALSE)-VLOOKUP($A20,'40Trips'!$A$3:$I$42,9,FALSE)&gt;=VLOOKUP(VLOOKUP(Y$1, '40Trips'!$A$3:$I$42,3,FALSE),'40Trips'!$J$32:$K$35, 2, FALSE)),1,0)</f>
        <v>1</v>
      </c>
      <c r="Z20">
        <f>IF(AND(VLOOKUP(Z$1,'40Trips'!$A$3:$I$42,8,FALSE)-VLOOKUP($A20,'40Trips'!$A$3:$I$42,9,FALSE)&gt;=VLOOKUP(VLOOKUP(Z$1, '40Trips'!$A$3:$I$42,3,FALSE),'40Trips'!$J$32:$K$35, 2, FALSE)),1,0)</f>
        <v>1</v>
      </c>
      <c r="AA20">
        <f>IF(AND(VLOOKUP(AA$1,'40Trips'!$A$3:$I$42,8,FALSE)-VLOOKUP($A20,'40Trips'!$A$3:$I$42,9,FALSE)&gt;=VLOOKUP(VLOOKUP(AA$1, '40Trips'!$A$3:$I$42,3,FALSE),'40Trips'!$J$32:$K$35, 2, FALSE)),1,0)</f>
        <v>0</v>
      </c>
      <c r="AB20">
        <f>IF(AND(VLOOKUP(AB$1,'40Trips'!$A$3:$I$42,8,FALSE)-VLOOKUP($A20,'40Trips'!$A$3:$I$42,9,FALSE)&gt;=VLOOKUP(VLOOKUP(AB$1, '40Trips'!$A$3:$I$42,3,FALSE),'40Trips'!$J$32:$K$35, 2, FALSE)),1,0)</f>
        <v>0</v>
      </c>
      <c r="AC20">
        <f>IF(AND(VLOOKUP(AC$1,'40Trips'!$A$3:$I$42,8,FALSE)-VLOOKUP($A20,'40Trips'!$A$3:$I$42,9,FALSE)&gt;=VLOOKUP(VLOOKUP(AC$1, '40Trips'!$A$3:$I$42,3,FALSE),'40Trips'!$J$32:$K$35, 2, FALSE)),1,0)</f>
        <v>1</v>
      </c>
      <c r="AD20">
        <f>IF(AND(VLOOKUP(AD$1,'40Trips'!$A$3:$I$42,8,FALSE)-VLOOKUP($A20,'40Trips'!$A$3:$I$42,9,FALSE)&gt;=VLOOKUP(VLOOKUP(AD$1, '40Trips'!$A$3:$I$42,3,FALSE),'40Trips'!$J$32:$K$35, 2, FALSE)),1,0)</f>
        <v>1</v>
      </c>
      <c r="AE20">
        <f>IF(AND(VLOOKUP(AE$1,'40Trips'!$A$3:$I$42,8,FALSE)-VLOOKUP($A20,'40Trips'!$A$3:$I$42,9,FALSE)&gt;=VLOOKUP(VLOOKUP(AE$1, '40Trips'!$A$3:$I$42,3,FALSE),'40Trips'!$J$32:$K$35, 2, FALSE)),1,0)</f>
        <v>0</v>
      </c>
      <c r="AF20">
        <f>IF(AND(VLOOKUP(AF$1,'40Trips'!$A$3:$I$42,8,FALSE)-VLOOKUP($A20,'40Trips'!$A$3:$I$42,9,FALSE)&gt;=VLOOKUP(VLOOKUP(AF$1, '40Trips'!$A$3:$I$42,3,FALSE),'40Trips'!$J$32:$K$35, 2, FALSE)),1,0)</f>
        <v>0</v>
      </c>
      <c r="AG20">
        <f>IF(AND(VLOOKUP(AG$1,'40Trips'!$A$3:$I$42,8,FALSE)-VLOOKUP($A20,'40Trips'!$A$3:$I$42,9,FALSE)&gt;=VLOOKUP(VLOOKUP(AG$1, '40Trips'!$A$3:$I$42,3,FALSE),'40Trips'!$J$32:$K$35, 2, FALSE)),1,0)</f>
        <v>0</v>
      </c>
      <c r="AH20">
        <f>IF(AND(VLOOKUP(AH$1,'40Trips'!$A$3:$I$42,8,FALSE)-VLOOKUP($A20,'40Trips'!$A$3:$I$42,9,FALSE)&gt;=VLOOKUP(VLOOKUP(AH$1, '40Trips'!$A$3:$I$42,3,FALSE),'40Trips'!$J$32:$K$35, 2, FALSE)),1,0)</f>
        <v>1</v>
      </c>
      <c r="AI20">
        <f>IF(AND(VLOOKUP(AI$1,'40Trips'!$A$3:$I$42,8,FALSE)-VLOOKUP($A20,'40Trips'!$A$3:$I$42,9,FALSE)&gt;=VLOOKUP(VLOOKUP(AI$1, '40Trips'!$A$3:$I$42,3,FALSE),'40Trips'!$J$32:$K$35, 2, FALSE)),1,0)</f>
        <v>0</v>
      </c>
      <c r="AJ20">
        <f>IF(AND(VLOOKUP(AJ$1,'40Trips'!$A$3:$I$42,8,FALSE)-VLOOKUP($A20,'40Trips'!$A$3:$I$42,9,FALSE)&gt;=VLOOKUP(VLOOKUP(AJ$1, '40Trips'!$A$3:$I$42,3,FALSE),'40Trips'!$J$32:$K$35, 2, FALSE)),1,0)</f>
        <v>1</v>
      </c>
      <c r="AK20">
        <f>IF(AND(VLOOKUP(AK$1,'40Trips'!$A$3:$I$42,8,FALSE)-VLOOKUP($A20,'40Trips'!$A$3:$I$42,9,FALSE)&gt;=VLOOKUP(VLOOKUP(AK$1, '40Trips'!$A$3:$I$42,3,FALSE),'40Trips'!$J$32:$K$35, 2, FALSE)),1,0)</f>
        <v>1</v>
      </c>
      <c r="AL20">
        <f>IF(AND(VLOOKUP(AL$1,'40Trips'!$A$3:$I$42,8,FALSE)-VLOOKUP($A20,'40Trips'!$A$3:$I$42,9,FALSE)&gt;=VLOOKUP(VLOOKUP(AL$1, '40Trips'!$A$3:$I$42,3,FALSE),'40Trips'!$J$32:$K$35, 2, FALSE)),1,0)</f>
        <v>1</v>
      </c>
      <c r="AM20">
        <f>IF(AND(VLOOKUP(AM$1,'40Trips'!$A$3:$I$42,8,FALSE)-VLOOKUP($A20,'40Trips'!$A$3:$I$42,9,FALSE)&gt;=VLOOKUP(VLOOKUP(AM$1, '40Trips'!$A$3:$I$42,3,FALSE),'40Trips'!$J$32:$K$35, 2, FALSE)),1,0)</f>
        <v>0</v>
      </c>
      <c r="AN20">
        <f>IF(AND(VLOOKUP(AN$1,'40Trips'!$A$3:$I$42,8,FALSE)-VLOOKUP($A20,'40Trips'!$A$3:$I$42,9,FALSE)&gt;=VLOOKUP(VLOOKUP(AN$1, '40Trips'!$A$3:$I$42,3,FALSE),'40Trips'!$J$32:$K$35, 2, FALSE)),1,0)</f>
        <v>1</v>
      </c>
      <c r="AO20">
        <f>IF(AND(VLOOKUP(AO$1,'40Trips'!$A$3:$I$42,8,FALSE)-VLOOKUP($A20,'40Trips'!$A$3:$I$42,9,FALSE)&gt;=VLOOKUP(VLOOKUP(AO$1, '40Trips'!$A$3:$I$42,3,FALSE),'40Trips'!$J$32:$K$35, 2, FALSE)),1,0)</f>
        <v>1</v>
      </c>
      <c r="AP20">
        <f>IF(AND(VLOOKUP(AP$1,'40Trips'!$A$3:$I$42,8,FALSE)-VLOOKUP($A20,'40Trips'!$A$3:$I$42,9,FALSE)&gt;=VLOOKUP(VLOOKUP(AP$1, '40Trips'!$A$3:$I$42,3,FALSE),'40Trips'!$J$32:$K$35, 2, FALSE)),1,0)</f>
        <v>1</v>
      </c>
    </row>
    <row r="21" spans="1:42" x14ac:dyDescent="0.25">
      <c r="A21" t="s">
        <v>77</v>
      </c>
      <c r="B21" s="3">
        <v>1</v>
      </c>
      <c r="C21">
        <f>IF(AND(VLOOKUP(C$1,'40Trips'!$A$3:$I$42,8,FALSE)-VLOOKUP($A21,'40Trips'!$A$3:$I$42,9,FALSE)&gt;=VLOOKUP(VLOOKUP(C$1, '40Trips'!$A$3:$I$42,3,FALSE),'40Trips'!$J$32:$K$35, 2, FALSE)),1,0)</f>
        <v>0</v>
      </c>
      <c r="D21">
        <f>IF(AND(VLOOKUP(D$1,'40Trips'!$A$3:$I$42,8,FALSE)-VLOOKUP($A21,'40Trips'!$A$3:$I$42,9,FALSE)&gt;=VLOOKUP(VLOOKUP(D$1, '40Trips'!$A$3:$I$42,3,FALSE),'40Trips'!$J$32:$K$35, 2, FALSE)),1,0)</f>
        <v>0</v>
      </c>
      <c r="E21">
        <f>IF(AND(VLOOKUP(E$1,'40Trips'!$A$3:$I$42,8,FALSE)-VLOOKUP($A21,'40Trips'!$A$3:$I$42,9,FALSE)&gt;=VLOOKUP(VLOOKUP(E$1, '40Trips'!$A$3:$I$42,3,FALSE),'40Trips'!$J$32:$K$35, 2, FALSE)),1,0)</f>
        <v>0</v>
      </c>
      <c r="F21">
        <f>IF(AND(VLOOKUP(F$1,'40Trips'!$A$3:$I$42,8,FALSE)-VLOOKUP($A21,'40Trips'!$A$3:$I$42,9,FALSE)&gt;=VLOOKUP(VLOOKUP(F$1, '40Trips'!$A$3:$I$42,3,FALSE),'40Trips'!$J$32:$K$35, 2, FALSE)),1,0)</f>
        <v>0</v>
      </c>
      <c r="G21">
        <f>IF(AND(VLOOKUP(G$1,'40Trips'!$A$3:$I$42,8,FALSE)-VLOOKUP($A21,'40Trips'!$A$3:$I$42,9,FALSE)&gt;=VLOOKUP(VLOOKUP(G$1, '40Trips'!$A$3:$I$42,3,FALSE),'40Trips'!$J$32:$K$35, 2, FALSE)),1,0)</f>
        <v>0</v>
      </c>
      <c r="H21">
        <f>IF(AND(VLOOKUP(H$1,'40Trips'!$A$3:$I$42,8,FALSE)-VLOOKUP($A21,'40Trips'!$A$3:$I$42,9,FALSE)&gt;=VLOOKUP(VLOOKUP(H$1, '40Trips'!$A$3:$I$42,3,FALSE),'40Trips'!$J$32:$K$35, 2, FALSE)),1,0)</f>
        <v>0</v>
      </c>
      <c r="I21">
        <f>IF(AND(VLOOKUP(I$1,'40Trips'!$A$3:$I$42,8,FALSE)-VLOOKUP($A21,'40Trips'!$A$3:$I$42,9,FALSE)&gt;=VLOOKUP(VLOOKUP(I$1, '40Trips'!$A$3:$I$42,3,FALSE),'40Trips'!$J$32:$K$35, 2, FALSE)),1,0)</f>
        <v>0</v>
      </c>
      <c r="J21">
        <f>IF(AND(VLOOKUP(J$1,'40Trips'!$A$3:$I$42,8,FALSE)-VLOOKUP($A21,'40Trips'!$A$3:$I$42,9,FALSE)&gt;=VLOOKUP(VLOOKUP(J$1, '40Trips'!$A$3:$I$42,3,FALSE),'40Trips'!$J$32:$K$35, 2, FALSE)),1,0)</f>
        <v>1</v>
      </c>
      <c r="K21">
        <f>IF(AND(VLOOKUP(K$1,'40Trips'!$A$3:$I$42,8,FALSE)-VLOOKUP($A21,'40Trips'!$A$3:$I$42,9,FALSE)&gt;=VLOOKUP(VLOOKUP(K$1, '40Trips'!$A$3:$I$42,3,FALSE),'40Trips'!$J$32:$K$35, 2, FALSE)),1,0)</f>
        <v>0</v>
      </c>
      <c r="L21">
        <f>IF(AND(VLOOKUP(L$1,'40Trips'!$A$3:$I$42,8,FALSE)-VLOOKUP($A21,'40Trips'!$A$3:$I$42,9,FALSE)&gt;=VLOOKUP(VLOOKUP(L$1, '40Trips'!$A$3:$I$42,3,FALSE),'40Trips'!$J$32:$K$35, 2, FALSE)),1,0)</f>
        <v>0</v>
      </c>
      <c r="M21">
        <f>IF(AND(VLOOKUP(M$1,'40Trips'!$A$3:$I$42,8,FALSE)-VLOOKUP($A21,'40Trips'!$A$3:$I$42,9,FALSE)&gt;=VLOOKUP(VLOOKUP(M$1, '40Trips'!$A$3:$I$42,3,FALSE),'40Trips'!$J$32:$K$35, 2, FALSE)),1,0)</f>
        <v>0</v>
      </c>
      <c r="N21">
        <f>IF(AND(VLOOKUP(N$1,'40Trips'!$A$3:$I$42,8,FALSE)-VLOOKUP($A21,'40Trips'!$A$3:$I$42,9,FALSE)&gt;=VLOOKUP(VLOOKUP(N$1, '40Trips'!$A$3:$I$42,3,FALSE),'40Trips'!$J$32:$K$35, 2, FALSE)),1,0)</f>
        <v>0</v>
      </c>
      <c r="O21">
        <f>IF(AND(VLOOKUP(O$1,'40Trips'!$A$3:$I$42,8,FALSE)-VLOOKUP($A21,'40Trips'!$A$3:$I$42,9,FALSE)&gt;=VLOOKUP(VLOOKUP(O$1, '40Trips'!$A$3:$I$42,3,FALSE),'40Trips'!$J$32:$K$35, 2, FALSE)),1,0)</f>
        <v>0</v>
      </c>
      <c r="P21">
        <f>IF(AND(VLOOKUP(P$1,'40Trips'!$A$3:$I$42,8,FALSE)-VLOOKUP($A21,'40Trips'!$A$3:$I$42,9,FALSE)&gt;=VLOOKUP(VLOOKUP(P$1, '40Trips'!$A$3:$I$42,3,FALSE),'40Trips'!$J$32:$K$35, 2, FALSE)),1,0)</f>
        <v>0</v>
      </c>
      <c r="Q21">
        <f>IF(AND(VLOOKUP(Q$1,'40Trips'!$A$3:$I$42,8,FALSE)-VLOOKUP($A21,'40Trips'!$A$3:$I$42,9,FALSE)&gt;=VLOOKUP(VLOOKUP(Q$1, '40Trips'!$A$3:$I$42,3,FALSE),'40Trips'!$J$32:$K$35, 2, FALSE)),1,0)</f>
        <v>0</v>
      </c>
      <c r="R21">
        <f>IF(AND(VLOOKUP(R$1,'40Trips'!$A$3:$I$42,8,FALSE)-VLOOKUP($A21,'40Trips'!$A$3:$I$42,9,FALSE)&gt;=VLOOKUP(VLOOKUP(R$1, '40Trips'!$A$3:$I$42,3,FALSE),'40Trips'!$J$32:$K$35, 2, FALSE)),1,0)</f>
        <v>0</v>
      </c>
      <c r="S21">
        <f>IF(AND(VLOOKUP(S$1,'40Trips'!$A$3:$I$42,8,FALSE)-VLOOKUP($A21,'40Trips'!$A$3:$I$42,9,FALSE)&gt;=VLOOKUP(VLOOKUP(S$1, '40Trips'!$A$3:$I$42,3,FALSE),'40Trips'!$J$32:$K$35, 2, FALSE)),1,0)</f>
        <v>0</v>
      </c>
      <c r="T21">
        <f>IF(AND(VLOOKUP(T$1,'40Trips'!$A$3:$I$42,8,FALSE)-VLOOKUP($A21,'40Trips'!$A$3:$I$42,9,FALSE)&gt;=VLOOKUP(VLOOKUP(T$1, '40Trips'!$A$3:$I$42,3,FALSE),'40Trips'!$J$32:$K$35, 2, FALSE)),1,0)</f>
        <v>0</v>
      </c>
      <c r="U21">
        <f>IF(AND(VLOOKUP(U$1,'40Trips'!$A$3:$I$42,8,FALSE)-VLOOKUP($A21,'40Trips'!$A$3:$I$42,9,FALSE)&gt;=VLOOKUP(VLOOKUP(U$1, '40Trips'!$A$3:$I$42,3,FALSE),'40Trips'!$J$32:$K$35, 2, FALSE)),1,0)</f>
        <v>0</v>
      </c>
      <c r="V21">
        <f>IF(AND(VLOOKUP(V$1,'40Trips'!$A$3:$I$42,8,FALSE)-VLOOKUP($A21,'40Trips'!$A$3:$I$42,9,FALSE)&gt;=VLOOKUP(VLOOKUP(V$1, '40Trips'!$A$3:$I$42,3,FALSE),'40Trips'!$J$32:$K$35, 2, FALSE)),1,0)</f>
        <v>1</v>
      </c>
      <c r="W21">
        <f>IF(AND(VLOOKUP(W$1,'40Trips'!$A$3:$I$42,8,FALSE)-VLOOKUP($A21,'40Trips'!$A$3:$I$42,9,FALSE)&gt;=VLOOKUP(VLOOKUP(W$1, '40Trips'!$A$3:$I$42,3,FALSE),'40Trips'!$J$32:$K$35, 2, FALSE)),1,0)</f>
        <v>0</v>
      </c>
      <c r="X21">
        <f>IF(AND(VLOOKUP(X$1,'40Trips'!$A$3:$I$42,8,FALSE)-VLOOKUP($A21,'40Trips'!$A$3:$I$42,9,FALSE)&gt;=VLOOKUP(VLOOKUP(X$1, '40Trips'!$A$3:$I$42,3,FALSE),'40Trips'!$J$32:$K$35, 2, FALSE)),1,0)</f>
        <v>0</v>
      </c>
      <c r="Y21">
        <f>IF(AND(VLOOKUP(Y$1,'40Trips'!$A$3:$I$42,8,FALSE)-VLOOKUP($A21,'40Trips'!$A$3:$I$42,9,FALSE)&gt;=VLOOKUP(VLOOKUP(Y$1, '40Trips'!$A$3:$I$42,3,FALSE),'40Trips'!$J$32:$K$35, 2, FALSE)),1,0)</f>
        <v>0</v>
      </c>
      <c r="Z21">
        <f>IF(AND(VLOOKUP(Z$1,'40Trips'!$A$3:$I$42,8,FALSE)-VLOOKUP($A21,'40Trips'!$A$3:$I$42,9,FALSE)&gt;=VLOOKUP(VLOOKUP(Z$1, '40Trips'!$A$3:$I$42,3,FALSE),'40Trips'!$J$32:$K$35, 2, FALSE)),1,0)</f>
        <v>0</v>
      </c>
      <c r="AA21">
        <f>IF(AND(VLOOKUP(AA$1,'40Trips'!$A$3:$I$42,8,FALSE)-VLOOKUP($A21,'40Trips'!$A$3:$I$42,9,FALSE)&gt;=VLOOKUP(VLOOKUP(AA$1, '40Trips'!$A$3:$I$42,3,FALSE),'40Trips'!$J$32:$K$35, 2, FALSE)),1,0)</f>
        <v>0</v>
      </c>
      <c r="AB21">
        <f>IF(AND(VLOOKUP(AB$1,'40Trips'!$A$3:$I$42,8,FALSE)-VLOOKUP($A21,'40Trips'!$A$3:$I$42,9,FALSE)&gt;=VLOOKUP(VLOOKUP(AB$1, '40Trips'!$A$3:$I$42,3,FALSE),'40Trips'!$J$32:$K$35, 2, FALSE)),1,0)</f>
        <v>0</v>
      </c>
      <c r="AC21">
        <f>IF(AND(VLOOKUP(AC$1,'40Trips'!$A$3:$I$42,8,FALSE)-VLOOKUP($A21,'40Trips'!$A$3:$I$42,9,FALSE)&gt;=VLOOKUP(VLOOKUP(AC$1, '40Trips'!$A$3:$I$42,3,FALSE),'40Trips'!$J$32:$K$35, 2, FALSE)),1,0)</f>
        <v>0</v>
      </c>
      <c r="AD21">
        <f>IF(AND(VLOOKUP(AD$1,'40Trips'!$A$3:$I$42,8,FALSE)-VLOOKUP($A21,'40Trips'!$A$3:$I$42,9,FALSE)&gt;=VLOOKUP(VLOOKUP(AD$1, '40Trips'!$A$3:$I$42,3,FALSE),'40Trips'!$J$32:$K$35, 2, FALSE)),1,0)</f>
        <v>1</v>
      </c>
      <c r="AE21">
        <f>IF(AND(VLOOKUP(AE$1,'40Trips'!$A$3:$I$42,8,FALSE)-VLOOKUP($A21,'40Trips'!$A$3:$I$42,9,FALSE)&gt;=VLOOKUP(VLOOKUP(AE$1, '40Trips'!$A$3:$I$42,3,FALSE),'40Trips'!$J$32:$K$35, 2, FALSE)),1,0)</f>
        <v>0</v>
      </c>
      <c r="AF21">
        <f>IF(AND(VLOOKUP(AF$1,'40Trips'!$A$3:$I$42,8,FALSE)-VLOOKUP($A21,'40Trips'!$A$3:$I$42,9,FALSE)&gt;=VLOOKUP(VLOOKUP(AF$1, '40Trips'!$A$3:$I$42,3,FALSE),'40Trips'!$J$32:$K$35, 2, FALSE)),1,0)</f>
        <v>0</v>
      </c>
      <c r="AG21">
        <f>IF(AND(VLOOKUP(AG$1,'40Trips'!$A$3:$I$42,8,FALSE)-VLOOKUP($A21,'40Trips'!$A$3:$I$42,9,FALSE)&gt;=VLOOKUP(VLOOKUP(AG$1, '40Trips'!$A$3:$I$42,3,FALSE),'40Trips'!$J$32:$K$35, 2, FALSE)),1,0)</f>
        <v>0</v>
      </c>
      <c r="AH21">
        <f>IF(AND(VLOOKUP(AH$1,'40Trips'!$A$3:$I$42,8,FALSE)-VLOOKUP($A21,'40Trips'!$A$3:$I$42,9,FALSE)&gt;=VLOOKUP(VLOOKUP(AH$1, '40Trips'!$A$3:$I$42,3,FALSE),'40Trips'!$J$32:$K$35, 2, FALSE)),1,0)</f>
        <v>0</v>
      </c>
      <c r="AI21">
        <f>IF(AND(VLOOKUP(AI$1,'40Trips'!$A$3:$I$42,8,FALSE)-VLOOKUP($A21,'40Trips'!$A$3:$I$42,9,FALSE)&gt;=VLOOKUP(VLOOKUP(AI$1, '40Trips'!$A$3:$I$42,3,FALSE),'40Trips'!$J$32:$K$35, 2, FALSE)),1,0)</f>
        <v>0</v>
      </c>
      <c r="AJ21">
        <f>IF(AND(VLOOKUP(AJ$1,'40Trips'!$A$3:$I$42,8,FALSE)-VLOOKUP($A21,'40Trips'!$A$3:$I$42,9,FALSE)&gt;=VLOOKUP(VLOOKUP(AJ$1, '40Trips'!$A$3:$I$42,3,FALSE),'40Trips'!$J$32:$K$35, 2, FALSE)),1,0)</f>
        <v>0</v>
      </c>
      <c r="AK21">
        <f>IF(AND(VLOOKUP(AK$1,'40Trips'!$A$3:$I$42,8,FALSE)-VLOOKUP($A21,'40Trips'!$A$3:$I$42,9,FALSE)&gt;=VLOOKUP(VLOOKUP(AK$1, '40Trips'!$A$3:$I$42,3,FALSE),'40Trips'!$J$32:$K$35, 2, FALSE)),1,0)</f>
        <v>0</v>
      </c>
      <c r="AL21">
        <f>IF(AND(VLOOKUP(AL$1,'40Trips'!$A$3:$I$42,8,FALSE)-VLOOKUP($A21,'40Trips'!$A$3:$I$42,9,FALSE)&gt;=VLOOKUP(VLOOKUP(AL$1, '40Trips'!$A$3:$I$42,3,FALSE),'40Trips'!$J$32:$K$35, 2, FALSE)),1,0)</f>
        <v>1</v>
      </c>
      <c r="AM21">
        <f>IF(AND(VLOOKUP(AM$1,'40Trips'!$A$3:$I$42,8,FALSE)-VLOOKUP($A21,'40Trips'!$A$3:$I$42,9,FALSE)&gt;=VLOOKUP(VLOOKUP(AM$1, '40Trips'!$A$3:$I$42,3,FALSE),'40Trips'!$J$32:$K$35, 2, FALSE)),1,0)</f>
        <v>0</v>
      </c>
      <c r="AN21">
        <f>IF(AND(VLOOKUP(AN$1,'40Trips'!$A$3:$I$42,8,FALSE)-VLOOKUP($A21,'40Trips'!$A$3:$I$42,9,FALSE)&gt;=VLOOKUP(VLOOKUP(AN$1, '40Trips'!$A$3:$I$42,3,FALSE),'40Trips'!$J$32:$K$35, 2, FALSE)),1,0)</f>
        <v>0</v>
      </c>
      <c r="AO21">
        <f>IF(AND(VLOOKUP(AO$1,'40Trips'!$A$3:$I$42,8,FALSE)-VLOOKUP($A21,'40Trips'!$A$3:$I$42,9,FALSE)&gt;=VLOOKUP(VLOOKUP(AO$1, '40Trips'!$A$3:$I$42,3,FALSE),'40Trips'!$J$32:$K$35, 2, FALSE)),1,0)</f>
        <v>0</v>
      </c>
      <c r="AP21">
        <f>IF(AND(VLOOKUP(AP$1,'40Trips'!$A$3:$I$42,8,FALSE)-VLOOKUP($A21,'40Trips'!$A$3:$I$42,9,FALSE)&gt;=VLOOKUP(VLOOKUP(AP$1, '40Trips'!$A$3:$I$42,3,FALSE),'40Trips'!$J$32:$K$35, 2, FALSE)),1,0)</f>
        <v>1</v>
      </c>
    </row>
    <row r="22" spans="1:42" x14ac:dyDescent="0.25">
      <c r="A22" t="s">
        <v>78</v>
      </c>
      <c r="B22" s="3">
        <v>1</v>
      </c>
      <c r="C22">
        <f>IF(AND(VLOOKUP(C$1,'40Trips'!$A$3:$I$42,8,FALSE)-VLOOKUP($A22,'40Trips'!$A$3:$I$42,9,FALSE)&gt;=VLOOKUP(VLOOKUP(C$1, '40Trips'!$A$3:$I$42,3,FALSE),'40Trips'!$J$32:$K$35, 2, FALSE)),1,0)</f>
        <v>0</v>
      </c>
      <c r="D22">
        <f>IF(AND(VLOOKUP(D$1,'40Trips'!$A$3:$I$42,8,FALSE)-VLOOKUP($A22,'40Trips'!$A$3:$I$42,9,FALSE)&gt;=VLOOKUP(VLOOKUP(D$1, '40Trips'!$A$3:$I$42,3,FALSE),'40Trips'!$J$32:$K$35, 2, FALSE)),1,0)</f>
        <v>0</v>
      </c>
      <c r="E22">
        <f>IF(AND(VLOOKUP(E$1,'40Trips'!$A$3:$I$42,8,FALSE)-VLOOKUP($A22,'40Trips'!$A$3:$I$42,9,FALSE)&gt;=VLOOKUP(VLOOKUP(E$1, '40Trips'!$A$3:$I$42,3,FALSE),'40Trips'!$J$32:$K$35, 2, FALSE)),1,0)</f>
        <v>0</v>
      </c>
      <c r="F22">
        <f>IF(AND(VLOOKUP(F$1,'40Trips'!$A$3:$I$42,8,FALSE)-VLOOKUP($A22,'40Trips'!$A$3:$I$42,9,FALSE)&gt;=VLOOKUP(VLOOKUP(F$1, '40Trips'!$A$3:$I$42,3,FALSE),'40Trips'!$J$32:$K$35, 2, FALSE)),1,0)</f>
        <v>0</v>
      </c>
      <c r="G22">
        <f>IF(AND(VLOOKUP(G$1,'40Trips'!$A$3:$I$42,8,FALSE)-VLOOKUP($A22,'40Trips'!$A$3:$I$42,9,FALSE)&gt;=VLOOKUP(VLOOKUP(G$1, '40Trips'!$A$3:$I$42,3,FALSE),'40Trips'!$J$32:$K$35, 2, FALSE)),1,0)</f>
        <v>0</v>
      </c>
      <c r="H22">
        <f>IF(AND(VLOOKUP(H$1,'40Trips'!$A$3:$I$42,8,FALSE)-VLOOKUP($A22,'40Trips'!$A$3:$I$42,9,FALSE)&gt;=VLOOKUP(VLOOKUP(H$1, '40Trips'!$A$3:$I$42,3,FALSE),'40Trips'!$J$32:$K$35, 2, FALSE)),1,0)</f>
        <v>0</v>
      </c>
      <c r="I22">
        <f>IF(AND(VLOOKUP(I$1,'40Trips'!$A$3:$I$42,8,FALSE)-VLOOKUP($A22,'40Trips'!$A$3:$I$42,9,FALSE)&gt;=VLOOKUP(VLOOKUP(I$1, '40Trips'!$A$3:$I$42,3,FALSE),'40Trips'!$J$32:$K$35, 2, FALSE)),1,0)</f>
        <v>0</v>
      </c>
      <c r="J22">
        <f>IF(AND(VLOOKUP(J$1,'40Trips'!$A$3:$I$42,8,FALSE)-VLOOKUP($A22,'40Trips'!$A$3:$I$42,9,FALSE)&gt;=VLOOKUP(VLOOKUP(J$1, '40Trips'!$A$3:$I$42,3,FALSE),'40Trips'!$J$32:$K$35, 2, FALSE)),1,0)</f>
        <v>1</v>
      </c>
      <c r="K22">
        <f>IF(AND(VLOOKUP(K$1,'40Trips'!$A$3:$I$42,8,FALSE)-VLOOKUP($A22,'40Trips'!$A$3:$I$42,9,FALSE)&gt;=VLOOKUP(VLOOKUP(K$1, '40Trips'!$A$3:$I$42,3,FALSE),'40Trips'!$J$32:$K$35, 2, FALSE)),1,0)</f>
        <v>0</v>
      </c>
      <c r="L22">
        <f>IF(AND(VLOOKUP(L$1,'40Trips'!$A$3:$I$42,8,FALSE)-VLOOKUP($A22,'40Trips'!$A$3:$I$42,9,FALSE)&gt;=VLOOKUP(VLOOKUP(L$1, '40Trips'!$A$3:$I$42,3,FALSE),'40Trips'!$J$32:$K$35, 2, FALSE)),1,0)</f>
        <v>0</v>
      </c>
      <c r="M22">
        <f>IF(AND(VLOOKUP(M$1,'40Trips'!$A$3:$I$42,8,FALSE)-VLOOKUP($A22,'40Trips'!$A$3:$I$42,9,FALSE)&gt;=VLOOKUP(VLOOKUP(M$1, '40Trips'!$A$3:$I$42,3,FALSE),'40Trips'!$J$32:$K$35, 2, FALSE)),1,0)</f>
        <v>0</v>
      </c>
      <c r="N22">
        <f>IF(AND(VLOOKUP(N$1,'40Trips'!$A$3:$I$42,8,FALSE)-VLOOKUP($A22,'40Trips'!$A$3:$I$42,9,FALSE)&gt;=VLOOKUP(VLOOKUP(N$1, '40Trips'!$A$3:$I$42,3,FALSE),'40Trips'!$J$32:$K$35, 2, FALSE)),1,0)</f>
        <v>0</v>
      </c>
      <c r="O22">
        <f>IF(AND(VLOOKUP(O$1,'40Trips'!$A$3:$I$42,8,FALSE)-VLOOKUP($A22,'40Trips'!$A$3:$I$42,9,FALSE)&gt;=VLOOKUP(VLOOKUP(O$1, '40Trips'!$A$3:$I$42,3,FALSE),'40Trips'!$J$32:$K$35, 2, FALSE)),1,0)</f>
        <v>0</v>
      </c>
      <c r="P22">
        <f>IF(AND(VLOOKUP(P$1,'40Trips'!$A$3:$I$42,8,FALSE)-VLOOKUP($A22,'40Trips'!$A$3:$I$42,9,FALSE)&gt;=VLOOKUP(VLOOKUP(P$1, '40Trips'!$A$3:$I$42,3,FALSE),'40Trips'!$J$32:$K$35, 2, FALSE)),1,0)</f>
        <v>0</v>
      </c>
      <c r="Q22">
        <f>IF(AND(VLOOKUP(Q$1,'40Trips'!$A$3:$I$42,8,FALSE)-VLOOKUP($A22,'40Trips'!$A$3:$I$42,9,FALSE)&gt;=VLOOKUP(VLOOKUP(Q$1, '40Trips'!$A$3:$I$42,3,FALSE),'40Trips'!$J$32:$K$35, 2, FALSE)),1,0)</f>
        <v>0</v>
      </c>
      <c r="R22">
        <f>IF(AND(VLOOKUP(R$1,'40Trips'!$A$3:$I$42,8,FALSE)-VLOOKUP($A22,'40Trips'!$A$3:$I$42,9,FALSE)&gt;=VLOOKUP(VLOOKUP(R$1, '40Trips'!$A$3:$I$42,3,FALSE),'40Trips'!$J$32:$K$35, 2, FALSE)),1,0)</f>
        <v>0</v>
      </c>
      <c r="S22">
        <f>IF(AND(VLOOKUP(S$1,'40Trips'!$A$3:$I$42,8,FALSE)-VLOOKUP($A22,'40Trips'!$A$3:$I$42,9,FALSE)&gt;=VLOOKUP(VLOOKUP(S$1, '40Trips'!$A$3:$I$42,3,FALSE),'40Trips'!$J$32:$K$35, 2, FALSE)),1,0)</f>
        <v>0</v>
      </c>
      <c r="T22">
        <f>IF(AND(VLOOKUP(T$1,'40Trips'!$A$3:$I$42,8,FALSE)-VLOOKUP($A22,'40Trips'!$A$3:$I$42,9,FALSE)&gt;=VLOOKUP(VLOOKUP(T$1, '40Trips'!$A$3:$I$42,3,FALSE),'40Trips'!$J$32:$K$35, 2, FALSE)),1,0)</f>
        <v>0</v>
      </c>
      <c r="U22">
        <f>IF(AND(VLOOKUP(U$1,'40Trips'!$A$3:$I$42,8,FALSE)-VLOOKUP($A22,'40Trips'!$A$3:$I$42,9,FALSE)&gt;=VLOOKUP(VLOOKUP(U$1, '40Trips'!$A$3:$I$42,3,FALSE),'40Trips'!$J$32:$K$35, 2, FALSE)),1,0)</f>
        <v>0</v>
      </c>
      <c r="V22">
        <f>IF(AND(VLOOKUP(V$1,'40Trips'!$A$3:$I$42,8,FALSE)-VLOOKUP($A22,'40Trips'!$A$3:$I$42,9,FALSE)&gt;=VLOOKUP(VLOOKUP(V$1, '40Trips'!$A$3:$I$42,3,FALSE),'40Trips'!$J$32:$K$35, 2, FALSE)),1,0)</f>
        <v>0</v>
      </c>
      <c r="W22">
        <f>IF(AND(VLOOKUP(W$1,'40Trips'!$A$3:$I$42,8,FALSE)-VLOOKUP($A22,'40Trips'!$A$3:$I$42,9,FALSE)&gt;=VLOOKUP(VLOOKUP(W$1, '40Trips'!$A$3:$I$42,3,FALSE),'40Trips'!$J$32:$K$35, 2, FALSE)),1,0)</f>
        <v>0</v>
      </c>
      <c r="X22">
        <f>IF(AND(VLOOKUP(X$1,'40Trips'!$A$3:$I$42,8,FALSE)-VLOOKUP($A22,'40Trips'!$A$3:$I$42,9,FALSE)&gt;=VLOOKUP(VLOOKUP(X$1, '40Trips'!$A$3:$I$42,3,FALSE),'40Trips'!$J$32:$K$35, 2, FALSE)),1,0)</f>
        <v>0</v>
      </c>
      <c r="Y22">
        <f>IF(AND(VLOOKUP(Y$1,'40Trips'!$A$3:$I$42,8,FALSE)-VLOOKUP($A22,'40Trips'!$A$3:$I$42,9,FALSE)&gt;=VLOOKUP(VLOOKUP(Y$1, '40Trips'!$A$3:$I$42,3,FALSE),'40Trips'!$J$32:$K$35, 2, FALSE)),1,0)</f>
        <v>0</v>
      </c>
      <c r="Z22">
        <f>IF(AND(VLOOKUP(Z$1,'40Trips'!$A$3:$I$42,8,FALSE)-VLOOKUP($A22,'40Trips'!$A$3:$I$42,9,FALSE)&gt;=VLOOKUP(VLOOKUP(Z$1, '40Trips'!$A$3:$I$42,3,FALSE),'40Trips'!$J$32:$K$35, 2, FALSE)),1,0)</f>
        <v>0</v>
      </c>
      <c r="AA22">
        <f>IF(AND(VLOOKUP(AA$1,'40Trips'!$A$3:$I$42,8,FALSE)-VLOOKUP($A22,'40Trips'!$A$3:$I$42,9,FALSE)&gt;=VLOOKUP(VLOOKUP(AA$1, '40Trips'!$A$3:$I$42,3,FALSE),'40Trips'!$J$32:$K$35, 2, FALSE)),1,0)</f>
        <v>0</v>
      </c>
      <c r="AB22">
        <f>IF(AND(VLOOKUP(AB$1,'40Trips'!$A$3:$I$42,8,FALSE)-VLOOKUP($A22,'40Trips'!$A$3:$I$42,9,FALSE)&gt;=VLOOKUP(VLOOKUP(AB$1, '40Trips'!$A$3:$I$42,3,FALSE),'40Trips'!$J$32:$K$35, 2, FALSE)),1,0)</f>
        <v>0</v>
      </c>
      <c r="AC22">
        <f>IF(AND(VLOOKUP(AC$1,'40Trips'!$A$3:$I$42,8,FALSE)-VLOOKUP($A22,'40Trips'!$A$3:$I$42,9,FALSE)&gt;=VLOOKUP(VLOOKUP(AC$1, '40Trips'!$A$3:$I$42,3,FALSE),'40Trips'!$J$32:$K$35, 2, FALSE)),1,0)</f>
        <v>0</v>
      </c>
      <c r="AD22">
        <f>IF(AND(VLOOKUP(AD$1,'40Trips'!$A$3:$I$42,8,FALSE)-VLOOKUP($A22,'40Trips'!$A$3:$I$42,9,FALSE)&gt;=VLOOKUP(VLOOKUP(AD$1, '40Trips'!$A$3:$I$42,3,FALSE),'40Trips'!$J$32:$K$35, 2, FALSE)),1,0)</f>
        <v>0</v>
      </c>
      <c r="AE22">
        <f>IF(AND(VLOOKUP(AE$1,'40Trips'!$A$3:$I$42,8,FALSE)-VLOOKUP($A22,'40Trips'!$A$3:$I$42,9,FALSE)&gt;=VLOOKUP(VLOOKUP(AE$1, '40Trips'!$A$3:$I$42,3,FALSE),'40Trips'!$J$32:$K$35, 2, FALSE)),1,0)</f>
        <v>0</v>
      </c>
      <c r="AF22">
        <f>IF(AND(VLOOKUP(AF$1,'40Trips'!$A$3:$I$42,8,FALSE)-VLOOKUP($A22,'40Trips'!$A$3:$I$42,9,FALSE)&gt;=VLOOKUP(VLOOKUP(AF$1, '40Trips'!$A$3:$I$42,3,FALSE),'40Trips'!$J$32:$K$35, 2, FALSE)),1,0)</f>
        <v>0</v>
      </c>
      <c r="AG22">
        <f>IF(AND(VLOOKUP(AG$1,'40Trips'!$A$3:$I$42,8,FALSE)-VLOOKUP($A22,'40Trips'!$A$3:$I$42,9,FALSE)&gt;=VLOOKUP(VLOOKUP(AG$1, '40Trips'!$A$3:$I$42,3,FALSE),'40Trips'!$J$32:$K$35, 2, FALSE)),1,0)</f>
        <v>0</v>
      </c>
      <c r="AH22">
        <f>IF(AND(VLOOKUP(AH$1,'40Trips'!$A$3:$I$42,8,FALSE)-VLOOKUP($A22,'40Trips'!$A$3:$I$42,9,FALSE)&gt;=VLOOKUP(VLOOKUP(AH$1, '40Trips'!$A$3:$I$42,3,FALSE),'40Trips'!$J$32:$K$35, 2, FALSE)),1,0)</f>
        <v>0</v>
      </c>
      <c r="AI22">
        <f>IF(AND(VLOOKUP(AI$1,'40Trips'!$A$3:$I$42,8,FALSE)-VLOOKUP($A22,'40Trips'!$A$3:$I$42,9,FALSE)&gt;=VLOOKUP(VLOOKUP(AI$1, '40Trips'!$A$3:$I$42,3,FALSE),'40Trips'!$J$32:$K$35, 2, FALSE)),1,0)</f>
        <v>0</v>
      </c>
      <c r="AJ22">
        <f>IF(AND(VLOOKUP(AJ$1,'40Trips'!$A$3:$I$42,8,FALSE)-VLOOKUP($A22,'40Trips'!$A$3:$I$42,9,FALSE)&gt;=VLOOKUP(VLOOKUP(AJ$1, '40Trips'!$A$3:$I$42,3,FALSE),'40Trips'!$J$32:$K$35, 2, FALSE)),1,0)</f>
        <v>0</v>
      </c>
      <c r="AK22">
        <f>IF(AND(VLOOKUP(AK$1,'40Trips'!$A$3:$I$42,8,FALSE)-VLOOKUP($A22,'40Trips'!$A$3:$I$42,9,FALSE)&gt;=VLOOKUP(VLOOKUP(AK$1, '40Trips'!$A$3:$I$42,3,FALSE),'40Trips'!$J$32:$K$35, 2, FALSE)),1,0)</f>
        <v>0</v>
      </c>
      <c r="AL22">
        <f>IF(AND(VLOOKUP(AL$1,'40Trips'!$A$3:$I$42,8,FALSE)-VLOOKUP($A22,'40Trips'!$A$3:$I$42,9,FALSE)&gt;=VLOOKUP(VLOOKUP(AL$1, '40Trips'!$A$3:$I$42,3,FALSE),'40Trips'!$J$32:$K$35, 2, FALSE)),1,0)</f>
        <v>0</v>
      </c>
      <c r="AM22">
        <f>IF(AND(VLOOKUP(AM$1,'40Trips'!$A$3:$I$42,8,FALSE)-VLOOKUP($A22,'40Trips'!$A$3:$I$42,9,FALSE)&gt;=VLOOKUP(VLOOKUP(AM$1, '40Trips'!$A$3:$I$42,3,FALSE),'40Trips'!$J$32:$K$35, 2, FALSE)),1,0)</f>
        <v>0</v>
      </c>
      <c r="AN22">
        <f>IF(AND(VLOOKUP(AN$1,'40Trips'!$A$3:$I$42,8,FALSE)-VLOOKUP($A22,'40Trips'!$A$3:$I$42,9,FALSE)&gt;=VLOOKUP(VLOOKUP(AN$1, '40Trips'!$A$3:$I$42,3,FALSE),'40Trips'!$J$32:$K$35, 2, FALSE)),1,0)</f>
        <v>0</v>
      </c>
      <c r="AO22">
        <f>IF(AND(VLOOKUP(AO$1,'40Trips'!$A$3:$I$42,8,FALSE)-VLOOKUP($A22,'40Trips'!$A$3:$I$42,9,FALSE)&gt;=VLOOKUP(VLOOKUP(AO$1, '40Trips'!$A$3:$I$42,3,FALSE),'40Trips'!$J$32:$K$35, 2, FALSE)),1,0)</f>
        <v>0</v>
      </c>
      <c r="AP22">
        <f>IF(AND(VLOOKUP(AP$1,'40Trips'!$A$3:$I$42,8,FALSE)-VLOOKUP($A22,'40Trips'!$A$3:$I$42,9,FALSE)&gt;=VLOOKUP(VLOOKUP(AP$1, '40Trips'!$A$3:$I$42,3,FALSE),'40Trips'!$J$32:$K$35, 2, FALSE)),1,0)</f>
        <v>0</v>
      </c>
    </row>
    <row r="23" spans="1:42" x14ac:dyDescent="0.25">
      <c r="A23" t="s">
        <v>34</v>
      </c>
      <c r="B23" s="3">
        <v>1</v>
      </c>
      <c r="C23">
        <f>IF(AND(VLOOKUP(C$1,'40Trips'!$A$3:$I$42,8,FALSE)-VLOOKUP($A23,'40Trips'!$A$3:$I$42,9,FALSE)&gt;=VLOOKUP(VLOOKUP(C$1, '40Trips'!$A$3:$I$42,3,FALSE),'40Trips'!$J$32:$K$35, 2, FALSE)),1,0)</f>
        <v>0</v>
      </c>
      <c r="D23">
        <f>IF(AND(VLOOKUP(D$1,'40Trips'!$A$3:$I$42,8,FALSE)-VLOOKUP($A23,'40Trips'!$A$3:$I$42,9,FALSE)&gt;=VLOOKUP(VLOOKUP(D$1, '40Trips'!$A$3:$I$42,3,FALSE),'40Trips'!$J$32:$K$35, 2, FALSE)),1,0)</f>
        <v>1</v>
      </c>
      <c r="E23">
        <f>IF(AND(VLOOKUP(E$1,'40Trips'!$A$3:$I$42,8,FALSE)-VLOOKUP($A23,'40Trips'!$A$3:$I$42,9,FALSE)&gt;=VLOOKUP(VLOOKUP(E$1, '40Trips'!$A$3:$I$42,3,FALSE),'40Trips'!$J$32:$K$35, 2, FALSE)),1,0)</f>
        <v>1</v>
      </c>
      <c r="F23">
        <f>IF(AND(VLOOKUP(F$1,'40Trips'!$A$3:$I$42,8,FALSE)-VLOOKUP($A23,'40Trips'!$A$3:$I$42,9,FALSE)&gt;=VLOOKUP(VLOOKUP(F$1, '40Trips'!$A$3:$I$42,3,FALSE),'40Trips'!$J$32:$K$35, 2, FALSE)),1,0)</f>
        <v>1</v>
      </c>
      <c r="G23">
        <f>IF(AND(VLOOKUP(G$1,'40Trips'!$A$3:$I$42,8,FALSE)-VLOOKUP($A23,'40Trips'!$A$3:$I$42,9,FALSE)&gt;=VLOOKUP(VLOOKUP(G$1, '40Trips'!$A$3:$I$42,3,FALSE),'40Trips'!$J$32:$K$35, 2, FALSE)),1,0)</f>
        <v>0</v>
      </c>
      <c r="H23">
        <f>IF(AND(VLOOKUP(H$1,'40Trips'!$A$3:$I$42,8,FALSE)-VLOOKUP($A23,'40Trips'!$A$3:$I$42,9,FALSE)&gt;=VLOOKUP(VLOOKUP(H$1, '40Trips'!$A$3:$I$42,3,FALSE),'40Trips'!$J$32:$K$35, 2, FALSE)),1,0)</f>
        <v>0</v>
      </c>
      <c r="I23">
        <f>IF(AND(VLOOKUP(I$1,'40Trips'!$A$3:$I$42,8,FALSE)-VLOOKUP($A23,'40Trips'!$A$3:$I$42,9,FALSE)&gt;=VLOOKUP(VLOOKUP(I$1, '40Trips'!$A$3:$I$42,3,FALSE),'40Trips'!$J$32:$K$35, 2, FALSE)),1,0)</f>
        <v>1</v>
      </c>
      <c r="J23">
        <f>IF(AND(VLOOKUP(J$1,'40Trips'!$A$3:$I$42,8,FALSE)-VLOOKUP($A23,'40Trips'!$A$3:$I$42,9,FALSE)&gt;=VLOOKUP(VLOOKUP(J$1, '40Trips'!$A$3:$I$42,3,FALSE),'40Trips'!$J$32:$K$35, 2, FALSE)),1,0)</f>
        <v>1</v>
      </c>
      <c r="K23">
        <f>IF(AND(VLOOKUP(K$1,'40Trips'!$A$3:$I$42,8,FALSE)-VLOOKUP($A23,'40Trips'!$A$3:$I$42,9,FALSE)&gt;=VLOOKUP(VLOOKUP(K$1, '40Trips'!$A$3:$I$42,3,FALSE),'40Trips'!$J$32:$K$35, 2, FALSE)),1,0)</f>
        <v>0</v>
      </c>
      <c r="L23">
        <f>IF(AND(VLOOKUP(L$1,'40Trips'!$A$3:$I$42,8,FALSE)-VLOOKUP($A23,'40Trips'!$A$3:$I$42,9,FALSE)&gt;=VLOOKUP(VLOOKUP(L$1, '40Trips'!$A$3:$I$42,3,FALSE),'40Trips'!$J$32:$K$35, 2, FALSE)),1,0)</f>
        <v>0</v>
      </c>
      <c r="M23">
        <f>IF(AND(VLOOKUP(M$1,'40Trips'!$A$3:$I$42,8,FALSE)-VLOOKUP($A23,'40Trips'!$A$3:$I$42,9,FALSE)&gt;=VLOOKUP(VLOOKUP(M$1, '40Trips'!$A$3:$I$42,3,FALSE),'40Trips'!$J$32:$K$35, 2, FALSE)),1,0)</f>
        <v>1</v>
      </c>
      <c r="N23">
        <f>IF(AND(VLOOKUP(N$1,'40Trips'!$A$3:$I$42,8,FALSE)-VLOOKUP($A23,'40Trips'!$A$3:$I$42,9,FALSE)&gt;=VLOOKUP(VLOOKUP(N$1, '40Trips'!$A$3:$I$42,3,FALSE),'40Trips'!$J$32:$K$35, 2, FALSE)),1,0)</f>
        <v>0</v>
      </c>
      <c r="O23">
        <f>IF(AND(VLOOKUP(O$1,'40Trips'!$A$3:$I$42,8,FALSE)-VLOOKUP($A23,'40Trips'!$A$3:$I$42,9,FALSE)&gt;=VLOOKUP(VLOOKUP(O$1, '40Trips'!$A$3:$I$42,3,FALSE),'40Trips'!$J$32:$K$35, 2, FALSE)),1,0)</f>
        <v>0</v>
      </c>
      <c r="P23">
        <f>IF(AND(VLOOKUP(P$1,'40Trips'!$A$3:$I$42,8,FALSE)-VLOOKUP($A23,'40Trips'!$A$3:$I$42,9,FALSE)&gt;=VLOOKUP(VLOOKUP(P$1, '40Trips'!$A$3:$I$42,3,FALSE),'40Trips'!$J$32:$K$35, 2, FALSE)),1,0)</f>
        <v>0</v>
      </c>
      <c r="Q23">
        <f>IF(AND(VLOOKUP(Q$1,'40Trips'!$A$3:$I$42,8,FALSE)-VLOOKUP($A23,'40Trips'!$A$3:$I$42,9,FALSE)&gt;=VLOOKUP(VLOOKUP(Q$1, '40Trips'!$A$3:$I$42,3,FALSE),'40Trips'!$J$32:$K$35, 2, FALSE)),1,0)</f>
        <v>1</v>
      </c>
      <c r="R23">
        <f>IF(AND(VLOOKUP(R$1,'40Trips'!$A$3:$I$42,8,FALSE)-VLOOKUP($A23,'40Trips'!$A$3:$I$42,9,FALSE)&gt;=VLOOKUP(VLOOKUP(R$1, '40Trips'!$A$3:$I$42,3,FALSE),'40Trips'!$J$32:$K$35, 2, FALSE)),1,0)</f>
        <v>1</v>
      </c>
      <c r="S23">
        <f>IF(AND(VLOOKUP(S$1,'40Trips'!$A$3:$I$42,8,FALSE)-VLOOKUP($A23,'40Trips'!$A$3:$I$42,9,FALSE)&gt;=VLOOKUP(VLOOKUP(S$1, '40Trips'!$A$3:$I$42,3,FALSE),'40Trips'!$J$32:$K$35, 2, FALSE)),1,0)</f>
        <v>0</v>
      </c>
      <c r="T23">
        <f>IF(AND(VLOOKUP(T$1,'40Trips'!$A$3:$I$42,8,FALSE)-VLOOKUP($A23,'40Trips'!$A$3:$I$42,9,FALSE)&gt;=VLOOKUP(VLOOKUP(T$1, '40Trips'!$A$3:$I$42,3,FALSE),'40Trips'!$J$32:$K$35, 2, FALSE)),1,0)</f>
        <v>0</v>
      </c>
      <c r="U23">
        <f>IF(AND(VLOOKUP(U$1,'40Trips'!$A$3:$I$42,8,FALSE)-VLOOKUP($A23,'40Trips'!$A$3:$I$42,9,FALSE)&gt;=VLOOKUP(VLOOKUP(U$1, '40Trips'!$A$3:$I$42,3,FALSE),'40Trips'!$J$32:$K$35, 2, FALSE)),1,0)</f>
        <v>1</v>
      </c>
      <c r="V23">
        <f>IF(AND(VLOOKUP(V$1,'40Trips'!$A$3:$I$42,8,FALSE)-VLOOKUP($A23,'40Trips'!$A$3:$I$42,9,FALSE)&gt;=VLOOKUP(VLOOKUP(V$1, '40Trips'!$A$3:$I$42,3,FALSE),'40Trips'!$J$32:$K$35, 2, FALSE)),1,0)</f>
        <v>1</v>
      </c>
      <c r="W23">
        <f>IF(AND(VLOOKUP(W$1,'40Trips'!$A$3:$I$42,8,FALSE)-VLOOKUP($A23,'40Trips'!$A$3:$I$42,9,FALSE)&gt;=VLOOKUP(VLOOKUP(W$1, '40Trips'!$A$3:$I$42,3,FALSE),'40Trips'!$J$32:$K$35, 2, FALSE)),1,0)</f>
        <v>0</v>
      </c>
      <c r="X23">
        <f>IF(AND(VLOOKUP(X$1,'40Trips'!$A$3:$I$42,8,FALSE)-VLOOKUP($A23,'40Trips'!$A$3:$I$42,9,FALSE)&gt;=VLOOKUP(VLOOKUP(X$1, '40Trips'!$A$3:$I$42,3,FALSE),'40Trips'!$J$32:$K$35, 2, FALSE)),1,0)</f>
        <v>1</v>
      </c>
      <c r="Y23">
        <f>IF(AND(VLOOKUP(Y$1,'40Trips'!$A$3:$I$42,8,FALSE)-VLOOKUP($A23,'40Trips'!$A$3:$I$42,9,FALSE)&gt;=VLOOKUP(VLOOKUP(Y$1, '40Trips'!$A$3:$I$42,3,FALSE),'40Trips'!$J$32:$K$35, 2, FALSE)),1,0)</f>
        <v>1</v>
      </c>
      <c r="Z23">
        <f>IF(AND(VLOOKUP(Z$1,'40Trips'!$A$3:$I$42,8,FALSE)-VLOOKUP($A23,'40Trips'!$A$3:$I$42,9,FALSE)&gt;=VLOOKUP(VLOOKUP(Z$1, '40Trips'!$A$3:$I$42,3,FALSE),'40Trips'!$J$32:$K$35, 2, FALSE)),1,0)</f>
        <v>1</v>
      </c>
      <c r="AA23">
        <f>IF(AND(VLOOKUP(AA$1,'40Trips'!$A$3:$I$42,8,FALSE)-VLOOKUP($A23,'40Trips'!$A$3:$I$42,9,FALSE)&gt;=VLOOKUP(VLOOKUP(AA$1, '40Trips'!$A$3:$I$42,3,FALSE),'40Trips'!$J$32:$K$35, 2, FALSE)),1,0)</f>
        <v>0</v>
      </c>
      <c r="AB23">
        <f>IF(AND(VLOOKUP(AB$1,'40Trips'!$A$3:$I$42,8,FALSE)-VLOOKUP($A23,'40Trips'!$A$3:$I$42,9,FALSE)&gt;=VLOOKUP(VLOOKUP(AB$1, '40Trips'!$A$3:$I$42,3,FALSE),'40Trips'!$J$32:$K$35, 2, FALSE)),1,0)</f>
        <v>0</v>
      </c>
      <c r="AC23">
        <f>IF(AND(VLOOKUP(AC$1,'40Trips'!$A$3:$I$42,8,FALSE)-VLOOKUP($A23,'40Trips'!$A$3:$I$42,9,FALSE)&gt;=VLOOKUP(VLOOKUP(AC$1, '40Trips'!$A$3:$I$42,3,FALSE),'40Trips'!$J$32:$K$35, 2, FALSE)),1,0)</f>
        <v>1</v>
      </c>
      <c r="AD23">
        <f>IF(AND(VLOOKUP(AD$1,'40Trips'!$A$3:$I$42,8,FALSE)-VLOOKUP($A23,'40Trips'!$A$3:$I$42,9,FALSE)&gt;=VLOOKUP(VLOOKUP(AD$1, '40Trips'!$A$3:$I$42,3,FALSE),'40Trips'!$J$32:$K$35, 2, FALSE)),1,0)</f>
        <v>1</v>
      </c>
      <c r="AE23">
        <f>IF(AND(VLOOKUP(AE$1,'40Trips'!$A$3:$I$42,8,FALSE)-VLOOKUP($A23,'40Trips'!$A$3:$I$42,9,FALSE)&gt;=VLOOKUP(VLOOKUP(AE$1, '40Trips'!$A$3:$I$42,3,FALSE),'40Trips'!$J$32:$K$35, 2, FALSE)),1,0)</f>
        <v>0</v>
      </c>
      <c r="AF23">
        <f>IF(AND(VLOOKUP(AF$1,'40Trips'!$A$3:$I$42,8,FALSE)-VLOOKUP($A23,'40Trips'!$A$3:$I$42,9,FALSE)&gt;=VLOOKUP(VLOOKUP(AF$1, '40Trips'!$A$3:$I$42,3,FALSE),'40Trips'!$J$32:$K$35, 2, FALSE)),1,0)</f>
        <v>0</v>
      </c>
      <c r="AG23">
        <f>IF(AND(VLOOKUP(AG$1,'40Trips'!$A$3:$I$42,8,FALSE)-VLOOKUP($A23,'40Trips'!$A$3:$I$42,9,FALSE)&gt;=VLOOKUP(VLOOKUP(AG$1, '40Trips'!$A$3:$I$42,3,FALSE),'40Trips'!$J$32:$K$35, 2, FALSE)),1,0)</f>
        <v>0</v>
      </c>
      <c r="AH23">
        <f>IF(AND(VLOOKUP(AH$1,'40Trips'!$A$3:$I$42,8,FALSE)-VLOOKUP($A23,'40Trips'!$A$3:$I$42,9,FALSE)&gt;=VLOOKUP(VLOOKUP(AH$1, '40Trips'!$A$3:$I$42,3,FALSE),'40Trips'!$J$32:$K$35, 2, FALSE)),1,0)</f>
        <v>1</v>
      </c>
      <c r="AI23">
        <f>IF(AND(VLOOKUP(AI$1,'40Trips'!$A$3:$I$42,8,FALSE)-VLOOKUP($A23,'40Trips'!$A$3:$I$42,9,FALSE)&gt;=VLOOKUP(VLOOKUP(AI$1, '40Trips'!$A$3:$I$42,3,FALSE),'40Trips'!$J$32:$K$35, 2, FALSE)),1,0)</f>
        <v>0</v>
      </c>
      <c r="AJ23">
        <f>IF(AND(VLOOKUP(AJ$1,'40Trips'!$A$3:$I$42,8,FALSE)-VLOOKUP($A23,'40Trips'!$A$3:$I$42,9,FALSE)&gt;=VLOOKUP(VLOOKUP(AJ$1, '40Trips'!$A$3:$I$42,3,FALSE),'40Trips'!$J$32:$K$35, 2, FALSE)),1,0)</f>
        <v>1</v>
      </c>
      <c r="AK23">
        <f>IF(AND(VLOOKUP(AK$1,'40Trips'!$A$3:$I$42,8,FALSE)-VLOOKUP($A23,'40Trips'!$A$3:$I$42,9,FALSE)&gt;=VLOOKUP(VLOOKUP(AK$1, '40Trips'!$A$3:$I$42,3,FALSE),'40Trips'!$J$32:$K$35, 2, FALSE)),1,0)</f>
        <v>1</v>
      </c>
      <c r="AL23">
        <f>IF(AND(VLOOKUP(AL$1,'40Trips'!$A$3:$I$42,8,FALSE)-VLOOKUP($A23,'40Trips'!$A$3:$I$42,9,FALSE)&gt;=VLOOKUP(VLOOKUP(AL$1, '40Trips'!$A$3:$I$42,3,FALSE),'40Trips'!$J$32:$K$35, 2, FALSE)),1,0)</f>
        <v>1</v>
      </c>
      <c r="AM23">
        <f>IF(AND(VLOOKUP(AM$1,'40Trips'!$A$3:$I$42,8,FALSE)-VLOOKUP($A23,'40Trips'!$A$3:$I$42,9,FALSE)&gt;=VLOOKUP(VLOOKUP(AM$1, '40Trips'!$A$3:$I$42,3,FALSE),'40Trips'!$J$32:$K$35, 2, FALSE)),1,0)</f>
        <v>0</v>
      </c>
      <c r="AN23">
        <f>IF(AND(VLOOKUP(AN$1,'40Trips'!$A$3:$I$42,8,FALSE)-VLOOKUP($A23,'40Trips'!$A$3:$I$42,9,FALSE)&gt;=VLOOKUP(VLOOKUP(AN$1, '40Trips'!$A$3:$I$42,3,FALSE),'40Trips'!$J$32:$K$35, 2, FALSE)),1,0)</f>
        <v>1</v>
      </c>
      <c r="AO23">
        <f>IF(AND(VLOOKUP(AO$1,'40Trips'!$A$3:$I$42,8,FALSE)-VLOOKUP($A23,'40Trips'!$A$3:$I$42,9,FALSE)&gt;=VLOOKUP(VLOOKUP(AO$1, '40Trips'!$A$3:$I$42,3,FALSE),'40Trips'!$J$32:$K$35, 2, FALSE)),1,0)</f>
        <v>1</v>
      </c>
      <c r="AP23">
        <f>IF(AND(VLOOKUP(AP$1,'40Trips'!$A$3:$I$42,8,FALSE)-VLOOKUP($A23,'40Trips'!$A$3:$I$42,9,FALSE)&gt;=VLOOKUP(VLOOKUP(AP$1, '40Trips'!$A$3:$I$42,3,FALSE),'40Trips'!$J$32:$K$35, 2, FALSE)),1,0)</f>
        <v>1</v>
      </c>
    </row>
    <row r="24" spans="1:42" x14ac:dyDescent="0.25">
      <c r="A24" t="s">
        <v>35</v>
      </c>
      <c r="B24" s="3">
        <v>1</v>
      </c>
      <c r="C24">
        <f>IF(AND(VLOOKUP(C$1,'40Trips'!$A$3:$I$42,8,FALSE)-VLOOKUP($A24,'40Trips'!$A$3:$I$42,9,FALSE)&gt;=VLOOKUP(VLOOKUP(C$1, '40Trips'!$A$3:$I$42,3,FALSE),'40Trips'!$J$32:$K$35, 2, FALSE)),1,0)</f>
        <v>0</v>
      </c>
      <c r="D24">
        <f>IF(AND(VLOOKUP(D$1,'40Trips'!$A$3:$I$42,8,FALSE)-VLOOKUP($A24,'40Trips'!$A$3:$I$42,9,FALSE)&gt;=VLOOKUP(VLOOKUP(D$1, '40Trips'!$A$3:$I$42,3,FALSE),'40Trips'!$J$32:$K$35, 2, FALSE)),1,0)</f>
        <v>0</v>
      </c>
      <c r="E24">
        <f>IF(AND(VLOOKUP(E$1,'40Trips'!$A$3:$I$42,8,FALSE)-VLOOKUP($A24,'40Trips'!$A$3:$I$42,9,FALSE)&gt;=VLOOKUP(VLOOKUP(E$1, '40Trips'!$A$3:$I$42,3,FALSE),'40Trips'!$J$32:$K$35, 2, FALSE)),1,0)</f>
        <v>0</v>
      </c>
      <c r="F24">
        <f>IF(AND(VLOOKUP(F$1,'40Trips'!$A$3:$I$42,8,FALSE)-VLOOKUP($A24,'40Trips'!$A$3:$I$42,9,FALSE)&gt;=VLOOKUP(VLOOKUP(F$1, '40Trips'!$A$3:$I$42,3,FALSE),'40Trips'!$J$32:$K$35, 2, FALSE)),1,0)</f>
        <v>1</v>
      </c>
      <c r="G24">
        <f>IF(AND(VLOOKUP(G$1,'40Trips'!$A$3:$I$42,8,FALSE)-VLOOKUP($A24,'40Trips'!$A$3:$I$42,9,FALSE)&gt;=VLOOKUP(VLOOKUP(G$1, '40Trips'!$A$3:$I$42,3,FALSE),'40Trips'!$J$32:$K$35, 2, FALSE)),1,0)</f>
        <v>0</v>
      </c>
      <c r="H24">
        <f>IF(AND(VLOOKUP(H$1,'40Trips'!$A$3:$I$42,8,FALSE)-VLOOKUP($A24,'40Trips'!$A$3:$I$42,9,FALSE)&gt;=VLOOKUP(VLOOKUP(H$1, '40Trips'!$A$3:$I$42,3,FALSE),'40Trips'!$J$32:$K$35, 2, FALSE)),1,0)</f>
        <v>0</v>
      </c>
      <c r="I24">
        <f>IF(AND(VLOOKUP(I$1,'40Trips'!$A$3:$I$42,8,FALSE)-VLOOKUP($A24,'40Trips'!$A$3:$I$42,9,FALSE)&gt;=VLOOKUP(VLOOKUP(I$1, '40Trips'!$A$3:$I$42,3,FALSE),'40Trips'!$J$32:$K$35, 2, FALSE)),1,0)</f>
        <v>0</v>
      </c>
      <c r="J24">
        <f>IF(AND(VLOOKUP(J$1,'40Trips'!$A$3:$I$42,8,FALSE)-VLOOKUP($A24,'40Trips'!$A$3:$I$42,9,FALSE)&gt;=VLOOKUP(VLOOKUP(J$1, '40Trips'!$A$3:$I$42,3,FALSE),'40Trips'!$J$32:$K$35, 2, FALSE)),1,0)</f>
        <v>1</v>
      </c>
      <c r="K24">
        <f>IF(AND(VLOOKUP(K$1,'40Trips'!$A$3:$I$42,8,FALSE)-VLOOKUP($A24,'40Trips'!$A$3:$I$42,9,FALSE)&gt;=VLOOKUP(VLOOKUP(K$1, '40Trips'!$A$3:$I$42,3,FALSE),'40Trips'!$J$32:$K$35, 2, FALSE)),1,0)</f>
        <v>0</v>
      </c>
      <c r="L24">
        <f>IF(AND(VLOOKUP(L$1,'40Trips'!$A$3:$I$42,8,FALSE)-VLOOKUP($A24,'40Trips'!$A$3:$I$42,9,FALSE)&gt;=VLOOKUP(VLOOKUP(L$1, '40Trips'!$A$3:$I$42,3,FALSE),'40Trips'!$J$32:$K$35, 2, FALSE)),1,0)</f>
        <v>0</v>
      </c>
      <c r="M24">
        <f>IF(AND(VLOOKUP(M$1,'40Trips'!$A$3:$I$42,8,FALSE)-VLOOKUP($A24,'40Trips'!$A$3:$I$42,9,FALSE)&gt;=VLOOKUP(VLOOKUP(M$1, '40Trips'!$A$3:$I$42,3,FALSE),'40Trips'!$J$32:$K$35, 2, FALSE)),1,0)</f>
        <v>0</v>
      </c>
      <c r="N24">
        <f>IF(AND(VLOOKUP(N$1,'40Trips'!$A$3:$I$42,8,FALSE)-VLOOKUP($A24,'40Trips'!$A$3:$I$42,9,FALSE)&gt;=VLOOKUP(VLOOKUP(N$1, '40Trips'!$A$3:$I$42,3,FALSE),'40Trips'!$J$32:$K$35, 2, FALSE)),1,0)</f>
        <v>0</v>
      </c>
      <c r="O24">
        <f>IF(AND(VLOOKUP(O$1,'40Trips'!$A$3:$I$42,8,FALSE)-VLOOKUP($A24,'40Trips'!$A$3:$I$42,9,FALSE)&gt;=VLOOKUP(VLOOKUP(O$1, '40Trips'!$A$3:$I$42,3,FALSE),'40Trips'!$J$32:$K$35, 2, FALSE)),1,0)</f>
        <v>0</v>
      </c>
      <c r="P24">
        <f>IF(AND(VLOOKUP(P$1,'40Trips'!$A$3:$I$42,8,FALSE)-VLOOKUP($A24,'40Trips'!$A$3:$I$42,9,FALSE)&gt;=VLOOKUP(VLOOKUP(P$1, '40Trips'!$A$3:$I$42,3,FALSE),'40Trips'!$J$32:$K$35, 2, FALSE)),1,0)</f>
        <v>0</v>
      </c>
      <c r="Q24">
        <f>IF(AND(VLOOKUP(Q$1,'40Trips'!$A$3:$I$42,8,FALSE)-VLOOKUP($A24,'40Trips'!$A$3:$I$42,9,FALSE)&gt;=VLOOKUP(VLOOKUP(Q$1, '40Trips'!$A$3:$I$42,3,FALSE),'40Trips'!$J$32:$K$35, 2, FALSE)),1,0)</f>
        <v>0</v>
      </c>
      <c r="R24">
        <f>IF(AND(VLOOKUP(R$1,'40Trips'!$A$3:$I$42,8,FALSE)-VLOOKUP($A24,'40Trips'!$A$3:$I$42,9,FALSE)&gt;=VLOOKUP(VLOOKUP(R$1, '40Trips'!$A$3:$I$42,3,FALSE),'40Trips'!$J$32:$K$35, 2, FALSE)),1,0)</f>
        <v>1</v>
      </c>
      <c r="S24">
        <f>IF(AND(VLOOKUP(S$1,'40Trips'!$A$3:$I$42,8,FALSE)-VLOOKUP($A24,'40Trips'!$A$3:$I$42,9,FALSE)&gt;=VLOOKUP(VLOOKUP(S$1, '40Trips'!$A$3:$I$42,3,FALSE),'40Trips'!$J$32:$K$35, 2, FALSE)),1,0)</f>
        <v>0</v>
      </c>
      <c r="T24">
        <f>IF(AND(VLOOKUP(T$1,'40Trips'!$A$3:$I$42,8,FALSE)-VLOOKUP($A24,'40Trips'!$A$3:$I$42,9,FALSE)&gt;=VLOOKUP(VLOOKUP(T$1, '40Trips'!$A$3:$I$42,3,FALSE),'40Trips'!$J$32:$K$35, 2, FALSE)),1,0)</f>
        <v>0</v>
      </c>
      <c r="U24">
        <f>IF(AND(VLOOKUP(U$1,'40Trips'!$A$3:$I$42,8,FALSE)-VLOOKUP($A24,'40Trips'!$A$3:$I$42,9,FALSE)&gt;=VLOOKUP(VLOOKUP(U$1, '40Trips'!$A$3:$I$42,3,FALSE),'40Trips'!$J$32:$K$35, 2, FALSE)),1,0)</f>
        <v>0</v>
      </c>
      <c r="V24">
        <f>IF(AND(VLOOKUP(V$1,'40Trips'!$A$3:$I$42,8,FALSE)-VLOOKUP($A24,'40Trips'!$A$3:$I$42,9,FALSE)&gt;=VLOOKUP(VLOOKUP(V$1, '40Trips'!$A$3:$I$42,3,FALSE),'40Trips'!$J$32:$K$35, 2, FALSE)),1,0)</f>
        <v>1</v>
      </c>
      <c r="W24">
        <f>IF(AND(VLOOKUP(W$1,'40Trips'!$A$3:$I$42,8,FALSE)-VLOOKUP($A24,'40Trips'!$A$3:$I$42,9,FALSE)&gt;=VLOOKUP(VLOOKUP(W$1, '40Trips'!$A$3:$I$42,3,FALSE),'40Trips'!$J$32:$K$35, 2, FALSE)),1,0)</f>
        <v>0</v>
      </c>
      <c r="X24">
        <f>IF(AND(VLOOKUP(X$1,'40Trips'!$A$3:$I$42,8,FALSE)-VLOOKUP($A24,'40Trips'!$A$3:$I$42,9,FALSE)&gt;=VLOOKUP(VLOOKUP(X$1, '40Trips'!$A$3:$I$42,3,FALSE),'40Trips'!$J$32:$K$35, 2, FALSE)),1,0)</f>
        <v>0</v>
      </c>
      <c r="Y24">
        <f>IF(AND(VLOOKUP(Y$1,'40Trips'!$A$3:$I$42,8,FALSE)-VLOOKUP($A24,'40Trips'!$A$3:$I$42,9,FALSE)&gt;=VLOOKUP(VLOOKUP(Y$1, '40Trips'!$A$3:$I$42,3,FALSE),'40Trips'!$J$32:$K$35, 2, FALSE)),1,0)</f>
        <v>0</v>
      </c>
      <c r="Z24">
        <f>IF(AND(VLOOKUP(Z$1,'40Trips'!$A$3:$I$42,8,FALSE)-VLOOKUP($A24,'40Trips'!$A$3:$I$42,9,FALSE)&gt;=VLOOKUP(VLOOKUP(Z$1, '40Trips'!$A$3:$I$42,3,FALSE),'40Trips'!$J$32:$K$35, 2, FALSE)),1,0)</f>
        <v>1</v>
      </c>
      <c r="AA24">
        <f>IF(AND(VLOOKUP(AA$1,'40Trips'!$A$3:$I$42,8,FALSE)-VLOOKUP($A24,'40Trips'!$A$3:$I$42,9,FALSE)&gt;=VLOOKUP(VLOOKUP(AA$1, '40Trips'!$A$3:$I$42,3,FALSE),'40Trips'!$J$32:$K$35, 2, FALSE)),1,0)</f>
        <v>0</v>
      </c>
      <c r="AB24">
        <f>IF(AND(VLOOKUP(AB$1,'40Trips'!$A$3:$I$42,8,FALSE)-VLOOKUP($A24,'40Trips'!$A$3:$I$42,9,FALSE)&gt;=VLOOKUP(VLOOKUP(AB$1, '40Trips'!$A$3:$I$42,3,FALSE),'40Trips'!$J$32:$K$35, 2, FALSE)),1,0)</f>
        <v>0</v>
      </c>
      <c r="AC24">
        <f>IF(AND(VLOOKUP(AC$1,'40Trips'!$A$3:$I$42,8,FALSE)-VLOOKUP($A24,'40Trips'!$A$3:$I$42,9,FALSE)&gt;=VLOOKUP(VLOOKUP(AC$1, '40Trips'!$A$3:$I$42,3,FALSE),'40Trips'!$J$32:$K$35, 2, FALSE)),1,0)</f>
        <v>1</v>
      </c>
      <c r="AD24">
        <f>IF(AND(VLOOKUP(AD$1,'40Trips'!$A$3:$I$42,8,FALSE)-VLOOKUP($A24,'40Trips'!$A$3:$I$42,9,FALSE)&gt;=VLOOKUP(VLOOKUP(AD$1, '40Trips'!$A$3:$I$42,3,FALSE),'40Trips'!$J$32:$K$35, 2, FALSE)),1,0)</f>
        <v>1</v>
      </c>
      <c r="AE24">
        <f>IF(AND(VLOOKUP(AE$1,'40Trips'!$A$3:$I$42,8,FALSE)-VLOOKUP($A24,'40Trips'!$A$3:$I$42,9,FALSE)&gt;=VLOOKUP(VLOOKUP(AE$1, '40Trips'!$A$3:$I$42,3,FALSE),'40Trips'!$J$32:$K$35, 2, FALSE)),1,0)</f>
        <v>0</v>
      </c>
      <c r="AF24">
        <f>IF(AND(VLOOKUP(AF$1,'40Trips'!$A$3:$I$42,8,FALSE)-VLOOKUP($A24,'40Trips'!$A$3:$I$42,9,FALSE)&gt;=VLOOKUP(VLOOKUP(AF$1, '40Trips'!$A$3:$I$42,3,FALSE),'40Trips'!$J$32:$K$35, 2, FALSE)),1,0)</f>
        <v>0</v>
      </c>
      <c r="AG24">
        <f>IF(AND(VLOOKUP(AG$1,'40Trips'!$A$3:$I$42,8,FALSE)-VLOOKUP($A24,'40Trips'!$A$3:$I$42,9,FALSE)&gt;=VLOOKUP(VLOOKUP(AG$1, '40Trips'!$A$3:$I$42,3,FALSE),'40Trips'!$J$32:$K$35, 2, FALSE)),1,0)</f>
        <v>0</v>
      </c>
      <c r="AH24">
        <f>IF(AND(VLOOKUP(AH$1,'40Trips'!$A$3:$I$42,8,FALSE)-VLOOKUP($A24,'40Trips'!$A$3:$I$42,9,FALSE)&gt;=VLOOKUP(VLOOKUP(AH$1, '40Trips'!$A$3:$I$42,3,FALSE),'40Trips'!$J$32:$K$35, 2, FALSE)),1,0)</f>
        <v>0</v>
      </c>
      <c r="AI24">
        <f>IF(AND(VLOOKUP(AI$1,'40Trips'!$A$3:$I$42,8,FALSE)-VLOOKUP($A24,'40Trips'!$A$3:$I$42,9,FALSE)&gt;=VLOOKUP(VLOOKUP(AI$1, '40Trips'!$A$3:$I$42,3,FALSE),'40Trips'!$J$32:$K$35, 2, FALSE)),1,0)</f>
        <v>0</v>
      </c>
      <c r="AJ24">
        <f>IF(AND(VLOOKUP(AJ$1,'40Trips'!$A$3:$I$42,8,FALSE)-VLOOKUP($A24,'40Trips'!$A$3:$I$42,9,FALSE)&gt;=VLOOKUP(VLOOKUP(AJ$1, '40Trips'!$A$3:$I$42,3,FALSE),'40Trips'!$J$32:$K$35, 2, FALSE)),1,0)</f>
        <v>0</v>
      </c>
      <c r="AK24">
        <f>IF(AND(VLOOKUP(AK$1,'40Trips'!$A$3:$I$42,8,FALSE)-VLOOKUP($A24,'40Trips'!$A$3:$I$42,9,FALSE)&gt;=VLOOKUP(VLOOKUP(AK$1, '40Trips'!$A$3:$I$42,3,FALSE),'40Trips'!$J$32:$K$35, 2, FALSE)),1,0)</f>
        <v>0</v>
      </c>
      <c r="AL24">
        <f>IF(AND(VLOOKUP(AL$1,'40Trips'!$A$3:$I$42,8,FALSE)-VLOOKUP($A24,'40Trips'!$A$3:$I$42,9,FALSE)&gt;=VLOOKUP(VLOOKUP(AL$1, '40Trips'!$A$3:$I$42,3,FALSE),'40Trips'!$J$32:$K$35, 2, FALSE)),1,0)</f>
        <v>1</v>
      </c>
      <c r="AM24">
        <f>IF(AND(VLOOKUP(AM$1,'40Trips'!$A$3:$I$42,8,FALSE)-VLOOKUP($A24,'40Trips'!$A$3:$I$42,9,FALSE)&gt;=VLOOKUP(VLOOKUP(AM$1, '40Trips'!$A$3:$I$42,3,FALSE),'40Trips'!$J$32:$K$35, 2, FALSE)),1,0)</f>
        <v>0</v>
      </c>
      <c r="AN24">
        <f>IF(AND(VLOOKUP(AN$1,'40Trips'!$A$3:$I$42,8,FALSE)-VLOOKUP($A24,'40Trips'!$A$3:$I$42,9,FALSE)&gt;=VLOOKUP(VLOOKUP(AN$1, '40Trips'!$A$3:$I$42,3,FALSE),'40Trips'!$J$32:$K$35, 2, FALSE)),1,0)</f>
        <v>0</v>
      </c>
      <c r="AO24">
        <f>IF(AND(VLOOKUP(AO$1,'40Trips'!$A$3:$I$42,8,FALSE)-VLOOKUP($A24,'40Trips'!$A$3:$I$42,9,FALSE)&gt;=VLOOKUP(VLOOKUP(AO$1, '40Trips'!$A$3:$I$42,3,FALSE),'40Trips'!$J$32:$K$35, 2, FALSE)),1,0)</f>
        <v>0</v>
      </c>
      <c r="AP24">
        <f>IF(AND(VLOOKUP(AP$1,'40Trips'!$A$3:$I$42,8,FALSE)-VLOOKUP($A24,'40Trips'!$A$3:$I$42,9,FALSE)&gt;=VLOOKUP(VLOOKUP(AP$1, '40Trips'!$A$3:$I$42,3,FALSE),'40Trips'!$J$32:$K$35, 2, FALSE)),1,0)</f>
        <v>1</v>
      </c>
    </row>
    <row r="25" spans="1:42" x14ac:dyDescent="0.25">
      <c r="A25" t="s">
        <v>36</v>
      </c>
      <c r="B25" s="3">
        <v>1</v>
      </c>
      <c r="C25">
        <f>IF(AND(VLOOKUP(C$1,'40Trips'!$A$3:$I$42,8,FALSE)-VLOOKUP($A25,'40Trips'!$A$3:$I$42,9,FALSE)&gt;=VLOOKUP(VLOOKUP(C$1, '40Trips'!$A$3:$I$42,3,FALSE),'40Trips'!$J$32:$K$35, 2, FALSE)),1,0)</f>
        <v>0</v>
      </c>
      <c r="D25">
        <f>IF(AND(VLOOKUP(D$1,'40Trips'!$A$3:$I$42,8,FALSE)-VLOOKUP($A25,'40Trips'!$A$3:$I$42,9,FALSE)&gt;=VLOOKUP(VLOOKUP(D$1, '40Trips'!$A$3:$I$42,3,FALSE),'40Trips'!$J$32:$K$35, 2, FALSE)),1,0)</f>
        <v>0</v>
      </c>
      <c r="E25">
        <f>IF(AND(VLOOKUP(E$1,'40Trips'!$A$3:$I$42,8,FALSE)-VLOOKUP($A25,'40Trips'!$A$3:$I$42,9,FALSE)&gt;=VLOOKUP(VLOOKUP(E$1, '40Trips'!$A$3:$I$42,3,FALSE),'40Trips'!$J$32:$K$35, 2, FALSE)),1,0)</f>
        <v>0</v>
      </c>
      <c r="F25">
        <f>IF(AND(VLOOKUP(F$1,'40Trips'!$A$3:$I$42,8,FALSE)-VLOOKUP($A25,'40Trips'!$A$3:$I$42,9,FALSE)&gt;=VLOOKUP(VLOOKUP(F$1, '40Trips'!$A$3:$I$42,3,FALSE),'40Trips'!$J$32:$K$35, 2, FALSE)),1,0)</f>
        <v>0</v>
      </c>
      <c r="G25">
        <f>IF(AND(VLOOKUP(G$1,'40Trips'!$A$3:$I$42,8,FALSE)-VLOOKUP($A25,'40Trips'!$A$3:$I$42,9,FALSE)&gt;=VLOOKUP(VLOOKUP(G$1, '40Trips'!$A$3:$I$42,3,FALSE),'40Trips'!$J$32:$K$35, 2, FALSE)),1,0)</f>
        <v>0</v>
      </c>
      <c r="H25">
        <f>IF(AND(VLOOKUP(H$1,'40Trips'!$A$3:$I$42,8,FALSE)-VLOOKUP($A25,'40Trips'!$A$3:$I$42,9,FALSE)&gt;=VLOOKUP(VLOOKUP(H$1, '40Trips'!$A$3:$I$42,3,FALSE),'40Trips'!$J$32:$K$35, 2, FALSE)),1,0)</f>
        <v>0</v>
      </c>
      <c r="I25">
        <f>IF(AND(VLOOKUP(I$1,'40Trips'!$A$3:$I$42,8,FALSE)-VLOOKUP($A25,'40Trips'!$A$3:$I$42,9,FALSE)&gt;=VLOOKUP(VLOOKUP(I$1, '40Trips'!$A$3:$I$42,3,FALSE),'40Trips'!$J$32:$K$35, 2, FALSE)),1,0)</f>
        <v>0</v>
      </c>
      <c r="J25">
        <f>IF(AND(VLOOKUP(J$1,'40Trips'!$A$3:$I$42,8,FALSE)-VLOOKUP($A25,'40Trips'!$A$3:$I$42,9,FALSE)&gt;=VLOOKUP(VLOOKUP(J$1, '40Trips'!$A$3:$I$42,3,FALSE),'40Trips'!$J$32:$K$35, 2, FALSE)),1,0)</f>
        <v>1</v>
      </c>
      <c r="K25">
        <f>IF(AND(VLOOKUP(K$1,'40Trips'!$A$3:$I$42,8,FALSE)-VLOOKUP($A25,'40Trips'!$A$3:$I$42,9,FALSE)&gt;=VLOOKUP(VLOOKUP(K$1, '40Trips'!$A$3:$I$42,3,FALSE),'40Trips'!$J$32:$K$35, 2, FALSE)),1,0)</f>
        <v>0</v>
      </c>
      <c r="L25">
        <f>IF(AND(VLOOKUP(L$1,'40Trips'!$A$3:$I$42,8,FALSE)-VLOOKUP($A25,'40Trips'!$A$3:$I$42,9,FALSE)&gt;=VLOOKUP(VLOOKUP(L$1, '40Trips'!$A$3:$I$42,3,FALSE),'40Trips'!$J$32:$K$35, 2, FALSE)),1,0)</f>
        <v>0</v>
      </c>
      <c r="M25">
        <f>IF(AND(VLOOKUP(M$1,'40Trips'!$A$3:$I$42,8,FALSE)-VLOOKUP($A25,'40Trips'!$A$3:$I$42,9,FALSE)&gt;=VLOOKUP(VLOOKUP(M$1, '40Trips'!$A$3:$I$42,3,FALSE),'40Trips'!$J$32:$K$35, 2, FALSE)),1,0)</f>
        <v>0</v>
      </c>
      <c r="N25">
        <f>IF(AND(VLOOKUP(N$1,'40Trips'!$A$3:$I$42,8,FALSE)-VLOOKUP($A25,'40Trips'!$A$3:$I$42,9,FALSE)&gt;=VLOOKUP(VLOOKUP(N$1, '40Trips'!$A$3:$I$42,3,FALSE),'40Trips'!$J$32:$K$35, 2, FALSE)),1,0)</f>
        <v>0</v>
      </c>
      <c r="O25">
        <f>IF(AND(VLOOKUP(O$1,'40Trips'!$A$3:$I$42,8,FALSE)-VLOOKUP($A25,'40Trips'!$A$3:$I$42,9,FALSE)&gt;=VLOOKUP(VLOOKUP(O$1, '40Trips'!$A$3:$I$42,3,FALSE),'40Trips'!$J$32:$K$35, 2, FALSE)),1,0)</f>
        <v>0</v>
      </c>
      <c r="P25">
        <f>IF(AND(VLOOKUP(P$1,'40Trips'!$A$3:$I$42,8,FALSE)-VLOOKUP($A25,'40Trips'!$A$3:$I$42,9,FALSE)&gt;=VLOOKUP(VLOOKUP(P$1, '40Trips'!$A$3:$I$42,3,FALSE),'40Trips'!$J$32:$K$35, 2, FALSE)),1,0)</f>
        <v>0</v>
      </c>
      <c r="Q25">
        <f>IF(AND(VLOOKUP(Q$1,'40Trips'!$A$3:$I$42,8,FALSE)-VLOOKUP($A25,'40Trips'!$A$3:$I$42,9,FALSE)&gt;=VLOOKUP(VLOOKUP(Q$1, '40Trips'!$A$3:$I$42,3,FALSE),'40Trips'!$J$32:$K$35, 2, FALSE)),1,0)</f>
        <v>0</v>
      </c>
      <c r="R25">
        <f>IF(AND(VLOOKUP(R$1,'40Trips'!$A$3:$I$42,8,FALSE)-VLOOKUP($A25,'40Trips'!$A$3:$I$42,9,FALSE)&gt;=VLOOKUP(VLOOKUP(R$1, '40Trips'!$A$3:$I$42,3,FALSE),'40Trips'!$J$32:$K$35, 2, FALSE)),1,0)</f>
        <v>0</v>
      </c>
      <c r="S25">
        <f>IF(AND(VLOOKUP(S$1,'40Trips'!$A$3:$I$42,8,FALSE)-VLOOKUP($A25,'40Trips'!$A$3:$I$42,9,FALSE)&gt;=VLOOKUP(VLOOKUP(S$1, '40Trips'!$A$3:$I$42,3,FALSE),'40Trips'!$J$32:$K$35, 2, FALSE)),1,0)</f>
        <v>0</v>
      </c>
      <c r="T25">
        <f>IF(AND(VLOOKUP(T$1,'40Trips'!$A$3:$I$42,8,FALSE)-VLOOKUP($A25,'40Trips'!$A$3:$I$42,9,FALSE)&gt;=VLOOKUP(VLOOKUP(T$1, '40Trips'!$A$3:$I$42,3,FALSE),'40Trips'!$J$32:$K$35, 2, FALSE)),1,0)</f>
        <v>0</v>
      </c>
      <c r="U25">
        <f>IF(AND(VLOOKUP(U$1,'40Trips'!$A$3:$I$42,8,FALSE)-VLOOKUP($A25,'40Trips'!$A$3:$I$42,9,FALSE)&gt;=VLOOKUP(VLOOKUP(U$1, '40Trips'!$A$3:$I$42,3,FALSE),'40Trips'!$J$32:$K$35, 2, FALSE)),1,0)</f>
        <v>0</v>
      </c>
      <c r="V25">
        <f>IF(AND(VLOOKUP(V$1,'40Trips'!$A$3:$I$42,8,FALSE)-VLOOKUP($A25,'40Trips'!$A$3:$I$42,9,FALSE)&gt;=VLOOKUP(VLOOKUP(V$1, '40Trips'!$A$3:$I$42,3,FALSE),'40Trips'!$J$32:$K$35, 2, FALSE)),1,0)</f>
        <v>0</v>
      </c>
      <c r="W25">
        <f>IF(AND(VLOOKUP(W$1,'40Trips'!$A$3:$I$42,8,FALSE)-VLOOKUP($A25,'40Trips'!$A$3:$I$42,9,FALSE)&gt;=VLOOKUP(VLOOKUP(W$1, '40Trips'!$A$3:$I$42,3,FALSE),'40Trips'!$J$32:$K$35, 2, FALSE)),1,0)</f>
        <v>0</v>
      </c>
      <c r="X25">
        <f>IF(AND(VLOOKUP(X$1,'40Trips'!$A$3:$I$42,8,FALSE)-VLOOKUP($A25,'40Trips'!$A$3:$I$42,9,FALSE)&gt;=VLOOKUP(VLOOKUP(X$1, '40Trips'!$A$3:$I$42,3,FALSE),'40Trips'!$J$32:$K$35, 2, FALSE)),1,0)</f>
        <v>0</v>
      </c>
      <c r="Y25">
        <f>IF(AND(VLOOKUP(Y$1,'40Trips'!$A$3:$I$42,8,FALSE)-VLOOKUP($A25,'40Trips'!$A$3:$I$42,9,FALSE)&gt;=VLOOKUP(VLOOKUP(Y$1, '40Trips'!$A$3:$I$42,3,FALSE),'40Trips'!$J$32:$K$35, 2, FALSE)),1,0)</f>
        <v>0</v>
      </c>
      <c r="Z25">
        <f>IF(AND(VLOOKUP(Z$1,'40Trips'!$A$3:$I$42,8,FALSE)-VLOOKUP($A25,'40Trips'!$A$3:$I$42,9,FALSE)&gt;=VLOOKUP(VLOOKUP(Z$1, '40Trips'!$A$3:$I$42,3,FALSE),'40Trips'!$J$32:$K$35, 2, FALSE)),1,0)</f>
        <v>0</v>
      </c>
      <c r="AA25">
        <f>IF(AND(VLOOKUP(AA$1,'40Trips'!$A$3:$I$42,8,FALSE)-VLOOKUP($A25,'40Trips'!$A$3:$I$42,9,FALSE)&gt;=VLOOKUP(VLOOKUP(AA$1, '40Trips'!$A$3:$I$42,3,FALSE),'40Trips'!$J$32:$K$35, 2, FALSE)),1,0)</f>
        <v>0</v>
      </c>
      <c r="AB25">
        <f>IF(AND(VLOOKUP(AB$1,'40Trips'!$A$3:$I$42,8,FALSE)-VLOOKUP($A25,'40Trips'!$A$3:$I$42,9,FALSE)&gt;=VLOOKUP(VLOOKUP(AB$1, '40Trips'!$A$3:$I$42,3,FALSE),'40Trips'!$J$32:$K$35, 2, FALSE)),1,0)</f>
        <v>0</v>
      </c>
      <c r="AC25">
        <f>IF(AND(VLOOKUP(AC$1,'40Trips'!$A$3:$I$42,8,FALSE)-VLOOKUP($A25,'40Trips'!$A$3:$I$42,9,FALSE)&gt;=VLOOKUP(VLOOKUP(AC$1, '40Trips'!$A$3:$I$42,3,FALSE),'40Trips'!$J$32:$K$35, 2, FALSE)),1,0)</f>
        <v>0</v>
      </c>
      <c r="AD25">
        <f>IF(AND(VLOOKUP(AD$1,'40Trips'!$A$3:$I$42,8,FALSE)-VLOOKUP($A25,'40Trips'!$A$3:$I$42,9,FALSE)&gt;=VLOOKUP(VLOOKUP(AD$1, '40Trips'!$A$3:$I$42,3,FALSE),'40Trips'!$J$32:$K$35, 2, FALSE)),1,0)</f>
        <v>0</v>
      </c>
      <c r="AE25">
        <f>IF(AND(VLOOKUP(AE$1,'40Trips'!$A$3:$I$42,8,FALSE)-VLOOKUP($A25,'40Trips'!$A$3:$I$42,9,FALSE)&gt;=VLOOKUP(VLOOKUP(AE$1, '40Trips'!$A$3:$I$42,3,FALSE),'40Trips'!$J$32:$K$35, 2, FALSE)),1,0)</f>
        <v>0</v>
      </c>
      <c r="AF25">
        <f>IF(AND(VLOOKUP(AF$1,'40Trips'!$A$3:$I$42,8,FALSE)-VLOOKUP($A25,'40Trips'!$A$3:$I$42,9,FALSE)&gt;=VLOOKUP(VLOOKUP(AF$1, '40Trips'!$A$3:$I$42,3,FALSE),'40Trips'!$J$32:$K$35, 2, FALSE)),1,0)</f>
        <v>0</v>
      </c>
      <c r="AG25">
        <f>IF(AND(VLOOKUP(AG$1,'40Trips'!$A$3:$I$42,8,FALSE)-VLOOKUP($A25,'40Trips'!$A$3:$I$42,9,FALSE)&gt;=VLOOKUP(VLOOKUP(AG$1, '40Trips'!$A$3:$I$42,3,FALSE),'40Trips'!$J$32:$K$35, 2, FALSE)),1,0)</f>
        <v>0</v>
      </c>
      <c r="AH25">
        <f>IF(AND(VLOOKUP(AH$1,'40Trips'!$A$3:$I$42,8,FALSE)-VLOOKUP($A25,'40Trips'!$A$3:$I$42,9,FALSE)&gt;=VLOOKUP(VLOOKUP(AH$1, '40Trips'!$A$3:$I$42,3,FALSE),'40Trips'!$J$32:$K$35, 2, FALSE)),1,0)</f>
        <v>0</v>
      </c>
      <c r="AI25">
        <f>IF(AND(VLOOKUP(AI$1,'40Trips'!$A$3:$I$42,8,FALSE)-VLOOKUP($A25,'40Trips'!$A$3:$I$42,9,FALSE)&gt;=VLOOKUP(VLOOKUP(AI$1, '40Trips'!$A$3:$I$42,3,FALSE),'40Trips'!$J$32:$K$35, 2, FALSE)),1,0)</f>
        <v>0</v>
      </c>
      <c r="AJ25">
        <f>IF(AND(VLOOKUP(AJ$1,'40Trips'!$A$3:$I$42,8,FALSE)-VLOOKUP($A25,'40Trips'!$A$3:$I$42,9,FALSE)&gt;=VLOOKUP(VLOOKUP(AJ$1, '40Trips'!$A$3:$I$42,3,FALSE),'40Trips'!$J$32:$K$35, 2, FALSE)),1,0)</f>
        <v>0</v>
      </c>
      <c r="AK25">
        <f>IF(AND(VLOOKUP(AK$1,'40Trips'!$A$3:$I$42,8,FALSE)-VLOOKUP($A25,'40Trips'!$A$3:$I$42,9,FALSE)&gt;=VLOOKUP(VLOOKUP(AK$1, '40Trips'!$A$3:$I$42,3,FALSE),'40Trips'!$J$32:$K$35, 2, FALSE)),1,0)</f>
        <v>0</v>
      </c>
      <c r="AL25">
        <f>IF(AND(VLOOKUP(AL$1,'40Trips'!$A$3:$I$42,8,FALSE)-VLOOKUP($A25,'40Trips'!$A$3:$I$42,9,FALSE)&gt;=VLOOKUP(VLOOKUP(AL$1, '40Trips'!$A$3:$I$42,3,FALSE),'40Trips'!$J$32:$K$35, 2, FALSE)),1,0)</f>
        <v>0</v>
      </c>
      <c r="AM25">
        <f>IF(AND(VLOOKUP(AM$1,'40Trips'!$A$3:$I$42,8,FALSE)-VLOOKUP($A25,'40Trips'!$A$3:$I$42,9,FALSE)&gt;=VLOOKUP(VLOOKUP(AM$1, '40Trips'!$A$3:$I$42,3,FALSE),'40Trips'!$J$32:$K$35, 2, FALSE)),1,0)</f>
        <v>0</v>
      </c>
      <c r="AN25">
        <f>IF(AND(VLOOKUP(AN$1,'40Trips'!$A$3:$I$42,8,FALSE)-VLOOKUP($A25,'40Trips'!$A$3:$I$42,9,FALSE)&gt;=VLOOKUP(VLOOKUP(AN$1, '40Trips'!$A$3:$I$42,3,FALSE),'40Trips'!$J$32:$K$35, 2, FALSE)),1,0)</f>
        <v>0</v>
      </c>
      <c r="AO25">
        <f>IF(AND(VLOOKUP(AO$1,'40Trips'!$A$3:$I$42,8,FALSE)-VLOOKUP($A25,'40Trips'!$A$3:$I$42,9,FALSE)&gt;=VLOOKUP(VLOOKUP(AO$1, '40Trips'!$A$3:$I$42,3,FALSE),'40Trips'!$J$32:$K$35, 2, FALSE)),1,0)</f>
        <v>0</v>
      </c>
      <c r="AP25">
        <f>IF(AND(VLOOKUP(AP$1,'40Trips'!$A$3:$I$42,8,FALSE)-VLOOKUP($A25,'40Trips'!$A$3:$I$42,9,FALSE)&gt;=VLOOKUP(VLOOKUP(AP$1, '40Trips'!$A$3:$I$42,3,FALSE),'40Trips'!$J$32:$K$35, 2, FALSE)),1,0)</f>
        <v>0</v>
      </c>
    </row>
    <row r="26" spans="1:42" x14ac:dyDescent="0.25">
      <c r="A26" t="s">
        <v>37</v>
      </c>
      <c r="B26" s="3">
        <v>1</v>
      </c>
      <c r="C26">
        <f>IF(AND(VLOOKUP(C$1,'40Trips'!$A$3:$I$42,8,FALSE)-VLOOKUP($A26,'40Trips'!$A$3:$I$42,9,FALSE)&gt;=VLOOKUP(VLOOKUP(C$1, '40Trips'!$A$3:$I$42,3,FALSE),'40Trips'!$J$32:$K$35, 2, FALSE)),1,0)</f>
        <v>0</v>
      </c>
      <c r="D26">
        <f>IF(AND(VLOOKUP(D$1,'40Trips'!$A$3:$I$42,8,FALSE)-VLOOKUP($A26,'40Trips'!$A$3:$I$42,9,FALSE)&gt;=VLOOKUP(VLOOKUP(D$1, '40Trips'!$A$3:$I$42,3,FALSE),'40Trips'!$J$32:$K$35, 2, FALSE)),1,0)</f>
        <v>0</v>
      </c>
      <c r="E26">
        <f>IF(AND(VLOOKUP(E$1,'40Trips'!$A$3:$I$42,8,FALSE)-VLOOKUP($A26,'40Trips'!$A$3:$I$42,9,FALSE)&gt;=VLOOKUP(VLOOKUP(E$1, '40Trips'!$A$3:$I$42,3,FALSE),'40Trips'!$J$32:$K$35, 2, FALSE)),1,0)</f>
        <v>0</v>
      </c>
      <c r="F26">
        <f>IF(AND(VLOOKUP(F$1,'40Trips'!$A$3:$I$42,8,FALSE)-VLOOKUP($A26,'40Trips'!$A$3:$I$42,9,FALSE)&gt;=VLOOKUP(VLOOKUP(F$1, '40Trips'!$A$3:$I$42,3,FALSE),'40Trips'!$J$32:$K$35, 2, FALSE)),1,0)</f>
        <v>0</v>
      </c>
      <c r="G26">
        <f>IF(AND(VLOOKUP(G$1,'40Trips'!$A$3:$I$42,8,FALSE)-VLOOKUP($A26,'40Trips'!$A$3:$I$42,9,FALSE)&gt;=VLOOKUP(VLOOKUP(G$1, '40Trips'!$A$3:$I$42,3,FALSE),'40Trips'!$J$32:$K$35, 2, FALSE)),1,0)</f>
        <v>0</v>
      </c>
      <c r="H26">
        <f>IF(AND(VLOOKUP(H$1,'40Trips'!$A$3:$I$42,8,FALSE)-VLOOKUP($A26,'40Trips'!$A$3:$I$42,9,FALSE)&gt;=VLOOKUP(VLOOKUP(H$1, '40Trips'!$A$3:$I$42,3,FALSE),'40Trips'!$J$32:$K$35, 2, FALSE)),1,0)</f>
        <v>0</v>
      </c>
      <c r="I26">
        <f>IF(AND(VLOOKUP(I$1,'40Trips'!$A$3:$I$42,8,FALSE)-VLOOKUP($A26,'40Trips'!$A$3:$I$42,9,FALSE)&gt;=VLOOKUP(VLOOKUP(I$1, '40Trips'!$A$3:$I$42,3,FALSE),'40Trips'!$J$32:$K$35, 2, FALSE)),1,0)</f>
        <v>0</v>
      </c>
      <c r="J26">
        <f>IF(AND(VLOOKUP(J$1,'40Trips'!$A$3:$I$42,8,FALSE)-VLOOKUP($A26,'40Trips'!$A$3:$I$42,9,FALSE)&gt;=VLOOKUP(VLOOKUP(J$1, '40Trips'!$A$3:$I$42,3,FALSE),'40Trips'!$J$32:$K$35, 2, FALSE)),1,0)</f>
        <v>1</v>
      </c>
      <c r="K26">
        <f>IF(AND(VLOOKUP(K$1,'40Trips'!$A$3:$I$42,8,FALSE)-VLOOKUP($A26,'40Trips'!$A$3:$I$42,9,FALSE)&gt;=VLOOKUP(VLOOKUP(K$1, '40Trips'!$A$3:$I$42,3,FALSE),'40Trips'!$J$32:$K$35, 2, FALSE)),1,0)</f>
        <v>0</v>
      </c>
      <c r="L26">
        <f>IF(AND(VLOOKUP(L$1,'40Trips'!$A$3:$I$42,8,FALSE)-VLOOKUP($A26,'40Trips'!$A$3:$I$42,9,FALSE)&gt;=VLOOKUP(VLOOKUP(L$1, '40Trips'!$A$3:$I$42,3,FALSE),'40Trips'!$J$32:$K$35, 2, FALSE)),1,0)</f>
        <v>0</v>
      </c>
      <c r="M26">
        <f>IF(AND(VLOOKUP(M$1,'40Trips'!$A$3:$I$42,8,FALSE)-VLOOKUP($A26,'40Trips'!$A$3:$I$42,9,FALSE)&gt;=VLOOKUP(VLOOKUP(M$1, '40Trips'!$A$3:$I$42,3,FALSE),'40Trips'!$J$32:$K$35, 2, FALSE)),1,0)</f>
        <v>0</v>
      </c>
      <c r="N26">
        <f>IF(AND(VLOOKUP(N$1,'40Trips'!$A$3:$I$42,8,FALSE)-VLOOKUP($A26,'40Trips'!$A$3:$I$42,9,FALSE)&gt;=VLOOKUP(VLOOKUP(N$1, '40Trips'!$A$3:$I$42,3,FALSE),'40Trips'!$J$32:$K$35, 2, FALSE)),1,0)</f>
        <v>0</v>
      </c>
      <c r="O26">
        <f>IF(AND(VLOOKUP(O$1,'40Trips'!$A$3:$I$42,8,FALSE)-VLOOKUP($A26,'40Trips'!$A$3:$I$42,9,FALSE)&gt;=VLOOKUP(VLOOKUP(O$1, '40Trips'!$A$3:$I$42,3,FALSE),'40Trips'!$J$32:$K$35, 2, FALSE)),1,0)</f>
        <v>0</v>
      </c>
      <c r="P26">
        <f>IF(AND(VLOOKUP(P$1,'40Trips'!$A$3:$I$42,8,FALSE)-VLOOKUP($A26,'40Trips'!$A$3:$I$42,9,FALSE)&gt;=VLOOKUP(VLOOKUP(P$1, '40Trips'!$A$3:$I$42,3,FALSE),'40Trips'!$J$32:$K$35, 2, FALSE)),1,0)</f>
        <v>0</v>
      </c>
      <c r="Q26">
        <f>IF(AND(VLOOKUP(Q$1,'40Trips'!$A$3:$I$42,8,FALSE)-VLOOKUP($A26,'40Trips'!$A$3:$I$42,9,FALSE)&gt;=VLOOKUP(VLOOKUP(Q$1, '40Trips'!$A$3:$I$42,3,FALSE),'40Trips'!$J$32:$K$35, 2, FALSE)),1,0)</f>
        <v>0</v>
      </c>
      <c r="R26">
        <f>IF(AND(VLOOKUP(R$1,'40Trips'!$A$3:$I$42,8,FALSE)-VLOOKUP($A26,'40Trips'!$A$3:$I$42,9,FALSE)&gt;=VLOOKUP(VLOOKUP(R$1, '40Trips'!$A$3:$I$42,3,FALSE),'40Trips'!$J$32:$K$35, 2, FALSE)),1,0)</f>
        <v>0</v>
      </c>
      <c r="S26">
        <f>IF(AND(VLOOKUP(S$1,'40Trips'!$A$3:$I$42,8,FALSE)-VLOOKUP($A26,'40Trips'!$A$3:$I$42,9,FALSE)&gt;=VLOOKUP(VLOOKUP(S$1, '40Trips'!$A$3:$I$42,3,FALSE),'40Trips'!$J$32:$K$35, 2, FALSE)),1,0)</f>
        <v>0</v>
      </c>
      <c r="T26">
        <f>IF(AND(VLOOKUP(T$1,'40Trips'!$A$3:$I$42,8,FALSE)-VLOOKUP($A26,'40Trips'!$A$3:$I$42,9,FALSE)&gt;=VLOOKUP(VLOOKUP(T$1, '40Trips'!$A$3:$I$42,3,FALSE),'40Trips'!$J$32:$K$35, 2, FALSE)),1,0)</f>
        <v>0</v>
      </c>
      <c r="U26">
        <f>IF(AND(VLOOKUP(U$1,'40Trips'!$A$3:$I$42,8,FALSE)-VLOOKUP($A26,'40Trips'!$A$3:$I$42,9,FALSE)&gt;=VLOOKUP(VLOOKUP(U$1, '40Trips'!$A$3:$I$42,3,FALSE),'40Trips'!$J$32:$K$35, 2, FALSE)),1,0)</f>
        <v>0</v>
      </c>
      <c r="V26">
        <f>IF(AND(VLOOKUP(V$1,'40Trips'!$A$3:$I$42,8,FALSE)-VLOOKUP($A26,'40Trips'!$A$3:$I$42,9,FALSE)&gt;=VLOOKUP(VLOOKUP(V$1, '40Trips'!$A$3:$I$42,3,FALSE),'40Trips'!$J$32:$K$35, 2, FALSE)),1,0)</f>
        <v>0</v>
      </c>
      <c r="W26">
        <f>IF(AND(VLOOKUP(W$1,'40Trips'!$A$3:$I$42,8,FALSE)-VLOOKUP($A26,'40Trips'!$A$3:$I$42,9,FALSE)&gt;=VLOOKUP(VLOOKUP(W$1, '40Trips'!$A$3:$I$42,3,FALSE),'40Trips'!$J$32:$K$35, 2, FALSE)),1,0)</f>
        <v>0</v>
      </c>
      <c r="X26">
        <f>IF(AND(VLOOKUP(X$1,'40Trips'!$A$3:$I$42,8,FALSE)-VLOOKUP($A26,'40Trips'!$A$3:$I$42,9,FALSE)&gt;=VLOOKUP(VLOOKUP(X$1, '40Trips'!$A$3:$I$42,3,FALSE),'40Trips'!$J$32:$K$35, 2, FALSE)),1,0)</f>
        <v>0</v>
      </c>
      <c r="Y26">
        <f>IF(AND(VLOOKUP(Y$1,'40Trips'!$A$3:$I$42,8,FALSE)-VLOOKUP($A26,'40Trips'!$A$3:$I$42,9,FALSE)&gt;=VLOOKUP(VLOOKUP(Y$1, '40Trips'!$A$3:$I$42,3,FALSE),'40Trips'!$J$32:$K$35, 2, FALSE)),1,0)</f>
        <v>0</v>
      </c>
      <c r="Z26">
        <f>IF(AND(VLOOKUP(Z$1,'40Trips'!$A$3:$I$42,8,FALSE)-VLOOKUP($A26,'40Trips'!$A$3:$I$42,9,FALSE)&gt;=VLOOKUP(VLOOKUP(Z$1, '40Trips'!$A$3:$I$42,3,FALSE),'40Trips'!$J$32:$K$35, 2, FALSE)),1,0)</f>
        <v>0</v>
      </c>
      <c r="AA26">
        <f>IF(AND(VLOOKUP(AA$1,'40Trips'!$A$3:$I$42,8,FALSE)-VLOOKUP($A26,'40Trips'!$A$3:$I$42,9,FALSE)&gt;=VLOOKUP(VLOOKUP(AA$1, '40Trips'!$A$3:$I$42,3,FALSE),'40Trips'!$J$32:$K$35, 2, FALSE)),1,0)</f>
        <v>0</v>
      </c>
      <c r="AB26">
        <f>IF(AND(VLOOKUP(AB$1,'40Trips'!$A$3:$I$42,8,FALSE)-VLOOKUP($A26,'40Trips'!$A$3:$I$42,9,FALSE)&gt;=VLOOKUP(VLOOKUP(AB$1, '40Trips'!$A$3:$I$42,3,FALSE),'40Trips'!$J$32:$K$35, 2, FALSE)),1,0)</f>
        <v>0</v>
      </c>
      <c r="AC26">
        <f>IF(AND(VLOOKUP(AC$1,'40Trips'!$A$3:$I$42,8,FALSE)-VLOOKUP($A26,'40Trips'!$A$3:$I$42,9,FALSE)&gt;=VLOOKUP(VLOOKUP(AC$1, '40Trips'!$A$3:$I$42,3,FALSE),'40Trips'!$J$32:$K$35, 2, FALSE)),1,0)</f>
        <v>0</v>
      </c>
      <c r="AD26">
        <f>IF(AND(VLOOKUP(AD$1,'40Trips'!$A$3:$I$42,8,FALSE)-VLOOKUP($A26,'40Trips'!$A$3:$I$42,9,FALSE)&gt;=VLOOKUP(VLOOKUP(AD$1, '40Trips'!$A$3:$I$42,3,FALSE),'40Trips'!$J$32:$K$35, 2, FALSE)),1,0)</f>
        <v>0</v>
      </c>
      <c r="AE26">
        <f>IF(AND(VLOOKUP(AE$1,'40Trips'!$A$3:$I$42,8,FALSE)-VLOOKUP($A26,'40Trips'!$A$3:$I$42,9,FALSE)&gt;=VLOOKUP(VLOOKUP(AE$1, '40Trips'!$A$3:$I$42,3,FALSE),'40Trips'!$J$32:$K$35, 2, FALSE)),1,0)</f>
        <v>0</v>
      </c>
      <c r="AF26">
        <f>IF(AND(VLOOKUP(AF$1,'40Trips'!$A$3:$I$42,8,FALSE)-VLOOKUP($A26,'40Trips'!$A$3:$I$42,9,FALSE)&gt;=VLOOKUP(VLOOKUP(AF$1, '40Trips'!$A$3:$I$42,3,FALSE),'40Trips'!$J$32:$K$35, 2, FALSE)),1,0)</f>
        <v>0</v>
      </c>
      <c r="AG26">
        <f>IF(AND(VLOOKUP(AG$1,'40Trips'!$A$3:$I$42,8,FALSE)-VLOOKUP($A26,'40Trips'!$A$3:$I$42,9,FALSE)&gt;=VLOOKUP(VLOOKUP(AG$1, '40Trips'!$A$3:$I$42,3,FALSE),'40Trips'!$J$32:$K$35, 2, FALSE)),1,0)</f>
        <v>0</v>
      </c>
      <c r="AH26">
        <f>IF(AND(VLOOKUP(AH$1,'40Trips'!$A$3:$I$42,8,FALSE)-VLOOKUP($A26,'40Trips'!$A$3:$I$42,9,FALSE)&gt;=VLOOKUP(VLOOKUP(AH$1, '40Trips'!$A$3:$I$42,3,FALSE),'40Trips'!$J$32:$K$35, 2, FALSE)),1,0)</f>
        <v>0</v>
      </c>
      <c r="AI26">
        <f>IF(AND(VLOOKUP(AI$1,'40Trips'!$A$3:$I$42,8,FALSE)-VLOOKUP($A26,'40Trips'!$A$3:$I$42,9,FALSE)&gt;=VLOOKUP(VLOOKUP(AI$1, '40Trips'!$A$3:$I$42,3,FALSE),'40Trips'!$J$32:$K$35, 2, FALSE)),1,0)</f>
        <v>0</v>
      </c>
      <c r="AJ26">
        <f>IF(AND(VLOOKUP(AJ$1,'40Trips'!$A$3:$I$42,8,FALSE)-VLOOKUP($A26,'40Trips'!$A$3:$I$42,9,FALSE)&gt;=VLOOKUP(VLOOKUP(AJ$1, '40Trips'!$A$3:$I$42,3,FALSE),'40Trips'!$J$32:$K$35, 2, FALSE)),1,0)</f>
        <v>0</v>
      </c>
      <c r="AK26">
        <f>IF(AND(VLOOKUP(AK$1,'40Trips'!$A$3:$I$42,8,FALSE)-VLOOKUP($A26,'40Trips'!$A$3:$I$42,9,FALSE)&gt;=VLOOKUP(VLOOKUP(AK$1, '40Trips'!$A$3:$I$42,3,FALSE),'40Trips'!$J$32:$K$35, 2, FALSE)),1,0)</f>
        <v>0</v>
      </c>
      <c r="AL26">
        <f>IF(AND(VLOOKUP(AL$1,'40Trips'!$A$3:$I$42,8,FALSE)-VLOOKUP($A26,'40Trips'!$A$3:$I$42,9,FALSE)&gt;=VLOOKUP(VLOOKUP(AL$1, '40Trips'!$A$3:$I$42,3,FALSE),'40Trips'!$J$32:$K$35, 2, FALSE)),1,0)</f>
        <v>0</v>
      </c>
      <c r="AM26">
        <f>IF(AND(VLOOKUP(AM$1,'40Trips'!$A$3:$I$42,8,FALSE)-VLOOKUP($A26,'40Trips'!$A$3:$I$42,9,FALSE)&gt;=VLOOKUP(VLOOKUP(AM$1, '40Trips'!$A$3:$I$42,3,FALSE),'40Trips'!$J$32:$K$35, 2, FALSE)),1,0)</f>
        <v>0</v>
      </c>
      <c r="AN26">
        <f>IF(AND(VLOOKUP(AN$1,'40Trips'!$A$3:$I$42,8,FALSE)-VLOOKUP($A26,'40Trips'!$A$3:$I$42,9,FALSE)&gt;=VLOOKUP(VLOOKUP(AN$1, '40Trips'!$A$3:$I$42,3,FALSE),'40Trips'!$J$32:$K$35, 2, FALSE)),1,0)</f>
        <v>0</v>
      </c>
      <c r="AO26">
        <f>IF(AND(VLOOKUP(AO$1,'40Trips'!$A$3:$I$42,8,FALSE)-VLOOKUP($A26,'40Trips'!$A$3:$I$42,9,FALSE)&gt;=VLOOKUP(VLOOKUP(AO$1, '40Trips'!$A$3:$I$42,3,FALSE),'40Trips'!$J$32:$K$35, 2, FALSE)),1,0)</f>
        <v>0</v>
      </c>
      <c r="AP26">
        <f>IF(AND(VLOOKUP(AP$1,'40Trips'!$A$3:$I$42,8,FALSE)-VLOOKUP($A26,'40Trips'!$A$3:$I$42,9,FALSE)&gt;=VLOOKUP(VLOOKUP(AP$1, '40Trips'!$A$3:$I$42,3,FALSE),'40Trips'!$J$32:$K$35, 2, FALSE)),1,0)</f>
        <v>0</v>
      </c>
    </row>
    <row r="27" spans="1:42" x14ac:dyDescent="0.25">
      <c r="A27" t="s">
        <v>79</v>
      </c>
      <c r="B27" s="3">
        <v>1</v>
      </c>
      <c r="C27">
        <f>IF(AND(VLOOKUP(C$1,'40Trips'!$A$3:$I$42,8,FALSE)-VLOOKUP($A27,'40Trips'!$A$3:$I$42,9,FALSE)&gt;=VLOOKUP(VLOOKUP(C$1, '40Trips'!$A$3:$I$42,3,FALSE),'40Trips'!$J$32:$K$35, 2, FALSE)),1,0)</f>
        <v>0</v>
      </c>
      <c r="D27">
        <f>IF(AND(VLOOKUP(D$1,'40Trips'!$A$3:$I$42,8,FALSE)-VLOOKUP($A27,'40Trips'!$A$3:$I$42,9,FALSE)&gt;=VLOOKUP(VLOOKUP(D$1, '40Trips'!$A$3:$I$42,3,FALSE),'40Trips'!$J$32:$K$35, 2, FALSE)),1,0)</f>
        <v>1</v>
      </c>
      <c r="E27">
        <f>IF(AND(VLOOKUP(E$1,'40Trips'!$A$3:$I$42,8,FALSE)-VLOOKUP($A27,'40Trips'!$A$3:$I$42,9,FALSE)&gt;=VLOOKUP(VLOOKUP(E$1, '40Trips'!$A$3:$I$42,3,FALSE),'40Trips'!$J$32:$K$35, 2, FALSE)),1,0)</f>
        <v>1</v>
      </c>
      <c r="F27">
        <f>IF(AND(VLOOKUP(F$1,'40Trips'!$A$3:$I$42,8,FALSE)-VLOOKUP($A27,'40Trips'!$A$3:$I$42,9,FALSE)&gt;=VLOOKUP(VLOOKUP(F$1, '40Trips'!$A$3:$I$42,3,FALSE),'40Trips'!$J$32:$K$35, 2, FALSE)),1,0)</f>
        <v>1</v>
      </c>
      <c r="G27">
        <f>IF(AND(VLOOKUP(G$1,'40Trips'!$A$3:$I$42,8,FALSE)-VLOOKUP($A27,'40Trips'!$A$3:$I$42,9,FALSE)&gt;=VLOOKUP(VLOOKUP(G$1, '40Trips'!$A$3:$I$42,3,FALSE),'40Trips'!$J$32:$K$35, 2, FALSE)),1,0)</f>
        <v>0</v>
      </c>
      <c r="H27">
        <f>IF(AND(VLOOKUP(H$1,'40Trips'!$A$3:$I$42,8,FALSE)-VLOOKUP($A27,'40Trips'!$A$3:$I$42,9,FALSE)&gt;=VLOOKUP(VLOOKUP(H$1, '40Trips'!$A$3:$I$42,3,FALSE),'40Trips'!$J$32:$K$35, 2, FALSE)),1,0)</f>
        <v>0</v>
      </c>
      <c r="I27">
        <f>IF(AND(VLOOKUP(I$1,'40Trips'!$A$3:$I$42,8,FALSE)-VLOOKUP($A27,'40Trips'!$A$3:$I$42,9,FALSE)&gt;=VLOOKUP(VLOOKUP(I$1, '40Trips'!$A$3:$I$42,3,FALSE),'40Trips'!$J$32:$K$35, 2, FALSE)),1,0)</f>
        <v>1</v>
      </c>
      <c r="J27">
        <f>IF(AND(VLOOKUP(J$1,'40Trips'!$A$3:$I$42,8,FALSE)-VLOOKUP($A27,'40Trips'!$A$3:$I$42,9,FALSE)&gt;=VLOOKUP(VLOOKUP(J$1, '40Trips'!$A$3:$I$42,3,FALSE),'40Trips'!$J$32:$K$35, 2, FALSE)),1,0)</f>
        <v>1</v>
      </c>
      <c r="K27">
        <f>IF(AND(VLOOKUP(K$1,'40Trips'!$A$3:$I$42,8,FALSE)-VLOOKUP($A27,'40Trips'!$A$3:$I$42,9,FALSE)&gt;=VLOOKUP(VLOOKUP(K$1, '40Trips'!$A$3:$I$42,3,FALSE),'40Trips'!$J$32:$K$35, 2, FALSE)),1,0)</f>
        <v>0</v>
      </c>
      <c r="L27">
        <f>IF(AND(VLOOKUP(L$1,'40Trips'!$A$3:$I$42,8,FALSE)-VLOOKUP($A27,'40Trips'!$A$3:$I$42,9,FALSE)&gt;=VLOOKUP(VLOOKUP(L$1, '40Trips'!$A$3:$I$42,3,FALSE),'40Trips'!$J$32:$K$35, 2, FALSE)),1,0)</f>
        <v>0</v>
      </c>
      <c r="M27">
        <f>IF(AND(VLOOKUP(M$1,'40Trips'!$A$3:$I$42,8,FALSE)-VLOOKUP($A27,'40Trips'!$A$3:$I$42,9,FALSE)&gt;=VLOOKUP(VLOOKUP(M$1, '40Trips'!$A$3:$I$42,3,FALSE),'40Trips'!$J$32:$K$35, 2, FALSE)),1,0)</f>
        <v>1</v>
      </c>
      <c r="N27">
        <f>IF(AND(VLOOKUP(N$1,'40Trips'!$A$3:$I$42,8,FALSE)-VLOOKUP($A27,'40Trips'!$A$3:$I$42,9,FALSE)&gt;=VLOOKUP(VLOOKUP(N$1, '40Trips'!$A$3:$I$42,3,FALSE),'40Trips'!$J$32:$K$35, 2, FALSE)),1,0)</f>
        <v>0</v>
      </c>
      <c r="O27">
        <f>IF(AND(VLOOKUP(O$1,'40Trips'!$A$3:$I$42,8,FALSE)-VLOOKUP($A27,'40Trips'!$A$3:$I$42,9,FALSE)&gt;=VLOOKUP(VLOOKUP(O$1, '40Trips'!$A$3:$I$42,3,FALSE),'40Trips'!$J$32:$K$35, 2, FALSE)),1,0)</f>
        <v>0</v>
      </c>
      <c r="P27">
        <f>IF(AND(VLOOKUP(P$1,'40Trips'!$A$3:$I$42,8,FALSE)-VLOOKUP($A27,'40Trips'!$A$3:$I$42,9,FALSE)&gt;=VLOOKUP(VLOOKUP(P$1, '40Trips'!$A$3:$I$42,3,FALSE),'40Trips'!$J$32:$K$35, 2, FALSE)),1,0)</f>
        <v>1</v>
      </c>
      <c r="Q27">
        <f>IF(AND(VLOOKUP(Q$1,'40Trips'!$A$3:$I$42,8,FALSE)-VLOOKUP($A27,'40Trips'!$A$3:$I$42,9,FALSE)&gt;=VLOOKUP(VLOOKUP(Q$1, '40Trips'!$A$3:$I$42,3,FALSE),'40Trips'!$J$32:$K$35, 2, FALSE)),1,0)</f>
        <v>1</v>
      </c>
      <c r="R27">
        <f>IF(AND(VLOOKUP(R$1,'40Trips'!$A$3:$I$42,8,FALSE)-VLOOKUP($A27,'40Trips'!$A$3:$I$42,9,FALSE)&gt;=VLOOKUP(VLOOKUP(R$1, '40Trips'!$A$3:$I$42,3,FALSE),'40Trips'!$J$32:$K$35, 2, FALSE)),1,0)</f>
        <v>1</v>
      </c>
      <c r="S27">
        <f>IF(AND(VLOOKUP(S$1,'40Trips'!$A$3:$I$42,8,FALSE)-VLOOKUP($A27,'40Trips'!$A$3:$I$42,9,FALSE)&gt;=VLOOKUP(VLOOKUP(S$1, '40Trips'!$A$3:$I$42,3,FALSE),'40Trips'!$J$32:$K$35, 2, FALSE)),1,0)</f>
        <v>0</v>
      </c>
      <c r="T27">
        <f>IF(AND(VLOOKUP(T$1,'40Trips'!$A$3:$I$42,8,FALSE)-VLOOKUP($A27,'40Trips'!$A$3:$I$42,9,FALSE)&gt;=VLOOKUP(VLOOKUP(T$1, '40Trips'!$A$3:$I$42,3,FALSE),'40Trips'!$J$32:$K$35, 2, FALSE)),1,0)</f>
        <v>0</v>
      </c>
      <c r="U27">
        <f>IF(AND(VLOOKUP(U$1,'40Trips'!$A$3:$I$42,8,FALSE)-VLOOKUP($A27,'40Trips'!$A$3:$I$42,9,FALSE)&gt;=VLOOKUP(VLOOKUP(U$1, '40Trips'!$A$3:$I$42,3,FALSE),'40Trips'!$J$32:$K$35, 2, FALSE)),1,0)</f>
        <v>1</v>
      </c>
      <c r="V27">
        <f>IF(AND(VLOOKUP(V$1,'40Trips'!$A$3:$I$42,8,FALSE)-VLOOKUP($A27,'40Trips'!$A$3:$I$42,9,FALSE)&gt;=VLOOKUP(VLOOKUP(V$1, '40Trips'!$A$3:$I$42,3,FALSE),'40Trips'!$J$32:$K$35, 2, FALSE)),1,0)</f>
        <v>1</v>
      </c>
      <c r="W27">
        <f>IF(AND(VLOOKUP(W$1,'40Trips'!$A$3:$I$42,8,FALSE)-VLOOKUP($A27,'40Trips'!$A$3:$I$42,9,FALSE)&gt;=VLOOKUP(VLOOKUP(W$1, '40Trips'!$A$3:$I$42,3,FALSE),'40Trips'!$J$32:$K$35, 2, FALSE)),1,0)</f>
        <v>0</v>
      </c>
      <c r="X27">
        <f>IF(AND(VLOOKUP(X$1,'40Trips'!$A$3:$I$42,8,FALSE)-VLOOKUP($A27,'40Trips'!$A$3:$I$42,9,FALSE)&gt;=VLOOKUP(VLOOKUP(X$1, '40Trips'!$A$3:$I$42,3,FALSE),'40Trips'!$J$32:$K$35, 2, FALSE)),1,0)</f>
        <v>1</v>
      </c>
      <c r="Y27">
        <f>IF(AND(VLOOKUP(Y$1,'40Trips'!$A$3:$I$42,8,FALSE)-VLOOKUP($A27,'40Trips'!$A$3:$I$42,9,FALSE)&gt;=VLOOKUP(VLOOKUP(Y$1, '40Trips'!$A$3:$I$42,3,FALSE),'40Trips'!$J$32:$K$35, 2, FALSE)),1,0)</f>
        <v>1</v>
      </c>
      <c r="Z27">
        <f>IF(AND(VLOOKUP(Z$1,'40Trips'!$A$3:$I$42,8,FALSE)-VLOOKUP($A27,'40Trips'!$A$3:$I$42,9,FALSE)&gt;=VLOOKUP(VLOOKUP(Z$1, '40Trips'!$A$3:$I$42,3,FALSE),'40Trips'!$J$32:$K$35, 2, FALSE)),1,0)</f>
        <v>1</v>
      </c>
      <c r="AA27">
        <f>IF(AND(VLOOKUP(AA$1,'40Trips'!$A$3:$I$42,8,FALSE)-VLOOKUP($A27,'40Trips'!$A$3:$I$42,9,FALSE)&gt;=VLOOKUP(VLOOKUP(AA$1, '40Trips'!$A$3:$I$42,3,FALSE),'40Trips'!$J$32:$K$35, 2, FALSE)),1,0)</f>
        <v>0</v>
      </c>
      <c r="AB27">
        <f>IF(AND(VLOOKUP(AB$1,'40Trips'!$A$3:$I$42,8,FALSE)-VLOOKUP($A27,'40Trips'!$A$3:$I$42,9,FALSE)&gt;=VLOOKUP(VLOOKUP(AB$1, '40Trips'!$A$3:$I$42,3,FALSE),'40Trips'!$J$32:$K$35, 2, FALSE)),1,0)</f>
        <v>0</v>
      </c>
      <c r="AC27">
        <f>IF(AND(VLOOKUP(AC$1,'40Trips'!$A$3:$I$42,8,FALSE)-VLOOKUP($A27,'40Trips'!$A$3:$I$42,9,FALSE)&gt;=VLOOKUP(VLOOKUP(AC$1, '40Trips'!$A$3:$I$42,3,FALSE),'40Trips'!$J$32:$K$35, 2, FALSE)),1,0)</f>
        <v>1</v>
      </c>
      <c r="AD27">
        <f>IF(AND(VLOOKUP(AD$1,'40Trips'!$A$3:$I$42,8,FALSE)-VLOOKUP($A27,'40Trips'!$A$3:$I$42,9,FALSE)&gt;=VLOOKUP(VLOOKUP(AD$1, '40Trips'!$A$3:$I$42,3,FALSE),'40Trips'!$J$32:$K$35, 2, FALSE)),1,0)</f>
        <v>1</v>
      </c>
      <c r="AE27">
        <f>IF(AND(VLOOKUP(AE$1,'40Trips'!$A$3:$I$42,8,FALSE)-VLOOKUP($A27,'40Trips'!$A$3:$I$42,9,FALSE)&gt;=VLOOKUP(VLOOKUP(AE$1, '40Trips'!$A$3:$I$42,3,FALSE),'40Trips'!$J$32:$K$35, 2, FALSE)),1,0)</f>
        <v>0</v>
      </c>
      <c r="AF27">
        <f>IF(AND(VLOOKUP(AF$1,'40Trips'!$A$3:$I$42,8,FALSE)-VLOOKUP($A27,'40Trips'!$A$3:$I$42,9,FALSE)&gt;=VLOOKUP(VLOOKUP(AF$1, '40Trips'!$A$3:$I$42,3,FALSE),'40Trips'!$J$32:$K$35, 2, FALSE)),1,0)</f>
        <v>0</v>
      </c>
      <c r="AG27">
        <f>IF(AND(VLOOKUP(AG$1,'40Trips'!$A$3:$I$42,8,FALSE)-VLOOKUP($A27,'40Trips'!$A$3:$I$42,9,FALSE)&gt;=VLOOKUP(VLOOKUP(AG$1, '40Trips'!$A$3:$I$42,3,FALSE),'40Trips'!$J$32:$K$35, 2, FALSE)),1,0)</f>
        <v>0</v>
      </c>
      <c r="AH27">
        <f>IF(AND(VLOOKUP(AH$1,'40Trips'!$A$3:$I$42,8,FALSE)-VLOOKUP($A27,'40Trips'!$A$3:$I$42,9,FALSE)&gt;=VLOOKUP(VLOOKUP(AH$1, '40Trips'!$A$3:$I$42,3,FALSE),'40Trips'!$J$32:$K$35, 2, FALSE)),1,0)</f>
        <v>1</v>
      </c>
      <c r="AI27">
        <f>IF(AND(VLOOKUP(AI$1,'40Trips'!$A$3:$I$42,8,FALSE)-VLOOKUP($A27,'40Trips'!$A$3:$I$42,9,FALSE)&gt;=VLOOKUP(VLOOKUP(AI$1, '40Trips'!$A$3:$I$42,3,FALSE),'40Trips'!$J$32:$K$35, 2, FALSE)),1,0)</f>
        <v>1</v>
      </c>
      <c r="AJ27">
        <f>IF(AND(VLOOKUP(AJ$1,'40Trips'!$A$3:$I$42,8,FALSE)-VLOOKUP($A27,'40Trips'!$A$3:$I$42,9,FALSE)&gt;=VLOOKUP(VLOOKUP(AJ$1, '40Trips'!$A$3:$I$42,3,FALSE),'40Trips'!$J$32:$K$35, 2, FALSE)),1,0)</f>
        <v>1</v>
      </c>
      <c r="AK27">
        <f>IF(AND(VLOOKUP(AK$1,'40Trips'!$A$3:$I$42,8,FALSE)-VLOOKUP($A27,'40Trips'!$A$3:$I$42,9,FALSE)&gt;=VLOOKUP(VLOOKUP(AK$1, '40Trips'!$A$3:$I$42,3,FALSE),'40Trips'!$J$32:$K$35, 2, FALSE)),1,0)</f>
        <v>1</v>
      </c>
      <c r="AL27">
        <f>IF(AND(VLOOKUP(AL$1,'40Trips'!$A$3:$I$42,8,FALSE)-VLOOKUP($A27,'40Trips'!$A$3:$I$42,9,FALSE)&gt;=VLOOKUP(VLOOKUP(AL$1, '40Trips'!$A$3:$I$42,3,FALSE),'40Trips'!$J$32:$K$35, 2, FALSE)),1,0)</f>
        <v>1</v>
      </c>
      <c r="AM27">
        <f>IF(AND(VLOOKUP(AM$1,'40Trips'!$A$3:$I$42,8,FALSE)-VLOOKUP($A27,'40Trips'!$A$3:$I$42,9,FALSE)&gt;=VLOOKUP(VLOOKUP(AM$1, '40Trips'!$A$3:$I$42,3,FALSE),'40Trips'!$J$32:$K$35, 2, FALSE)),1,0)</f>
        <v>0</v>
      </c>
      <c r="AN27">
        <f>IF(AND(VLOOKUP(AN$1,'40Trips'!$A$3:$I$42,8,FALSE)-VLOOKUP($A27,'40Trips'!$A$3:$I$42,9,FALSE)&gt;=VLOOKUP(VLOOKUP(AN$1, '40Trips'!$A$3:$I$42,3,FALSE),'40Trips'!$J$32:$K$35, 2, FALSE)),1,0)</f>
        <v>1</v>
      </c>
      <c r="AO27">
        <f>IF(AND(VLOOKUP(AO$1,'40Trips'!$A$3:$I$42,8,FALSE)-VLOOKUP($A27,'40Trips'!$A$3:$I$42,9,FALSE)&gt;=VLOOKUP(VLOOKUP(AO$1, '40Trips'!$A$3:$I$42,3,FALSE),'40Trips'!$J$32:$K$35, 2, FALSE)),1,0)</f>
        <v>1</v>
      </c>
      <c r="AP27">
        <f>IF(AND(VLOOKUP(AP$1,'40Trips'!$A$3:$I$42,8,FALSE)-VLOOKUP($A27,'40Trips'!$A$3:$I$42,9,FALSE)&gt;=VLOOKUP(VLOOKUP(AP$1, '40Trips'!$A$3:$I$42,3,FALSE),'40Trips'!$J$32:$K$35, 2, FALSE)),1,0)</f>
        <v>1</v>
      </c>
    </row>
    <row r="28" spans="1:42" x14ac:dyDescent="0.25">
      <c r="A28" t="s">
        <v>80</v>
      </c>
      <c r="B28" s="3">
        <v>1</v>
      </c>
      <c r="C28">
        <f>IF(AND(VLOOKUP(C$1,'40Trips'!$A$3:$I$42,8,FALSE)-VLOOKUP($A28,'40Trips'!$A$3:$I$42,9,FALSE)&gt;=VLOOKUP(VLOOKUP(C$1, '40Trips'!$A$3:$I$42,3,FALSE),'40Trips'!$J$32:$K$35, 2, FALSE)),1,0)</f>
        <v>0</v>
      </c>
      <c r="D28">
        <f>IF(AND(VLOOKUP(D$1,'40Trips'!$A$3:$I$42,8,FALSE)-VLOOKUP($A28,'40Trips'!$A$3:$I$42,9,FALSE)&gt;=VLOOKUP(VLOOKUP(D$1, '40Trips'!$A$3:$I$42,3,FALSE),'40Trips'!$J$32:$K$35, 2, FALSE)),1,0)</f>
        <v>0</v>
      </c>
      <c r="E28">
        <f>IF(AND(VLOOKUP(E$1,'40Trips'!$A$3:$I$42,8,FALSE)-VLOOKUP($A28,'40Trips'!$A$3:$I$42,9,FALSE)&gt;=VLOOKUP(VLOOKUP(E$1, '40Trips'!$A$3:$I$42,3,FALSE),'40Trips'!$J$32:$K$35, 2, FALSE)),1,0)</f>
        <v>1</v>
      </c>
      <c r="F28">
        <f>IF(AND(VLOOKUP(F$1,'40Trips'!$A$3:$I$42,8,FALSE)-VLOOKUP($A28,'40Trips'!$A$3:$I$42,9,FALSE)&gt;=VLOOKUP(VLOOKUP(F$1, '40Trips'!$A$3:$I$42,3,FALSE),'40Trips'!$J$32:$K$35, 2, FALSE)),1,0)</f>
        <v>1</v>
      </c>
      <c r="G28">
        <f>IF(AND(VLOOKUP(G$1,'40Trips'!$A$3:$I$42,8,FALSE)-VLOOKUP($A28,'40Trips'!$A$3:$I$42,9,FALSE)&gt;=VLOOKUP(VLOOKUP(G$1, '40Trips'!$A$3:$I$42,3,FALSE),'40Trips'!$J$32:$K$35, 2, FALSE)),1,0)</f>
        <v>0</v>
      </c>
      <c r="H28">
        <f>IF(AND(VLOOKUP(H$1,'40Trips'!$A$3:$I$42,8,FALSE)-VLOOKUP($A28,'40Trips'!$A$3:$I$42,9,FALSE)&gt;=VLOOKUP(VLOOKUP(H$1, '40Trips'!$A$3:$I$42,3,FALSE),'40Trips'!$J$32:$K$35, 2, FALSE)),1,0)</f>
        <v>0</v>
      </c>
      <c r="I28">
        <f>IF(AND(VLOOKUP(I$1,'40Trips'!$A$3:$I$42,8,FALSE)-VLOOKUP($A28,'40Trips'!$A$3:$I$42,9,FALSE)&gt;=VLOOKUP(VLOOKUP(I$1, '40Trips'!$A$3:$I$42,3,FALSE),'40Trips'!$J$32:$K$35, 2, FALSE)),1,0)</f>
        <v>0</v>
      </c>
      <c r="J28">
        <f>IF(AND(VLOOKUP(J$1,'40Trips'!$A$3:$I$42,8,FALSE)-VLOOKUP($A28,'40Trips'!$A$3:$I$42,9,FALSE)&gt;=VLOOKUP(VLOOKUP(J$1, '40Trips'!$A$3:$I$42,3,FALSE),'40Trips'!$J$32:$K$35, 2, FALSE)),1,0)</f>
        <v>1</v>
      </c>
      <c r="K28">
        <f>IF(AND(VLOOKUP(K$1,'40Trips'!$A$3:$I$42,8,FALSE)-VLOOKUP($A28,'40Trips'!$A$3:$I$42,9,FALSE)&gt;=VLOOKUP(VLOOKUP(K$1, '40Trips'!$A$3:$I$42,3,FALSE),'40Trips'!$J$32:$K$35, 2, FALSE)),1,0)</f>
        <v>0</v>
      </c>
      <c r="L28">
        <f>IF(AND(VLOOKUP(L$1,'40Trips'!$A$3:$I$42,8,FALSE)-VLOOKUP($A28,'40Trips'!$A$3:$I$42,9,FALSE)&gt;=VLOOKUP(VLOOKUP(L$1, '40Trips'!$A$3:$I$42,3,FALSE),'40Trips'!$J$32:$K$35, 2, FALSE)),1,0)</f>
        <v>0</v>
      </c>
      <c r="M28">
        <f>IF(AND(VLOOKUP(M$1,'40Trips'!$A$3:$I$42,8,FALSE)-VLOOKUP($A28,'40Trips'!$A$3:$I$42,9,FALSE)&gt;=VLOOKUP(VLOOKUP(M$1, '40Trips'!$A$3:$I$42,3,FALSE),'40Trips'!$J$32:$K$35, 2, FALSE)),1,0)</f>
        <v>0</v>
      </c>
      <c r="N28">
        <f>IF(AND(VLOOKUP(N$1,'40Trips'!$A$3:$I$42,8,FALSE)-VLOOKUP($A28,'40Trips'!$A$3:$I$42,9,FALSE)&gt;=VLOOKUP(VLOOKUP(N$1, '40Trips'!$A$3:$I$42,3,FALSE),'40Trips'!$J$32:$K$35, 2, FALSE)),1,0)</f>
        <v>0</v>
      </c>
      <c r="O28">
        <f>IF(AND(VLOOKUP(O$1,'40Trips'!$A$3:$I$42,8,FALSE)-VLOOKUP($A28,'40Trips'!$A$3:$I$42,9,FALSE)&gt;=VLOOKUP(VLOOKUP(O$1, '40Trips'!$A$3:$I$42,3,FALSE),'40Trips'!$J$32:$K$35, 2, FALSE)),1,0)</f>
        <v>0</v>
      </c>
      <c r="P28">
        <f>IF(AND(VLOOKUP(P$1,'40Trips'!$A$3:$I$42,8,FALSE)-VLOOKUP($A28,'40Trips'!$A$3:$I$42,9,FALSE)&gt;=VLOOKUP(VLOOKUP(P$1, '40Trips'!$A$3:$I$42,3,FALSE),'40Trips'!$J$32:$K$35, 2, FALSE)),1,0)</f>
        <v>0</v>
      </c>
      <c r="Q28">
        <f>IF(AND(VLOOKUP(Q$1,'40Trips'!$A$3:$I$42,8,FALSE)-VLOOKUP($A28,'40Trips'!$A$3:$I$42,9,FALSE)&gt;=VLOOKUP(VLOOKUP(Q$1, '40Trips'!$A$3:$I$42,3,FALSE),'40Trips'!$J$32:$K$35, 2, FALSE)),1,0)</f>
        <v>1</v>
      </c>
      <c r="R28">
        <f>IF(AND(VLOOKUP(R$1,'40Trips'!$A$3:$I$42,8,FALSE)-VLOOKUP($A28,'40Trips'!$A$3:$I$42,9,FALSE)&gt;=VLOOKUP(VLOOKUP(R$1, '40Trips'!$A$3:$I$42,3,FALSE),'40Trips'!$J$32:$K$35, 2, FALSE)),1,0)</f>
        <v>1</v>
      </c>
      <c r="S28">
        <f>IF(AND(VLOOKUP(S$1,'40Trips'!$A$3:$I$42,8,FALSE)-VLOOKUP($A28,'40Trips'!$A$3:$I$42,9,FALSE)&gt;=VLOOKUP(VLOOKUP(S$1, '40Trips'!$A$3:$I$42,3,FALSE),'40Trips'!$J$32:$K$35, 2, FALSE)),1,0)</f>
        <v>0</v>
      </c>
      <c r="T28">
        <f>IF(AND(VLOOKUP(T$1,'40Trips'!$A$3:$I$42,8,FALSE)-VLOOKUP($A28,'40Trips'!$A$3:$I$42,9,FALSE)&gt;=VLOOKUP(VLOOKUP(T$1, '40Trips'!$A$3:$I$42,3,FALSE),'40Trips'!$J$32:$K$35, 2, FALSE)),1,0)</f>
        <v>0</v>
      </c>
      <c r="U28">
        <f>IF(AND(VLOOKUP(U$1,'40Trips'!$A$3:$I$42,8,FALSE)-VLOOKUP($A28,'40Trips'!$A$3:$I$42,9,FALSE)&gt;=VLOOKUP(VLOOKUP(U$1, '40Trips'!$A$3:$I$42,3,FALSE),'40Trips'!$J$32:$K$35, 2, FALSE)),1,0)</f>
        <v>1</v>
      </c>
      <c r="V28">
        <f>IF(AND(VLOOKUP(V$1,'40Trips'!$A$3:$I$42,8,FALSE)-VLOOKUP($A28,'40Trips'!$A$3:$I$42,9,FALSE)&gt;=VLOOKUP(VLOOKUP(V$1, '40Trips'!$A$3:$I$42,3,FALSE),'40Trips'!$J$32:$K$35, 2, FALSE)),1,0)</f>
        <v>1</v>
      </c>
      <c r="W28">
        <f>IF(AND(VLOOKUP(W$1,'40Trips'!$A$3:$I$42,8,FALSE)-VLOOKUP($A28,'40Trips'!$A$3:$I$42,9,FALSE)&gt;=VLOOKUP(VLOOKUP(W$1, '40Trips'!$A$3:$I$42,3,FALSE),'40Trips'!$J$32:$K$35, 2, FALSE)),1,0)</f>
        <v>0</v>
      </c>
      <c r="X28">
        <f>IF(AND(VLOOKUP(X$1,'40Trips'!$A$3:$I$42,8,FALSE)-VLOOKUP($A28,'40Trips'!$A$3:$I$42,9,FALSE)&gt;=VLOOKUP(VLOOKUP(X$1, '40Trips'!$A$3:$I$42,3,FALSE),'40Trips'!$J$32:$K$35, 2, FALSE)),1,0)</f>
        <v>0</v>
      </c>
      <c r="Y28">
        <f>IF(AND(VLOOKUP(Y$1,'40Trips'!$A$3:$I$42,8,FALSE)-VLOOKUP($A28,'40Trips'!$A$3:$I$42,9,FALSE)&gt;=VLOOKUP(VLOOKUP(Y$1, '40Trips'!$A$3:$I$42,3,FALSE),'40Trips'!$J$32:$K$35, 2, FALSE)),1,0)</f>
        <v>1</v>
      </c>
      <c r="Z28">
        <f>IF(AND(VLOOKUP(Z$1,'40Trips'!$A$3:$I$42,8,FALSE)-VLOOKUP($A28,'40Trips'!$A$3:$I$42,9,FALSE)&gt;=VLOOKUP(VLOOKUP(Z$1, '40Trips'!$A$3:$I$42,3,FALSE),'40Trips'!$J$32:$K$35, 2, FALSE)),1,0)</f>
        <v>1</v>
      </c>
      <c r="AA28">
        <f>IF(AND(VLOOKUP(AA$1,'40Trips'!$A$3:$I$42,8,FALSE)-VLOOKUP($A28,'40Trips'!$A$3:$I$42,9,FALSE)&gt;=VLOOKUP(VLOOKUP(AA$1, '40Trips'!$A$3:$I$42,3,FALSE),'40Trips'!$J$32:$K$35, 2, FALSE)),1,0)</f>
        <v>0</v>
      </c>
      <c r="AB28">
        <f>IF(AND(VLOOKUP(AB$1,'40Trips'!$A$3:$I$42,8,FALSE)-VLOOKUP($A28,'40Trips'!$A$3:$I$42,9,FALSE)&gt;=VLOOKUP(VLOOKUP(AB$1, '40Trips'!$A$3:$I$42,3,FALSE),'40Trips'!$J$32:$K$35, 2, FALSE)),1,0)</f>
        <v>0</v>
      </c>
      <c r="AC28">
        <f>IF(AND(VLOOKUP(AC$1,'40Trips'!$A$3:$I$42,8,FALSE)-VLOOKUP($A28,'40Trips'!$A$3:$I$42,9,FALSE)&gt;=VLOOKUP(VLOOKUP(AC$1, '40Trips'!$A$3:$I$42,3,FALSE),'40Trips'!$J$32:$K$35, 2, FALSE)),1,0)</f>
        <v>1</v>
      </c>
      <c r="AD28">
        <f>IF(AND(VLOOKUP(AD$1,'40Trips'!$A$3:$I$42,8,FALSE)-VLOOKUP($A28,'40Trips'!$A$3:$I$42,9,FALSE)&gt;=VLOOKUP(VLOOKUP(AD$1, '40Trips'!$A$3:$I$42,3,FALSE),'40Trips'!$J$32:$K$35, 2, FALSE)),1,0)</f>
        <v>1</v>
      </c>
      <c r="AE28">
        <f>IF(AND(VLOOKUP(AE$1,'40Trips'!$A$3:$I$42,8,FALSE)-VLOOKUP($A28,'40Trips'!$A$3:$I$42,9,FALSE)&gt;=VLOOKUP(VLOOKUP(AE$1, '40Trips'!$A$3:$I$42,3,FALSE),'40Trips'!$J$32:$K$35, 2, FALSE)),1,0)</f>
        <v>0</v>
      </c>
      <c r="AF28">
        <f>IF(AND(VLOOKUP(AF$1,'40Trips'!$A$3:$I$42,8,FALSE)-VLOOKUP($A28,'40Trips'!$A$3:$I$42,9,FALSE)&gt;=VLOOKUP(VLOOKUP(AF$1, '40Trips'!$A$3:$I$42,3,FALSE),'40Trips'!$J$32:$K$35, 2, FALSE)),1,0)</f>
        <v>0</v>
      </c>
      <c r="AG28">
        <f>IF(AND(VLOOKUP(AG$1,'40Trips'!$A$3:$I$42,8,FALSE)-VLOOKUP($A28,'40Trips'!$A$3:$I$42,9,FALSE)&gt;=VLOOKUP(VLOOKUP(AG$1, '40Trips'!$A$3:$I$42,3,FALSE),'40Trips'!$J$32:$K$35, 2, FALSE)),1,0)</f>
        <v>0</v>
      </c>
      <c r="AH28">
        <f>IF(AND(VLOOKUP(AH$1,'40Trips'!$A$3:$I$42,8,FALSE)-VLOOKUP($A28,'40Trips'!$A$3:$I$42,9,FALSE)&gt;=VLOOKUP(VLOOKUP(AH$1, '40Trips'!$A$3:$I$42,3,FALSE),'40Trips'!$J$32:$K$35, 2, FALSE)),1,0)</f>
        <v>0</v>
      </c>
      <c r="AI28">
        <f>IF(AND(VLOOKUP(AI$1,'40Trips'!$A$3:$I$42,8,FALSE)-VLOOKUP($A28,'40Trips'!$A$3:$I$42,9,FALSE)&gt;=VLOOKUP(VLOOKUP(AI$1, '40Trips'!$A$3:$I$42,3,FALSE),'40Trips'!$J$32:$K$35, 2, FALSE)),1,0)</f>
        <v>0</v>
      </c>
      <c r="AJ28">
        <f>IF(AND(VLOOKUP(AJ$1,'40Trips'!$A$3:$I$42,8,FALSE)-VLOOKUP($A28,'40Trips'!$A$3:$I$42,9,FALSE)&gt;=VLOOKUP(VLOOKUP(AJ$1, '40Trips'!$A$3:$I$42,3,FALSE),'40Trips'!$J$32:$K$35, 2, FALSE)),1,0)</f>
        <v>0</v>
      </c>
      <c r="AK28">
        <f>IF(AND(VLOOKUP(AK$1,'40Trips'!$A$3:$I$42,8,FALSE)-VLOOKUP($A28,'40Trips'!$A$3:$I$42,9,FALSE)&gt;=VLOOKUP(VLOOKUP(AK$1, '40Trips'!$A$3:$I$42,3,FALSE),'40Trips'!$J$32:$K$35, 2, FALSE)),1,0)</f>
        <v>1</v>
      </c>
      <c r="AL28">
        <f>IF(AND(VLOOKUP(AL$1,'40Trips'!$A$3:$I$42,8,FALSE)-VLOOKUP($A28,'40Trips'!$A$3:$I$42,9,FALSE)&gt;=VLOOKUP(VLOOKUP(AL$1, '40Trips'!$A$3:$I$42,3,FALSE),'40Trips'!$J$32:$K$35, 2, FALSE)),1,0)</f>
        <v>1</v>
      </c>
      <c r="AM28">
        <f>IF(AND(VLOOKUP(AM$1,'40Trips'!$A$3:$I$42,8,FALSE)-VLOOKUP($A28,'40Trips'!$A$3:$I$42,9,FALSE)&gt;=VLOOKUP(VLOOKUP(AM$1, '40Trips'!$A$3:$I$42,3,FALSE),'40Trips'!$J$32:$K$35, 2, FALSE)),1,0)</f>
        <v>0</v>
      </c>
      <c r="AN28">
        <f>IF(AND(VLOOKUP(AN$1,'40Trips'!$A$3:$I$42,8,FALSE)-VLOOKUP($A28,'40Trips'!$A$3:$I$42,9,FALSE)&gt;=VLOOKUP(VLOOKUP(AN$1, '40Trips'!$A$3:$I$42,3,FALSE),'40Trips'!$J$32:$K$35, 2, FALSE)),1,0)</f>
        <v>0</v>
      </c>
      <c r="AO28">
        <f>IF(AND(VLOOKUP(AO$1,'40Trips'!$A$3:$I$42,8,FALSE)-VLOOKUP($A28,'40Trips'!$A$3:$I$42,9,FALSE)&gt;=VLOOKUP(VLOOKUP(AO$1, '40Trips'!$A$3:$I$42,3,FALSE),'40Trips'!$J$32:$K$35, 2, FALSE)),1,0)</f>
        <v>0</v>
      </c>
      <c r="AP28">
        <f>IF(AND(VLOOKUP(AP$1,'40Trips'!$A$3:$I$42,8,FALSE)-VLOOKUP($A28,'40Trips'!$A$3:$I$42,9,FALSE)&gt;=VLOOKUP(VLOOKUP(AP$1, '40Trips'!$A$3:$I$42,3,FALSE),'40Trips'!$J$32:$K$35, 2, FALSE)),1,0)</f>
        <v>1</v>
      </c>
    </row>
    <row r="29" spans="1:42" x14ac:dyDescent="0.25">
      <c r="A29" t="s">
        <v>81</v>
      </c>
      <c r="B29" s="3">
        <v>1</v>
      </c>
      <c r="C29">
        <f>IF(AND(VLOOKUP(C$1,'40Trips'!$A$3:$I$42,8,FALSE)-VLOOKUP($A29,'40Trips'!$A$3:$I$42,9,FALSE)&gt;=VLOOKUP(VLOOKUP(C$1, '40Trips'!$A$3:$I$42,3,FALSE),'40Trips'!$J$32:$K$35, 2, FALSE)),1,0)</f>
        <v>0</v>
      </c>
      <c r="D29">
        <f>IF(AND(VLOOKUP(D$1,'40Trips'!$A$3:$I$42,8,FALSE)-VLOOKUP($A29,'40Trips'!$A$3:$I$42,9,FALSE)&gt;=VLOOKUP(VLOOKUP(D$1, '40Trips'!$A$3:$I$42,3,FALSE),'40Trips'!$J$32:$K$35, 2, FALSE)),1,0)</f>
        <v>0</v>
      </c>
      <c r="E29">
        <f>IF(AND(VLOOKUP(E$1,'40Trips'!$A$3:$I$42,8,FALSE)-VLOOKUP($A29,'40Trips'!$A$3:$I$42,9,FALSE)&gt;=VLOOKUP(VLOOKUP(E$1, '40Trips'!$A$3:$I$42,3,FALSE),'40Trips'!$J$32:$K$35, 2, FALSE)),1,0)</f>
        <v>0</v>
      </c>
      <c r="F29">
        <f>IF(AND(VLOOKUP(F$1,'40Trips'!$A$3:$I$42,8,FALSE)-VLOOKUP($A29,'40Trips'!$A$3:$I$42,9,FALSE)&gt;=VLOOKUP(VLOOKUP(F$1, '40Trips'!$A$3:$I$42,3,FALSE),'40Trips'!$J$32:$K$35, 2, FALSE)),1,0)</f>
        <v>0</v>
      </c>
      <c r="G29">
        <f>IF(AND(VLOOKUP(G$1,'40Trips'!$A$3:$I$42,8,FALSE)-VLOOKUP($A29,'40Trips'!$A$3:$I$42,9,FALSE)&gt;=VLOOKUP(VLOOKUP(G$1, '40Trips'!$A$3:$I$42,3,FALSE),'40Trips'!$J$32:$K$35, 2, FALSE)),1,0)</f>
        <v>0</v>
      </c>
      <c r="H29">
        <f>IF(AND(VLOOKUP(H$1,'40Trips'!$A$3:$I$42,8,FALSE)-VLOOKUP($A29,'40Trips'!$A$3:$I$42,9,FALSE)&gt;=VLOOKUP(VLOOKUP(H$1, '40Trips'!$A$3:$I$42,3,FALSE),'40Trips'!$J$32:$K$35, 2, FALSE)),1,0)</f>
        <v>0</v>
      </c>
      <c r="I29">
        <f>IF(AND(VLOOKUP(I$1,'40Trips'!$A$3:$I$42,8,FALSE)-VLOOKUP($A29,'40Trips'!$A$3:$I$42,9,FALSE)&gt;=VLOOKUP(VLOOKUP(I$1, '40Trips'!$A$3:$I$42,3,FALSE),'40Trips'!$J$32:$K$35, 2, FALSE)),1,0)</f>
        <v>0</v>
      </c>
      <c r="J29">
        <f>IF(AND(VLOOKUP(J$1,'40Trips'!$A$3:$I$42,8,FALSE)-VLOOKUP($A29,'40Trips'!$A$3:$I$42,9,FALSE)&gt;=VLOOKUP(VLOOKUP(J$1, '40Trips'!$A$3:$I$42,3,FALSE),'40Trips'!$J$32:$K$35, 2, FALSE)),1,0)</f>
        <v>1</v>
      </c>
      <c r="K29">
        <f>IF(AND(VLOOKUP(K$1,'40Trips'!$A$3:$I$42,8,FALSE)-VLOOKUP($A29,'40Trips'!$A$3:$I$42,9,FALSE)&gt;=VLOOKUP(VLOOKUP(K$1, '40Trips'!$A$3:$I$42,3,FALSE),'40Trips'!$J$32:$K$35, 2, FALSE)),1,0)</f>
        <v>0</v>
      </c>
      <c r="L29">
        <f>IF(AND(VLOOKUP(L$1,'40Trips'!$A$3:$I$42,8,FALSE)-VLOOKUP($A29,'40Trips'!$A$3:$I$42,9,FALSE)&gt;=VLOOKUP(VLOOKUP(L$1, '40Trips'!$A$3:$I$42,3,FALSE),'40Trips'!$J$32:$K$35, 2, FALSE)),1,0)</f>
        <v>0</v>
      </c>
      <c r="M29">
        <f>IF(AND(VLOOKUP(M$1,'40Trips'!$A$3:$I$42,8,FALSE)-VLOOKUP($A29,'40Trips'!$A$3:$I$42,9,FALSE)&gt;=VLOOKUP(VLOOKUP(M$1, '40Trips'!$A$3:$I$42,3,FALSE),'40Trips'!$J$32:$K$35, 2, FALSE)),1,0)</f>
        <v>0</v>
      </c>
      <c r="N29">
        <f>IF(AND(VLOOKUP(N$1,'40Trips'!$A$3:$I$42,8,FALSE)-VLOOKUP($A29,'40Trips'!$A$3:$I$42,9,FALSE)&gt;=VLOOKUP(VLOOKUP(N$1, '40Trips'!$A$3:$I$42,3,FALSE),'40Trips'!$J$32:$K$35, 2, FALSE)),1,0)</f>
        <v>0</v>
      </c>
      <c r="O29">
        <f>IF(AND(VLOOKUP(O$1,'40Trips'!$A$3:$I$42,8,FALSE)-VLOOKUP($A29,'40Trips'!$A$3:$I$42,9,FALSE)&gt;=VLOOKUP(VLOOKUP(O$1, '40Trips'!$A$3:$I$42,3,FALSE),'40Trips'!$J$32:$K$35, 2, FALSE)),1,0)</f>
        <v>0</v>
      </c>
      <c r="P29">
        <f>IF(AND(VLOOKUP(P$1,'40Trips'!$A$3:$I$42,8,FALSE)-VLOOKUP($A29,'40Trips'!$A$3:$I$42,9,FALSE)&gt;=VLOOKUP(VLOOKUP(P$1, '40Trips'!$A$3:$I$42,3,FALSE),'40Trips'!$J$32:$K$35, 2, FALSE)),1,0)</f>
        <v>0</v>
      </c>
      <c r="Q29">
        <f>IF(AND(VLOOKUP(Q$1,'40Trips'!$A$3:$I$42,8,FALSE)-VLOOKUP($A29,'40Trips'!$A$3:$I$42,9,FALSE)&gt;=VLOOKUP(VLOOKUP(Q$1, '40Trips'!$A$3:$I$42,3,FALSE),'40Trips'!$J$32:$K$35, 2, FALSE)),1,0)</f>
        <v>0</v>
      </c>
      <c r="R29">
        <f>IF(AND(VLOOKUP(R$1,'40Trips'!$A$3:$I$42,8,FALSE)-VLOOKUP($A29,'40Trips'!$A$3:$I$42,9,FALSE)&gt;=VLOOKUP(VLOOKUP(R$1, '40Trips'!$A$3:$I$42,3,FALSE),'40Trips'!$J$32:$K$35, 2, FALSE)),1,0)</f>
        <v>0</v>
      </c>
      <c r="S29">
        <f>IF(AND(VLOOKUP(S$1,'40Trips'!$A$3:$I$42,8,FALSE)-VLOOKUP($A29,'40Trips'!$A$3:$I$42,9,FALSE)&gt;=VLOOKUP(VLOOKUP(S$1, '40Trips'!$A$3:$I$42,3,FALSE),'40Trips'!$J$32:$K$35, 2, FALSE)),1,0)</f>
        <v>0</v>
      </c>
      <c r="T29">
        <f>IF(AND(VLOOKUP(T$1,'40Trips'!$A$3:$I$42,8,FALSE)-VLOOKUP($A29,'40Trips'!$A$3:$I$42,9,FALSE)&gt;=VLOOKUP(VLOOKUP(T$1, '40Trips'!$A$3:$I$42,3,FALSE),'40Trips'!$J$32:$K$35, 2, FALSE)),1,0)</f>
        <v>0</v>
      </c>
      <c r="U29">
        <f>IF(AND(VLOOKUP(U$1,'40Trips'!$A$3:$I$42,8,FALSE)-VLOOKUP($A29,'40Trips'!$A$3:$I$42,9,FALSE)&gt;=VLOOKUP(VLOOKUP(U$1, '40Trips'!$A$3:$I$42,3,FALSE),'40Trips'!$J$32:$K$35, 2, FALSE)),1,0)</f>
        <v>0</v>
      </c>
      <c r="V29">
        <f>IF(AND(VLOOKUP(V$1,'40Trips'!$A$3:$I$42,8,FALSE)-VLOOKUP($A29,'40Trips'!$A$3:$I$42,9,FALSE)&gt;=VLOOKUP(VLOOKUP(V$1, '40Trips'!$A$3:$I$42,3,FALSE),'40Trips'!$J$32:$K$35, 2, FALSE)),1,0)</f>
        <v>0</v>
      </c>
      <c r="W29">
        <f>IF(AND(VLOOKUP(W$1,'40Trips'!$A$3:$I$42,8,FALSE)-VLOOKUP($A29,'40Trips'!$A$3:$I$42,9,FALSE)&gt;=VLOOKUP(VLOOKUP(W$1, '40Trips'!$A$3:$I$42,3,FALSE),'40Trips'!$J$32:$K$35, 2, FALSE)),1,0)</f>
        <v>0</v>
      </c>
      <c r="X29">
        <f>IF(AND(VLOOKUP(X$1,'40Trips'!$A$3:$I$42,8,FALSE)-VLOOKUP($A29,'40Trips'!$A$3:$I$42,9,FALSE)&gt;=VLOOKUP(VLOOKUP(X$1, '40Trips'!$A$3:$I$42,3,FALSE),'40Trips'!$J$32:$K$35, 2, FALSE)),1,0)</f>
        <v>0</v>
      </c>
      <c r="Y29">
        <f>IF(AND(VLOOKUP(Y$1,'40Trips'!$A$3:$I$42,8,FALSE)-VLOOKUP($A29,'40Trips'!$A$3:$I$42,9,FALSE)&gt;=VLOOKUP(VLOOKUP(Y$1, '40Trips'!$A$3:$I$42,3,FALSE),'40Trips'!$J$32:$K$35, 2, FALSE)),1,0)</f>
        <v>0</v>
      </c>
      <c r="Z29">
        <f>IF(AND(VLOOKUP(Z$1,'40Trips'!$A$3:$I$42,8,FALSE)-VLOOKUP($A29,'40Trips'!$A$3:$I$42,9,FALSE)&gt;=VLOOKUP(VLOOKUP(Z$1, '40Trips'!$A$3:$I$42,3,FALSE),'40Trips'!$J$32:$K$35, 2, FALSE)),1,0)</f>
        <v>0</v>
      </c>
      <c r="AA29">
        <f>IF(AND(VLOOKUP(AA$1,'40Trips'!$A$3:$I$42,8,FALSE)-VLOOKUP($A29,'40Trips'!$A$3:$I$42,9,FALSE)&gt;=VLOOKUP(VLOOKUP(AA$1, '40Trips'!$A$3:$I$42,3,FALSE),'40Trips'!$J$32:$K$35, 2, FALSE)),1,0)</f>
        <v>0</v>
      </c>
      <c r="AB29">
        <f>IF(AND(VLOOKUP(AB$1,'40Trips'!$A$3:$I$42,8,FALSE)-VLOOKUP($A29,'40Trips'!$A$3:$I$42,9,FALSE)&gt;=VLOOKUP(VLOOKUP(AB$1, '40Trips'!$A$3:$I$42,3,FALSE),'40Trips'!$J$32:$K$35, 2, FALSE)),1,0)</f>
        <v>0</v>
      </c>
      <c r="AC29">
        <f>IF(AND(VLOOKUP(AC$1,'40Trips'!$A$3:$I$42,8,FALSE)-VLOOKUP($A29,'40Trips'!$A$3:$I$42,9,FALSE)&gt;=VLOOKUP(VLOOKUP(AC$1, '40Trips'!$A$3:$I$42,3,FALSE),'40Trips'!$J$32:$K$35, 2, FALSE)),1,0)</f>
        <v>0</v>
      </c>
      <c r="AD29">
        <f>IF(AND(VLOOKUP(AD$1,'40Trips'!$A$3:$I$42,8,FALSE)-VLOOKUP($A29,'40Trips'!$A$3:$I$42,9,FALSE)&gt;=VLOOKUP(VLOOKUP(AD$1, '40Trips'!$A$3:$I$42,3,FALSE),'40Trips'!$J$32:$K$35, 2, FALSE)),1,0)</f>
        <v>0</v>
      </c>
      <c r="AE29">
        <f>IF(AND(VLOOKUP(AE$1,'40Trips'!$A$3:$I$42,8,FALSE)-VLOOKUP($A29,'40Trips'!$A$3:$I$42,9,FALSE)&gt;=VLOOKUP(VLOOKUP(AE$1, '40Trips'!$A$3:$I$42,3,FALSE),'40Trips'!$J$32:$K$35, 2, FALSE)),1,0)</f>
        <v>0</v>
      </c>
      <c r="AF29">
        <f>IF(AND(VLOOKUP(AF$1,'40Trips'!$A$3:$I$42,8,FALSE)-VLOOKUP($A29,'40Trips'!$A$3:$I$42,9,FALSE)&gt;=VLOOKUP(VLOOKUP(AF$1, '40Trips'!$A$3:$I$42,3,FALSE),'40Trips'!$J$32:$K$35, 2, FALSE)),1,0)</f>
        <v>0</v>
      </c>
      <c r="AG29">
        <f>IF(AND(VLOOKUP(AG$1,'40Trips'!$A$3:$I$42,8,FALSE)-VLOOKUP($A29,'40Trips'!$A$3:$I$42,9,FALSE)&gt;=VLOOKUP(VLOOKUP(AG$1, '40Trips'!$A$3:$I$42,3,FALSE),'40Trips'!$J$32:$K$35, 2, FALSE)),1,0)</f>
        <v>0</v>
      </c>
      <c r="AH29">
        <f>IF(AND(VLOOKUP(AH$1,'40Trips'!$A$3:$I$42,8,FALSE)-VLOOKUP($A29,'40Trips'!$A$3:$I$42,9,FALSE)&gt;=VLOOKUP(VLOOKUP(AH$1, '40Trips'!$A$3:$I$42,3,FALSE),'40Trips'!$J$32:$K$35, 2, FALSE)),1,0)</f>
        <v>0</v>
      </c>
      <c r="AI29">
        <f>IF(AND(VLOOKUP(AI$1,'40Trips'!$A$3:$I$42,8,FALSE)-VLOOKUP($A29,'40Trips'!$A$3:$I$42,9,FALSE)&gt;=VLOOKUP(VLOOKUP(AI$1, '40Trips'!$A$3:$I$42,3,FALSE),'40Trips'!$J$32:$K$35, 2, FALSE)),1,0)</f>
        <v>0</v>
      </c>
      <c r="AJ29">
        <f>IF(AND(VLOOKUP(AJ$1,'40Trips'!$A$3:$I$42,8,FALSE)-VLOOKUP($A29,'40Trips'!$A$3:$I$42,9,FALSE)&gt;=VLOOKUP(VLOOKUP(AJ$1, '40Trips'!$A$3:$I$42,3,FALSE),'40Trips'!$J$32:$K$35, 2, FALSE)),1,0)</f>
        <v>0</v>
      </c>
      <c r="AK29">
        <f>IF(AND(VLOOKUP(AK$1,'40Trips'!$A$3:$I$42,8,FALSE)-VLOOKUP($A29,'40Trips'!$A$3:$I$42,9,FALSE)&gt;=VLOOKUP(VLOOKUP(AK$1, '40Trips'!$A$3:$I$42,3,FALSE),'40Trips'!$J$32:$K$35, 2, FALSE)),1,0)</f>
        <v>0</v>
      </c>
      <c r="AL29">
        <f>IF(AND(VLOOKUP(AL$1,'40Trips'!$A$3:$I$42,8,FALSE)-VLOOKUP($A29,'40Trips'!$A$3:$I$42,9,FALSE)&gt;=VLOOKUP(VLOOKUP(AL$1, '40Trips'!$A$3:$I$42,3,FALSE),'40Trips'!$J$32:$K$35, 2, FALSE)),1,0)</f>
        <v>0</v>
      </c>
      <c r="AM29">
        <f>IF(AND(VLOOKUP(AM$1,'40Trips'!$A$3:$I$42,8,FALSE)-VLOOKUP($A29,'40Trips'!$A$3:$I$42,9,FALSE)&gt;=VLOOKUP(VLOOKUP(AM$1, '40Trips'!$A$3:$I$42,3,FALSE),'40Trips'!$J$32:$K$35, 2, FALSE)),1,0)</f>
        <v>0</v>
      </c>
      <c r="AN29">
        <f>IF(AND(VLOOKUP(AN$1,'40Trips'!$A$3:$I$42,8,FALSE)-VLOOKUP($A29,'40Trips'!$A$3:$I$42,9,FALSE)&gt;=VLOOKUP(VLOOKUP(AN$1, '40Trips'!$A$3:$I$42,3,FALSE),'40Trips'!$J$32:$K$35, 2, FALSE)),1,0)</f>
        <v>0</v>
      </c>
      <c r="AO29">
        <f>IF(AND(VLOOKUP(AO$1,'40Trips'!$A$3:$I$42,8,FALSE)-VLOOKUP($A29,'40Trips'!$A$3:$I$42,9,FALSE)&gt;=VLOOKUP(VLOOKUP(AO$1, '40Trips'!$A$3:$I$42,3,FALSE),'40Trips'!$J$32:$K$35, 2, FALSE)),1,0)</f>
        <v>0</v>
      </c>
      <c r="AP29">
        <f>IF(AND(VLOOKUP(AP$1,'40Trips'!$A$3:$I$42,8,FALSE)-VLOOKUP($A29,'40Trips'!$A$3:$I$42,9,FALSE)&gt;=VLOOKUP(VLOOKUP(AP$1, '40Trips'!$A$3:$I$42,3,FALSE),'40Trips'!$J$32:$K$35, 2, FALSE)),1,0)</f>
        <v>0</v>
      </c>
    </row>
    <row r="30" spans="1:42" x14ac:dyDescent="0.25">
      <c r="A30" t="s">
        <v>82</v>
      </c>
      <c r="B30" s="3">
        <v>1</v>
      </c>
      <c r="C30">
        <f>IF(AND(VLOOKUP(C$1,'40Trips'!$A$3:$I$42,8,FALSE)-VLOOKUP($A30,'40Trips'!$A$3:$I$42,9,FALSE)&gt;=VLOOKUP(VLOOKUP(C$1, '40Trips'!$A$3:$I$42,3,FALSE),'40Trips'!$J$32:$K$35, 2, FALSE)),1,0)</f>
        <v>0</v>
      </c>
      <c r="D30">
        <f>IF(AND(VLOOKUP(D$1,'40Trips'!$A$3:$I$42,8,FALSE)-VLOOKUP($A30,'40Trips'!$A$3:$I$42,9,FALSE)&gt;=VLOOKUP(VLOOKUP(D$1, '40Trips'!$A$3:$I$42,3,FALSE),'40Trips'!$J$32:$K$35, 2, FALSE)),1,0)</f>
        <v>0</v>
      </c>
      <c r="E30">
        <f>IF(AND(VLOOKUP(E$1,'40Trips'!$A$3:$I$42,8,FALSE)-VLOOKUP($A30,'40Trips'!$A$3:$I$42,9,FALSE)&gt;=VLOOKUP(VLOOKUP(E$1, '40Trips'!$A$3:$I$42,3,FALSE),'40Trips'!$J$32:$K$35, 2, FALSE)),1,0)</f>
        <v>0</v>
      </c>
      <c r="F30">
        <f>IF(AND(VLOOKUP(F$1,'40Trips'!$A$3:$I$42,8,FALSE)-VLOOKUP($A30,'40Trips'!$A$3:$I$42,9,FALSE)&gt;=VLOOKUP(VLOOKUP(F$1, '40Trips'!$A$3:$I$42,3,FALSE),'40Trips'!$J$32:$K$35, 2, FALSE)),1,0)</f>
        <v>0</v>
      </c>
      <c r="G30">
        <f>IF(AND(VLOOKUP(G$1,'40Trips'!$A$3:$I$42,8,FALSE)-VLOOKUP($A30,'40Trips'!$A$3:$I$42,9,FALSE)&gt;=VLOOKUP(VLOOKUP(G$1, '40Trips'!$A$3:$I$42,3,FALSE),'40Trips'!$J$32:$K$35, 2, FALSE)),1,0)</f>
        <v>0</v>
      </c>
      <c r="H30">
        <f>IF(AND(VLOOKUP(H$1,'40Trips'!$A$3:$I$42,8,FALSE)-VLOOKUP($A30,'40Trips'!$A$3:$I$42,9,FALSE)&gt;=VLOOKUP(VLOOKUP(H$1, '40Trips'!$A$3:$I$42,3,FALSE),'40Trips'!$J$32:$K$35, 2, FALSE)),1,0)</f>
        <v>0</v>
      </c>
      <c r="I30">
        <f>IF(AND(VLOOKUP(I$1,'40Trips'!$A$3:$I$42,8,FALSE)-VLOOKUP($A30,'40Trips'!$A$3:$I$42,9,FALSE)&gt;=VLOOKUP(VLOOKUP(I$1, '40Trips'!$A$3:$I$42,3,FALSE),'40Trips'!$J$32:$K$35, 2, FALSE)),1,0)</f>
        <v>0</v>
      </c>
      <c r="J30">
        <f>IF(AND(VLOOKUP(J$1,'40Trips'!$A$3:$I$42,8,FALSE)-VLOOKUP($A30,'40Trips'!$A$3:$I$42,9,FALSE)&gt;=VLOOKUP(VLOOKUP(J$1, '40Trips'!$A$3:$I$42,3,FALSE),'40Trips'!$J$32:$K$35, 2, FALSE)),1,0)</f>
        <v>1</v>
      </c>
      <c r="K30">
        <f>IF(AND(VLOOKUP(K$1,'40Trips'!$A$3:$I$42,8,FALSE)-VLOOKUP($A30,'40Trips'!$A$3:$I$42,9,FALSE)&gt;=VLOOKUP(VLOOKUP(K$1, '40Trips'!$A$3:$I$42,3,FALSE),'40Trips'!$J$32:$K$35, 2, FALSE)),1,0)</f>
        <v>0</v>
      </c>
      <c r="L30">
        <f>IF(AND(VLOOKUP(L$1,'40Trips'!$A$3:$I$42,8,FALSE)-VLOOKUP($A30,'40Trips'!$A$3:$I$42,9,FALSE)&gt;=VLOOKUP(VLOOKUP(L$1, '40Trips'!$A$3:$I$42,3,FALSE),'40Trips'!$J$32:$K$35, 2, FALSE)),1,0)</f>
        <v>0</v>
      </c>
      <c r="M30">
        <f>IF(AND(VLOOKUP(M$1,'40Trips'!$A$3:$I$42,8,FALSE)-VLOOKUP($A30,'40Trips'!$A$3:$I$42,9,FALSE)&gt;=VLOOKUP(VLOOKUP(M$1, '40Trips'!$A$3:$I$42,3,FALSE),'40Trips'!$J$32:$K$35, 2, FALSE)),1,0)</f>
        <v>0</v>
      </c>
      <c r="N30">
        <f>IF(AND(VLOOKUP(N$1,'40Trips'!$A$3:$I$42,8,FALSE)-VLOOKUP($A30,'40Trips'!$A$3:$I$42,9,FALSE)&gt;=VLOOKUP(VLOOKUP(N$1, '40Trips'!$A$3:$I$42,3,FALSE),'40Trips'!$J$32:$K$35, 2, FALSE)),1,0)</f>
        <v>0</v>
      </c>
      <c r="O30">
        <f>IF(AND(VLOOKUP(O$1,'40Trips'!$A$3:$I$42,8,FALSE)-VLOOKUP($A30,'40Trips'!$A$3:$I$42,9,FALSE)&gt;=VLOOKUP(VLOOKUP(O$1, '40Trips'!$A$3:$I$42,3,FALSE),'40Trips'!$J$32:$K$35, 2, FALSE)),1,0)</f>
        <v>0</v>
      </c>
      <c r="P30">
        <f>IF(AND(VLOOKUP(P$1,'40Trips'!$A$3:$I$42,8,FALSE)-VLOOKUP($A30,'40Trips'!$A$3:$I$42,9,FALSE)&gt;=VLOOKUP(VLOOKUP(P$1, '40Trips'!$A$3:$I$42,3,FALSE),'40Trips'!$J$32:$K$35, 2, FALSE)),1,0)</f>
        <v>0</v>
      </c>
      <c r="Q30">
        <f>IF(AND(VLOOKUP(Q$1,'40Trips'!$A$3:$I$42,8,FALSE)-VLOOKUP($A30,'40Trips'!$A$3:$I$42,9,FALSE)&gt;=VLOOKUP(VLOOKUP(Q$1, '40Trips'!$A$3:$I$42,3,FALSE),'40Trips'!$J$32:$K$35, 2, FALSE)),1,0)</f>
        <v>0</v>
      </c>
      <c r="R30">
        <f>IF(AND(VLOOKUP(R$1,'40Trips'!$A$3:$I$42,8,FALSE)-VLOOKUP($A30,'40Trips'!$A$3:$I$42,9,FALSE)&gt;=VLOOKUP(VLOOKUP(R$1, '40Trips'!$A$3:$I$42,3,FALSE),'40Trips'!$J$32:$K$35, 2, FALSE)),1,0)</f>
        <v>0</v>
      </c>
      <c r="S30">
        <f>IF(AND(VLOOKUP(S$1,'40Trips'!$A$3:$I$42,8,FALSE)-VLOOKUP($A30,'40Trips'!$A$3:$I$42,9,FALSE)&gt;=VLOOKUP(VLOOKUP(S$1, '40Trips'!$A$3:$I$42,3,FALSE),'40Trips'!$J$32:$K$35, 2, FALSE)),1,0)</f>
        <v>0</v>
      </c>
      <c r="T30">
        <f>IF(AND(VLOOKUP(T$1,'40Trips'!$A$3:$I$42,8,FALSE)-VLOOKUP($A30,'40Trips'!$A$3:$I$42,9,FALSE)&gt;=VLOOKUP(VLOOKUP(T$1, '40Trips'!$A$3:$I$42,3,FALSE),'40Trips'!$J$32:$K$35, 2, FALSE)),1,0)</f>
        <v>0</v>
      </c>
      <c r="U30">
        <f>IF(AND(VLOOKUP(U$1,'40Trips'!$A$3:$I$42,8,FALSE)-VLOOKUP($A30,'40Trips'!$A$3:$I$42,9,FALSE)&gt;=VLOOKUP(VLOOKUP(U$1, '40Trips'!$A$3:$I$42,3,FALSE),'40Trips'!$J$32:$K$35, 2, FALSE)),1,0)</f>
        <v>0</v>
      </c>
      <c r="V30">
        <f>IF(AND(VLOOKUP(V$1,'40Trips'!$A$3:$I$42,8,FALSE)-VLOOKUP($A30,'40Trips'!$A$3:$I$42,9,FALSE)&gt;=VLOOKUP(VLOOKUP(V$1, '40Trips'!$A$3:$I$42,3,FALSE),'40Trips'!$J$32:$K$35, 2, FALSE)),1,0)</f>
        <v>0</v>
      </c>
      <c r="W30">
        <f>IF(AND(VLOOKUP(W$1,'40Trips'!$A$3:$I$42,8,FALSE)-VLOOKUP($A30,'40Trips'!$A$3:$I$42,9,FALSE)&gt;=VLOOKUP(VLOOKUP(W$1, '40Trips'!$A$3:$I$42,3,FALSE),'40Trips'!$J$32:$K$35, 2, FALSE)),1,0)</f>
        <v>0</v>
      </c>
      <c r="X30">
        <f>IF(AND(VLOOKUP(X$1,'40Trips'!$A$3:$I$42,8,FALSE)-VLOOKUP($A30,'40Trips'!$A$3:$I$42,9,FALSE)&gt;=VLOOKUP(VLOOKUP(X$1, '40Trips'!$A$3:$I$42,3,FALSE),'40Trips'!$J$32:$K$35, 2, FALSE)),1,0)</f>
        <v>0</v>
      </c>
      <c r="Y30">
        <f>IF(AND(VLOOKUP(Y$1,'40Trips'!$A$3:$I$42,8,FALSE)-VLOOKUP($A30,'40Trips'!$A$3:$I$42,9,FALSE)&gt;=VLOOKUP(VLOOKUP(Y$1, '40Trips'!$A$3:$I$42,3,FALSE),'40Trips'!$J$32:$K$35, 2, FALSE)),1,0)</f>
        <v>0</v>
      </c>
      <c r="Z30">
        <f>IF(AND(VLOOKUP(Z$1,'40Trips'!$A$3:$I$42,8,FALSE)-VLOOKUP($A30,'40Trips'!$A$3:$I$42,9,FALSE)&gt;=VLOOKUP(VLOOKUP(Z$1, '40Trips'!$A$3:$I$42,3,FALSE),'40Trips'!$J$32:$K$35, 2, FALSE)),1,0)</f>
        <v>0</v>
      </c>
      <c r="AA30">
        <f>IF(AND(VLOOKUP(AA$1,'40Trips'!$A$3:$I$42,8,FALSE)-VLOOKUP($A30,'40Trips'!$A$3:$I$42,9,FALSE)&gt;=VLOOKUP(VLOOKUP(AA$1, '40Trips'!$A$3:$I$42,3,FALSE),'40Trips'!$J$32:$K$35, 2, FALSE)),1,0)</f>
        <v>0</v>
      </c>
      <c r="AB30">
        <f>IF(AND(VLOOKUP(AB$1,'40Trips'!$A$3:$I$42,8,FALSE)-VLOOKUP($A30,'40Trips'!$A$3:$I$42,9,FALSE)&gt;=VLOOKUP(VLOOKUP(AB$1, '40Trips'!$A$3:$I$42,3,FALSE),'40Trips'!$J$32:$K$35, 2, FALSE)),1,0)</f>
        <v>0</v>
      </c>
      <c r="AC30">
        <f>IF(AND(VLOOKUP(AC$1,'40Trips'!$A$3:$I$42,8,FALSE)-VLOOKUP($A30,'40Trips'!$A$3:$I$42,9,FALSE)&gt;=VLOOKUP(VLOOKUP(AC$1, '40Trips'!$A$3:$I$42,3,FALSE),'40Trips'!$J$32:$K$35, 2, FALSE)),1,0)</f>
        <v>0</v>
      </c>
      <c r="AD30">
        <f>IF(AND(VLOOKUP(AD$1,'40Trips'!$A$3:$I$42,8,FALSE)-VLOOKUP($A30,'40Trips'!$A$3:$I$42,9,FALSE)&gt;=VLOOKUP(VLOOKUP(AD$1, '40Trips'!$A$3:$I$42,3,FALSE),'40Trips'!$J$32:$K$35, 2, FALSE)),1,0)</f>
        <v>0</v>
      </c>
      <c r="AE30">
        <f>IF(AND(VLOOKUP(AE$1,'40Trips'!$A$3:$I$42,8,FALSE)-VLOOKUP($A30,'40Trips'!$A$3:$I$42,9,FALSE)&gt;=VLOOKUP(VLOOKUP(AE$1, '40Trips'!$A$3:$I$42,3,FALSE),'40Trips'!$J$32:$K$35, 2, FALSE)),1,0)</f>
        <v>0</v>
      </c>
      <c r="AF30">
        <f>IF(AND(VLOOKUP(AF$1,'40Trips'!$A$3:$I$42,8,FALSE)-VLOOKUP($A30,'40Trips'!$A$3:$I$42,9,FALSE)&gt;=VLOOKUP(VLOOKUP(AF$1, '40Trips'!$A$3:$I$42,3,FALSE),'40Trips'!$J$32:$K$35, 2, FALSE)),1,0)</f>
        <v>0</v>
      </c>
      <c r="AG30">
        <f>IF(AND(VLOOKUP(AG$1,'40Trips'!$A$3:$I$42,8,FALSE)-VLOOKUP($A30,'40Trips'!$A$3:$I$42,9,FALSE)&gt;=VLOOKUP(VLOOKUP(AG$1, '40Trips'!$A$3:$I$42,3,FALSE),'40Trips'!$J$32:$K$35, 2, FALSE)),1,0)</f>
        <v>0</v>
      </c>
      <c r="AH30">
        <f>IF(AND(VLOOKUP(AH$1,'40Trips'!$A$3:$I$42,8,FALSE)-VLOOKUP($A30,'40Trips'!$A$3:$I$42,9,FALSE)&gt;=VLOOKUP(VLOOKUP(AH$1, '40Trips'!$A$3:$I$42,3,FALSE),'40Trips'!$J$32:$K$35, 2, FALSE)),1,0)</f>
        <v>0</v>
      </c>
      <c r="AI30">
        <f>IF(AND(VLOOKUP(AI$1,'40Trips'!$A$3:$I$42,8,FALSE)-VLOOKUP($A30,'40Trips'!$A$3:$I$42,9,FALSE)&gt;=VLOOKUP(VLOOKUP(AI$1, '40Trips'!$A$3:$I$42,3,FALSE),'40Trips'!$J$32:$K$35, 2, FALSE)),1,0)</f>
        <v>0</v>
      </c>
      <c r="AJ30">
        <f>IF(AND(VLOOKUP(AJ$1,'40Trips'!$A$3:$I$42,8,FALSE)-VLOOKUP($A30,'40Trips'!$A$3:$I$42,9,FALSE)&gt;=VLOOKUP(VLOOKUP(AJ$1, '40Trips'!$A$3:$I$42,3,FALSE),'40Trips'!$J$32:$K$35, 2, FALSE)),1,0)</f>
        <v>0</v>
      </c>
      <c r="AK30">
        <f>IF(AND(VLOOKUP(AK$1,'40Trips'!$A$3:$I$42,8,FALSE)-VLOOKUP($A30,'40Trips'!$A$3:$I$42,9,FALSE)&gt;=VLOOKUP(VLOOKUP(AK$1, '40Trips'!$A$3:$I$42,3,FALSE),'40Trips'!$J$32:$K$35, 2, FALSE)),1,0)</f>
        <v>0</v>
      </c>
      <c r="AL30">
        <f>IF(AND(VLOOKUP(AL$1,'40Trips'!$A$3:$I$42,8,FALSE)-VLOOKUP($A30,'40Trips'!$A$3:$I$42,9,FALSE)&gt;=VLOOKUP(VLOOKUP(AL$1, '40Trips'!$A$3:$I$42,3,FALSE),'40Trips'!$J$32:$K$35, 2, FALSE)),1,0)</f>
        <v>0</v>
      </c>
      <c r="AM30">
        <f>IF(AND(VLOOKUP(AM$1,'40Trips'!$A$3:$I$42,8,FALSE)-VLOOKUP($A30,'40Trips'!$A$3:$I$42,9,FALSE)&gt;=VLOOKUP(VLOOKUP(AM$1, '40Trips'!$A$3:$I$42,3,FALSE),'40Trips'!$J$32:$K$35, 2, FALSE)),1,0)</f>
        <v>0</v>
      </c>
      <c r="AN30">
        <f>IF(AND(VLOOKUP(AN$1,'40Trips'!$A$3:$I$42,8,FALSE)-VLOOKUP($A30,'40Trips'!$A$3:$I$42,9,FALSE)&gt;=VLOOKUP(VLOOKUP(AN$1, '40Trips'!$A$3:$I$42,3,FALSE),'40Trips'!$J$32:$K$35, 2, FALSE)),1,0)</f>
        <v>0</v>
      </c>
      <c r="AO30">
        <f>IF(AND(VLOOKUP(AO$1,'40Trips'!$A$3:$I$42,8,FALSE)-VLOOKUP($A30,'40Trips'!$A$3:$I$42,9,FALSE)&gt;=VLOOKUP(VLOOKUP(AO$1, '40Trips'!$A$3:$I$42,3,FALSE),'40Trips'!$J$32:$K$35, 2, FALSE)),1,0)</f>
        <v>0</v>
      </c>
      <c r="AP30">
        <f>IF(AND(VLOOKUP(AP$1,'40Trips'!$A$3:$I$42,8,FALSE)-VLOOKUP($A30,'40Trips'!$A$3:$I$42,9,FALSE)&gt;=VLOOKUP(VLOOKUP(AP$1, '40Trips'!$A$3:$I$42,3,FALSE),'40Trips'!$J$32:$K$35, 2, FALSE)),1,0)</f>
        <v>0</v>
      </c>
    </row>
    <row r="31" spans="1:42" x14ac:dyDescent="0.25">
      <c r="A31" t="s">
        <v>39</v>
      </c>
      <c r="B31" s="3">
        <v>1</v>
      </c>
      <c r="C31">
        <f>IF(AND(VLOOKUP(C$1,'40Trips'!$A$3:$I$42,8,FALSE)-VLOOKUP($A31,'40Trips'!$A$3:$I$42,9,FALSE)&gt;=VLOOKUP(VLOOKUP(C$1, '40Trips'!$A$3:$I$42,3,FALSE),'40Trips'!$J$32:$K$35, 2, FALSE)),1,0)</f>
        <v>0</v>
      </c>
      <c r="D31">
        <f>IF(AND(VLOOKUP(D$1,'40Trips'!$A$3:$I$42,8,FALSE)-VLOOKUP($A31,'40Trips'!$A$3:$I$42,9,FALSE)&gt;=VLOOKUP(VLOOKUP(D$1, '40Trips'!$A$3:$I$42,3,FALSE),'40Trips'!$J$32:$K$35, 2, FALSE)),1,0)</f>
        <v>1</v>
      </c>
      <c r="E31">
        <f>IF(AND(VLOOKUP(E$1,'40Trips'!$A$3:$I$42,8,FALSE)-VLOOKUP($A31,'40Trips'!$A$3:$I$42,9,FALSE)&gt;=VLOOKUP(VLOOKUP(E$1, '40Trips'!$A$3:$I$42,3,FALSE),'40Trips'!$J$32:$K$35, 2, FALSE)),1,0)</f>
        <v>1</v>
      </c>
      <c r="F31">
        <f>IF(AND(VLOOKUP(F$1,'40Trips'!$A$3:$I$42,8,FALSE)-VLOOKUP($A31,'40Trips'!$A$3:$I$42,9,FALSE)&gt;=VLOOKUP(VLOOKUP(F$1, '40Trips'!$A$3:$I$42,3,FALSE),'40Trips'!$J$32:$K$35, 2, FALSE)),1,0)</f>
        <v>1</v>
      </c>
      <c r="G31">
        <f>IF(AND(VLOOKUP(G$1,'40Trips'!$A$3:$I$42,8,FALSE)-VLOOKUP($A31,'40Trips'!$A$3:$I$42,9,FALSE)&gt;=VLOOKUP(VLOOKUP(G$1, '40Trips'!$A$3:$I$42,3,FALSE),'40Trips'!$J$32:$K$35, 2, FALSE)),1,0)</f>
        <v>0</v>
      </c>
      <c r="H31">
        <f>IF(AND(VLOOKUP(H$1,'40Trips'!$A$3:$I$42,8,FALSE)-VLOOKUP($A31,'40Trips'!$A$3:$I$42,9,FALSE)&gt;=VLOOKUP(VLOOKUP(H$1, '40Trips'!$A$3:$I$42,3,FALSE),'40Trips'!$J$32:$K$35, 2, FALSE)),1,0)</f>
        <v>1</v>
      </c>
      <c r="I31">
        <f>IF(AND(VLOOKUP(I$1,'40Trips'!$A$3:$I$42,8,FALSE)-VLOOKUP($A31,'40Trips'!$A$3:$I$42,9,FALSE)&gt;=VLOOKUP(VLOOKUP(I$1, '40Trips'!$A$3:$I$42,3,FALSE),'40Trips'!$J$32:$K$35, 2, FALSE)),1,0)</f>
        <v>1</v>
      </c>
      <c r="J31">
        <f>IF(AND(VLOOKUP(J$1,'40Trips'!$A$3:$I$42,8,FALSE)-VLOOKUP($A31,'40Trips'!$A$3:$I$42,9,FALSE)&gt;=VLOOKUP(VLOOKUP(J$1, '40Trips'!$A$3:$I$42,3,FALSE),'40Trips'!$J$32:$K$35, 2, FALSE)),1,0)</f>
        <v>1</v>
      </c>
      <c r="K31">
        <f>IF(AND(VLOOKUP(K$1,'40Trips'!$A$3:$I$42,8,FALSE)-VLOOKUP($A31,'40Trips'!$A$3:$I$42,9,FALSE)&gt;=VLOOKUP(VLOOKUP(K$1, '40Trips'!$A$3:$I$42,3,FALSE),'40Trips'!$J$32:$K$35, 2, FALSE)),1,0)</f>
        <v>0</v>
      </c>
      <c r="L31">
        <f>IF(AND(VLOOKUP(L$1,'40Trips'!$A$3:$I$42,8,FALSE)-VLOOKUP($A31,'40Trips'!$A$3:$I$42,9,FALSE)&gt;=VLOOKUP(VLOOKUP(L$1, '40Trips'!$A$3:$I$42,3,FALSE),'40Trips'!$J$32:$K$35, 2, FALSE)),1,0)</f>
        <v>1</v>
      </c>
      <c r="M31">
        <f>IF(AND(VLOOKUP(M$1,'40Trips'!$A$3:$I$42,8,FALSE)-VLOOKUP($A31,'40Trips'!$A$3:$I$42,9,FALSE)&gt;=VLOOKUP(VLOOKUP(M$1, '40Trips'!$A$3:$I$42,3,FALSE),'40Trips'!$J$32:$K$35, 2, FALSE)),1,0)</f>
        <v>1</v>
      </c>
      <c r="N31">
        <f>IF(AND(VLOOKUP(N$1,'40Trips'!$A$3:$I$42,8,FALSE)-VLOOKUP($A31,'40Trips'!$A$3:$I$42,9,FALSE)&gt;=VLOOKUP(VLOOKUP(N$1, '40Trips'!$A$3:$I$42,3,FALSE),'40Trips'!$J$32:$K$35, 2, FALSE)),1,0)</f>
        <v>0</v>
      </c>
      <c r="O31">
        <f>IF(AND(VLOOKUP(O$1,'40Trips'!$A$3:$I$42,8,FALSE)-VLOOKUP($A31,'40Trips'!$A$3:$I$42,9,FALSE)&gt;=VLOOKUP(VLOOKUP(O$1, '40Trips'!$A$3:$I$42,3,FALSE),'40Trips'!$J$32:$K$35, 2, FALSE)),1,0)</f>
        <v>1</v>
      </c>
      <c r="P31">
        <f>IF(AND(VLOOKUP(P$1,'40Trips'!$A$3:$I$42,8,FALSE)-VLOOKUP($A31,'40Trips'!$A$3:$I$42,9,FALSE)&gt;=VLOOKUP(VLOOKUP(P$1, '40Trips'!$A$3:$I$42,3,FALSE),'40Trips'!$J$32:$K$35, 2, FALSE)),1,0)</f>
        <v>1</v>
      </c>
      <c r="Q31">
        <f>IF(AND(VLOOKUP(Q$1,'40Trips'!$A$3:$I$42,8,FALSE)-VLOOKUP($A31,'40Trips'!$A$3:$I$42,9,FALSE)&gt;=VLOOKUP(VLOOKUP(Q$1, '40Trips'!$A$3:$I$42,3,FALSE),'40Trips'!$J$32:$K$35, 2, FALSE)),1,0)</f>
        <v>1</v>
      </c>
      <c r="R31">
        <f>IF(AND(VLOOKUP(R$1,'40Trips'!$A$3:$I$42,8,FALSE)-VLOOKUP($A31,'40Trips'!$A$3:$I$42,9,FALSE)&gt;=VLOOKUP(VLOOKUP(R$1, '40Trips'!$A$3:$I$42,3,FALSE),'40Trips'!$J$32:$K$35, 2, FALSE)),1,0)</f>
        <v>1</v>
      </c>
      <c r="S31">
        <f>IF(AND(VLOOKUP(S$1,'40Trips'!$A$3:$I$42,8,FALSE)-VLOOKUP($A31,'40Trips'!$A$3:$I$42,9,FALSE)&gt;=VLOOKUP(VLOOKUP(S$1, '40Trips'!$A$3:$I$42,3,FALSE),'40Trips'!$J$32:$K$35, 2, FALSE)),1,0)</f>
        <v>0</v>
      </c>
      <c r="T31">
        <f>IF(AND(VLOOKUP(T$1,'40Trips'!$A$3:$I$42,8,FALSE)-VLOOKUP($A31,'40Trips'!$A$3:$I$42,9,FALSE)&gt;=VLOOKUP(VLOOKUP(T$1, '40Trips'!$A$3:$I$42,3,FALSE),'40Trips'!$J$32:$K$35, 2, FALSE)),1,0)</f>
        <v>0</v>
      </c>
      <c r="U31">
        <f>IF(AND(VLOOKUP(U$1,'40Trips'!$A$3:$I$42,8,FALSE)-VLOOKUP($A31,'40Trips'!$A$3:$I$42,9,FALSE)&gt;=VLOOKUP(VLOOKUP(U$1, '40Trips'!$A$3:$I$42,3,FALSE),'40Trips'!$J$32:$K$35, 2, FALSE)),1,0)</f>
        <v>1</v>
      </c>
      <c r="V31">
        <f>IF(AND(VLOOKUP(V$1,'40Trips'!$A$3:$I$42,8,FALSE)-VLOOKUP($A31,'40Trips'!$A$3:$I$42,9,FALSE)&gt;=VLOOKUP(VLOOKUP(V$1, '40Trips'!$A$3:$I$42,3,FALSE),'40Trips'!$J$32:$K$35, 2, FALSE)),1,0)</f>
        <v>1</v>
      </c>
      <c r="W31">
        <f>IF(AND(VLOOKUP(W$1,'40Trips'!$A$3:$I$42,8,FALSE)-VLOOKUP($A31,'40Trips'!$A$3:$I$42,9,FALSE)&gt;=VLOOKUP(VLOOKUP(W$1, '40Trips'!$A$3:$I$42,3,FALSE),'40Trips'!$J$32:$K$35, 2, FALSE)),1,0)</f>
        <v>0</v>
      </c>
      <c r="X31">
        <f>IF(AND(VLOOKUP(X$1,'40Trips'!$A$3:$I$42,8,FALSE)-VLOOKUP($A31,'40Trips'!$A$3:$I$42,9,FALSE)&gt;=VLOOKUP(VLOOKUP(X$1, '40Trips'!$A$3:$I$42,3,FALSE),'40Trips'!$J$32:$K$35, 2, FALSE)),1,0)</f>
        <v>1</v>
      </c>
      <c r="Y31">
        <f>IF(AND(VLOOKUP(Y$1,'40Trips'!$A$3:$I$42,8,FALSE)-VLOOKUP($A31,'40Trips'!$A$3:$I$42,9,FALSE)&gt;=VLOOKUP(VLOOKUP(Y$1, '40Trips'!$A$3:$I$42,3,FALSE),'40Trips'!$J$32:$K$35, 2, FALSE)),1,0)</f>
        <v>1</v>
      </c>
      <c r="Z31">
        <f>IF(AND(VLOOKUP(Z$1,'40Trips'!$A$3:$I$42,8,FALSE)-VLOOKUP($A31,'40Trips'!$A$3:$I$42,9,FALSE)&gt;=VLOOKUP(VLOOKUP(Z$1, '40Trips'!$A$3:$I$42,3,FALSE),'40Trips'!$J$32:$K$35, 2, FALSE)),1,0)</f>
        <v>1</v>
      </c>
      <c r="AA31">
        <f>IF(AND(VLOOKUP(AA$1,'40Trips'!$A$3:$I$42,8,FALSE)-VLOOKUP($A31,'40Trips'!$A$3:$I$42,9,FALSE)&gt;=VLOOKUP(VLOOKUP(AA$1, '40Trips'!$A$3:$I$42,3,FALSE),'40Trips'!$J$32:$K$35, 2, FALSE)),1,0)</f>
        <v>0</v>
      </c>
      <c r="AB31">
        <f>IF(AND(VLOOKUP(AB$1,'40Trips'!$A$3:$I$42,8,FALSE)-VLOOKUP($A31,'40Trips'!$A$3:$I$42,9,FALSE)&gt;=VLOOKUP(VLOOKUP(AB$1, '40Trips'!$A$3:$I$42,3,FALSE),'40Trips'!$J$32:$K$35, 2, FALSE)),1,0)</f>
        <v>1</v>
      </c>
      <c r="AC31">
        <f>IF(AND(VLOOKUP(AC$1,'40Trips'!$A$3:$I$42,8,FALSE)-VLOOKUP($A31,'40Trips'!$A$3:$I$42,9,FALSE)&gt;=VLOOKUP(VLOOKUP(AC$1, '40Trips'!$A$3:$I$42,3,FALSE),'40Trips'!$J$32:$K$35, 2, FALSE)),1,0)</f>
        <v>1</v>
      </c>
      <c r="AD31">
        <f>IF(AND(VLOOKUP(AD$1,'40Trips'!$A$3:$I$42,8,FALSE)-VLOOKUP($A31,'40Trips'!$A$3:$I$42,9,FALSE)&gt;=VLOOKUP(VLOOKUP(AD$1, '40Trips'!$A$3:$I$42,3,FALSE),'40Trips'!$J$32:$K$35, 2, FALSE)),1,0)</f>
        <v>1</v>
      </c>
      <c r="AE31">
        <f>IF(AND(VLOOKUP(AE$1,'40Trips'!$A$3:$I$42,8,FALSE)-VLOOKUP($A31,'40Trips'!$A$3:$I$42,9,FALSE)&gt;=VLOOKUP(VLOOKUP(AE$1, '40Trips'!$A$3:$I$42,3,FALSE),'40Trips'!$J$32:$K$35, 2, FALSE)),1,0)</f>
        <v>0</v>
      </c>
      <c r="AF31">
        <f>IF(AND(VLOOKUP(AF$1,'40Trips'!$A$3:$I$42,8,FALSE)-VLOOKUP($A31,'40Trips'!$A$3:$I$42,9,FALSE)&gt;=VLOOKUP(VLOOKUP(AF$1, '40Trips'!$A$3:$I$42,3,FALSE),'40Trips'!$J$32:$K$35, 2, FALSE)),1,0)</f>
        <v>0</v>
      </c>
      <c r="AG31">
        <f>IF(AND(VLOOKUP(AG$1,'40Trips'!$A$3:$I$42,8,FALSE)-VLOOKUP($A31,'40Trips'!$A$3:$I$42,9,FALSE)&gt;=VLOOKUP(VLOOKUP(AG$1, '40Trips'!$A$3:$I$42,3,FALSE),'40Trips'!$J$32:$K$35, 2, FALSE)),1,0)</f>
        <v>1</v>
      </c>
      <c r="AH31">
        <f>IF(AND(VLOOKUP(AH$1,'40Trips'!$A$3:$I$42,8,FALSE)-VLOOKUP($A31,'40Trips'!$A$3:$I$42,9,FALSE)&gt;=VLOOKUP(VLOOKUP(AH$1, '40Trips'!$A$3:$I$42,3,FALSE),'40Trips'!$J$32:$K$35, 2, FALSE)),1,0)</f>
        <v>1</v>
      </c>
      <c r="AI31">
        <f>IF(AND(VLOOKUP(AI$1,'40Trips'!$A$3:$I$42,8,FALSE)-VLOOKUP($A31,'40Trips'!$A$3:$I$42,9,FALSE)&gt;=VLOOKUP(VLOOKUP(AI$1, '40Trips'!$A$3:$I$42,3,FALSE),'40Trips'!$J$32:$K$35, 2, FALSE)),1,0)</f>
        <v>1</v>
      </c>
      <c r="AJ31">
        <f>IF(AND(VLOOKUP(AJ$1,'40Trips'!$A$3:$I$42,8,FALSE)-VLOOKUP($A31,'40Trips'!$A$3:$I$42,9,FALSE)&gt;=VLOOKUP(VLOOKUP(AJ$1, '40Trips'!$A$3:$I$42,3,FALSE),'40Trips'!$J$32:$K$35, 2, FALSE)),1,0)</f>
        <v>1</v>
      </c>
      <c r="AK31">
        <f>IF(AND(VLOOKUP(AK$1,'40Trips'!$A$3:$I$42,8,FALSE)-VLOOKUP($A31,'40Trips'!$A$3:$I$42,9,FALSE)&gt;=VLOOKUP(VLOOKUP(AK$1, '40Trips'!$A$3:$I$42,3,FALSE),'40Trips'!$J$32:$K$35, 2, FALSE)),1,0)</f>
        <v>1</v>
      </c>
      <c r="AL31">
        <f>IF(AND(VLOOKUP(AL$1,'40Trips'!$A$3:$I$42,8,FALSE)-VLOOKUP($A31,'40Trips'!$A$3:$I$42,9,FALSE)&gt;=VLOOKUP(VLOOKUP(AL$1, '40Trips'!$A$3:$I$42,3,FALSE),'40Trips'!$J$32:$K$35, 2, FALSE)),1,0)</f>
        <v>1</v>
      </c>
      <c r="AM31">
        <f>IF(AND(VLOOKUP(AM$1,'40Trips'!$A$3:$I$42,8,FALSE)-VLOOKUP($A31,'40Trips'!$A$3:$I$42,9,FALSE)&gt;=VLOOKUP(VLOOKUP(AM$1, '40Trips'!$A$3:$I$42,3,FALSE),'40Trips'!$J$32:$K$35, 2, FALSE)),1,0)</f>
        <v>1</v>
      </c>
      <c r="AN31">
        <f>IF(AND(VLOOKUP(AN$1,'40Trips'!$A$3:$I$42,8,FALSE)-VLOOKUP($A31,'40Trips'!$A$3:$I$42,9,FALSE)&gt;=VLOOKUP(VLOOKUP(AN$1, '40Trips'!$A$3:$I$42,3,FALSE),'40Trips'!$J$32:$K$35, 2, FALSE)),1,0)</f>
        <v>1</v>
      </c>
      <c r="AO31">
        <f>IF(AND(VLOOKUP(AO$1,'40Trips'!$A$3:$I$42,8,FALSE)-VLOOKUP($A31,'40Trips'!$A$3:$I$42,9,FALSE)&gt;=VLOOKUP(VLOOKUP(AO$1, '40Trips'!$A$3:$I$42,3,FALSE),'40Trips'!$J$32:$K$35, 2, FALSE)),1,0)</f>
        <v>1</v>
      </c>
      <c r="AP31">
        <f>IF(AND(VLOOKUP(AP$1,'40Trips'!$A$3:$I$42,8,FALSE)-VLOOKUP($A31,'40Trips'!$A$3:$I$42,9,FALSE)&gt;=VLOOKUP(VLOOKUP(AP$1, '40Trips'!$A$3:$I$42,3,FALSE),'40Trips'!$J$32:$K$35, 2, FALSE)),1,0)</f>
        <v>1</v>
      </c>
    </row>
    <row r="32" spans="1:42" x14ac:dyDescent="0.25">
      <c r="A32" t="s">
        <v>83</v>
      </c>
      <c r="B32" s="3">
        <v>1</v>
      </c>
      <c r="C32">
        <f>IF(AND(VLOOKUP(C$1,'40Trips'!$A$3:$I$42,8,FALSE)-VLOOKUP($A32,'40Trips'!$A$3:$I$42,9,FALSE)&gt;=VLOOKUP(VLOOKUP(C$1, '40Trips'!$A$3:$I$42,3,FALSE),'40Trips'!$J$32:$K$35, 2, FALSE)),1,0)</f>
        <v>0</v>
      </c>
      <c r="D32">
        <f>IF(AND(VLOOKUP(D$1,'40Trips'!$A$3:$I$42,8,FALSE)-VLOOKUP($A32,'40Trips'!$A$3:$I$42,9,FALSE)&gt;=VLOOKUP(VLOOKUP(D$1, '40Trips'!$A$3:$I$42,3,FALSE),'40Trips'!$J$32:$K$35, 2, FALSE)),1,0)</f>
        <v>1</v>
      </c>
      <c r="E32">
        <f>IF(AND(VLOOKUP(E$1,'40Trips'!$A$3:$I$42,8,FALSE)-VLOOKUP($A32,'40Trips'!$A$3:$I$42,9,FALSE)&gt;=VLOOKUP(VLOOKUP(E$1, '40Trips'!$A$3:$I$42,3,FALSE),'40Trips'!$J$32:$K$35, 2, FALSE)),1,0)</f>
        <v>1</v>
      </c>
      <c r="F32">
        <f>IF(AND(VLOOKUP(F$1,'40Trips'!$A$3:$I$42,8,FALSE)-VLOOKUP($A32,'40Trips'!$A$3:$I$42,9,FALSE)&gt;=VLOOKUP(VLOOKUP(F$1, '40Trips'!$A$3:$I$42,3,FALSE),'40Trips'!$J$32:$K$35, 2, FALSE)),1,0)</f>
        <v>1</v>
      </c>
      <c r="G32">
        <f>IF(AND(VLOOKUP(G$1,'40Trips'!$A$3:$I$42,8,FALSE)-VLOOKUP($A32,'40Trips'!$A$3:$I$42,9,FALSE)&gt;=VLOOKUP(VLOOKUP(G$1, '40Trips'!$A$3:$I$42,3,FALSE),'40Trips'!$J$32:$K$35, 2, FALSE)),1,0)</f>
        <v>0</v>
      </c>
      <c r="H32">
        <f>IF(AND(VLOOKUP(H$1,'40Trips'!$A$3:$I$42,8,FALSE)-VLOOKUP($A32,'40Trips'!$A$3:$I$42,9,FALSE)&gt;=VLOOKUP(VLOOKUP(H$1, '40Trips'!$A$3:$I$42,3,FALSE),'40Trips'!$J$32:$K$35, 2, FALSE)),1,0)</f>
        <v>0</v>
      </c>
      <c r="I32">
        <f>IF(AND(VLOOKUP(I$1,'40Trips'!$A$3:$I$42,8,FALSE)-VLOOKUP($A32,'40Trips'!$A$3:$I$42,9,FALSE)&gt;=VLOOKUP(VLOOKUP(I$1, '40Trips'!$A$3:$I$42,3,FALSE),'40Trips'!$J$32:$K$35, 2, FALSE)),1,0)</f>
        <v>1</v>
      </c>
      <c r="J32">
        <f>IF(AND(VLOOKUP(J$1,'40Trips'!$A$3:$I$42,8,FALSE)-VLOOKUP($A32,'40Trips'!$A$3:$I$42,9,FALSE)&gt;=VLOOKUP(VLOOKUP(J$1, '40Trips'!$A$3:$I$42,3,FALSE),'40Trips'!$J$32:$K$35, 2, FALSE)),1,0)</f>
        <v>1</v>
      </c>
      <c r="K32">
        <f>IF(AND(VLOOKUP(K$1,'40Trips'!$A$3:$I$42,8,FALSE)-VLOOKUP($A32,'40Trips'!$A$3:$I$42,9,FALSE)&gt;=VLOOKUP(VLOOKUP(K$1, '40Trips'!$A$3:$I$42,3,FALSE),'40Trips'!$J$32:$K$35, 2, FALSE)),1,0)</f>
        <v>0</v>
      </c>
      <c r="L32">
        <f>IF(AND(VLOOKUP(L$1,'40Trips'!$A$3:$I$42,8,FALSE)-VLOOKUP($A32,'40Trips'!$A$3:$I$42,9,FALSE)&gt;=VLOOKUP(VLOOKUP(L$1, '40Trips'!$A$3:$I$42,3,FALSE),'40Trips'!$J$32:$K$35, 2, FALSE)),1,0)</f>
        <v>0</v>
      </c>
      <c r="M32">
        <f>IF(AND(VLOOKUP(M$1,'40Trips'!$A$3:$I$42,8,FALSE)-VLOOKUP($A32,'40Trips'!$A$3:$I$42,9,FALSE)&gt;=VLOOKUP(VLOOKUP(M$1, '40Trips'!$A$3:$I$42,3,FALSE),'40Trips'!$J$32:$K$35, 2, FALSE)),1,0)</f>
        <v>1</v>
      </c>
      <c r="N32">
        <f>IF(AND(VLOOKUP(N$1,'40Trips'!$A$3:$I$42,8,FALSE)-VLOOKUP($A32,'40Trips'!$A$3:$I$42,9,FALSE)&gt;=VLOOKUP(VLOOKUP(N$1, '40Trips'!$A$3:$I$42,3,FALSE),'40Trips'!$J$32:$K$35, 2, FALSE)),1,0)</f>
        <v>0</v>
      </c>
      <c r="O32">
        <f>IF(AND(VLOOKUP(O$1,'40Trips'!$A$3:$I$42,8,FALSE)-VLOOKUP($A32,'40Trips'!$A$3:$I$42,9,FALSE)&gt;=VLOOKUP(VLOOKUP(O$1, '40Trips'!$A$3:$I$42,3,FALSE),'40Trips'!$J$32:$K$35, 2, FALSE)),1,0)</f>
        <v>0</v>
      </c>
      <c r="P32">
        <f>IF(AND(VLOOKUP(P$1,'40Trips'!$A$3:$I$42,8,FALSE)-VLOOKUP($A32,'40Trips'!$A$3:$I$42,9,FALSE)&gt;=VLOOKUP(VLOOKUP(P$1, '40Trips'!$A$3:$I$42,3,FALSE),'40Trips'!$J$32:$K$35, 2, FALSE)),1,0)</f>
        <v>1</v>
      </c>
      <c r="Q32">
        <f>IF(AND(VLOOKUP(Q$1,'40Trips'!$A$3:$I$42,8,FALSE)-VLOOKUP($A32,'40Trips'!$A$3:$I$42,9,FALSE)&gt;=VLOOKUP(VLOOKUP(Q$1, '40Trips'!$A$3:$I$42,3,FALSE),'40Trips'!$J$32:$K$35, 2, FALSE)),1,0)</f>
        <v>1</v>
      </c>
      <c r="R32">
        <f>IF(AND(VLOOKUP(R$1,'40Trips'!$A$3:$I$42,8,FALSE)-VLOOKUP($A32,'40Trips'!$A$3:$I$42,9,FALSE)&gt;=VLOOKUP(VLOOKUP(R$1, '40Trips'!$A$3:$I$42,3,FALSE),'40Trips'!$J$32:$K$35, 2, FALSE)),1,0)</f>
        <v>1</v>
      </c>
      <c r="S32">
        <f>IF(AND(VLOOKUP(S$1,'40Trips'!$A$3:$I$42,8,FALSE)-VLOOKUP($A32,'40Trips'!$A$3:$I$42,9,FALSE)&gt;=VLOOKUP(VLOOKUP(S$1, '40Trips'!$A$3:$I$42,3,FALSE),'40Trips'!$J$32:$K$35, 2, FALSE)),1,0)</f>
        <v>0</v>
      </c>
      <c r="T32">
        <f>IF(AND(VLOOKUP(T$1,'40Trips'!$A$3:$I$42,8,FALSE)-VLOOKUP($A32,'40Trips'!$A$3:$I$42,9,FALSE)&gt;=VLOOKUP(VLOOKUP(T$1, '40Trips'!$A$3:$I$42,3,FALSE),'40Trips'!$J$32:$K$35, 2, FALSE)),1,0)</f>
        <v>0</v>
      </c>
      <c r="U32">
        <f>IF(AND(VLOOKUP(U$1,'40Trips'!$A$3:$I$42,8,FALSE)-VLOOKUP($A32,'40Trips'!$A$3:$I$42,9,FALSE)&gt;=VLOOKUP(VLOOKUP(U$1, '40Trips'!$A$3:$I$42,3,FALSE),'40Trips'!$J$32:$K$35, 2, FALSE)),1,0)</f>
        <v>1</v>
      </c>
      <c r="V32">
        <f>IF(AND(VLOOKUP(V$1,'40Trips'!$A$3:$I$42,8,FALSE)-VLOOKUP($A32,'40Trips'!$A$3:$I$42,9,FALSE)&gt;=VLOOKUP(VLOOKUP(V$1, '40Trips'!$A$3:$I$42,3,FALSE),'40Trips'!$J$32:$K$35, 2, FALSE)),1,0)</f>
        <v>1</v>
      </c>
      <c r="W32">
        <f>IF(AND(VLOOKUP(W$1,'40Trips'!$A$3:$I$42,8,FALSE)-VLOOKUP($A32,'40Trips'!$A$3:$I$42,9,FALSE)&gt;=VLOOKUP(VLOOKUP(W$1, '40Trips'!$A$3:$I$42,3,FALSE),'40Trips'!$J$32:$K$35, 2, FALSE)),1,0)</f>
        <v>0</v>
      </c>
      <c r="X32">
        <f>IF(AND(VLOOKUP(X$1,'40Trips'!$A$3:$I$42,8,FALSE)-VLOOKUP($A32,'40Trips'!$A$3:$I$42,9,FALSE)&gt;=VLOOKUP(VLOOKUP(X$1, '40Trips'!$A$3:$I$42,3,FALSE),'40Trips'!$J$32:$K$35, 2, FALSE)),1,0)</f>
        <v>1</v>
      </c>
      <c r="Y32">
        <f>IF(AND(VLOOKUP(Y$1,'40Trips'!$A$3:$I$42,8,FALSE)-VLOOKUP($A32,'40Trips'!$A$3:$I$42,9,FALSE)&gt;=VLOOKUP(VLOOKUP(Y$1, '40Trips'!$A$3:$I$42,3,FALSE),'40Trips'!$J$32:$K$35, 2, FALSE)),1,0)</f>
        <v>1</v>
      </c>
      <c r="Z32">
        <f>IF(AND(VLOOKUP(Z$1,'40Trips'!$A$3:$I$42,8,FALSE)-VLOOKUP($A32,'40Trips'!$A$3:$I$42,9,FALSE)&gt;=VLOOKUP(VLOOKUP(Z$1, '40Trips'!$A$3:$I$42,3,FALSE),'40Trips'!$J$32:$K$35, 2, FALSE)),1,0)</f>
        <v>1</v>
      </c>
      <c r="AA32">
        <f>IF(AND(VLOOKUP(AA$1,'40Trips'!$A$3:$I$42,8,FALSE)-VLOOKUP($A32,'40Trips'!$A$3:$I$42,9,FALSE)&gt;=VLOOKUP(VLOOKUP(AA$1, '40Trips'!$A$3:$I$42,3,FALSE),'40Trips'!$J$32:$K$35, 2, FALSE)),1,0)</f>
        <v>0</v>
      </c>
      <c r="AB32">
        <f>IF(AND(VLOOKUP(AB$1,'40Trips'!$A$3:$I$42,8,FALSE)-VLOOKUP($A32,'40Trips'!$A$3:$I$42,9,FALSE)&gt;=VLOOKUP(VLOOKUP(AB$1, '40Trips'!$A$3:$I$42,3,FALSE),'40Trips'!$J$32:$K$35, 2, FALSE)),1,0)</f>
        <v>0</v>
      </c>
      <c r="AC32">
        <f>IF(AND(VLOOKUP(AC$1,'40Trips'!$A$3:$I$42,8,FALSE)-VLOOKUP($A32,'40Trips'!$A$3:$I$42,9,FALSE)&gt;=VLOOKUP(VLOOKUP(AC$1, '40Trips'!$A$3:$I$42,3,FALSE),'40Trips'!$J$32:$K$35, 2, FALSE)),1,0)</f>
        <v>1</v>
      </c>
      <c r="AD32">
        <f>IF(AND(VLOOKUP(AD$1,'40Trips'!$A$3:$I$42,8,FALSE)-VLOOKUP($A32,'40Trips'!$A$3:$I$42,9,FALSE)&gt;=VLOOKUP(VLOOKUP(AD$1, '40Trips'!$A$3:$I$42,3,FALSE),'40Trips'!$J$32:$K$35, 2, FALSE)),1,0)</f>
        <v>1</v>
      </c>
      <c r="AE32">
        <f>IF(AND(VLOOKUP(AE$1,'40Trips'!$A$3:$I$42,8,FALSE)-VLOOKUP($A32,'40Trips'!$A$3:$I$42,9,FALSE)&gt;=VLOOKUP(VLOOKUP(AE$1, '40Trips'!$A$3:$I$42,3,FALSE),'40Trips'!$J$32:$K$35, 2, FALSE)),1,0)</f>
        <v>0</v>
      </c>
      <c r="AF32">
        <f>IF(AND(VLOOKUP(AF$1,'40Trips'!$A$3:$I$42,8,FALSE)-VLOOKUP($A32,'40Trips'!$A$3:$I$42,9,FALSE)&gt;=VLOOKUP(VLOOKUP(AF$1, '40Trips'!$A$3:$I$42,3,FALSE),'40Trips'!$J$32:$K$35, 2, FALSE)),1,0)</f>
        <v>0</v>
      </c>
      <c r="AG32">
        <f>IF(AND(VLOOKUP(AG$1,'40Trips'!$A$3:$I$42,8,FALSE)-VLOOKUP($A32,'40Trips'!$A$3:$I$42,9,FALSE)&gt;=VLOOKUP(VLOOKUP(AG$1, '40Trips'!$A$3:$I$42,3,FALSE),'40Trips'!$J$32:$K$35, 2, FALSE)),1,0)</f>
        <v>0</v>
      </c>
      <c r="AH32">
        <f>IF(AND(VLOOKUP(AH$1,'40Trips'!$A$3:$I$42,8,FALSE)-VLOOKUP($A32,'40Trips'!$A$3:$I$42,9,FALSE)&gt;=VLOOKUP(VLOOKUP(AH$1, '40Trips'!$A$3:$I$42,3,FALSE),'40Trips'!$J$32:$K$35, 2, FALSE)),1,0)</f>
        <v>1</v>
      </c>
      <c r="AI32">
        <f>IF(AND(VLOOKUP(AI$1,'40Trips'!$A$3:$I$42,8,FALSE)-VLOOKUP($A32,'40Trips'!$A$3:$I$42,9,FALSE)&gt;=VLOOKUP(VLOOKUP(AI$1, '40Trips'!$A$3:$I$42,3,FALSE),'40Trips'!$J$32:$K$35, 2, FALSE)),1,0)</f>
        <v>1</v>
      </c>
      <c r="AJ32">
        <f>IF(AND(VLOOKUP(AJ$1,'40Trips'!$A$3:$I$42,8,FALSE)-VLOOKUP($A32,'40Trips'!$A$3:$I$42,9,FALSE)&gt;=VLOOKUP(VLOOKUP(AJ$1, '40Trips'!$A$3:$I$42,3,FALSE),'40Trips'!$J$32:$K$35, 2, FALSE)),1,0)</f>
        <v>1</v>
      </c>
      <c r="AK32">
        <f>IF(AND(VLOOKUP(AK$1,'40Trips'!$A$3:$I$42,8,FALSE)-VLOOKUP($A32,'40Trips'!$A$3:$I$42,9,FALSE)&gt;=VLOOKUP(VLOOKUP(AK$1, '40Trips'!$A$3:$I$42,3,FALSE),'40Trips'!$J$32:$K$35, 2, FALSE)),1,0)</f>
        <v>1</v>
      </c>
      <c r="AL32">
        <f>IF(AND(VLOOKUP(AL$1,'40Trips'!$A$3:$I$42,8,FALSE)-VLOOKUP($A32,'40Trips'!$A$3:$I$42,9,FALSE)&gt;=VLOOKUP(VLOOKUP(AL$1, '40Trips'!$A$3:$I$42,3,FALSE),'40Trips'!$J$32:$K$35, 2, FALSE)),1,0)</f>
        <v>1</v>
      </c>
      <c r="AM32">
        <f>IF(AND(VLOOKUP(AM$1,'40Trips'!$A$3:$I$42,8,FALSE)-VLOOKUP($A32,'40Trips'!$A$3:$I$42,9,FALSE)&gt;=VLOOKUP(VLOOKUP(AM$1, '40Trips'!$A$3:$I$42,3,FALSE),'40Trips'!$J$32:$K$35, 2, FALSE)),1,0)</f>
        <v>0</v>
      </c>
      <c r="AN32">
        <f>IF(AND(VLOOKUP(AN$1,'40Trips'!$A$3:$I$42,8,FALSE)-VLOOKUP($A32,'40Trips'!$A$3:$I$42,9,FALSE)&gt;=VLOOKUP(VLOOKUP(AN$1, '40Trips'!$A$3:$I$42,3,FALSE),'40Trips'!$J$32:$K$35, 2, FALSE)),1,0)</f>
        <v>1</v>
      </c>
      <c r="AO32">
        <f>IF(AND(VLOOKUP(AO$1,'40Trips'!$A$3:$I$42,8,FALSE)-VLOOKUP($A32,'40Trips'!$A$3:$I$42,9,FALSE)&gt;=VLOOKUP(VLOOKUP(AO$1, '40Trips'!$A$3:$I$42,3,FALSE),'40Trips'!$J$32:$K$35, 2, FALSE)),1,0)</f>
        <v>1</v>
      </c>
      <c r="AP32">
        <f>IF(AND(VLOOKUP(AP$1,'40Trips'!$A$3:$I$42,8,FALSE)-VLOOKUP($A32,'40Trips'!$A$3:$I$42,9,FALSE)&gt;=VLOOKUP(VLOOKUP(AP$1, '40Trips'!$A$3:$I$42,3,FALSE),'40Trips'!$J$32:$K$35, 2, FALSE)),1,0)</f>
        <v>1</v>
      </c>
    </row>
    <row r="33" spans="1:42" x14ac:dyDescent="0.25">
      <c r="A33" t="s">
        <v>84</v>
      </c>
      <c r="B33" s="3">
        <v>1</v>
      </c>
      <c r="C33">
        <f>IF(AND(VLOOKUP(C$1,'40Trips'!$A$3:$I$42,8,FALSE)-VLOOKUP($A33,'40Trips'!$A$3:$I$42,9,FALSE)&gt;=VLOOKUP(VLOOKUP(C$1, '40Trips'!$A$3:$I$42,3,FALSE),'40Trips'!$J$32:$K$35, 2, FALSE)),1,0)</f>
        <v>0</v>
      </c>
      <c r="D33">
        <f>IF(AND(VLOOKUP(D$1,'40Trips'!$A$3:$I$42,8,FALSE)-VLOOKUP($A33,'40Trips'!$A$3:$I$42,9,FALSE)&gt;=VLOOKUP(VLOOKUP(D$1, '40Trips'!$A$3:$I$42,3,FALSE),'40Trips'!$J$32:$K$35, 2, FALSE)),1,0)</f>
        <v>0</v>
      </c>
      <c r="E33">
        <f>IF(AND(VLOOKUP(E$1,'40Trips'!$A$3:$I$42,8,FALSE)-VLOOKUP($A33,'40Trips'!$A$3:$I$42,9,FALSE)&gt;=VLOOKUP(VLOOKUP(E$1, '40Trips'!$A$3:$I$42,3,FALSE),'40Trips'!$J$32:$K$35, 2, FALSE)),1,0)</f>
        <v>1</v>
      </c>
      <c r="F33">
        <f>IF(AND(VLOOKUP(F$1,'40Trips'!$A$3:$I$42,8,FALSE)-VLOOKUP($A33,'40Trips'!$A$3:$I$42,9,FALSE)&gt;=VLOOKUP(VLOOKUP(F$1, '40Trips'!$A$3:$I$42,3,FALSE),'40Trips'!$J$32:$K$35, 2, FALSE)),1,0)</f>
        <v>1</v>
      </c>
      <c r="G33">
        <f>IF(AND(VLOOKUP(G$1,'40Trips'!$A$3:$I$42,8,FALSE)-VLOOKUP($A33,'40Trips'!$A$3:$I$42,9,FALSE)&gt;=VLOOKUP(VLOOKUP(G$1, '40Trips'!$A$3:$I$42,3,FALSE),'40Trips'!$J$32:$K$35, 2, FALSE)),1,0)</f>
        <v>0</v>
      </c>
      <c r="H33">
        <f>IF(AND(VLOOKUP(H$1,'40Trips'!$A$3:$I$42,8,FALSE)-VLOOKUP($A33,'40Trips'!$A$3:$I$42,9,FALSE)&gt;=VLOOKUP(VLOOKUP(H$1, '40Trips'!$A$3:$I$42,3,FALSE),'40Trips'!$J$32:$K$35, 2, FALSE)),1,0)</f>
        <v>0</v>
      </c>
      <c r="I33">
        <f>IF(AND(VLOOKUP(I$1,'40Trips'!$A$3:$I$42,8,FALSE)-VLOOKUP($A33,'40Trips'!$A$3:$I$42,9,FALSE)&gt;=VLOOKUP(VLOOKUP(I$1, '40Trips'!$A$3:$I$42,3,FALSE),'40Trips'!$J$32:$K$35, 2, FALSE)),1,0)</f>
        <v>1</v>
      </c>
      <c r="J33">
        <f>IF(AND(VLOOKUP(J$1,'40Trips'!$A$3:$I$42,8,FALSE)-VLOOKUP($A33,'40Trips'!$A$3:$I$42,9,FALSE)&gt;=VLOOKUP(VLOOKUP(J$1, '40Trips'!$A$3:$I$42,3,FALSE),'40Trips'!$J$32:$K$35, 2, FALSE)),1,0)</f>
        <v>1</v>
      </c>
      <c r="K33">
        <f>IF(AND(VLOOKUP(K$1,'40Trips'!$A$3:$I$42,8,FALSE)-VLOOKUP($A33,'40Trips'!$A$3:$I$42,9,FALSE)&gt;=VLOOKUP(VLOOKUP(K$1, '40Trips'!$A$3:$I$42,3,FALSE),'40Trips'!$J$32:$K$35, 2, FALSE)),1,0)</f>
        <v>0</v>
      </c>
      <c r="L33">
        <f>IF(AND(VLOOKUP(L$1,'40Trips'!$A$3:$I$42,8,FALSE)-VLOOKUP($A33,'40Trips'!$A$3:$I$42,9,FALSE)&gt;=VLOOKUP(VLOOKUP(L$1, '40Trips'!$A$3:$I$42,3,FALSE),'40Trips'!$J$32:$K$35, 2, FALSE)),1,0)</f>
        <v>0</v>
      </c>
      <c r="M33">
        <f>IF(AND(VLOOKUP(M$1,'40Trips'!$A$3:$I$42,8,FALSE)-VLOOKUP($A33,'40Trips'!$A$3:$I$42,9,FALSE)&gt;=VLOOKUP(VLOOKUP(M$1, '40Trips'!$A$3:$I$42,3,FALSE),'40Trips'!$J$32:$K$35, 2, FALSE)),1,0)</f>
        <v>1</v>
      </c>
      <c r="N33">
        <f>IF(AND(VLOOKUP(N$1,'40Trips'!$A$3:$I$42,8,FALSE)-VLOOKUP($A33,'40Trips'!$A$3:$I$42,9,FALSE)&gt;=VLOOKUP(VLOOKUP(N$1, '40Trips'!$A$3:$I$42,3,FALSE),'40Trips'!$J$32:$K$35, 2, FALSE)),1,0)</f>
        <v>0</v>
      </c>
      <c r="O33">
        <f>IF(AND(VLOOKUP(O$1,'40Trips'!$A$3:$I$42,8,FALSE)-VLOOKUP($A33,'40Trips'!$A$3:$I$42,9,FALSE)&gt;=VLOOKUP(VLOOKUP(O$1, '40Trips'!$A$3:$I$42,3,FALSE),'40Trips'!$J$32:$K$35, 2, FALSE)),1,0)</f>
        <v>0</v>
      </c>
      <c r="P33">
        <f>IF(AND(VLOOKUP(P$1,'40Trips'!$A$3:$I$42,8,FALSE)-VLOOKUP($A33,'40Trips'!$A$3:$I$42,9,FALSE)&gt;=VLOOKUP(VLOOKUP(P$1, '40Trips'!$A$3:$I$42,3,FALSE),'40Trips'!$J$32:$K$35, 2, FALSE)),1,0)</f>
        <v>0</v>
      </c>
      <c r="Q33">
        <f>IF(AND(VLOOKUP(Q$1,'40Trips'!$A$3:$I$42,8,FALSE)-VLOOKUP($A33,'40Trips'!$A$3:$I$42,9,FALSE)&gt;=VLOOKUP(VLOOKUP(Q$1, '40Trips'!$A$3:$I$42,3,FALSE),'40Trips'!$J$32:$K$35, 2, FALSE)),1,0)</f>
        <v>1</v>
      </c>
      <c r="R33">
        <f>IF(AND(VLOOKUP(R$1,'40Trips'!$A$3:$I$42,8,FALSE)-VLOOKUP($A33,'40Trips'!$A$3:$I$42,9,FALSE)&gt;=VLOOKUP(VLOOKUP(R$1, '40Trips'!$A$3:$I$42,3,FALSE),'40Trips'!$J$32:$K$35, 2, FALSE)),1,0)</f>
        <v>1</v>
      </c>
      <c r="S33">
        <f>IF(AND(VLOOKUP(S$1,'40Trips'!$A$3:$I$42,8,FALSE)-VLOOKUP($A33,'40Trips'!$A$3:$I$42,9,FALSE)&gt;=VLOOKUP(VLOOKUP(S$1, '40Trips'!$A$3:$I$42,3,FALSE),'40Trips'!$J$32:$K$35, 2, FALSE)),1,0)</f>
        <v>0</v>
      </c>
      <c r="T33">
        <f>IF(AND(VLOOKUP(T$1,'40Trips'!$A$3:$I$42,8,FALSE)-VLOOKUP($A33,'40Trips'!$A$3:$I$42,9,FALSE)&gt;=VLOOKUP(VLOOKUP(T$1, '40Trips'!$A$3:$I$42,3,FALSE),'40Trips'!$J$32:$K$35, 2, FALSE)),1,0)</f>
        <v>0</v>
      </c>
      <c r="U33">
        <f>IF(AND(VLOOKUP(U$1,'40Trips'!$A$3:$I$42,8,FALSE)-VLOOKUP($A33,'40Trips'!$A$3:$I$42,9,FALSE)&gt;=VLOOKUP(VLOOKUP(U$1, '40Trips'!$A$3:$I$42,3,FALSE),'40Trips'!$J$32:$K$35, 2, FALSE)),1,0)</f>
        <v>1</v>
      </c>
      <c r="V33">
        <f>IF(AND(VLOOKUP(V$1,'40Trips'!$A$3:$I$42,8,FALSE)-VLOOKUP($A33,'40Trips'!$A$3:$I$42,9,FALSE)&gt;=VLOOKUP(VLOOKUP(V$1, '40Trips'!$A$3:$I$42,3,FALSE),'40Trips'!$J$32:$K$35, 2, FALSE)),1,0)</f>
        <v>1</v>
      </c>
      <c r="W33">
        <f>IF(AND(VLOOKUP(W$1,'40Trips'!$A$3:$I$42,8,FALSE)-VLOOKUP($A33,'40Trips'!$A$3:$I$42,9,FALSE)&gt;=VLOOKUP(VLOOKUP(W$1, '40Trips'!$A$3:$I$42,3,FALSE),'40Trips'!$J$32:$K$35, 2, FALSE)),1,0)</f>
        <v>0</v>
      </c>
      <c r="X33">
        <f>IF(AND(VLOOKUP(X$1,'40Trips'!$A$3:$I$42,8,FALSE)-VLOOKUP($A33,'40Trips'!$A$3:$I$42,9,FALSE)&gt;=VLOOKUP(VLOOKUP(X$1, '40Trips'!$A$3:$I$42,3,FALSE),'40Trips'!$J$32:$K$35, 2, FALSE)),1,0)</f>
        <v>0</v>
      </c>
      <c r="Y33">
        <f>IF(AND(VLOOKUP(Y$1,'40Trips'!$A$3:$I$42,8,FALSE)-VLOOKUP($A33,'40Trips'!$A$3:$I$42,9,FALSE)&gt;=VLOOKUP(VLOOKUP(Y$1, '40Trips'!$A$3:$I$42,3,FALSE),'40Trips'!$J$32:$K$35, 2, FALSE)),1,0)</f>
        <v>1</v>
      </c>
      <c r="Z33">
        <f>IF(AND(VLOOKUP(Z$1,'40Trips'!$A$3:$I$42,8,FALSE)-VLOOKUP($A33,'40Trips'!$A$3:$I$42,9,FALSE)&gt;=VLOOKUP(VLOOKUP(Z$1, '40Trips'!$A$3:$I$42,3,FALSE),'40Trips'!$J$32:$K$35, 2, FALSE)),1,0)</f>
        <v>1</v>
      </c>
      <c r="AA33">
        <f>IF(AND(VLOOKUP(AA$1,'40Trips'!$A$3:$I$42,8,FALSE)-VLOOKUP($A33,'40Trips'!$A$3:$I$42,9,FALSE)&gt;=VLOOKUP(VLOOKUP(AA$1, '40Trips'!$A$3:$I$42,3,FALSE),'40Trips'!$J$32:$K$35, 2, FALSE)),1,0)</f>
        <v>0</v>
      </c>
      <c r="AB33">
        <f>IF(AND(VLOOKUP(AB$1,'40Trips'!$A$3:$I$42,8,FALSE)-VLOOKUP($A33,'40Trips'!$A$3:$I$42,9,FALSE)&gt;=VLOOKUP(VLOOKUP(AB$1, '40Trips'!$A$3:$I$42,3,FALSE),'40Trips'!$J$32:$K$35, 2, FALSE)),1,0)</f>
        <v>0</v>
      </c>
      <c r="AC33">
        <f>IF(AND(VLOOKUP(AC$1,'40Trips'!$A$3:$I$42,8,FALSE)-VLOOKUP($A33,'40Trips'!$A$3:$I$42,9,FALSE)&gt;=VLOOKUP(VLOOKUP(AC$1, '40Trips'!$A$3:$I$42,3,FALSE),'40Trips'!$J$32:$K$35, 2, FALSE)),1,0)</f>
        <v>1</v>
      </c>
      <c r="AD33">
        <f>IF(AND(VLOOKUP(AD$1,'40Trips'!$A$3:$I$42,8,FALSE)-VLOOKUP($A33,'40Trips'!$A$3:$I$42,9,FALSE)&gt;=VLOOKUP(VLOOKUP(AD$1, '40Trips'!$A$3:$I$42,3,FALSE),'40Trips'!$J$32:$K$35, 2, FALSE)),1,0)</f>
        <v>1</v>
      </c>
      <c r="AE33">
        <f>IF(AND(VLOOKUP(AE$1,'40Trips'!$A$3:$I$42,8,FALSE)-VLOOKUP($A33,'40Trips'!$A$3:$I$42,9,FALSE)&gt;=VLOOKUP(VLOOKUP(AE$1, '40Trips'!$A$3:$I$42,3,FALSE),'40Trips'!$J$32:$K$35, 2, FALSE)),1,0)</f>
        <v>0</v>
      </c>
      <c r="AF33">
        <f>IF(AND(VLOOKUP(AF$1,'40Trips'!$A$3:$I$42,8,FALSE)-VLOOKUP($A33,'40Trips'!$A$3:$I$42,9,FALSE)&gt;=VLOOKUP(VLOOKUP(AF$1, '40Trips'!$A$3:$I$42,3,FALSE),'40Trips'!$J$32:$K$35, 2, FALSE)),1,0)</f>
        <v>0</v>
      </c>
      <c r="AG33">
        <f>IF(AND(VLOOKUP(AG$1,'40Trips'!$A$3:$I$42,8,FALSE)-VLOOKUP($A33,'40Trips'!$A$3:$I$42,9,FALSE)&gt;=VLOOKUP(VLOOKUP(AG$1, '40Trips'!$A$3:$I$42,3,FALSE),'40Trips'!$J$32:$K$35, 2, FALSE)),1,0)</f>
        <v>0</v>
      </c>
      <c r="AH33">
        <f>IF(AND(VLOOKUP(AH$1,'40Trips'!$A$3:$I$42,8,FALSE)-VLOOKUP($A33,'40Trips'!$A$3:$I$42,9,FALSE)&gt;=VLOOKUP(VLOOKUP(AH$1, '40Trips'!$A$3:$I$42,3,FALSE),'40Trips'!$J$32:$K$35, 2, FALSE)),1,0)</f>
        <v>1</v>
      </c>
      <c r="AI33">
        <f>IF(AND(VLOOKUP(AI$1,'40Trips'!$A$3:$I$42,8,FALSE)-VLOOKUP($A33,'40Trips'!$A$3:$I$42,9,FALSE)&gt;=VLOOKUP(VLOOKUP(AI$1, '40Trips'!$A$3:$I$42,3,FALSE),'40Trips'!$J$32:$K$35, 2, FALSE)),1,0)</f>
        <v>0</v>
      </c>
      <c r="AJ33">
        <f>IF(AND(VLOOKUP(AJ$1,'40Trips'!$A$3:$I$42,8,FALSE)-VLOOKUP($A33,'40Trips'!$A$3:$I$42,9,FALSE)&gt;=VLOOKUP(VLOOKUP(AJ$1, '40Trips'!$A$3:$I$42,3,FALSE),'40Trips'!$J$32:$K$35, 2, FALSE)),1,0)</f>
        <v>1</v>
      </c>
      <c r="AK33">
        <f>IF(AND(VLOOKUP(AK$1,'40Trips'!$A$3:$I$42,8,FALSE)-VLOOKUP($A33,'40Trips'!$A$3:$I$42,9,FALSE)&gt;=VLOOKUP(VLOOKUP(AK$1, '40Trips'!$A$3:$I$42,3,FALSE),'40Trips'!$J$32:$K$35, 2, FALSE)),1,0)</f>
        <v>1</v>
      </c>
      <c r="AL33">
        <f>IF(AND(VLOOKUP(AL$1,'40Trips'!$A$3:$I$42,8,FALSE)-VLOOKUP($A33,'40Trips'!$A$3:$I$42,9,FALSE)&gt;=VLOOKUP(VLOOKUP(AL$1, '40Trips'!$A$3:$I$42,3,FALSE),'40Trips'!$J$32:$K$35, 2, FALSE)),1,0)</f>
        <v>1</v>
      </c>
      <c r="AM33">
        <f>IF(AND(VLOOKUP(AM$1,'40Trips'!$A$3:$I$42,8,FALSE)-VLOOKUP($A33,'40Trips'!$A$3:$I$42,9,FALSE)&gt;=VLOOKUP(VLOOKUP(AM$1, '40Trips'!$A$3:$I$42,3,FALSE),'40Trips'!$J$32:$K$35, 2, FALSE)),1,0)</f>
        <v>0</v>
      </c>
      <c r="AN33">
        <f>IF(AND(VLOOKUP(AN$1,'40Trips'!$A$3:$I$42,8,FALSE)-VLOOKUP($A33,'40Trips'!$A$3:$I$42,9,FALSE)&gt;=VLOOKUP(VLOOKUP(AN$1, '40Trips'!$A$3:$I$42,3,FALSE),'40Trips'!$J$32:$K$35, 2, FALSE)),1,0)</f>
        <v>1</v>
      </c>
      <c r="AO33">
        <f>IF(AND(VLOOKUP(AO$1,'40Trips'!$A$3:$I$42,8,FALSE)-VLOOKUP($A33,'40Trips'!$A$3:$I$42,9,FALSE)&gt;=VLOOKUP(VLOOKUP(AO$1, '40Trips'!$A$3:$I$42,3,FALSE),'40Trips'!$J$32:$K$35, 2, FALSE)),1,0)</f>
        <v>1</v>
      </c>
      <c r="AP33">
        <f>IF(AND(VLOOKUP(AP$1,'40Trips'!$A$3:$I$42,8,FALSE)-VLOOKUP($A33,'40Trips'!$A$3:$I$42,9,FALSE)&gt;=VLOOKUP(VLOOKUP(AP$1, '40Trips'!$A$3:$I$42,3,FALSE),'40Trips'!$J$32:$K$35, 2, FALSE)),1,0)</f>
        <v>1</v>
      </c>
    </row>
    <row r="34" spans="1:42" x14ac:dyDescent="0.25">
      <c r="A34" t="s">
        <v>85</v>
      </c>
      <c r="B34" s="3">
        <v>1</v>
      </c>
      <c r="C34">
        <f>IF(AND(VLOOKUP(C$1,'40Trips'!$A$3:$I$42,8,FALSE)-VLOOKUP($A34,'40Trips'!$A$3:$I$42,9,FALSE)&gt;=VLOOKUP(VLOOKUP(C$1, '40Trips'!$A$3:$I$42,3,FALSE),'40Trips'!$J$32:$K$35, 2, FALSE)),1,0)</f>
        <v>0</v>
      </c>
      <c r="D34">
        <f>IF(AND(VLOOKUP(D$1,'40Trips'!$A$3:$I$42,8,FALSE)-VLOOKUP($A34,'40Trips'!$A$3:$I$42,9,FALSE)&gt;=VLOOKUP(VLOOKUP(D$1, '40Trips'!$A$3:$I$42,3,FALSE),'40Trips'!$J$32:$K$35, 2, FALSE)),1,0)</f>
        <v>0</v>
      </c>
      <c r="E34">
        <f>IF(AND(VLOOKUP(E$1,'40Trips'!$A$3:$I$42,8,FALSE)-VLOOKUP($A34,'40Trips'!$A$3:$I$42,9,FALSE)&gt;=VLOOKUP(VLOOKUP(E$1, '40Trips'!$A$3:$I$42,3,FALSE),'40Trips'!$J$32:$K$35, 2, FALSE)),1,0)</f>
        <v>0</v>
      </c>
      <c r="F34">
        <f>IF(AND(VLOOKUP(F$1,'40Trips'!$A$3:$I$42,8,FALSE)-VLOOKUP($A34,'40Trips'!$A$3:$I$42,9,FALSE)&gt;=VLOOKUP(VLOOKUP(F$1, '40Trips'!$A$3:$I$42,3,FALSE),'40Trips'!$J$32:$K$35, 2, FALSE)),1,0)</f>
        <v>1</v>
      </c>
      <c r="G34">
        <f>IF(AND(VLOOKUP(G$1,'40Trips'!$A$3:$I$42,8,FALSE)-VLOOKUP($A34,'40Trips'!$A$3:$I$42,9,FALSE)&gt;=VLOOKUP(VLOOKUP(G$1, '40Trips'!$A$3:$I$42,3,FALSE),'40Trips'!$J$32:$K$35, 2, FALSE)),1,0)</f>
        <v>0</v>
      </c>
      <c r="H34">
        <f>IF(AND(VLOOKUP(H$1,'40Trips'!$A$3:$I$42,8,FALSE)-VLOOKUP($A34,'40Trips'!$A$3:$I$42,9,FALSE)&gt;=VLOOKUP(VLOOKUP(H$1, '40Trips'!$A$3:$I$42,3,FALSE),'40Trips'!$J$32:$K$35, 2, FALSE)),1,0)</f>
        <v>0</v>
      </c>
      <c r="I34">
        <f>IF(AND(VLOOKUP(I$1,'40Trips'!$A$3:$I$42,8,FALSE)-VLOOKUP($A34,'40Trips'!$A$3:$I$42,9,FALSE)&gt;=VLOOKUP(VLOOKUP(I$1, '40Trips'!$A$3:$I$42,3,FALSE),'40Trips'!$J$32:$K$35, 2, FALSE)),1,0)</f>
        <v>0</v>
      </c>
      <c r="J34">
        <f>IF(AND(VLOOKUP(J$1,'40Trips'!$A$3:$I$42,8,FALSE)-VLOOKUP($A34,'40Trips'!$A$3:$I$42,9,FALSE)&gt;=VLOOKUP(VLOOKUP(J$1, '40Trips'!$A$3:$I$42,3,FALSE),'40Trips'!$J$32:$K$35, 2, FALSE)),1,0)</f>
        <v>1</v>
      </c>
      <c r="K34">
        <f>IF(AND(VLOOKUP(K$1,'40Trips'!$A$3:$I$42,8,FALSE)-VLOOKUP($A34,'40Trips'!$A$3:$I$42,9,FALSE)&gt;=VLOOKUP(VLOOKUP(K$1, '40Trips'!$A$3:$I$42,3,FALSE),'40Trips'!$J$32:$K$35, 2, FALSE)),1,0)</f>
        <v>0</v>
      </c>
      <c r="L34">
        <f>IF(AND(VLOOKUP(L$1,'40Trips'!$A$3:$I$42,8,FALSE)-VLOOKUP($A34,'40Trips'!$A$3:$I$42,9,FALSE)&gt;=VLOOKUP(VLOOKUP(L$1, '40Trips'!$A$3:$I$42,3,FALSE),'40Trips'!$J$32:$K$35, 2, FALSE)),1,0)</f>
        <v>0</v>
      </c>
      <c r="M34">
        <f>IF(AND(VLOOKUP(M$1,'40Trips'!$A$3:$I$42,8,FALSE)-VLOOKUP($A34,'40Trips'!$A$3:$I$42,9,FALSE)&gt;=VLOOKUP(VLOOKUP(M$1, '40Trips'!$A$3:$I$42,3,FALSE),'40Trips'!$J$32:$K$35, 2, FALSE)),1,0)</f>
        <v>0</v>
      </c>
      <c r="N34">
        <f>IF(AND(VLOOKUP(N$1,'40Trips'!$A$3:$I$42,8,FALSE)-VLOOKUP($A34,'40Trips'!$A$3:$I$42,9,FALSE)&gt;=VLOOKUP(VLOOKUP(N$1, '40Trips'!$A$3:$I$42,3,FALSE),'40Trips'!$J$32:$K$35, 2, FALSE)),1,0)</f>
        <v>0</v>
      </c>
      <c r="O34">
        <f>IF(AND(VLOOKUP(O$1,'40Trips'!$A$3:$I$42,8,FALSE)-VLOOKUP($A34,'40Trips'!$A$3:$I$42,9,FALSE)&gt;=VLOOKUP(VLOOKUP(O$1, '40Trips'!$A$3:$I$42,3,FALSE),'40Trips'!$J$32:$K$35, 2, FALSE)),1,0)</f>
        <v>0</v>
      </c>
      <c r="P34">
        <f>IF(AND(VLOOKUP(P$1,'40Trips'!$A$3:$I$42,8,FALSE)-VLOOKUP($A34,'40Trips'!$A$3:$I$42,9,FALSE)&gt;=VLOOKUP(VLOOKUP(P$1, '40Trips'!$A$3:$I$42,3,FALSE),'40Trips'!$J$32:$K$35, 2, FALSE)),1,0)</f>
        <v>0</v>
      </c>
      <c r="Q34">
        <f>IF(AND(VLOOKUP(Q$1,'40Trips'!$A$3:$I$42,8,FALSE)-VLOOKUP($A34,'40Trips'!$A$3:$I$42,9,FALSE)&gt;=VLOOKUP(VLOOKUP(Q$1, '40Trips'!$A$3:$I$42,3,FALSE),'40Trips'!$J$32:$K$35, 2, FALSE)),1,0)</f>
        <v>0</v>
      </c>
      <c r="R34">
        <f>IF(AND(VLOOKUP(R$1,'40Trips'!$A$3:$I$42,8,FALSE)-VLOOKUP($A34,'40Trips'!$A$3:$I$42,9,FALSE)&gt;=VLOOKUP(VLOOKUP(R$1, '40Trips'!$A$3:$I$42,3,FALSE),'40Trips'!$J$32:$K$35, 2, FALSE)),1,0)</f>
        <v>0</v>
      </c>
      <c r="S34">
        <f>IF(AND(VLOOKUP(S$1,'40Trips'!$A$3:$I$42,8,FALSE)-VLOOKUP($A34,'40Trips'!$A$3:$I$42,9,FALSE)&gt;=VLOOKUP(VLOOKUP(S$1, '40Trips'!$A$3:$I$42,3,FALSE),'40Trips'!$J$32:$K$35, 2, FALSE)),1,0)</f>
        <v>0</v>
      </c>
      <c r="T34">
        <f>IF(AND(VLOOKUP(T$1,'40Trips'!$A$3:$I$42,8,FALSE)-VLOOKUP($A34,'40Trips'!$A$3:$I$42,9,FALSE)&gt;=VLOOKUP(VLOOKUP(T$1, '40Trips'!$A$3:$I$42,3,FALSE),'40Trips'!$J$32:$K$35, 2, FALSE)),1,0)</f>
        <v>0</v>
      </c>
      <c r="U34">
        <f>IF(AND(VLOOKUP(U$1,'40Trips'!$A$3:$I$42,8,FALSE)-VLOOKUP($A34,'40Trips'!$A$3:$I$42,9,FALSE)&gt;=VLOOKUP(VLOOKUP(U$1, '40Trips'!$A$3:$I$42,3,FALSE),'40Trips'!$J$32:$K$35, 2, FALSE)),1,0)</f>
        <v>0</v>
      </c>
      <c r="V34">
        <f>IF(AND(VLOOKUP(V$1,'40Trips'!$A$3:$I$42,8,FALSE)-VLOOKUP($A34,'40Trips'!$A$3:$I$42,9,FALSE)&gt;=VLOOKUP(VLOOKUP(V$1, '40Trips'!$A$3:$I$42,3,FALSE),'40Trips'!$J$32:$K$35, 2, FALSE)),1,0)</f>
        <v>1</v>
      </c>
      <c r="W34">
        <f>IF(AND(VLOOKUP(W$1,'40Trips'!$A$3:$I$42,8,FALSE)-VLOOKUP($A34,'40Trips'!$A$3:$I$42,9,FALSE)&gt;=VLOOKUP(VLOOKUP(W$1, '40Trips'!$A$3:$I$42,3,FALSE),'40Trips'!$J$32:$K$35, 2, FALSE)),1,0)</f>
        <v>0</v>
      </c>
      <c r="X34">
        <f>IF(AND(VLOOKUP(X$1,'40Trips'!$A$3:$I$42,8,FALSE)-VLOOKUP($A34,'40Trips'!$A$3:$I$42,9,FALSE)&gt;=VLOOKUP(VLOOKUP(X$1, '40Trips'!$A$3:$I$42,3,FALSE),'40Trips'!$J$32:$K$35, 2, FALSE)),1,0)</f>
        <v>0</v>
      </c>
      <c r="Y34">
        <f>IF(AND(VLOOKUP(Y$1,'40Trips'!$A$3:$I$42,8,FALSE)-VLOOKUP($A34,'40Trips'!$A$3:$I$42,9,FALSE)&gt;=VLOOKUP(VLOOKUP(Y$1, '40Trips'!$A$3:$I$42,3,FALSE),'40Trips'!$J$32:$K$35, 2, FALSE)),1,0)</f>
        <v>0</v>
      </c>
      <c r="Z34">
        <f>IF(AND(VLOOKUP(Z$1,'40Trips'!$A$3:$I$42,8,FALSE)-VLOOKUP($A34,'40Trips'!$A$3:$I$42,9,FALSE)&gt;=VLOOKUP(VLOOKUP(Z$1, '40Trips'!$A$3:$I$42,3,FALSE),'40Trips'!$J$32:$K$35, 2, FALSE)),1,0)</f>
        <v>1</v>
      </c>
      <c r="AA34">
        <f>IF(AND(VLOOKUP(AA$1,'40Trips'!$A$3:$I$42,8,FALSE)-VLOOKUP($A34,'40Trips'!$A$3:$I$42,9,FALSE)&gt;=VLOOKUP(VLOOKUP(AA$1, '40Trips'!$A$3:$I$42,3,FALSE),'40Trips'!$J$32:$K$35, 2, FALSE)),1,0)</f>
        <v>0</v>
      </c>
      <c r="AB34">
        <f>IF(AND(VLOOKUP(AB$1,'40Trips'!$A$3:$I$42,8,FALSE)-VLOOKUP($A34,'40Trips'!$A$3:$I$42,9,FALSE)&gt;=VLOOKUP(VLOOKUP(AB$1, '40Trips'!$A$3:$I$42,3,FALSE),'40Trips'!$J$32:$K$35, 2, FALSE)),1,0)</f>
        <v>0</v>
      </c>
      <c r="AC34">
        <f>IF(AND(VLOOKUP(AC$1,'40Trips'!$A$3:$I$42,8,FALSE)-VLOOKUP($A34,'40Trips'!$A$3:$I$42,9,FALSE)&gt;=VLOOKUP(VLOOKUP(AC$1, '40Trips'!$A$3:$I$42,3,FALSE),'40Trips'!$J$32:$K$35, 2, FALSE)),1,0)</f>
        <v>0</v>
      </c>
      <c r="AD34">
        <f>IF(AND(VLOOKUP(AD$1,'40Trips'!$A$3:$I$42,8,FALSE)-VLOOKUP($A34,'40Trips'!$A$3:$I$42,9,FALSE)&gt;=VLOOKUP(VLOOKUP(AD$1, '40Trips'!$A$3:$I$42,3,FALSE),'40Trips'!$J$32:$K$35, 2, FALSE)),1,0)</f>
        <v>1</v>
      </c>
      <c r="AE34">
        <f>IF(AND(VLOOKUP(AE$1,'40Trips'!$A$3:$I$42,8,FALSE)-VLOOKUP($A34,'40Trips'!$A$3:$I$42,9,FALSE)&gt;=VLOOKUP(VLOOKUP(AE$1, '40Trips'!$A$3:$I$42,3,FALSE),'40Trips'!$J$32:$K$35, 2, FALSE)),1,0)</f>
        <v>0</v>
      </c>
      <c r="AF34">
        <f>IF(AND(VLOOKUP(AF$1,'40Trips'!$A$3:$I$42,8,FALSE)-VLOOKUP($A34,'40Trips'!$A$3:$I$42,9,FALSE)&gt;=VLOOKUP(VLOOKUP(AF$1, '40Trips'!$A$3:$I$42,3,FALSE),'40Trips'!$J$32:$K$35, 2, FALSE)),1,0)</f>
        <v>0</v>
      </c>
      <c r="AG34">
        <f>IF(AND(VLOOKUP(AG$1,'40Trips'!$A$3:$I$42,8,FALSE)-VLOOKUP($A34,'40Trips'!$A$3:$I$42,9,FALSE)&gt;=VLOOKUP(VLOOKUP(AG$1, '40Trips'!$A$3:$I$42,3,FALSE),'40Trips'!$J$32:$K$35, 2, FALSE)),1,0)</f>
        <v>0</v>
      </c>
      <c r="AH34">
        <f>IF(AND(VLOOKUP(AH$1,'40Trips'!$A$3:$I$42,8,FALSE)-VLOOKUP($A34,'40Trips'!$A$3:$I$42,9,FALSE)&gt;=VLOOKUP(VLOOKUP(AH$1, '40Trips'!$A$3:$I$42,3,FALSE),'40Trips'!$J$32:$K$35, 2, FALSE)),1,0)</f>
        <v>0</v>
      </c>
      <c r="AI34">
        <f>IF(AND(VLOOKUP(AI$1,'40Trips'!$A$3:$I$42,8,FALSE)-VLOOKUP($A34,'40Trips'!$A$3:$I$42,9,FALSE)&gt;=VLOOKUP(VLOOKUP(AI$1, '40Trips'!$A$3:$I$42,3,FALSE),'40Trips'!$J$32:$K$35, 2, FALSE)),1,0)</f>
        <v>0</v>
      </c>
      <c r="AJ34">
        <f>IF(AND(VLOOKUP(AJ$1,'40Trips'!$A$3:$I$42,8,FALSE)-VLOOKUP($A34,'40Trips'!$A$3:$I$42,9,FALSE)&gt;=VLOOKUP(VLOOKUP(AJ$1, '40Trips'!$A$3:$I$42,3,FALSE),'40Trips'!$J$32:$K$35, 2, FALSE)),1,0)</f>
        <v>0</v>
      </c>
      <c r="AK34">
        <f>IF(AND(VLOOKUP(AK$1,'40Trips'!$A$3:$I$42,8,FALSE)-VLOOKUP($A34,'40Trips'!$A$3:$I$42,9,FALSE)&gt;=VLOOKUP(VLOOKUP(AK$1, '40Trips'!$A$3:$I$42,3,FALSE),'40Trips'!$J$32:$K$35, 2, FALSE)),1,0)</f>
        <v>0</v>
      </c>
      <c r="AL34">
        <f>IF(AND(VLOOKUP(AL$1,'40Trips'!$A$3:$I$42,8,FALSE)-VLOOKUP($A34,'40Trips'!$A$3:$I$42,9,FALSE)&gt;=VLOOKUP(VLOOKUP(AL$1, '40Trips'!$A$3:$I$42,3,FALSE),'40Trips'!$J$32:$K$35, 2, FALSE)),1,0)</f>
        <v>1</v>
      </c>
      <c r="AM34">
        <f>IF(AND(VLOOKUP(AM$1,'40Trips'!$A$3:$I$42,8,FALSE)-VLOOKUP($A34,'40Trips'!$A$3:$I$42,9,FALSE)&gt;=VLOOKUP(VLOOKUP(AM$1, '40Trips'!$A$3:$I$42,3,FALSE),'40Trips'!$J$32:$K$35, 2, FALSE)),1,0)</f>
        <v>0</v>
      </c>
      <c r="AN34">
        <f>IF(AND(VLOOKUP(AN$1,'40Trips'!$A$3:$I$42,8,FALSE)-VLOOKUP($A34,'40Trips'!$A$3:$I$42,9,FALSE)&gt;=VLOOKUP(VLOOKUP(AN$1, '40Trips'!$A$3:$I$42,3,FALSE),'40Trips'!$J$32:$K$35, 2, FALSE)),1,0)</f>
        <v>0</v>
      </c>
      <c r="AO34">
        <f>IF(AND(VLOOKUP(AO$1,'40Trips'!$A$3:$I$42,8,FALSE)-VLOOKUP($A34,'40Trips'!$A$3:$I$42,9,FALSE)&gt;=VLOOKUP(VLOOKUP(AO$1, '40Trips'!$A$3:$I$42,3,FALSE),'40Trips'!$J$32:$K$35, 2, FALSE)),1,0)</f>
        <v>0</v>
      </c>
      <c r="AP34">
        <f>IF(AND(VLOOKUP(AP$1,'40Trips'!$A$3:$I$42,8,FALSE)-VLOOKUP($A34,'40Trips'!$A$3:$I$42,9,FALSE)&gt;=VLOOKUP(VLOOKUP(AP$1, '40Trips'!$A$3:$I$42,3,FALSE),'40Trips'!$J$32:$K$35, 2, FALSE)),1,0)</f>
        <v>1</v>
      </c>
    </row>
    <row r="35" spans="1:42" x14ac:dyDescent="0.25">
      <c r="A35" t="s">
        <v>40</v>
      </c>
      <c r="B35" s="3">
        <v>1</v>
      </c>
      <c r="C35">
        <f>IF(AND(VLOOKUP(C$1,'40Trips'!$A$3:$I$42,8,FALSE)-VLOOKUP($A35,'40Trips'!$A$3:$I$42,9,FALSE)&gt;=VLOOKUP(VLOOKUP(C$1, '40Trips'!$A$3:$I$42,3,FALSE),'40Trips'!$J$32:$K$35, 2, FALSE)),1,0)</f>
        <v>0</v>
      </c>
      <c r="D35">
        <f>IF(AND(VLOOKUP(D$1,'40Trips'!$A$3:$I$42,8,FALSE)-VLOOKUP($A35,'40Trips'!$A$3:$I$42,9,FALSE)&gt;=VLOOKUP(VLOOKUP(D$1, '40Trips'!$A$3:$I$42,3,FALSE),'40Trips'!$J$32:$K$35, 2, FALSE)),1,0)</f>
        <v>0</v>
      </c>
      <c r="E35">
        <f>IF(AND(VLOOKUP(E$1,'40Trips'!$A$3:$I$42,8,FALSE)-VLOOKUP($A35,'40Trips'!$A$3:$I$42,9,FALSE)&gt;=VLOOKUP(VLOOKUP(E$1, '40Trips'!$A$3:$I$42,3,FALSE),'40Trips'!$J$32:$K$35, 2, FALSE)),1,0)</f>
        <v>0</v>
      </c>
      <c r="F35">
        <f>IF(AND(VLOOKUP(F$1,'40Trips'!$A$3:$I$42,8,FALSE)-VLOOKUP($A35,'40Trips'!$A$3:$I$42,9,FALSE)&gt;=VLOOKUP(VLOOKUP(F$1, '40Trips'!$A$3:$I$42,3,FALSE),'40Trips'!$J$32:$K$35, 2, FALSE)),1,0)</f>
        <v>1</v>
      </c>
      <c r="G35">
        <f>IF(AND(VLOOKUP(G$1,'40Trips'!$A$3:$I$42,8,FALSE)-VLOOKUP($A35,'40Trips'!$A$3:$I$42,9,FALSE)&gt;=VLOOKUP(VLOOKUP(G$1, '40Trips'!$A$3:$I$42,3,FALSE),'40Trips'!$J$32:$K$35, 2, FALSE)),1,0)</f>
        <v>0</v>
      </c>
      <c r="H35">
        <f>IF(AND(VLOOKUP(H$1,'40Trips'!$A$3:$I$42,8,FALSE)-VLOOKUP($A35,'40Trips'!$A$3:$I$42,9,FALSE)&gt;=VLOOKUP(VLOOKUP(H$1, '40Trips'!$A$3:$I$42,3,FALSE),'40Trips'!$J$32:$K$35, 2, FALSE)),1,0)</f>
        <v>0</v>
      </c>
      <c r="I35">
        <f>IF(AND(VLOOKUP(I$1,'40Trips'!$A$3:$I$42,8,FALSE)-VLOOKUP($A35,'40Trips'!$A$3:$I$42,9,FALSE)&gt;=VLOOKUP(VLOOKUP(I$1, '40Trips'!$A$3:$I$42,3,FALSE),'40Trips'!$J$32:$K$35, 2, FALSE)),1,0)</f>
        <v>0</v>
      </c>
      <c r="J35">
        <f>IF(AND(VLOOKUP(J$1,'40Trips'!$A$3:$I$42,8,FALSE)-VLOOKUP($A35,'40Trips'!$A$3:$I$42,9,FALSE)&gt;=VLOOKUP(VLOOKUP(J$1, '40Trips'!$A$3:$I$42,3,FALSE),'40Trips'!$J$32:$K$35, 2, FALSE)),1,0)</f>
        <v>1</v>
      </c>
      <c r="K35">
        <f>IF(AND(VLOOKUP(K$1,'40Trips'!$A$3:$I$42,8,FALSE)-VLOOKUP($A35,'40Trips'!$A$3:$I$42,9,FALSE)&gt;=VLOOKUP(VLOOKUP(K$1, '40Trips'!$A$3:$I$42,3,FALSE),'40Trips'!$J$32:$K$35, 2, FALSE)),1,0)</f>
        <v>0</v>
      </c>
      <c r="L35">
        <f>IF(AND(VLOOKUP(L$1,'40Trips'!$A$3:$I$42,8,FALSE)-VLOOKUP($A35,'40Trips'!$A$3:$I$42,9,FALSE)&gt;=VLOOKUP(VLOOKUP(L$1, '40Trips'!$A$3:$I$42,3,FALSE),'40Trips'!$J$32:$K$35, 2, FALSE)),1,0)</f>
        <v>0</v>
      </c>
      <c r="M35">
        <f>IF(AND(VLOOKUP(M$1,'40Trips'!$A$3:$I$42,8,FALSE)-VLOOKUP($A35,'40Trips'!$A$3:$I$42,9,FALSE)&gt;=VLOOKUP(VLOOKUP(M$1, '40Trips'!$A$3:$I$42,3,FALSE),'40Trips'!$J$32:$K$35, 2, FALSE)),1,0)</f>
        <v>0</v>
      </c>
      <c r="N35">
        <f>IF(AND(VLOOKUP(N$1,'40Trips'!$A$3:$I$42,8,FALSE)-VLOOKUP($A35,'40Trips'!$A$3:$I$42,9,FALSE)&gt;=VLOOKUP(VLOOKUP(N$1, '40Trips'!$A$3:$I$42,3,FALSE),'40Trips'!$J$32:$K$35, 2, FALSE)),1,0)</f>
        <v>0</v>
      </c>
      <c r="O35">
        <f>IF(AND(VLOOKUP(O$1,'40Trips'!$A$3:$I$42,8,FALSE)-VLOOKUP($A35,'40Trips'!$A$3:$I$42,9,FALSE)&gt;=VLOOKUP(VLOOKUP(O$1, '40Trips'!$A$3:$I$42,3,FALSE),'40Trips'!$J$32:$K$35, 2, FALSE)),1,0)</f>
        <v>0</v>
      </c>
      <c r="P35">
        <f>IF(AND(VLOOKUP(P$1,'40Trips'!$A$3:$I$42,8,FALSE)-VLOOKUP($A35,'40Trips'!$A$3:$I$42,9,FALSE)&gt;=VLOOKUP(VLOOKUP(P$1, '40Trips'!$A$3:$I$42,3,FALSE),'40Trips'!$J$32:$K$35, 2, FALSE)),1,0)</f>
        <v>0</v>
      </c>
      <c r="Q35">
        <f>IF(AND(VLOOKUP(Q$1,'40Trips'!$A$3:$I$42,8,FALSE)-VLOOKUP($A35,'40Trips'!$A$3:$I$42,9,FALSE)&gt;=VLOOKUP(VLOOKUP(Q$1, '40Trips'!$A$3:$I$42,3,FALSE),'40Trips'!$J$32:$K$35, 2, FALSE)),1,0)</f>
        <v>0</v>
      </c>
      <c r="R35">
        <f>IF(AND(VLOOKUP(R$1,'40Trips'!$A$3:$I$42,8,FALSE)-VLOOKUP($A35,'40Trips'!$A$3:$I$42,9,FALSE)&gt;=VLOOKUP(VLOOKUP(R$1, '40Trips'!$A$3:$I$42,3,FALSE),'40Trips'!$J$32:$K$35, 2, FALSE)),1,0)</f>
        <v>1</v>
      </c>
      <c r="S35">
        <f>IF(AND(VLOOKUP(S$1,'40Trips'!$A$3:$I$42,8,FALSE)-VLOOKUP($A35,'40Trips'!$A$3:$I$42,9,FALSE)&gt;=VLOOKUP(VLOOKUP(S$1, '40Trips'!$A$3:$I$42,3,FALSE),'40Trips'!$J$32:$K$35, 2, FALSE)),1,0)</f>
        <v>0</v>
      </c>
      <c r="T35">
        <f>IF(AND(VLOOKUP(T$1,'40Trips'!$A$3:$I$42,8,FALSE)-VLOOKUP($A35,'40Trips'!$A$3:$I$42,9,FALSE)&gt;=VLOOKUP(VLOOKUP(T$1, '40Trips'!$A$3:$I$42,3,FALSE),'40Trips'!$J$32:$K$35, 2, FALSE)),1,0)</f>
        <v>0</v>
      </c>
      <c r="U35">
        <f>IF(AND(VLOOKUP(U$1,'40Trips'!$A$3:$I$42,8,FALSE)-VLOOKUP($A35,'40Trips'!$A$3:$I$42,9,FALSE)&gt;=VLOOKUP(VLOOKUP(U$1, '40Trips'!$A$3:$I$42,3,FALSE),'40Trips'!$J$32:$K$35, 2, FALSE)),1,0)</f>
        <v>0</v>
      </c>
      <c r="V35">
        <f>IF(AND(VLOOKUP(V$1,'40Trips'!$A$3:$I$42,8,FALSE)-VLOOKUP($A35,'40Trips'!$A$3:$I$42,9,FALSE)&gt;=VLOOKUP(VLOOKUP(V$1, '40Trips'!$A$3:$I$42,3,FALSE),'40Trips'!$J$32:$K$35, 2, FALSE)),1,0)</f>
        <v>1</v>
      </c>
      <c r="W35">
        <f>IF(AND(VLOOKUP(W$1,'40Trips'!$A$3:$I$42,8,FALSE)-VLOOKUP($A35,'40Trips'!$A$3:$I$42,9,FALSE)&gt;=VLOOKUP(VLOOKUP(W$1, '40Trips'!$A$3:$I$42,3,FALSE),'40Trips'!$J$32:$K$35, 2, FALSE)),1,0)</f>
        <v>0</v>
      </c>
      <c r="X35">
        <f>IF(AND(VLOOKUP(X$1,'40Trips'!$A$3:$I$42,8,FALSE)-VLOOKUP($A35,'40Trips'!$A$3:$I$42,9,FALSE)&gt;=VLOOKUP(VLOOKUP(X$1, '40Trips'!$A$3:$I$42,3,FALSE),'40Trips'!$J$32:$K$35, 2, FALSE)),1,0)</f>
        <v>0</v>
      </c>
      <c r="Y35">
        <f>IF(AND(VLOOKUP(Y$1,'40Trips'!$A$3:$I$42,8,FALSE)-VLOOKUP($A35,'40Trips'!$A$3:$I$42,9,FALSE)&gt;=VLOOKUP(VLOOKUP(Y$1, '40Trips'!$A$3:$I$42,3,FALSE),'40Trips'!$J$32:$K$35, 2, FALSE)),1,0)</f>
        <v>0</v>
      </c>
      <c r="Z35">
        <f>IF(AND(VLOOKUP(Z$1,'40Trips'!$A$3:$I$42,8,FALSE)-VLOOKUP($A35,'40Trips'!$A$3:$I$42,9,FALSE)&gt;=VLOOKUP(VLOOKUP(Z$1, '40Trips'!$A$3:$I$42,3,FALSE),'40Trips'!$J$32:$K$35, 2, FALSE)),1,0)</f>
        <v>1</v>
      </c>
      <c r="AA35">
        <f>IF(AND(VLOOKUP(AA$1,'40Trips'!$A$3:$I$42,8,FALSE)-VLOOKUP($A35,'40Trips'!$A$3:$I$42,9,FALSE)&gt;=VLOOKUP(VLOOKUP(AA$1, '40Trips'!$A$3:$I$42,3,FALSE),'40Trips'!$J$32:$K$35, 2, FALSE)),1,0)</f>
        <v>0</v>
      </c>
      <c r="AB35">
        <f>IF(AND(VLOOKUP(AB$1,'40Trips'!$A$3:$I$42,8,FALSE)-VLOOKUP($A35,'40Trips'!$A$3:$I$42,9,FALSE)&gt;=VLOOKUP(VLOOKUP(AB$1, '40Trips'!$A$3:$I$42,3,FALSE),'40Trips'!$J$32:$K$35, 2, FALSE)),1,0)</f>
        <v>0</v>
      </c>
      <c r="AC35">
        <f>IF(AND(VLOOKUP(AC$1,'40Trips'!$A$3:$I$42,8,FALSE)-VLOOKUP($A35,'40Trips'!$A$3:$I$42,9,FALSE)&gt;=VLOOKUP(VLOOKUP(AC$1, '40Trips'!$A$3:$I$42,3,FALSE),'40Trips'!$J$32:$K$35, 2, FALSE)),1,0)</f>
        <v>1</v>
      </c>
      <c r="AD35">
        <f>IF(AND(VLOOKUP(AD$1,'40Trips'!$A$3:$I$42,8,FALSE)-VLOOKUP($A35,'40Trips'!$A$3:$I$42,9,FALSE)&gt;=VLOOKUP(VLOOKUP(AD$1, '40Trips'!$A$3:$I$42,3,FALSE),'40Trips'!$J$32:$K$35, 2, FALSE)),1,0)</f>
        <v>1</v>
      </c>
      <c r="AE35">
        <f>IF(AND(VLOOKUP(AE$1,'40Trips'!$A$3:$I$42,8,FALSE)-VLOOKUP($A35,'40Trips'!$A$3:$I$42,9,FALSE)&gt;=VLOOKUP(VLOOKUP(AE$1, '40Trips'!$A$3:$I$42,3,FALSE),'40Trips'!$J$32:$K$35, 2, FALSE)),1,0)</f>
        <v>0</v>
      </c>
      <c r="AF35">
        <f>IF(AND(VLOOKUP(AF$1,'40Trips'!$A$3:$I$42,8,FALSE)-VLOOKUP($A35,'40Trips'!$A$3:$I$42,9,FALSE)&gt;=VLOOKUP(VLOOKUP(AF$1, '40Trips'!$A$3:$I$42,3,FALSE),'40Trips'!$J$32:$K$35, 2, FALSE)),1,0)</f>
        <v>0</v>
      </c>
      <c r="AG35">
        <f>IF(AND(VLOOKUP(AG$1,'40Trips'!$A$3:$I$42,8,FALSE)-VLOOKUP($A35,'40Trips'!$A$3:$I$42,9,FALSE)&gt;=VLOOKUP(VLOOKUP(AG$1, '40Trips'!$A$3:$I$42,3,FALSE),'40Trips'!$J$32:$K$35, 2, FALSE)),1,0)</f>
        <v>0</v>
      </c>
      <c r="AH35">
        <f>IF(AND(VLOOKUP(AH$1,'40Trips'!$A$3:$I$42,8,FALSE)-VLOOKUP($A35,'40Trips'!$A$3:$I$42,9,FALSE)&gt;=VLOOKUP(VLOOKUP(AH$1, '40Trips'!$A$3:$I$42,3,FALSE),'40Trips'!$J$32:$K$35, 2, FALSE)),1,0)</f>
        <v>0</v>
      </c>
      <c r="AI35">
        <f>IF(AND(VLOOKUP(AI$1,'40Trips'!$A$3:$I$42,8,FALSE)-VLOOKUP($A35,'40Trips'!$A$3:$I$42,9,FALSE)&gt;=VLOOKUP(VLOOKUP(AI$1, '40Trips'!$A$3:$I$42,3,FALSE),'40Trips'!$J$32:$K$35, 2, FALSE)),1,0)</f>
        <v>0</v>
      </c>
      <c r="AJ35">
        <f>IF(AND(VLOOKUP(AJ$1,'40Trips'!$A$3:$I$42,8,FALSE)-VLOOKUP($A35,'40Trips'!$A$3:$I$42,9,FALSE)&gt;=VLOOKUP(VLOOKUP(AJ$1, '40Trips'!$A$3:$I$42,3,FALSE),'40Trips'!$J$32:$K$35, 2, FALSE)),1,0)</f>
        <v>0</v>
      </c>
      <c r="AK35">
        <f>IF(AND(VLOOKUP(AK$1,'40Trips'!$A$3:$I$42,8,FALSE)-VLOOKUP($A35,'40Trips'!$A$3:$I$42,9,FALSE)&gt;=VLOOKUP(VLOOKUP(AK$1, '40Trips'!$A$3:$I$42,3,FALSE),'40Trips'!$J$32:$K$35, 2, FALSE)),1,0)</f>
        <v>0</v>
      </c>
      <c r="AL35">
        <f>IF(AND(VLOOKUP(AL$1,'40Trips'!$A$3:$I$42,8,FALSE)-VLOOKUP($A35,'40Trips'!$A$3:$I$42,9,FALSE)&gt;=VLOOKUP(VLOOKUP(AL$1, '40Trips'!$A$3:$I$42,3,FALSE),'40Trips'!$J$32:$K$35, 2, FALSE)),1,0)</f>
        <v>1</v>
      </c>
      <c r="AM35">
        <f>IF(AND(VLOOKUP(AM$1,'40Trips'!$A$3:$I$42,8,FALSE)-VLOOKUP($A35,'40Trips'!$A$3:$I$42,9,FALSE)&gt;=VLOOKUP(VLOOKUP(AM$1, '40Trips'!$A$3:$I$42,3,FALSE),'40Trips'!$J$32:$K$35, 2, FALSE)),1,0)</f>
        <v>0</v>
      </c>
      <c r="AN35">
        <f>IF(AND(VLOOKUP(AN$1,'40Trips'!$A$3:$I$42,8,FALSE)-VLOOKUP($A35,'40Trips'!$A$3:$I$42,9,FALSE)&gt;=VLOOKUP(VLOOKUP(AN$1, '40Trips'!$A$3:$I$42,3,FALSE),'40Trips'!$J$32:$K$35, 2, FALSE)),1,0)</f>
        <v>0</v>
      </c>
      <c r="AO35">
        <f>IF(AND(VLOOKUP(AO$1,'40Trips'!$A$3:$I$42,8,FALSE)-VLOOKUP($A35,'40Trips'!$A$3:$I$42,9,FALSE)&gt;=VLOOKUP(VLOOKUP(AO$1, '40Trips'!$A$3:$I$42,3,FALSE),'40Trips'!$J$32:$K$35, 2, FALSE)),1,0)</f>
        <v>0</v>
      </c>
      <c r="AP35">
        <f>IF(AND(VLOOKUP(AP$1,'40Trips'!$A$3:$I$42,8,FALSE)-VLOOKUP($A35,'40Trips'!$A$3:$I$42,9,FALSE)&gt;=VLOOKUP(VLOOKUP(AP$1, '40Trips'!$A$3:$I$42,3,FALSE),'40Trips'!$J$32:$K$35, 2, FALSE)),1,0)</f>
        <v>1</v>
      </c>
    </row>
    <row r="36" spans="1:42" x14ac:dyDescent="0.25">
      <c r="A36" t="s">
        <v>86</v>
      </c>
      <c r="B36" s="3">
        <v>1</v>
      </c>
      <c r="C36">
        <f>IF(AND(VLOOKUP(C$1,'40Trips'!$A$3:$I$42,8,FALSE)-VLOOKUP($A36,'40Trips'!$A$3:$I$42,9,FALSE)&gt;=VLOOKUP(VLOOKUP(C$1, '40Trips'!$A$3:$I$42,3,FALSE),'40Trips'!$J$32:$K$35, 2, FALSE)),1,0)</f>
        <v>0</v>
      </c>
      <c r="D36">
        <f>IF(AND(VLOOKUP(D$1,'40Trips'!$A$3:$I$42,8,FALSE)-VLOOKUP($A36,'40Trips'!$A$3:$I$42,9,FALSE)&gt;=VLOOKUP(VLOOKUP(D$1, '40Trips'!$A$3:$I$42,3,FALSE),'40Trips'!$J$32:$K$35, 2, FALSE)),1,0)</f>
        <v>0</v>
      </c>
      <c r="E36">
        <f>IF(AND(VLOOKUP(E$1,'40Trips'!$A$3:$I$42,8,FALSE)-VLOOKUP($A36,'40Trips'!$A$3:$I$42,9,FALSE)&gt;=VLOOKUP(VLOOKUP(E$1, '40Trips'!$A$3:$I$42,3,FALSE),'40Trips'!$J$32:$K$35, 2, FALSE)),1,0)</f>
        <v>0</v>
      </c>
      <c r="F36">
        <f>IF(AND(VLOOKUP(F$1,'40Trips'!$A$3:$I$42,8,FALSE)-VLOOKUP($A36,'40Trips'!$A$3:$I$42,9,FALSE)&gt;=VLOOKUP(VLOOKUP(F$1, '40Trips'!$A$3:$I$42,3,FALSE),'40Trips'!$J$32:$K$35, 2, FALSE)),1,0)</f>
        <v>1</v>
      </c>
      <c r="G36">
        <f>IF(AND(VLOOKUP(G$1,'40Trips'!$A$3:$I$42,8,FALSE)-VLOOKUP($A36,'40Trips'!$A$3:$I$42,9,FALSE)&gt;=VLOOKUP(VLOOKUP(G$1, '40Trips'!$A$3:$I$42,3,FALSE),'40Trips'!$J$32:$K$35, 2, FALSE)),1,0)</f>
        <v>0</v>
      </c>
      <c r="H36">
        <f>IF(AND(VLOOKUP(H$1,'40Trips'!$A$3:$I$42,8,FALSE)-VLOOKUP($A36,'40Trips'!$A$3:$I$42,9,FALSE)&gt;=VLOOKUP(VLOOKUP(H$1, '40Trips'!$A$3:$I$42,3,FALSE),'40Trips'!$J$32:$K$35, 2, FALSE)),1,0)</f>
        <v>0</v>
      </c>
      <c r="I36">
        <f>IF(AND(VLOOKUP(I$1,'40Trips'!$A$3:$I$42,8,FALSE)-VLOOKUP($A36,'40Trips'!$A$3:$I$42,9,FALSE)&gt;=VLOOKUP(VLOOKUP(I$1, '40Trips'!$A$3:$I$42,3,FALSE),'40Trips'!$J$32:$K$35, 2, FALSE)),1,0)</f>
        <v>0</v>
      </c>
      <c r="J36">
        <f>IF(AND(VLOOKUP(J$1,'40Trips'!$A$3:$I$42,8,FALSE)-VLOOKUP($A36,'40Trips'!$A$3:$I$42,9,FALSE)&gt;=VLOOKUP(VLOOKUP(J$1, '40Trips'!$A$3:$I$42,3,FALSE),'40Trips'!$J$32:$K$35, 2, FALSE)),1,0)</f>
        <v>1</v>
      </c>
      <c r="K36">
        <f>IF(AND(VLOOKUP(K$1,'40Trips'!$A$3:$I$42,8,FALSE)-VLOOKUP($A36,'40Trips'!$A$3:$I$42,9,FALSE)&gt;=VLOOKUP(VLOOKUP(K$1, '40Trips'!$A$3:$I$42,3,FALSE),'40Trips'!$J$32:$K$35, 2, FALSE)),1,0)</f>
        <v>0</v>
      </c>
      <c r="L36">
        <f>IF(AND(VLOOKUP(L$1,'40Trips'!$A$3:$I$42,8,FALSE)-VLOOKUP($A36,'40Trips'!$A$3:$I$42,9,FALSE)&gt;=VLOOKUP(VLOOKUP(L$1, '40Trips'!$A$3:$I$42,3,FALSE),'40Trips'!$J$32:$K$35, 2, FALSE)),1,0)</f>
        <v>0</v>
      </c>
      <c r="M36">
        <f>IF(AND(VLOOKUP(M$1,'40Trips'!$A$3:$I$42,8,FALSE)-VLOOKUP($A36,'40Trips'!$A$3:$I$42,9,FALSE)&gt;=VLOOKUP(VLOOKUP(M$1, '40Trips'!$A$3:$I$42,3,FALSE),'40Trips'!$J$32:$K$35, 2, FALSE)),1,0)</f>
        <v>0</v>
      </c>
      <c r="N36">
        <f>IF(AND(VLOOKUP(N$1,'40Trips'!$A$3:$I$42,8,FALSE)-VLOOKUP($A36,'40Trips'!$A$3:$I$42,9,FALSE)&gt;=VLOOKUP(VLOOKUP(N$1, '40Trips'!$A$3:$I$42,3,FALSE),'40Trips'!$J$32:$K$35, 2, FALSE)),1,0)</f>
        <v>0</v>
      </c>
      <c r="O36">
        <f>IF(AND(VLOOKUP(O$1,'40Trips'!$A$3:$I$42,8,FALSE)-VLOOKUP($A36,'40Trips'!$A$3:$I$42,9,FALSE)&gt;=VLOOKUP(VLOOKUP(O$1, '40Trips'!$A$3:$I$42,3,FALSE),'40Trips'!$J$32:$K$35, 2, FALSE)),1,0)</f>
        <v>0</v>
      </c>
      <c r="P36">
        <f>IF(AND(VLOOKUP(P$1,'40Trips'!$A$3:$I$42,8,FALSE)-VLOOKUP($A36,'40Trips'!$A$3:$I$42,9,FALSE)&gt;=VLOOKUP(VLOOKUP(P$1, '40Trips'!$A$3:$I$42,3,FALSE),'40Trips'!$J$32:$K$35, 2, FALSE)),1,0)</f>
        <v>0</v>
      </c>
      <c r="Q36">
        <f>IF(AND(VLOOKUP(Q$1,'40Trips'!$A$3:$I$42,8,FALSE)-VLOOKUP($A36,'40Trips'!$A$3:$I$42,9,FALSE)&gt;=VLOOKUP(VLOOKUP(Q$1, '40Trips'!$A$3:$I$42,3,FALSE),'40Trips'!$J$32:$K$35, 2, FALSE)),1,0)</f>
        <v>0</v>
      </c>
      <c r="R36">
        <f>IF(AND(VLOOKUP(R$1,'40Trips'!$A$3:$I$42,8,FALSE)-VLOOKUP($A36,'40Trips'!$A$3:$I$42,9,FALSE)&gt;=VLOOKUP(VLOOKUP(R$1, '40Trips'!$A$3:$I$42,3,FALSE),'40Trips'!$J$32:$K$35, 2, FALSE)),1,0)</f>
        <v>1</v>
      </c>
      <c r="S36">
        <f>IF(AND(VLOOKUP(S$1,'40Trips'!$A$3:$I$42,8,FALSE)-VLOOKUP($A36,'40Trips'!$A$3:$I$42,9,FALSE)&gt;=VLOOKUP(VLOOKUP(S$1, '40Trips'!$A$3:$I$42,3,FALSE),'40Trips'!$J$32:$K$35, 2, FALSE)),1,0)</f>
        <v>0</v>
      </c>
      <c r="T36">
        <f>IF(AND(VLOOKUP(T$1,'40Trips'!$A$3:$I$42,8,FALSE)-VLOOKUP($A36,'40Trips'!$A$3:$I$42,9,FALSE)&gt;=VLOOKUP(VLOOKUP(T$1, '40Trips'!$A$3:$I$42,3,FALSE),'40Trips'!$J$32:$K$35, 2, FALSE)),1,0)</f>
        <v>0</v>
      </c>
      <c r="U36">
        <f>IF(AND(VLOOKUP(U$1,'40Trips'!$A$3:$I$42,8,FALSE)-VLOOKUP($A36,'40Trips'!$A$3:$I$42,9,FALSE)&gt;=VLOOKUP(VLOOKUP(U$1, '40Trips'!$A$3:$I$42,3,FALSE),'40Trips'!$J$32:$K$35, 2, FALSE)),1,0)</f>
        <v>0</v>
      </c>
      <c r="V36">
        <f>IF(AND(VLOOKUP(V$1,'40Trips'!$A$3:$I$42,8,FALSE)-VLOOKUP($A36,'40Trips'!$A$3:$I$42,9,FALSE)&gt;=VLOOKUP(VLOOKUP(V$1, '40Trips'!$A$3:$I$42,3,FALSE),'40Trips'!$J$32:$K$35, 2, FALSE)),1,0)</f>
        <v>1</v>
      </c>
      <c r="W36">
        <f>IF(AND(VLOOKUP(W$1,'40Trips'!$A$3:$I$42,8,FALSE)-VLOOKUP($A36,'40Trips'!$A$3:$I$42,9,FALSE)&gt;=VLOOKUP(VLOOKUP(W$1, '40Trips'!$A$3:$I$42,3,FALSE),'40Trips'!$J$32:$K$35, 2, FALSE)),1,0)</f>
        <v>0</v>
      </c>
      <c r="X36">
        <f>IF(AND(VLOOKUP(X$1,'40Trips'!$A$3:$I$42,8,FALSE)-VLOOKUP($A36,'40Trips'!$A$3:$I$42,9,FALSE)&gt;=VLOOKUP(VLOOKUP(X$1, '40Trips'!$A$3:$I$42,3,FALSE),'40Trips'!$J$32:$K$35, 2, FALSE)),1,0)</f>
        <v>0</v>
      </c>
      <c r="Y36">
        <f>IF(AND(VLOOKUP(Y$1,'40Trips'!$A$3:$I$42,8,FALSE)-VLOOKUP($A36,'40Trips'!$A$3:$I$42,9,FALSE)&gt;=VLOOKUP(VLOOKUP(Y$1, '40Trips'!$A$3:$I$42,3,FALSE),'40Trips'!$J$32:$K$35, 2, FALSE)),1,0)</f>
        <v>0</v>
      </c>
      <c r="Z36">
        <f>IF(AND(VLOOKUP(Z$1,'40Trips'!$A$3:$I$42,8,FALSE)-VLOOKUP($A36,'40Trips'!$A$3:$I$42,9,FALSE)&gt;=VLOOKUP(VLOOKUP(Z$1, '40Trips'!$A$3:$I$42,3,FALSE),'40Trips'!$J$32:$K$35, 2, FALSE)),1,0)</f>
        <v>1</v>
      </c>
      <c r="AA36">
        <f>IF(AND(VLOOKUP(AA$1,'40Trips'!$A$3:$I$42,8,FALSE)-VLOOKUP($A36,'40Trips'!$A$3:$I$42,9,FALSE)&gt;=VLOOKUP(VLOOKUP(AA$1, '40Trips'!$A$3:$I$42,3,FALSE),'40Trips'!$J$32:$K$35, 2, FALSE)),1,0)</f>
        <v>0</v>
      </c>
      <c r="AB36">
        <f>IF(AND(VLOOKUP(AB$1,'40Trips'!$A$3:$I$42,8,FALSE)-VLOOKUP($A36,'40Trips'!$A$3:$I$42,9,FALSE)&gt;=VLOOKUP(VLOOKUP(AB$1, '40Trips'!$A$3:$I$42,3,FALSE),'40Trips'!$J$32:$K$35, 2, FALSE)),1,0)</f>
        <v>0</v>
      </c>
      <c r="AC36">
        <f>IF(AND(VLOOKUP(AC$1,'40Trips'!$A$3:$I$42,8,FALSE)-VLOOKUP($A36,'40Trips'!$A$3:$I$42,9,FALSE)&gt;=VLOOKUP(VLOOKUP(AC$1, '40Trips'!$A$3:$I$42,3,FALSE),'40Trips'!$J$32:$K$35, 2, FALSE)),1,0)</f>
        <v>1</v>
      </c>
      <c r="AD36">
        <f>IF(AND(VLOOKUP(AD$1,'40Trips'!$A$3:$I$42,8,FALSE)-VLOOKUP($A36,'40Trips'!$A$3:$I$42,9,FALSE)&gt;=VLOOKUP(VLOOKUP(AD$1, '40Trips'!$A$3:$I$42,3,FALSE),'40Trips'!$J$32:$K$35, 2, FALSE)),1,0)</f>
        <v>1</v>
      </c>
      <c r="AE36">
        <f>IF(AND(VLOOKUP(AE$1,'40Trips'!$A$3:$I$42,8,FALSE)-VLOOKUP($A36,'40Trips'!$A$3:$I$42,9,FALSE)&gt;=VLOOKUP(VLOOKUP(AE$1, '40Trips'!$A$3:$I$42,3,FALSE),'40Trips'!$J$32:$K$35, 2, FALSE)),1,0)</f>
        <v>0</v>
      </c>
      <c r="AF36">
        <f>IF(AND(VLOOKUP(AF$1,'40Trips'!$A$3:$I$42,8,FALSE)-VLOOKUP($A36,'40Trips'!$A$3:$I$42,9,FALSE)&gt;=VLOOKUP(VLOOKUP(AF$1, '40Trips'!$A$3:$I$42,3,FALSE),'40Trips'!$J$32:$K$35, 2, FALSE)),1,0)</f>
        <v>0</v>
      </c>
      <c r="AG36">
        <f>IF(AND(VLOOKUP(AG$1,'40Trips'!$A$3:$I$42,8,FALSE)-VLOOKUP($A36,'40Trips'!$A$3:$I$42,9,FALSE)&gt;=VLOOKUP(VLOOKUP(AG$1, '40Trips'!$A$3:$I$42,3,FALSE),'40Trips'!$J$32:$K$35, 2, FALSE)),1,0)</f>
        <v>0</v>
      </c>
      <c r="AH36">
        <f>IF(AND(VLOOKUP(AH$1,'40Trips'!$A$3:$I$42,8,FALSE)-VLOOKUP($A36,'40Trips'!$A$3:$I$42,9,FALSE)&gt;=VLOOKUP(VLOOKUP(AH$1, '40Trips'!$A$3:$I$42,3,FALSE),'40Trips'!$J$32:$K$35, 2, FALSE)),1,0)</f>
        <v>0</v>
      </c>
      <c r="AI36">
        <f>IF(AND(VLOOKUP(AI$1,'40Trips'!$A$3:$I$42,8,FALSE)-VLOOKUP($A36,'40Trips'!$A$3:$I$42,9,FALSE)&gt;=VLOOKUP(VLOOKUP(AI$1, '40Trips'!$A$3:$I$42,3,FALSE),'40Trips'!$J$32:$K$35, 2, FALSE)),1,0)</f>
        <v>0</v>
      </c>
      <c r="AJ36">
        <f>IF(AND(VLOOKUP(AJ$1,'40Trips'!$A$3:$I$42,8,FALSE)-VLOOKUP($A36,'40Trips'!$A$3:$I$42,9,FALSE)&gt;=VLOOKUP(VLOOKUP(AJ$1, '40Trips'!$A$3:$I$42,3,FALSE),'40Trips'!$J$32:$K$35, 2, FALSE)),1,0)</f>
        <v>0</v>
      </c>
      <c r="AK36">
        <f>IF(AND(VLOOKUP(AK$1,'40Trips'!$A$3:$I$42,8,FALSE)-VLOOKUP($A36,'40Trips'!$A$3:$I$42,9,FALSE)&gt;=VLOOKUP(VLOOKUP(AK$1, '40Trips'!$A$3:$I$42,3,FALSE),'40Trips'!$J$32:$K$35, 2, FALSE)),1,0)</f>
        <v>0</v>
      </c>
      <c r="AL36">
        <f>IF(AND(VLOOKUP(AL$1,'40Trips'!$A$3:$I$42,8,FALSE)-VLOOKUP($A36,'40Trips'!$A$3:$I$42,9,FALSE)&gt;=VLOOKUP(VLOOKUP(AL$1, '40Trips'!$A$3:$I$42,3,FALSE),'40Trips'!$J$32:$K$35, 2, FALSE)),1,0)</f>
        <v>1</v>
      </c>
      <c r="AM36">
        <f>IF(AND(VLOOKUP(AM$1,'40Trips'!$A$3:$I$42,8,FALSE)-VLOOKUP($A36,'40Trips'!$A$3:$I$42,9,FALSE)&gt;=VLOOKUP(VLOOKUP(AM$1, '40Trips'!$A$3:$I$42,3,FALSE),'40Trips'!$J$32:$K$35, 2, FALSE)),1,0)</f>
        <v>0</v>
      </c>
      <c r="AN36">
        <f>IF(AND(VLOOKUP(AN$1,'40Trips'!$A$3:$I$42,8,FALSE)-VLOOKUP($A36,'40Trips'!$A$3:$I$42,9,FALSE)&gt;=VLOOKUP(VLOOKUP(AN$1, '40Trips'!$A$3:$I$42,3,FALSE),'40Trips'!$J$32:$K$35, 2, FALSE)),1,0)</f>
        <v>0</v>
      </c>
      <c r="AO36">
        <f>IF(AND(VLOOKUP(AO$1,'40Trips'!$A$3:$I$42,8,FALSE)-VLOOKUP($A36,'40Trips'!$A$3:$I$42,9,FALSE)&gt;=VLOOKUP(VLOOKUP(AO$1, '40Trips'!$A$3:$I$42,3,FALSE),'40Trips'!$J$32:$K$35, 2, FALSE)),1,0)</f>
        <v>0</v>
      </c>
      <c r="AP36">
        <f>IF(AND(VLOOKUP(AP$1,'40Trips'!$A$3:$I$42,8,FALSE)-VLOOKUP($A36,'40Trips'!$A$3:$I$42,9,FALSE)&gt;=VLOOKUP(VLOOKUP(AP$1, '40Trips'!$A$3:$I$42,3,FALSE),'40Trips'!$J$32:$K$35, 2, FALSE)),1,0)</f>
        <v>1</v>
      </c>
    </row>
    <row r="37" spans="1:42" x14ac:dyDescent="0.25">
      <c r="A37" t="s">
        <v>87</v>
      </c>
      <c r="B37" s="3">
        <v>1</v>
      </c>
      <c r="C37">
        <f>IF(AND(VLOOKUP(C$1,'40Trips'!$A$3:$I$42,8,FALSE)-VLOOKUP($A37,'40Trips'!$A$3:$I$42,9,FALSE)&gt;=VLOOKUP(VLOOKUP(C$1, '40Trips'!$A$3:$I$42,3,FALSE),'40Trips'!$J$32:$K$35, 2, FALSE)),1,0)</f>
        <v>0</v>
      </c>
      <c r="D37">
        <f>IF(AND(VLOOKUP(D$1,'40Trips'!$A$3:$I$42,8,FALSE)-VLOOKUP($A37,'40Trips'!$A$3:$I$42,9,FALSE)&gt;=VLOOKUP(VLOOKUP(D$1, '40Trips'!$A$3:$I$42,3,FALSE),'40Trips'!$J$32:$K$35, 2, FALSE)),1,0)</f>
        <v>0</v>
      </c>
      <c r="E37">
        <f>IF(AND(VLOOKUP(E$1,'40Trips'!$A$3:$I$42,8,FALSE)-VLOOKUP($A37,'40Trips'!$A$3:$I$42,9,FALSE)&gt;=VLOOKUP(VLOOKUP(E$1, '40Trips'!$A$3:$I$42,3,FALSE),'40Trips'!$J$32:$K$35, 2, FALSE)),1,0)</f>
        <v>0</v>
      </c>
      <c r="F37">
        <f>IF(AND(VLOOKUP(F$1,'40Trips'!$A$3:$I$42,8,FALSE)-VLOOKUP($A37,'40Trips'!$A$3:$I$42,9,FALSE)&gt;=VLOOKUP(VLOOKUP(F$1, '40Trips'!$A$3:$I$42,3,FALSE),'40Trips'!$J$32:$K$35, 2, FALSE)),1,0)</f>
        <v>0</v>
      </c>
      <c r="G37">
        <f>IF(AND(VLOOKUP(G$1,'40Trips'!$A$3:$I$42,8,FALSE)-VLOOKUP($A37,'40Trips'!$A$3:$I$42,9,FALSE)&gt;=VLOOKUP(VLOOKUP(G$1, '40Trips'!$A$3:$I$42,3,FALSE),'40Trips'!$J$32:$K$35, 2, FALSE)),1,0)</f>
        <v>0</v>
      </c>
      <c r="H37">
        <f>IF(AND(VLOOKUP(H$1,'40Trips'!$A$3:$I$42,8,FALSE)-VLOOKUP($A37,'40Trips'!$A$3:$I$42,9,FALSE)&gt;=VLOOKUP(VLOOKUP(H$1, '40Trips'!$A$3:$I$42,3,FALSE),'40Trips'!$J$32:$K$35, 2, FALSE)),1,0)</f>
        <v>0</v>
      </c>
      <c r="I37">
        <f>IF(AND(VLOOKUP(I$1,'40Trips'!$A$3:$I$42,8,FALSE)-VLOOKUP($A37,'40Trips'!$A$3:$I$42,9,FALSE)&gt;=VLOOKUP(VLOOKUP(I$1, '40Trips'!$A$3:$I$42,3,FALSE),'40Trips'!$J$32:$K$35, 2, FALSE)),1,0)</f>
        <v>0</v>
      </c>
      <c r="J37">
        <f>IF(AND(VLOOKUP(J$1,'40Trips'!$A$3:$I$42,8,FALSE)-VLOOKUP($A37,'40Trips'!$A$3:$I$42,9,FALSE)&gt;=VLOOKUP(VLOOKUP(J$1, '40Trips'!$A$3:$I$42,3,FALSE),'40Trips'!$J$32:$K$35, 2, FALSE)),1,0)</f>
        <v>1</v>
      </c>
      <c r="K37">
        <f>IF(AND(VLOOKUP(K$1,'40Trips'!$A$3:$I$42,8,FALSE)-VLOOKUP($A37,'40Trips'!$A$3:$I$42,9,FALSE)&gt;=VLOOKUP(VLOOKUP(K$1, '40Trips'!$A$3:$I$42,3,FALSE),'40Trips'!$J$32:$K$35, 2, FALSE)),1,0)</f>
        <v>0</v>
      </c>
      <c r="L37">
        <f>IF(AND(VLOOKUP(L$1,'40Trips'!$A$3:$I$42,8,FALSE)-VLOOKUP($A37,'40Trips'!$A$3:$I$42,9,FALSE)&gt;=VLOOKUP(VLOOKUP(L$1, '40Trips'!$A$3:$I$42,3,FALSE),'40Trips'!$J$32:$K$35, 2, FALSE)),1,0)</f>
        <v>0</v>
      </c>
      <c r="M37">
        <f>IF(AND(VLOOKUP(M$1,'40Trips'!$A$3:$I$42,8,FALSE)-VLOOKUP($A37,'40Trips'!$A$3:$I$42,9,FALSE)&gt;=VLOOKUP(VLOOKUP(M$1, '40Trips'!$A$3:$I$42,3,FALSE),'40Trips'!$J$32:$K$35, 2, FALSE)),1,0)</f>
        <v>0</v>
      </c>
      <c r="N37">
        <f>IF(AND(VLOOKUP(N$1,'40Trips'!$A$3:$I$42,8,FALSE)-VLOOKUP($A37,'40Trips'!$A$3:$I$42,9,FALSE)&gt;=VLOOKUP(VLOOKUP(N$1, '40Trips'!$A$3:$I$42,3,FALSE),'40Trips'!$J$32:$K$35, 2, FALSE)),1,0)</f>
        <v>0</v>
      </c>
      <c r="O37">
        <f>IF(AND(VLOOKUP(O$1,'40Trips'!$A$3:$I$42,8,FALSE)-VLOOKUP($A37,'40Trips'!$A$3:$I$42,9,FALSE)&gt;=VLOOKUP(VLOOKUP(O$1, '40Trips'!$A$3:$I$42,3,FALSE),'40Trips'!$J$32:$K$35, 2, FALSE)),1,0)</f>
        <v>0</v>
      </c>
      <c r="P37">
        <f>IF(AND(VLOOKUP(P$1,'40Trips'!$A$3:$I$42,8,FALSE)-VLOOKUP($A37,'40Trips'!$A$3:$I$42,9,FALSE)&gt;=VLOOKUP(VLOOKUP(P$1, '40Trips'!$A$3:$I$42,3,FALSE),'40Trips'!$J$32:$K$35, 2, FALSE)),1,0)</f>
        <v>0</v>
      </c>
      <c r="Q37">
        <f>IF(AND(VLOOKUP(Q$1,'40Trips'!$A$3:$I$42,8,FALSE)-VLOOKUP($A37,'40Trips'!$A$3:$I$42,9,FALSE)&gt;=VLOOKUP(VLOOKUP(Q$1, '40Trips'!$A$3:$I$42,3,FALSE),'40Trips'!$J$32:$K$35, 2, FALSE)),1,0)</f>
        <v>0</v>
      </c>
      <c r="R37">
        <f>IF(AND(VLOOKUP(R$1,'40Trips'!$A$3:$I$42,8,FALSE)-VLOOKUP($A37,'40Trips'!$A$3:$I$42,9,FALSE)&gt;=VLOOKUP(VLOOKUP(R$1, '40Trips'!$A$3:$I$42,3,FALSE),'40Trips'!$J$32:$K$35, 2, FALSE)),1,0)</f>
        <v>0</v>
      </c>
      <c r="S37">
        <f>IF(AND(VLOOKUP(S$1,'40Trips'!$A$3:$I$42,8,FALSE)-VLOOKUP($A37,'40Trips'!$A$3:$I$42,9,FALSE)&gt;=VLOOKUP(VLOOKUP(S$1, '40Trips'!$A$3:$I$42,3,FALSE),'40Trips'!$J$32:$K$35, 2, FALSE)),1,0)</f>
        <v>0</v>
      </c>
      <c r="T37">
        <f>IF(AND(VLOOKUP(T$1,'40Trips'!$A$3:$I$42,8,FALSE)-VLOOKUP($A37,'40Trips'!$A$3:$I$42,9,FALSE)&gt;=VLOOKUP(VLOOKUP(T$1, '40Trips'!$A$3:$I$42,3,FALSE),'40Trips'!$J$32:$K$35, 2, FALSE)),1,0)</f>
        <v>0</v>
      </c>
      <c r="U37">
        <f>IF(AND(VLOOKUP(U$1,'40Trips'!$A$3:$I$42,8,FALSE)-VLOOKUP($A37,'40Trips'!$A$3:$I$42,9,FALSE)&gt;=VLOOKUP(VLOOKUP(U$1, '40Trips'!$A$3:$I$42,3,FALSE),'40Trips'!$J$32:$K$35, 2, FALSE)),1,0)</f>
        <v>0</v>
      </c>
      <c r="V37">
        <f>IF(AND(VLOOKUP(V$1,'40Trips'!$A$3:$I$42,8,FALSE)-VLOOKUP($A37,'40Trips'!$A$3:$I$42,9,FALSE)&gt;=VLOOKUP(VLOOKUP(V$1, '40Trips'!$A$3:$I$42,3,FALSE),'40Trips'!$J$32:$K$35, 2, FALSE)),1,0)</f>
        <v>0</v>
      </c>
      <c r="W37">
        <f>IF(AND(VLOOKUP(W$1,'40Trips'!$A$3:$I$42,8,FALSE)-VLOOKUP($A37,'40Trips'!$A$3:$I$42,9,FALSE)&gt;=VLOOKUP(VLOOKUP(W$1, '40Trips'!$A$3:$I$42,3,FALSE),'40Trips'!$J$32:$K$35, 2, FALSE)),1,0)</f>
        <v>0</v>
      </c>
      <c r="X37">
        <f>IF(AND(VLOOKUP(X$1,'40Trips'!$A$3:$I$42,8,FALSE)-VLOOKUP($A37,'40Trips'!$A$3:$I$42,9,FALSE)&gt;=VLOOKUP(VLOOKUP(X$1, '40Trips'!$A$3:$I$42,3,FALSE),'40Trips'!$J$32:$K$35, 2, FALSE)),1,0)</f>
        <v>0</v>
      </c>
      <c r="Y37">
        <f>IF(AND(VLOOKUP(Y$1,'40Trips'!$A$3:$I$42,8,FALSE)-VLOOKUP($A37,'40Trips'!$A$3:$I$42,9,FALSE)&gt;=VLOOKUP(VLOOKUP(Y$1, '40Trips'!$A$3:$I$42,3,FALSE),'40Trips'!$J$32:$K$35, 2, FALSE)),1,0)</f>
        <v>0</v>
      </c>
      <c r="Z37">
        <f>IF(AND(VLOOKUP(Z$1,'40Trips'!$A$3:$I$42,8,FALSE)-VLOOKUP($A37,'40Trips'!$A$3:$I$42,9,FALSE)&gt;=VLOOKUP(VLOOKUP(Z$1, '40Trips'!$A$3:$I$42,3,FALSE),'40Trips'!$J$32:$K$35, 2, FALSE)),1,0)</f>
        <v>0</v>
      </c>
      <c r="AA37">
        <f>IF(AND(VLOOKUP(AA$1,'40Trips'!$A$3:$I$42,8,FALSE)-VLOOKUP($A37,'40Trips'!$A$3:$I$42,9,FALSE)&gt;=VLOOKUP(VLOOKUP(AA$1, '40Trips'!$A$3:$I$42,3,FALSE),'40Trips'!$J$32:$K$35, 2, FALSE)),1,0)</f>
        <v>0</v>
      </c>
      <c r="AB37">
        <f>IF(AND(VLOOKUP(AB$1,'40Trips'!$A$3:$I$42,8,FALSE)-VLOOKUP($A37,'40Trips'!$A$3:$I$42,9,FALSE)&gt;=VLOOKUP(VLOOKUP(AB$1, '40Trips'!$A$3:$I$42,3,FALSE),'40Trips'!$J$32:$K$35, 2, FALSE)),1,0)</f>
        <v>0</v>
      </c>
      <c r="AC37">
        <f>IF(AND(VLOOKUP(AC$1,'40Trips'!$A$3:$I$42,8,FALSE)-VLOOKUP($A37,'40Trips'!$A$3:$I$42,9,FALSE)&gt;=VLOOKUP(VLOOKUP(AC$1, '40Trips'!$A$3:$I$42,3,FALSE),'40Trips'!$J$32:$K$35, 2, FALSE)),1,0)</f>
        <v>0</v>
      </c>
      <c r="AD37">
        <f>IF(AND(VLOOKUP(AD$1,'40Trips'!$A$3:$I$42,8,FALSE)-VLOOKUP($A37,'40Trips'!$A$3:$I$42,9,FALSE)&gt;=VLOOKUP(VLOOKUP(AD$1, '40Trips'!$A$3:$I$42,3,FALSE),'40Trips'!$J$32:$K$35, 2, FALSE)),1,0)</f>
        <v>0</v>
      </c>
      <c r="AE37">
        <f>IF(AND(VLOOKUP(AE$1,'40Trips'!$A$3:$I$42,8,FALSE)-VLOOKUP($A37,'40Trips'!$A$3:$I$42,9,FALSE)&gt;=VLOOKUP(VLOOKUP(AE$1, '40Trips'!$A$3:$I$42,3,FALSE),'40Trips'!$J$32:$K$35, 2, FALSE)),1,0)</f>
        <v>0</v>
      </c>
      <c r="AF37">
        <f>IF(AND(VLOOKUP(AF$1,'40Trips'!$A$3:$I$42,8,FALSE)-VLOOKUP($A37,'40Trips'!$A$3:$I$42,9,FALSE)&gt;=VLOOKUP(VLOOKUP(AF$1, '40Trips'!$A$3:$I$42,3,FALSE),'40Trips'!$J$32:$K$35, 2, FALSE)),1,0)</f>
        <v>0</v>
      </c>
      <c r="AG37">
        <f>IF(AND(VLOOKUP(AG$1,'40Trips'!$A$3:$I$42,8,FALSE)-VLOOKUP($A37,'40Trips'!$A$3:$I$42,9,FALSE)&gt;=VLOOKUP(VLOOKUP(AG$1, '40Trips'!$A$3:$I$42,3,FALSE),'40Trips'!$J$32:$K$35, 2, FALSE)),1,0)</f>
        <v>0</v>
      </c>
      <c r="AH37">
        <f>IF(AND(VLOOKUP(AH$1,'40Trips'!$A$3:$I$42,8,FALSE)-VLOOKUP($A37,'40Trips'!$A$3:$I$42,9,FALSE)&gt;=VLOOKUP(VLOOKUP(AH$1, '40Trips'!$A$3:$I$42,3,FALSE),'40Trips'!$J$32:$K$35, 2, FALSE)),1,0)</f>
        <v>0</v>
      </c>
      <c r="AI37">
        <f>IF(AND(VLOOKUP(AI$1,'40Trips'!$A$3:$I$42,8,FALSE)-VLOOKUP($A37,'40Trips'!$A$3:$I$42,9,FALSE)&gt;=VLOOKUP(VLOOKUP(AI$1, '40Trips'!$A$3:$I$42,3,FALSE),'40Trips'!$J$32:$K$35, 2, FALSE)),1,0)</f>
        <v>0</v>
      </c>
      <c r="AJ37">
        <f>IF(AND(VLOOKUP(AJ$1,'40Trips'!$A$3:$I$42,8,FALSE)-VLOOKUP($A37,'40Trips'!$A$3:$I$42,9,FALSE)&gt;=VLOOKUP(VLOOKUP(AJ$1, '40Trips'!$A$3:$I$42,3,FALSE),'40Trips'!$J$32:$K$35, 2, FALSE)),1,0)</f>
        <v>0</v>
      </c>
      <c r="AK37">
        <f>IF(AND(VLOOKUP(AK$1,'40Trips'!$A$3:$I$42,8,FALSE)-VLOOKUP($A37,'40Trips'!$A$3:$I$42,9,FALSE)&gt;=VLOOKUP(VLOOKUP(AK$1, '40Trips'!$A$3:$I$42,3,FALSE),'40Trips'!$J$32:$K$35, 2, FALSE)),1,0)</f>
        <v>0</v>
      </c>
      <c r="AL37">
        <f>IF(AND(VLOOKUP(AL$1,'40Trips'!$A$3:$I$42,8,FALSE)-VLOOKUP($A37,'40Trips'!$A$3:$I$42,9,FALSE)&gt;=VLOOKUP(VLOOKUP(AL$1, '40Trips'!$A$3:$I$42,3,FALSE),'40Trips'!$J$32:$K$35, 2, FALSE)),1,0)</f>
        <v>1</v>
      </c>
      <c r="AM37">
        <f>IF(AND(VLOOKUP(AM$1,'40Trips'!$A$3:$I$42,8,FALSE)-VLOOKUP($A37,'40Trips'!$A$3:$I$42,9,FALSE)&gt;=VLOOKUP(VLOOKUP(AM$1, '40Trips'!$A$3:$I$42,3,FALSE),'40Trips'!$J$32:$K$35, 2, FALSE)),1,0)</f>
        <v>0</v>
      </c>
      <c r="AN37">
        <f>IF(AND(VLOOKUP(AN$1,'40Trips'!$A$3:$I$42,8,FALSE)-VLOOKUP($A37,'40Trips'!$A$3:$I$42,9,FALSE)&gt;=VLOOKUP(VLOOKUP(AN$1, '40Trips'!$A$3:$I$42,3,FALSE),'40Trips'!$J$32:$K$35, 2, FALSE)),1,0)</f>
        <v>0</v>
      </c>
      <c r="AO37">
        <f>IF(AND(VLOOKUP(AO$1,'40Trips'!$A$3:$I$42,8,FALSE)-VLOOKUP($A37,'40Trips'!$A$3:$I$42,9,FALSE)&gt;=VLOOKUP(VLOOKUP(AO$1, '40Trips'!$A$3:$I$42,3,FALSE),'40Trips'!$J$32:$K$35, 2, FALSE)),1,0)</f>
        <v>0</v>
      </c>
      <c r="AP37">
        <f>IF(AND(VLOOKUP(AP$1,'40Trips'!$A$3:$I$42,8,FALSE)-VLOOKUP($A37,'40Trips'!$A$3:$I$42,9,FALSE)&gt;=VLOOKUP(VLOOKUP(AP$1, '40Trips'!$A$3:$I$42,3,FALSE),'40Trips'!$J$32:$K$35, 2, FALSE)),1,0)</f>
        <v>1</v>
      </c>
    </row>
    <row r="38" spans="1:42" x14ac:dyDescent="0.25">
      <c r="A38" t="s">
        <v>88</v>
      </c>
      <c r="B38" s="3">
        <v>1</v>
      </c>
      <c r="C38">
        <f>IF(AND(VLOOKUP(C$1,'40Trips'!$A$3:$I$42,8,FALSE)-VLOOKUP($A38,'40Trips'!$A$3:$I$42,9,FALSE)&gt;=VLOOKUP(VLOOKUP(C$1, '40Trips'!$A$3:$I$42,3,FALSE),'40Trips'!$J$32:$K$35, 2, FALSE)),1,0)</f>
        <v>0</v>
      </c>
      <c r="D38">
        <f>IF(AND(VLOOKUP(D$1,'40Trips'!$A$3:$I$42,8,FALSE)-VLOOKUP($A38,'40Trips'!$A$3:$I$42,9,FALSE)&gt;=VLOOKUP(VLOOKUP(D$1, '40Trips'!$A$3:$I$42,3,FALSE),'40Trips'!$J$32:$K$35, 2, FALSE)),1,0)</f>
        <v>0</v>
      </c>
      <c r="E38">
        <f>IF(AND(VLOOKUP(E$1,'40Trips'!$A$3:$I$42,8,FALSE)-VLOOKUP($A38,'40Trips'!$A$3:$I$42,9,FALSE)&gt;=VLOOKUP(VLOOKUP(E$1, '40Trips'!$A$3:$I$42,3,FALSE),'40Trips'!$J$32:$K$35, 2, FALSE)),1,0)</f>
        <v>0</v>
      </c>
      <c r="F38">
        <f>IF(AND(VLOOKUP(F$1,'40Trips'!$A$3:$I$42,8,FALSE)-VLOOKUP($A38,'40Trips'!$A$3:$I$42,9,FALSE)&gt;=VLOOKUP(VLOOKUP(F$1, '40Trips'!$A$3:$I$42,3,FALSE),'40Trips'!$J$32:$K$35, 2, FALSE)),1,0)</f>
        <v>0</v>
      </c>
      <c r="G38">
        <f>IF(AND(VLOOKUP(G$1,'40Trips'!$A$3:$I$42,8,FALSE)-VLOOKUP($A38,'40Trips'!$A$3:$I$42,9,FALSE)&gt;=VLOOKUP(VLOOKUP(G$1, '40Trips'!$A$3:$I$42,3,FALSE),'40Trips'!$J$32:$K$35, 2, FALSE)),1,0)</f>
        <v>0</v>
      </c>
      <c r="H38">
        <f>IF(AND(VLOOKUP(H$1,'40Trips'!$A$3:$I$42,8,FALSE)-VLOOKUP($A38,'40Trips'!$A$3:$I$42,9,FALSE)&gt;=VLOOKUP(VLOOKUP(H$1, '40Trips'!$A$3:$I$42,3,FALSE),'40Trips'!$J$32:$K$35, 2, FALSE)),1,0)</f>
        <v>0</v>
      </c>
      <c r="I38">
        <f>IF(AND(VLOOKUP(I$1,'40Trips'!$A$3:$I$42,8,FALSE)-VLOOKUP($A38,'40Trips'!$A$3:$I$42,9,FALSE)&gt;=VLOOKUP(VLOOKUP(I$1, '40Trips'!$A$3:$I$42,3,FALSE),'40Trips'!$J$32:$K$35, 2, FALSE)),1,0)</f>
        <v>0</v>
      </c>
      <c r="J38">
        <f>IF(AND(VLOOKUP(J$1,'40Trips'!$A$3:$I$42,8,FALSE)-VLOOKUP($A38,'40Trips'!$A$3:$I$42,9,FALSE)&gt;=VLOOKUP(VLOOKUP(J$1, '40Trips'!$A$3:$I$42,3,FALSE),'40Trips'!$J$32:$K$35, 2, FALSE)),1,0)</f>
        <v>1</v>
      </c>
      <c r="K38">
        <f>IF(AND(VLOOKUP(K$1,'40Trips'!$A$3:$I$42,8,FALSE)-VLOOKUP($A38,'40Trips'!$A$3:$I$42,9,FALSE)&gt;=VLOOKUP(VLOOKUP(K$1, '40Trips'!$A$3:$I$42,3,FALSE),'40Trips'!$J$32:$K$35, 2, FALSE)),1,0)</f>
        <v>0</v>
      </c>
      <c r="L38">
        <f>IF(AND(VLOOKUP(L$1,'40Trips'!$A$3:$I$42,8,FALSE)-VLOOKUP($A38,'40Trips'!$A$3:$I$42,9,FALSE)&gt;=VLOOKUP(VLOOKUP(L$1, '40Trips'!$A$3:$I$42,3,FALSE),'40Trips'!$J$32:$K$35, 2, FALSE)),1,0)</f>
        <v>0</v>
      </c>
      <c r="M38">
        <f>IF(AND(VLOOKUP(M$1,'40Trips'!$A$3:$I$42,8,FALSE)-VLOOKUP($A38,'40Trips'!$A$3:$I$42,9,FALSE)&gt;=VLOOKUP(VLOOKUP(M$1, '40Trips'!$A$3:$I$42,3,FALSE),'40Trips'!$J$32:$K$35, 2, FALSE)),1,0)</f>
        <v>0</v>
      </c>
      <c r="N38">
        <f>IF(AND(VLOOKUP(N$1,'40Trips'!$A$3:$I$42,8,FALSE)-VLOOKUP($A38,'40Trips'!$A$3:$I$42,9,FALSE)&gt;=VLOOKUP(VLOOKUP(N$1, '40Trips'!$A$3:$I$42,3,FALSE),'40Trips'!$J$32:$K$35, 2, FALSE)),1,0)</f>
        <v>0</v>
      </c>
      <c r="O38">
        <f>IF(AND(VLOOKUP(O$1,'40Trips'!$A$3:$I$42,8,FALSE)-VLOOKUP($A38,'40Trips'!$A$3:$I$42,9,FALSE)&gt;=VLOOKUP(VLOOKUP(O$1, '40Trips'!$A$3:$I$42,3,FALSE),'40Trips'!$J$32:$K$35, 2, FALSE)),1,0)</f>
        <v>0</v>
      </c>
      <c r="P38">
        <f>IF(AND(VLOOKUP(P$1,'40Trips'!$A$3:$I$42,8,FALSE)-VLOOKUP($A38,'40Trips'!$A$3:$I$42,9,FALSE)&gt;=VLOOKUP(VLOOKUP(P$1, '40Trips'!$A$3:$I$42,3,FALSE),'40Trips'!$J$32:$K$35, 2, FALSE)),1,0)</f>
        <v>0</v>
      </c>
      <c r="Q38">
        <f>IF(AND(VLOOKUP(Q$1,'40Trips'!$A$3:$I$42,8,FALSE)-VLOOKUP($A38,'40Trips'!$A$3:$I$42,9,FALSE)&gt;=VLOOKUP(VLOOKUP(Q$1, '40Trips'!$A$3:$I$42,3,FALSE),'40Trips'!$J$32:$K$35, 2, FALSE)),1,0)</f>
        <v>0</v>
      </c>
      <c r="R38">
        <f>IF(AND(VLOOKUP(R$1,'40Trips'!$A$3:$I$42,8,FALSE)-VLOOKUP($A38,'40Trips'!$A$3:$I$42,9,FALSE)&gt;=VLOOKUP(VLOOKUP(R$1, '40Trips'!$A$3:$I$42,3,FALSE),'40Trips'!$J$32:$K$35, 2, FALSE)),1,0)</f>
        <v>0</v>
      </c>
      <c r="S38">
        <f>IF(AND(VLOOKUP(S$1,'40Trips'!$A$3:$I$42,8,FALSE)-VLOOKUP($A38,'40Trips'!$A$3:$I$42,9,FALSE)&gt;=VLOOKUP(VLOOKUP(S$1, '40Trips'!$A$3:$I$42,3,FALSE),'40Trips'!$J$32:$K$35, 2, FALSE)),1,0)</f>
        <v>0</v>
      </c>
      <c r="T38">
        <f>IF(AND(VLOOKUP(T$1,'40Trips'!$A$3:$I$42,8,FALSE)-VLOOKUP($A38,'40Trips'!$A$3:$I$42,9,FALSE)&gt;=VLOOKUP(VLOOKUP(T$1, '40Trips'!$A$3:$I$42,3,FALSE),'40Trips'!$J$32:$K$35, 2, FALSE)),1,0)</f>
        <v>0</v>
      </c>
      <c r="U38">
        <f>IF(AND(VLOOKUP(U$1,'40Trips'!$A$3:$I$42,8,FALSE)-VLOOKUP($A38,'40Trips'!$A$3:$I$42,9,FALSE)&gt;=VLOOKUP(VLOOKUP(U$1, '40Trips'!$A$3:$I$42,3,FALSE),'40Trips'!$J$32:$K$35, 2, FALSE)),1,0)</f>
        <v>0</v>
      </c>
      <c r="V38">
        <f>IF(AND(VLOOKUP(V$1,'40Trips'!$A$3:$I$42,8,FALSE)-VLOOKUP($A38,'40Trips'!$A$3:$I$42,9,FALSE)&gt;=VLOOKUP(VLOOKUP(V$1, '40Trips'!$A$3:$I$42,3,FALSE),'40Trips'!$J$32:$K$35, 2, FALSE)),1,0)</f>
        <v>0</v>
      </c>
      <c r="W38">
        <f>IF(AND(VLOOKUP(W$1,'40Trips'!$A$3:$I$42,8,FALSE)-VLOOKUP($A38,'40Trips'!$A$3:$I$42,9,FALSE)&gt;=VLOOKUP(VLOOKUP(W$1, '40Trips'!$A$3:$I$42,3,FALSE),'40Trips'!$J$32:$K$35, 2, FALSE)),1,0)</f>
        <v>0</v>
      </c>
      <c r="X38">
        <f>IF(AND(VLOOKUP(X$1,'40Trips'!$A$3:$I$42,8,FALSE)-VLOOKUP($A38,'40Trips'!$A$3:$I$42,9,FALSE)&gt;=VLOOKUP(VLOOKUP(X$1, '40Trips'!$A$3:$I$42,3,FALSE),'40Trips'!$J$32:$K$35, 2, FALSE)),1,0)</f>
        <v>0</v>
      </c>
      <c r="Y38">
        <f>IF(AND(VLOOKUP(Y$1,'40Trips'!$A$3:$I$42,8,FALSE)-VLOOKUP($A38,'40Trips'!$A$3:$I$42,9,FALSE)&gt;=VLOOKUP(VLOOKUP(Y$1, '40Trips'!$A$3:$I$42,3,FALSE),'40Trips'!$J$32:$K$35, 2, FALSE)),1,0)</f>
        <v>0</v>
      </c>
      <c r="Z38">
        <f>IF(AND(VLOOKUP(Z$1,'40Trips'!$A$3:$I$42,8,FALSE)-VLOOKUP($A38,'40Trips'!$A$3:$I$42,9,FALSE)&gt;=VLOOKUP(VLOOKUP(Z$1, '40Trips'!$A$3:$I$42,3,FALSE),'40Trips'!$J$32:$K$35, 2, FALSE)),1,0)</f>
        <v>0</v>
      </c>
      <c r="AA38">
        <f>IF(AND(VLOOKUP(AA$1,'40Trips'!$A$3:$I$42,8,FALSE)-VLOOKUP($A38,'40Trips'!$A$3:$I$42,9,FALSE)&gt;=VLOOKUP(VLOOKUP(AA$1, '40Trips'!$A$3:$I$42,3,FALSE),'40Trips'!$J$32:$K$35, 2, FALSE)),1,0)</f>
        <v>0</v>
      </c>
      <c r="AB38">
        <f>IF(AND(VLOOKUP(AB$1,'40Trips'!$A$3:$I$42,8,FALSE)-VLOOKUP($A38,'40Trips'!$A$3:$I$42,9,FALSE)&gt;=VLOOKUP(VLOOKUP(AB$1, '40Trips'!$A$3:$I$42,3,FALSE),'40Trips'!$J$32:$K$35, 2, FALSE)),1,0)</f>
        <v>0</v>
      </c>
      <c r="AC38">
        <f>IF(AND(VLOOKUP(AC$1,'40Trips'!$A$3:$I$42,8,FALSE)-VLOOKUP($A38,'40Trips'!$A$3:$I$42,9,FALSE)&gt;=VLOOKUP(VLOOKUP(AC$1, '40Trips'!$A$3:$I$42,3,FALSE),'40Trips'!$J$32:$K$35, 2, FALSE)),1,0)</f>
        <v>0</v>
      </c>
      <c r="AD38">
        <f>IF(AND(VLOOKUP(AD$1,'40Trips'!$A$3:$I$42,8,FALSE)-VLOOKUP($A38,'40Trips'!$A$3:$I$42,9,FALSE)&gt;=VLOOKUP(VLOOKUP(AD$1, '40Trips'!$A$3:$I$42,3,FALSE),'40Trips'!$J$32:$K$35, 2, FALSE)),1,0)</f>
        <v>0</v>
      </c>
      <c r="AE38">
        <f>IF(AND(VLOOKUP(AE$1,'40Trips'!$A$3:$I$42,8,FALSE)-VLOOKUP($A38,'40Trips'!$A$3:$I$42,9,FALSE)&gt;=VLOOKUP(VLOOKUP(AE$1, '40Trips'!$A$3:$I$42,3,FALSE),'40Trips'!$J$32:$K$35, 2, FALSE)),1,0)</f>
        <v>0</v>
      </c>
      <c r="AF38">
        <f>IF(AND(VLOOKUP(AF$1,'40Trips'!$A$3:$I$42,8,FALSE)-VLOOKUP($A38,'40Trips'!$A$3:$I$42,9,FALSE)&gt;=VLOOKUP(VLOOKUP(AF$1, '40Trips'!$A$3:$I$42,3,FALSE),'40Trips'!$J$32:$K$35, 2, FALSE)),1,0)</f>
        <v>0</v>
      </c>
      <c r="AG38">
        <f>IF(AND(VLOOKUP(AG$1,'40Trips'!$A$3:$I$42,8,FALSE)-VLOOKUP($A38,'40Trips'!$A$3:$I$42,9,FALSE)&gt;=VLOOKUP(VLOOKUP(AG$1, '40Trips'!$A$3:$I$42,3,FALSE),'40Trips'!$J$32:$K$35, 2, FALSE)),1,0)</f>
        <v>0</v>
      </c>
      <c r="AH38">
        <f>IF(AND(VLOOKUP(AH$1,'40Trips'!$A$3:$I$42,8,FALSE)-VLOOKUP($A38,'40Trips'!$A$3:$I$42,9,FALSE)&gt;=VLOOKUP(VLOOKUP(AH$1, '40Trips'!$A$3:$I$42,3,FALSE),'40Trips'!$J$32:$K$35, 2, FALSE)),1,0)</f>
        <v>0</v>
      </c>
      <c r="AI38">
        <f>IF(AND(VLOOKUP(AI$1,'40Trips'!$A$3:$I$42,8,FALSE)-VLOOKUP($A38,'40Trips'!$A$3:$I$42,9,FALSE)&gt;=VLOOKUP(VLOOKUP(AI$1, '40Trips'!$A$3:$I$42,3,FALSE),'40Trips'!$J$32:$K$35, 2, FALSE)),1,0)</f>
        <v>0</v>
      </c>
      <c r="AJ38">
        <f>IF(AND(VLOOKUP(AJ$1,'40Trips'!$A$3:$I$42,8,FALSE)-VLOOKUP($A38,'40Trips'!$A$3:$I$42,9,FALSE)&gt;=VLOOKUP(VLOOKUP(AJ$1, '40Trips'!$A$3:$I$42,3,FALSE),'40Trips'!$J$32:$K$35, 2, FALSE)),1,0)</f>
        <v>0</v>
      </c>
      <c r="AK38">
        <f>IF(AND(VLOOKUP(AK$1,'40Trips'!$A$3:$I$42,8,FALSE)-VLOOKUP($A38,'40Trips'!$A$3:$I$42,9,FALSE)&gt;=VLOOKUP(VLOOKUP(AK$1, '40Trips'!$A$3:$I$42,3,FALSE),'40Trips'!$J$32:$K$35, 2, FALSE)),1,0)</f>
        <v>0</v>
      </c>
      <c r="AL38">
        <f>IF(AND(VLOOKUP(AL$1,'40Trips'!$A$3:$I$42,8,FALSE)-VLOOKUP($A38,'40Trips'!$A$3:$I$42,9,FALSE)&gt;=VLOOKUP(VLOOKUP(AL$1, '40Trips'!$A$3:$I$42,3,FALSE),'40Trips'!$J$32:$K$35, 2, FALSE)),1,0)</f>
        <v>0</v>
      </c>
      <c r="AM38">
        <f>IF(AND(VLOOKUP(AM$1,'40Trips'!$A$3:$I$42,8,FALSE)-VLOOKUP($A38,'40Trips'!$A$3:$I$42,9,FALSE)&gt;=VLOOKUP(VLOOKUP(AM$1, '40Trips'!$A$3:$I$42,3,FALSE),'40Trips'!$J$32:$K$35, 2, FALSE)),1,0)</f>
        <v>0</v>
      </c>
      <c r="AN38">
        <f>IF(AND(VLOOKUP(AN$1,'40Trips'!$A$3:$I$42,8,FALSE)-VLOOKUP($A38,'40Trips'!$A$3:$I$42,9,FALSE)&gt;=VLOOKUP(VLOOKUP(AN$1, '40Trips'!$A$3:$I$42,3,FALSE),'40Trips'!$J$32:$K$35, 2, FALSE)),1,0)</f>
        <v>0</v>
      </c>
      <c r="AO38">
        <f>IF(AND(VLOOKUP(AO$1,'40Trips'!$A$3:$I$42,8,FALSE)-VLOOKUP($A38,'40Trips'!$A$3:$I$42,9,FALSE)&gt;=VLOOKUP(VLOOKUP(AO$1, '40Trips'!$A$3:$I$42,3,FALSE),'40Trips'!$J$32:$K$35, 2, FALSE)),1,0)</f>
        <v>0</v>
      </c>
      <c r="AP38">
        <f>IF(AND(VLOOKUP(AP$1,'40Trips'!$A$3:$I$42,8,FALSE)-VLOOKUP($A38,'40Trips'!$A$3:$I$42,9,FALSE)&gt;=VLOOKUP(VLOOKUP(AP$1, '40Trips'!$A$3:$I$42,3,FALSE),'40Trips'!$J$32:$K$35, 2, FALSE)),1,0)</f>
        <v>0</v>
      </c>
    </row>
    <row r="39" spans="1:42" x14ac:dyDescent="0.25">
      <c r="A39" t="s">
        <v>41</v>
      </c>
      <c r="B39" s="3">
        <v>1</v>
      </c>
      <c r="C39">
        <f>IF(AND(VLOOKUP(C$1,'40Trips'!$A$3:$I$42,8,FALSE)-VLOOKUP($A39,'40Trips'!$A$3:$I$42,9,FALSE)&gt;=VLOOKUP(VLOOKUP(C$1, '40Trips'!$A$3:$I$42,3,FALSE),'40Trips'!$J$32:$K$35, 2, FALSE)),1,0)</f>
        <v>0</v>
      </c>
      <c r="D39">
        <f>IF(AND(VLOOKUP(D$1,'40Trips'!$A$3:$I$42,8,FALSE)-VLOOKUP($A39,'40Trips'!$A$3:$I$42,9,FALSE)&gt;=VLOOKUP(VLOOKUP(D$1, '40Trips'!$A$3:$I$42,3,FALSE),'40Trips'!$J$32:$K$35, 2, FALSE)),1,0)</f>
        <v>0</v>
      </c>
      <c r="E39">
        <f>IF(AND(VLOOKUP(E$1,'40Trips'!$A$3:$I$42,8,FALSE)-VLOOKUP($A39,'40Trips'!$A$3:$I$42,9,FALSE)&gt;=VLOOKUP(VLOOKUP(E$1, '40Trips'!$A$3:$I$42,3,FALSE),'40Trips'!$J$32:$K$35, 2, FALSE)),1,0)</f>
        <v>1</v>
      </c>
      <c r="F39">
        <f>IF(AND(VLOOKUP(F$1,'40Trips'!$A$3:$I$42,8,FALSE)-VLOOKUP($A39,'40Trips'!$A$3:$I$42,9,FALSE)&gt;=VLOOKUP(VLOOKUP(F$1, '40Trips'!$A$3:$I$42,3,FALSE),'40Trips'!$J$32:$K$35, 2, FALSE)),1,0)</f>
        <v>1</v>
      </c>
      <c r="G39">
        <f>IF(AND(VLOOKUP(G$1,'40Trips'!$A$3:$I$42,8,FALSE)-VLOOKUP($A39,'40Trips'!$A$3:$I$42,9,FALSE)&gt;=VLOOKUP(VLOOKUP(G$1, '40Trips'!$A$3:$I$42,3,FALSE),'40Trips'!$J$32:$K$35, 2, FALSE)),1,0)</f>
        <v>0</v>
      </c>
      <c r="H39">
        <f>IF(AND(VLOOKUP(H$1,'40Trips'!$A$3:$I$42,8,FALSE)-VLOOKUP($A39,'40Trips'!$A$3:$I$42,9,FALSE)&gt;=VLOOKUP(VLOOKUP(H$1, '40Trips'!$A$3:$I$42,3,FALSE),'40Trips'!$J$32:$K$35, 2, FALSE)),1,0)</f>
        <v>0</v>
      </c>
      <c r="I39">
        <f>IF(AND(VLOOKUP(I$1,'40Trips'!$A$3:$I$42,8,FALSE)-VLOOKUP($A39,'40Trips'!$A$3:$I$42,9,FALSE)&gt;=VLOOKUP(VLOOKUP(I$1, '40Trips'!$A$3:$I$42,3,FALSE),'40Trips'!$J$32:$K$35, 2, FALSE)),1,0)</f>
        <v>1</v>
      </c>
      <c r="J39">
        <f>IF(AND(VLOOKUP(J$1,'40Trips'!$A$3:$I$42,8,FALSE)-VLOOKUP($A39,'40Trips'!$A$3:$I$42,9,FALSE)&gt;=VLOOKUP(VLOOKUP(J$1, '40Trips'!$A$3:$I$42,3,FALSE),'40Trips'!$J$32:$K$35, 2, FALSE)),1,0)</f>
        <v>1</v>
      </c>
      <c r="K39">
        <f>IF(AND(VLOOKUP(K$1,'40Trips'!$A$3:$I$42,8,FALSE)-VLOOKUP($A39,'40Trips'!$A$3:$I$42,9,FALSE)&gt;=VLOOKUP(VLOOKUP(K$1, '40Trips'!$A$3:$I$42,3,FALSE),'40Trips'!$J$32:$K$35, 2, FALSE)),1,0)</f>
        <v>0</v>
      </c>
      <c r="L39">
        <f>IF(AND(VLOOKUP(L$1,'40Trips'!$A$3:$I$42,8,FALSE)-VLOOKUP($A39,'40Trips'!$A$3:$I$42,9,FALSE)&gt;=VLOOKUP(VLOOKUP(L$1, '40Trips'!$A$3:$I$42,3,FALSE),'40Trips'!$J$32:$K$35, 2, FALSE)),1,0)</f>
        <v>0</v>
      </c>
      <c r="M39">
        <f>IF(AND(VLOOKUP(M$1,'40Trips'!$A$3:$I$42,8,FALSE)-VLOOKUP($A39,'40Trips'!$A$3:$I$42,9,FALSE)&gt;=VLOOKUP(VLOOKUP(M$1, '40Trips'!$A$3:$I$42,3,FALSE),'40Trips'!$J$32:$K$35, 2, FALSE)),1,0)</f>
        <v>1</v>
      </c>
      <c r="N39">
        <f>IF(AND(VLOOKUP(N$1,'40Trips'!$A$3:$I$42,8,FALSE)-VLOOKUP($A39,'40Trips'!$A$3:$I$42,9,FALSE)&gt;=VLOOKUP(VLOOKUP(N$1, '40Trips'!$A$3:$I$42,3,FALSE),'40Trips'!$J$32:$K$35, 2, FALSE)),1,0)</f>
        <v>0</v>
      </c>
      <c r="O39">
        <f>IF(AND(VLOOKUP(O$1,'40Trips'!$A$3:$I$42,8,FALSE)-VLOOKUP($A39,'40Trips'!$A$3:$I$42,9,FALSE)&gt;=VLOOKUP(VLOOKUP(O$1, '40Trips'!$A$3:$I$42,3,FALSE),'40Trips'!$J$32:$K$35, 2, FALSE)),1,0)</f>
        <v>0</v>
      </c>
      <c r="P39">
        <f>IF(AND(VLOOKUP(P$1,'40Trips'!$A$3:$I$42,8,FALSE)-VLOOKUP($A39,'40Trips'!$A$3:$I$42,9,FALSE)&gt;=VLOOKUP(VLOOKUP(P$1, '40Trips'!$A$3:$I$42,3,FALSE),'40Trips'!$J$32:$K$35, 2, FALSE)),1,0)</f>
        <v>0</v>
      </c>
      <c r="Q39">
        <f>IF(AND(VLOOKUP(Q$1,'40Trips'!$A$3:$I$42,8,FALSE)-VLOOKUP($A39,'40Trips'!$A$3:$I$42,9,FALSE)&gt;=VLOOKUP(VLOOKUP(Q$1, '40Trips'!$A$3:$I$42,3,FALSE),'40Trips'!$J$32:$K$35, 2, FALSE)),1,0)</f>
        <v>1</v>
      </c>
      <c r="R39">
        <f>IF(AND(VLOOKUP(R$1,'40Trips'!$A$3:$I$42,8,FALSE)-VLOOKUP($A39,'40Trips'!$A$3:$I$42,9,FALSE)&gt;=VLOOKUP(VLOOKUP(R$1, '40Trips'!$A$3:$I$42,3,FALSE),'40Trips'!$J$32:$K$35, 2, FALSE)),1,0)</f>
        <v>1</v>
      </c>
      <c r="S39">
        <f>IF(AND(VLOOKUP(S$1,'40Trips'!$A$3:$I$42,8,FALSE)-VLOOKUP($A39,'40Trips'!$A$3:$I$42,9,FALSE)&gt;=VLOOKUP(VLOOKUP(S$1, '40Trips'!$A$3:$I$42,3,FALSE),'40Trips'!$J$32:$K$35, 2, FALSE)),1,0)</f>
        <v>0</v>
      </c>
      <c r="T39">
        <f>IF(AND(VLOOKUP(T$1,'40Trips'!$A$3:$I$42,8,FALSE)-VLOOKUP($A39,'40Trips'!$A$3:$I$42,9,FALSE)&gt;=VLOOKUP(VLOOKUP(T$1, '40Trips'!$A$3:$I$42,3,FALSE),'40Trips'!$J$32:$K$35, 2, FALSE)),1,0)</f>
        <v>0</v>
      </c>
      <c r="U39">
        <f>IF(AND(VLOOKUP(U$1,'40Trips'!$A$3:$I$42,8,FALSE)-VLOOKUP($A39,'40Trips'!$A$3:$I$42,9,FALSE)&gt;=VLOOKUP(VLOOKUP(U$1, '40Trips'!$A$3:$I$42,3,FALSE),'40Trips'!$J$32:$K$35, 2, FALSE)),1,0)</f>
        <v>1</v>
      </c>
      <c r="V39">
        <f>IF(AND(VLOOKUP(V$1,'40Trips'!$A$3:$I$42,8,FALSE)-VLOOKUP($A39,'40Trips'!$A$3:$I$42,9,FALSE)&gt;=VLOOKUP(VLOOKUP(V$1, '40Trips'!$A$3:$I$42,3,FALSE),'40Trips'!$J$32:$K$35, 2, FALSE)),1,0)</f>
        <v>1</v>
      </c>
      <c r="W39">
        <f>IF(AND(VLOOKUP(W$1,'40Trips'!$A$3:$I$42,8,FALSE)-VLOOKUP($A39,'40Trips'!$A$3:$I$42,9,FALSE)&gt;=VLOOKUP(VLOOKUP(W$1, '40Trips'!$A$3:$I$42,3,FALSE),'40Trips'!$J$32:$K$35, 2, FALSE)),1,0)</f>
        <v>0</v>
      </c>
      <c r="X39">
        <f>IF(AND(VLOOKUP(X$1,'40Trips'!$A$3:$I$42,8,FALSE)-VLOOKUP($A39,'40Trips'!$A$3:$I$42,9,FALSE)&gt;=VLOOKUP(VLOOKUP(X$1, '40Trips'!$A$3:$I$42,3,FALSE),'40Trips'!$J$32:$K$35, 2, FALSE)),1,0)</f>
        <v>0</v>
      </c>
      <c r="Y39">
        <f>IF(AND(VLOOKUP(Y$1,'40Trips'!$A$3:$I$42,8,FALSE)-VLOOKUP($A39,'40Trips'!$A$3:$I$42,9,FALSE)&gt;=VLOOKUP(VLOOKUP(Y$1, '40Trips'!$A$3:$I$42,3,FALSE),'40Trips'!$J$32:$K$35, 2, FALSE)),1,0)</f>
        <v>1</v>
      </c>
      <c r="Z39">
        <f>IF(AND(VLOOKUP(Z$1,'40Trips'!$A$3:$I$42,8,FALSE)-VLOOKUP($A39,'40Trips'!$A$3:$I$42,9,FALSE)&gt;=VLOOKUP(VLOOKUP(Z$1, '40Trips'!$A$3:$I$42,3,FALSE),'40Trips'!$J$32:$K$35, 2, FALSE)),1,0)</f>
        <v>1</v>
      </c>
      <c r="AA39">
        <f>IF(AND(VLOOKUP(AA$1,'40Trips'!$A$3:$I$42,8,FALSE)-VLOOKUP($A39,'40Trips'!$A$3:$I$42,9,FALSE)&gt;=VLOOKUP(VLOOKUP(AA$1, '40Trips'!$A$3:$I$42,3,FALSE),'40Trips'!$J$32:$K$35, 2, FALSE)),1,0)</f>
        <v>0</v>
      </c>
      <c r="AB39">
        <f>IF(AND(VLOOKUP(AB$1,'40Trips'!$A$3:$I$42,8,FALSE)-VLOOKUP($A39,'40Trips'!$A$3:$I$42,9,FALSE)&gt;=VLOOKUP(VLOOKUP(AB$1, '40Trips'!$A$3:$I$42,3,FALSE),'40Trips'!$J$32:$K$35, 2, FALSE)),1,0)</f>
        <v>0</v>
      </c>
      <c r="AC39">
        <f>IF(AND(VLOOKUP(AC$1,'40Trips'!$A$3:$I$42,8,FALSE)-VLOOKUP($A39,'40Trips'!$A$3:$I$42,9,FALSE)&gt;=VLOOKUP(VLOOKUP(AC$1, '40Trips'!$A$3:$I$42,3,FALSE),'40Trips'!$J$32:$K$35, 2, FALSE)),1,0)</f>
        <v>1</v>
      </c>
      <c r="AD39">
        <f>IF(AND(VLOOKUP(AD$1,'40Trips'!$A$3:$I$42,8,FALSE)-VLOOKUP($A39,'40Trips'!$A$3:$I$42,9,FALSE)&gt;=VLOOKUP(VLOOKUP(AD$1, '40Trips'!$A$3:$I$42,3,FALSE),'40Trips'!$J$32:$K$35, 2, FALSE)),1,0)</f>
        <v>1</v>
      </c>
      <c r="AE39">
        <f>IF(AND(VLOOKUP(AE$1,'40Trips'!$A$3:$I$42,8,FALSE)-VLOOKUP($A39,'40Trips'!$A$3:$I$42,9,FALSE)&gt;=VLOOKUP(VLOOKUP(AE$1, '40Trips'!$A$3:$I$42,3,FALSE),'40Trips'!$J$32:$K$35, 2, FALSE)),1,0)</f>
        <v>0</v>
      </c>
      <c r="AF39">
        <f>IF(AND(VLOOKUP(AF$1,'40Trips'!$A$3:$I$42,8,FALSE)-VLOOKUP($A39,'40Trips'!$A$3:$I$42,9,FALSE)&gt;=VLOOKUP(VLOOKUP(AF$1, '40Trips'!$A$3:$I$42,3,FALSE),'40Trips'!$J$32:$K$35, 2, FALSE)),1,0)</f>
        <v>0</v>
      </c>
      <c r="AG39">
        <f>IF(AND(VLOOKUP(AG$1,'40Trips'!$A$3:$I$42,8,FALSE)-VLOOKUP($A39,'40Trips'!$A$3:$I$42,9,FALSE)&gt;=VLOOKUP(VLOOKUP(AG$1, '40Trips'!$A$3:$I$42,3,FALSE),'40Trips'!$J$32:$K$35, 2, FALSE)),1,0)</f>
        <v>0</v>
      </c>
      <c r="AH39">
        <f>IF(AND(VLOOKUP(AH$1,'40Trips'!$A$3:$I$42,8,FALSE)-VLOOKUP($A39,'40Trips'!$A$3:$I$42,9,FALSE)&gt;=VLOOKUP(VLOOKUP(AH$1, '40Trips'!$A$3:$I$42,3,FALSE),'40Trips'!$J$32:$K$35, 2, FALSE)),1,0)</f>
        <v>1</v>
      </c>
      <c r="AI39">
        <f>IF(AND(VLOOKUP(AI$1,'40Trips'!$A$3:$I$42,8,FALSE)-VLOOKUP($A39,'40Trips'!$A$3:$I$42,9,FALSE)&gt;=VLOOKUP(VLOOKUP(AI$1, '40Trips'!$A$3:$I$42,3,FALSE),'40Trips'!$J$32:$K$35, 2, FALSE)),1,0)</f>
        <v>0</v>
      </c>
      <c r="AJ39">
        <f>IF(AND(VLOOKUP(AJ$1,'40Trips'!$A$3:$I$42,8,FALSE)-VLOOKUP($A39,'40Trips'!$A$3:$I$42,9,FALSE)&gt;=VLOOKUP(VLOOKUP(AJ$1, '40Trips'!$A$3:$I$42,3,FALSE),'40Trips'!$J$32:$K$35, 2, FALSE)),1,0)</f>
        <v>0</v>
      </c>
      <c r="AK39">
        <f>IF(AND(VLOOKUP(AK$1,'40Trips'!$A$3:$I$42,8,FALSE)-VLOOKUP($A39,'40Trips'!$A$3:$I$42,9,FALSE)&gt;=VLOOKUP(VLOOKUP(AK$1, '40Trips'!$A$3:$I$42,3,FALSE),'40Trips'!$J$32:$K$35, 2, FALSE)),1,0)</f>
        <v>1</v>
      </c>
      <c r="AL39">
        <f>IF(AND(VLOOKUP(AL$1,'40Trips'!$A$3:$I$42,8,FALSE)-VLOOKUP($A39,'40Trips'!$A$3:$I$42,9,FALSE)&gt;=VLOOKUP(VLOOKUP(AL$1, '40Trips'!$A$3:$I$42,3,FALSE),'40Trips'!$J$32:$K$35, 2, FALSE)),1,0)</f>
        <v>1</v>
      </c>
      <c r="AM39">
        <f>IF(AND(VLOOKUP(AM$1,'40Trips'!$A$3:$I$42,8,FALSE)-VLOOKUP($A39,'40Trips'!$A$3:$I$42,9,FALSE)&gt;=VLOOKUP(VLOOKUP(AM$1, '40Trips'!$A$3:$I$42,3,FALSE),'40Trips'!$J$32:$K$35, 2, FALSE)),1,0)</f>
        <v>0</v>
      </c>
      <c r="AN39">
        <f>IF(AND(VLOOKUP(AN$1,'40Trips'!$A$3:$I$42,8,FALSE)-VLOOKUP($A39,'40Trips'!$A$3:$I$42,9,FALSE)&gt;=VLOOKUP(VLOOKUP(AN$1, '40Trips'!$A$3:$I$42,3,FALSE),'40Trips'!$J$32:$K$35, 2, FALSE)),1,0)</f>
        <v>1</v>
      </c>
      <c r="AO39">
        <f>IF(AND(VLOOKUP(AO$1,'40Trips'!$A$3:$I$42,8,FALSE)-VLOOKUP($A39,'40Trips'!$A$3:$I$42,9,FALSE)&gt;=VLOOKUP(VLOOKUP(AO$1, '40Trips'!$A$3:$I$42,3,FALSE),'40Trips'!$J$32:$K$35, 2, FALSE)),1,0)</f>
        <v>1</v>
      </c>
      <c r="AP39">
        <f>IF(AND(VLOOKUP(AP$1,'40Trips'!$A$3:$I$42,8,FALSE)-VLOOKUP($A39,'40Trips'!$A$3:$I$42,9,FALSE)&gt;=VLOOKUP(VLOOKUP(AP$1, '40Trips'!$A$3:$I$42,3,FALSE),'40Trips'!$J$32:$K$35, 2, FALSE)),1,0)</f>
        <v>1</v>
      </c>
    </row>
    <row r="40" spans="1:42" x14ac:dyDescent="0.25">
      <c r="A40" t="s">
        <v>89</v>
      </c>
      <c r="B40" s="3">
        <v>1</v>
      </c>
      <c r="C40">
        <f>IF(AND(VLOOKUP(C$1,'40Trips'!$A$3:$I$42,8,FALSE)-VLOOKUP($A40,'40Trips'!$A$3:$I$42,9,FALSE)&gt;=VLOOKUP(VLOOKUP(C$1, '40Trips'!$A$3:$I$42,3,FALSE),'40Trips'!$J$32:$K$35, 2, FALSE)),1,0)</f>
        <v>0</v>
      </c>
      <c r="D40">
        <f>IF(AND(VLOOKUP(D$1,'40Trips'!$A$3:$I$42,8,FALSE)-VLOOKUP($A40,'40Trips'!$A$3:$I$42,9,FALSE)&gt;=VLOOKUP(VLOOKUP(D$1, '40Trips'!$A$3:$I$42,3,FALSE),'40Trips'!$J$32:$K$35, 2, FALSE)),1,0)</f>
        <v>0</v>
      </c>
      <c r="E40">
        <f>IF(AND(VLOOKUP(E$1,'40Trips'!$A$3:$I$42,8,FALSE)-VLOOKUP($A40,'40Trips'!$A$3:$I$42,9,FALSE)&gt;=VLOOKUP(VLOOKUP(E$1, '40Trips'!$A$3:$I$42,3,FALSE),'40Trips'!$J$32:$K$35, 2, FALSE)),1,0)</f>
        <v>0</v>
      </c>
      <c r="F40">
        <f>IF(AND(VLOOKUP(F$1,'40Trips'!$A$3:$I$42,8,FALSE)-VLOOKUP($A40,'40Trips'!$A$3:$I$42,9,FALSE)&gt;=VLOOKUP(VLOOKUP(F$1, '40Trips'!$A$3:$I$42,3,FALSE),'40Trips'!$J$32:$K$35, 2, FALSE)),1,0)</f>
        <v>1</v>
      </c>
      <c r="G40">
        <f>IF(AND(VLOOKUP(G$1,'40Trips'!$A$3:$I$42,8,FALSE)-VLOOKUP($A40,'40Trips'!$A$3:$I$42,9,FALSE)&gt;=VLOOKUP(VLOOKUP(G$1, '40Trips'!$A$3:$I$42,3,FALSE),'40Trips'!$J$32:$K$35, 2, FALSE)),1,0)</f>
        <v>0</v>
      </c>
      <c r="H40">
        <f>IF(AND(VLOOKUP(H$1,'40Trips'!$A$3:$I$42,8,FALSE)-VLOOKUP($A40,'40Trips'!$A$3:$I$42,9,FALSE)&gt;=VLOOKUP(VLOOKUP(H$1, '40Trips'!$A$3:$I$42,3,FALSE),'40Trips'!$J$32:$K$35, 2, FALSE)),1,0)</f>
        <v>0</v>
      </c>
      <c r="I40">
        <f>IF(AND(VLOOKUP(I$1,'40Trips'!$A$3:$I$42,8,FALSE)-VLOOKUP($A40,'40Trips'!$A$3:$I$42,9,FALSE)&gt;=VLOOKUP(VLOOKUP(I$1, '40Trips'!$A$3:$I$42,3,FALSE),'40Trips'!$J$32:$K$35, 2, FALSE)),1,0)</f>
        <v>0</v>
      </c>
      <c r="J40">
        <f>IF(AND(VLOOKUP(J$1,'40Trips'!$A$3:$I$42,8,FALSE)-VLOOKUP($A40,'40Trips'!$A$3:$I$42,9,FALSE)&gt;=VLOOKUP(VLOOKUP(J$1, '40Trips'!$A$3:$I$42,3,FALSE),'40Trips'!$J$32:$K$35, 2, FALSE)),1,0)</f>
        <v>1</v>
      </c>
      <c r="K40">
        <f>IF(AND(VLOOKUP(K$1,'40Trips'!$A$3:$I$42,8,FALSE)-VLOOKUP($A40,'40Trips'!$A$3:$I$42,9,FALSE)&gt;=VLOOKUP(VLOOKUP(K$1, '40Trips'!$A$3:$I$42,3,FALSE),'40Trips'!$J$32:$K$35, 2, FALSE)),1,0)</f>
        <v>0</v>
      </c>
      <c r="L40">
        <f>IF(AND(VLOOKUP(L$1,'40Trips'!$A$3:$I$42,8,FALSE)-VLOOKUP($A40,'40Trips'!$A$3:$I$42,9,FALSE)&gt;=VLOOKUP(VLOOKUP(L$1, '40Trips'!$A$3:$I$42,3,FALSE),'40Trips'!$J$32:$K$35, 2, FALSE)),1,0)</f>
        <v>0</v>
      </c>
      <c r="M40">
        <f>IF(AND(VLOOKUP(M$1,'40Trips'!$A$3:$I$42,8,FALSE)-VLOOKUP($A40,'40Trips'!$A$3:$I$42,9,FALSE)&gt;=VLOOKUP(VLOOKUP(M$1, '40Trips'!$A$3:$I$42,3,FALSE),'40Trips'!$J$32:$K$35, 2, FALSE)),1,0)</f>
        <v>0</v>
      </c>
      <c r="N40">
        <f>IF(AND(VLOOKUP(N$1,'40Trips'!$A$3:$I$42,8,FALSE)-VLOOKUP($A40,'40Trips'!$A$3:$I$42,9,FALSE)&gt;=VLOOKUP(VLOOKUP(N$1, '40Trips'!$A$3:$I$42,3,FALSE),'40Trips'!$J$32:$K$35, 2, FALSE)),1,0)</f>
        <v>0</v>
      </c>
      <c r="O40">
        <f>IF(AND(VLOOKUP(O$1,'40Trips'!$A$3:$I$42,8,FALSE)-VLOOKUP($A40,'40Trips'!$A$3:$I$42,9,FALSE)&gt;=VLOOKUP(VLOOKUP(O$1, '40Trips'!$A$3:$I$42,3,FALSE),'40Trips'!$J$32:$K$35, 2, FALSE)),1,0)</f>
        <v>0</v>
      </c>
      <c r="P40">
        <f>IF(AND(VLOOKUP(P$1,'40Trips'!$A$3:$I$42,8,FALSE)-VLOOKUP($A40,'40Trips'!$A$3:$I$42,9,FALSE)&gt;=VLOOKUP(VLOOKUP(P$1, '40Trips'!$A$3:$I$42,3,FALSE),'40Trips'!$J$32:$K$35, 2, FALSE)),1,0)</f>
        <v>0</v>
      </c>
      <c r="Q40">
        <f>IF(AND(VLOOKUP(Q$1,'40Trips'!$A$3:$I$42,8,FALSE)-VLOOKUP($A40,'40Trips'!$A$3:$I$42,9,FALSE)&gt;=VLOOKUP(VLOOKUP(Q$1, '40Trips'!$A$3:$I$42,3,FALSE),'40Trips'!$J$32:$K$35, 2, FALSE)),1,0)</f>
        <v>0</v>
      </c>
      <c r="R40">
        <f>IF(AND(VLOOKUP(R$1,'40Trips'!$A$3:$I$42,8,FALSE)-VLOOKUP($A40,'40Trips'!$A$3:$I$42,9,FALSE)&gt;=VLOOKUP(VLOOKUP(R$1, '40Trips'!$A$3:$I$42,3,FALSE),'40Trips'!$J$32:$K$35, 2, FALSE)),1,0)</f>
        <v>1</v>
      </c>
      <c r="S40">
        <f>IF(AND(VLOOKUP(S$1,'40Trips'!$A$3:$I$42,8,FALSE)-VLOOKUP($A40,'40Trips'!$A$3:$I$42,9,FALSE)&gt;=VLOOKUP(VLOOKUP(S$1, '40Trips'!$A$3:$I$42,3,FALSE),'40Trips'!$J$32:$K$35, 2, FALSE)),1,0)</f>
        <v>0</v>
      </c>
      <c r="T40">
        <f>IF(AND(VLOOKUP(T$1,'40Trips'!$A$3:$I$42,8,FALSE)-VLOOKUP($A40,'40Trips'!$A$3:$I$42,9,FALSE)&gt;=VLOOKUP(VLOOKUP(T$1, '40Trips'!$A$3:$I$42,3,FALSE),'40Trips'!$J$32:$K$35, 2, FALSE)),1,0)</f>
        <v>0</v>
      </c>
      <c r="U40">
        <f>IF(AND(VLOOKUP(U$1,'40Trips'!$A$3:$I$42,8,FALSE)-VLOOKUP($A40,'40Trips'!$A$3:$I$42,9,FALSE)&gt;=VLOOKUP(VLOOKUP(U$1, '40Trips'!$A$3:$I$42,3,FALSE),'40Trips'!$J$32:$K$35, 2, FALSE)),1,0)</f>
        <v>0</v>
      </c>
      <c r="V40">
        <f>IF(AND(VLOOKUP(V$1,'40Trips'!$A$3:$I$42,8,FALSE)-VLOOKUP($A40,'40Trips'!$A$3:$I$42,9,FALSE)&gt;=VLOOKUP(VLOOKUP(V$1, '40Trips'!$A$3:$I$42,3,FALSE),'40Trips'!$J$32:$K$35, 2, FALSE)),1,0)</f>
        <v>1</v>
      </c>
      <c r="W40">
        <f>IF(AND(VLOOKUP(W$1,'40Trips'!$A$3:$I$42,8,FALSE)-VLOOKUP($A40,'40Trips'!$A$3:$I$42,9,FALSE)&gt;=VLOOKUP(VLOOKUP(W$1, '40Trips'!$A$3:$I$42,3,FALSE),'40Trips'!$J$32:$K$35, 2, FALSE)),1,0)</f>
        <v>0</v>
      </c>
      <c r="X40">
        <f>IF(AND(VLOOKUP(X$1,'40Trips'!$A$3:$I$42,8,FALSE)-VLOOKUP($A40,'40Trips'!$A$3:$I$42,9,FALSE)&gt;=VLOOKUP(VLOOKUP(X$1, '40Trips'!$A$3:$I$42,3,FALSE),'40Trips'!$J$32:$K$35, 2, FALSE)),1,0)</f>
        <v>0</v>
      </c>
      <c r="Y40">
        <f>IF(AND(VLOOKUP(Y$1,'40Trips'!$A$3:$I$42,8,FALSE)-VLOOKUP($A40,'40Trips'!$A$3:$I$42,9,FALSE)&gt;=VLOOKUP(VLOOKUP(Y$1, '40Trips'!$A$3:$I$42,3,FALSE),'40Trips'!$J$32:$K$35, 2, FALSE)),1,0)</f>
        <v>0</v>
      </c>
      <c r="Z40">
        <f>IF(AND(VLOOKUP(Z$1,'40Trips'!$A$3:$I$42,8,FALSE)-VLOOKUP($A40,'40Trips'!$A$3:$I$42,9,FALSE)&gt;=VLOOKUP(VLOOKUP(Z$1, '40Trips'!$A$3:$I$42,3,FALSE),'40Trips'!$J$32:$K$35, 2, FALSE)),1,0)</f>
        <v>1</v>
      </c>
      <c r="AA40">
        <f>IF(AND(VLOOKUP(AA$1,'40Trips'!$A$3:$I$42,8,FALSE)-VLOOKUP($A40,'40Trips'!$A$3:$I$42,9,FALSE)&gt;=VLOOKUP(VLOOKUP(AA$1, '40Trips'!$A$3:$I$42,3,FALSE),'40Trips'!$J$32:$K$35, 2, FALSE)),1,0)</f>
        <v>0</v>
      </c>
      <c r="AB40">
        <f>IF(AND(VLOOKUP(AB$1,'40Trips'!$A$3:$I$42,8,FALSE)-VLOOKUP($A40,'40Trips'!$A$3:$I$42,9,FALSE)&gt;=VLOOKUP(VLOOKUP(AB$1, '40Trips'!$A$3:$I$42,3,FALSE),'40Trips'!$J$32:$K$35, 2, FALSE)),1,0)</f>
        <v>0</v>
      </c>
      <c r="AC40">
        <f>IF(AND(VLOOKUP(AC$1,'40Trips'!$A$3:$I$42,8,FALSE)-VLOOKUP($A40,'40Trips'!$A$3:$I$42,9,FALSE)&gt;=VLOOKUP(VLOOKUP(AC$1, '40Trips'!$A$3:$I$42,3,FALSE),'40Trips'!$J$32:$K$35, 2, FALSE)),1,0)</f>
        <v>1</v>
      </c>
      <c r="AD40">
        <f>IF(AND(VLOOKUP(AD$1,'40Trips'!$A$3:$I$42,8,FALSE)-VLOOKUP($A40,'40Trips'!$A$3:$I$42,9,FALSE)&gt;=VLOOKUP(VLOOKUP(AD$1, '40Trips'!$A$3:$I$42,3,FALSE),'40Trips'!$J$32:$K$35, 2, FALSE)),1,0)</f>
        <v>1</v>
      </c>
      <c r="AE40">
        <f>IF(AND(VLOOKUP(AE$1,'40Trips'!$A$3:$I$42,8,FALSE)-VLOOKUP($A40,'40Trips'!$A$3:$I$42,9,FALSE)&gt;=VLOOKUP(VLOOKUP(AE$1, '40Trips'!$A$3:$I$42,3,FALSE),'40Trips'!$J$32:$K$35, 2, FALSE)),1,0)</f>
        <v>0</v>
      </c>
      <c r="AF40">
        <f>IF(AND(VLOOKUP(AF$1,'40Trips'!$A$3:$I$42,8,FALSE)-VLOOKUP($A40,'40Trips'!$A$3:$I$42,9,FALSE)&gt;=VLOOKUP(VLOOKUP(AF$1, '40Trips'!$A$3:$I$42,3,FALSE),'40Trips'!$J$32:$K$35, 2, FALSE)),1,0)</f>
        <v>0</v>
      </c>
      <c r="AG40">
        <f>IF(AND(VLOOKUP(AG$1,'40Trips'!$A$3:$I$42,8,FALSE)-VLOOKUP($A40,'40Trips'!$A$3:$I$42,9,FALSE)&gt;=VLOOKUP(VLOOKUP(AG$1, '40Trips'!$A$3:$I$42,3,FALSE),'40Trips'!$J$32:$K$35, 2, FALSE)),1,0)</f>
        <v>0</v>
      </c>
      <c r="AH40">
        <f>IF(AND(VLOOKUP(AH$1,'40Trips'!$A$3:$I$42,8,FALSE)-VLOOKUP($A40,'40Trips'!$A$3:$I$42,9,FALSE)&gt;=VLOOKUP(VLOOKUP(AH$1, '40Trips'!$A$3:$I$42,3,FALSE),'40Trips'!$J$32:$K$35, 2, FALSE)),1,0)</f>
        <v>0</v>
      </c>
      <c r="AI40">
        <f>IF(AND(VLOOKUP(AI$1,'40Trips'!$A$3:$I$42,8,FALSE)-VLOOKUP($A40,'40Trips'!$A$3:$I$42,9,FALSE)&gt;=VLOOKUP(VLOOKUP(AI$1, '40Trips'!$A$3:$I$42,3,FALSE),'40Trips'!$J$32:$K$35, 2, FALSE)),1,0)</f>
        <v>0</v>
      </c>
      <c r="AJ40">
        <f>IF(AND(VLOOKUP(AJ$1,'40Trips'!$A$3:$I$42,8,FALSE)-VLOOKUP($A40,'40Trips'!$A$3:$I$42,9,FALSE)&gt;=VLOOKUP(VLOOKUP(AJ$1, '40Trips'!$A$3:$I$42,3,FALSE),'40Trips'!$J$32:$K$35, 2, FALSE)),1,0)</f>
        <v>0</v>
      </c>
      <c r="AK40">
        <f>IF(AND(VLOOKUP(AK$1,'40Trips'!$A$3:$I$42,8,FALSE)-VLOOKUP($A40,'40Trips'!$A$3:$I$42,9,FALSE)&gt;=VLOOKUP(VLOOKUP(AK$1, '40Trips'!$A$3:$I$42,3,FALSE),'40Trips'!$J$32:$K$35, 2, FALSE)),1,0)</f>
        <v>0</v>
      </c>
      <c r="AL40">
        <f>IF(AND(VLOOKUP(AL$1,'40Trips'!$A$3:$I$42,8,FALSE)-VLOOKUP($A40,'40Trips'!$A$3:$I$42,9,FALSE)&gt;=VLOOKUP(VLOOKUP(AL$1, '40Trips'!$A$3:$I$42,3,FALSE),'40Trips'!$J$32:$K$35, 2, FALSE)),1,0)</f>
        <v>1</v>
      </c>
      <c r="AM40">
        <f>IF(AND(VLOOKUP(AM$1,'40Trips'!$A$3:$I$42,8,FALSE)-VLOOKUP($A40,'40Trips'!$A$3:$I$42,9,FALSE)&gt;=VLOOKUP(VLOOKUP(AM$1, '40Trips'!$A$3:$I$42,3,FALSE),'40Trips'!$J$32:$K$35, 2, FALSE)),1,0)</f>
        <v>0</v>
      </c>
      <c r="AN40">
        <f>IF(AND(VLOOKUP(AN$1,'40Trips'!$A$3:$I$42,8,FALSE)-VLOOKUP($A40,'40Trips'!$A$3:$I$42,9,FALSE)&gt;=VLOOKUP(VLOOKUP(AN$1, '40Trips'!$A$3:$I$42,3,FALSE),'40Trips'!$J$32:$K$35, 2, FALSE)),1,0)</f>
        <v>0</v>
      </c>
      <c r="AO40">
        <f>IF(AND(VLOOKUP(AO$1,'40Trips'!$A$3:$I$42,8,FALSE)-VLOOKUP($A40,'40Trips'!$A$3:$I$42,9,FALSE)&gt;=VLOOKUP(VLOOKUP(AO$1, '40Trips'!$A$3:$I$42,3,FALSE),'40Trips'!$J$32:$K$35, 2, FALSE)),1,0)</f>
        <v>0</v>
      </c>
      <c r="AP40">
        <f>IF(AND(VLOOKUP(AP$1,'40Trips'!$A$3:$I$42,8,FALSE)-VLOOKUP($A40,'40Trips'!$A$3:$I$42,9,FALSE)&gt;=VLOOKUP(VLOOKUP(AP$1, '40Trips'!$A$3:$I$42,3,FALSE),'40Trips'!$J$32:$K$35, 2, FALSE)),1,0)</f>
        <v>1</v>
      </c>
    </row>
    <row r="41" spans="1:42" x14ac:dyDescent="0.25">
      <c r="A41" t="s">
        <v>90</v>
      </c>
      <c r="B41" s="3">
        <v>1</v>
      </c>
      <c r="C41">
        <f>IF(AND(VLOOKUP(C$1,'40Trips'!$A$3:$I$42,8,FALSE)-VLOOKUP($A41,'40Trips'!$A$3:$I$42,9,FALSE)&gt;=VLOOKUP(VLOOKUP(C$1, '40Trips'!$A$3:$I$42,3,FALSE),'40Trips'!$J$32:$K$35, 2, FALSE)),1,0)</f>
        <v>0</v>
      </c>
      <c r="D41">
        <f>IF(AND(VLOOKUP(D$1,'40Trips'!$A$3:$I$42,8,FALSE)-VLOOKUP($A41,'40Trips'!$A$3:$I$42,9,FALSE)&gt;=VLOOKUP(VLOOKUP(D$1, '40Trips'!$A$3:$I$42,3,FALSE),'40Trips'!$J$32:$K$35, 2, FALSE)),1,0)</f>
        <v>0</v>
      </c>
      <c r="E41">
        <f>IF(AND(VLOOKUP(E$1,'40Trips'!$A$3:$I$42,8,FALSE)-VLOOKUP($A41,'40Trips'!$A$3:$I$42,9,FALSE)&gt;=VLOOKUP(VLOOKUP(E$1, '40Trips'!$A$3:$I$42,3,FALSE),'40Trips'!$J$32:$K$35, 2, FALSE)),1,0)</f>
        <v>0</v>
      </c>
      <c r="F41">
        <f>IF(AND(VLOOKUP(F$1,'40Trips'!$A$3:$I$42,8,FALSE)-VLOOKUP($A41,'40Trips'!$A$3:$I$42,9,FALSE)&gt;=VLOOKUP(VLOOKUP(F$1, '40Trips'!$A$3:$I$42,3,FALSE),'40Trips'!$J$32:$K$35, 2, FALSE)),1,0)</f>
        <v>1</v>
      </c>
      <c r="G41">
        <f>IF(AND(VLOOKUP(G$1,'40Trips'!$A$3:$I$42,8,FALSE)-VLOOKUP($A41,'40Trips'!$A$3:$I$42,9,FALSE)&gt;=VLOOKUP(VLOOKUP(G$1, '40Trips'!$A$3:$I$42,3,FALSE),'40Trips'!$J$32:$K$35, 2, FALSE)),1,0)</f>
        <v>0</v>
      </c>
      <c r="H41">
        <f>IF(AND(VLOOKUP(H$1,'40Trips'!$A$3:$I$42,8,FALSE)-VLOOKUP($A41,'40Trips'!$A$3:$I$42,9,FALSE)&gt;=VLOOKUP(VLOOKUP(H$1, '40Trips'!$A$3:$I$42,3,FALSE),'40Trips'!$J$32:$K$35, 2, FALSE)),1,0)</f>
        <v>0</v>
      </c>
      <c r="I41">
        <f>IF(AND(VLOOKUP(I$1,'40Trips'!$A$3:$I$42,8,FALSE)-VLOOKUP($A41,'40Trips'!$A$3:$I$42,9,FALSE)&gt;=VLOOKUP(VLOOKUP(I$1, '40Trips'!$A$3:$I$42,3,FALSE),'40Trips'!$J$32:$K$35, 2, FALSE)),1,0)</f>
        <v>0</v>
      </c>
      <c r="J41">
        <f>IF(AND(VLOOKUP(J$1,'40Trips'!$A$3:$I$42,8,FALSE)-VLOOKUP($A41,'40Trips'!$A$3:$I$42,9,FALSE)&gt;=VLOOKUP(VLOOKUP(J$1, '40Trips'!$A$3:$I$42,3,FALSE),'40Trips'!$J$32:$K$35, 2, FALSE)),1,0)</f>
        <v>1</v>
      </c>
      <c r="K41">
        <f>IF(AND(VLOOKUP(K$1,'40Trips'!$A$3:$I$42,8,FALSE)-VLOOKUP($A41,'40Trips'!$A$3:$I$42,9,FALSE)&gt;=VLOOKUP(VLOOKUP(K$1, '40Trips'!$A$3:$I$42,3,FALSE),'40Trips'!$J$32:$K$35, 2, FALSE)),1,0)</f>
        <v>0</v>
      </c>
      <c r="L41">
        <f>IF(AND(VLOOKUP(L$1,'40Trips'!$A$3:$I$42,8,FALSE)-VLOOKUP($A41,'40Trips'!$A$3:$I$42,9,FALSE)&gt;=VLOOKUP(VLOOKUP(L$1, '40Trips'!$A$3:$I$42,3,FALSE),'40Trips'!$J$32:$K$35, 2, FALSE)),1,0)</f>
        <v>0</v>
      </c>
      <c r="M41">
        <f>IF(AND(VLOOKUP(M$1,'40Trips'!$A$3:$I$42,8,FALSE)-VLOOKUP($A41,'40Trips'!$A$3:$I$42,9,FALSE)&gt;=VLOOKUP(VLOOKUP(M$1, '40Trips'!$A$3:$I$42,3,FALSE),'40Trips'!$J$32:$K$35, 2, FALSE)),1,0)</f>
        <v>0</v>
      </c>
      <c r="N41">
        <f>IF(AND(VLOOKUP(N$1,'40Trips'!$A$3:$I$42,8,FALSE)-VLOOKUP($A41,'40Trips'!$A$3:$I$42,9,FALSE)&gt;=VLOOKUP(VLOOKUP(N$1, '40Trips'!$A$3:$I$42,3,FALSE),'40Trips'!$J$32:$K$35, 2, FALSE)),1,0)</f>
        <v>0</v>
      </c>
      <c r="O41">
        <f>IF(AND(VLOOKUP(O$1,'40Trips'!$A$3:$I$42,8,FALSE)-VLOOKUP($A41,'40Trips'!$A$3:$I$42,9,FALSE)&gt;=VLOOKUP(VLOOKUP(O$1, '40Trips'!$A$3:$I$42,3,FALSE),'40Trips'!$J$32:$K$35, 2, FALSE)),1,0)</f>
        <v>0</v>
      </c>
      <c r="P41">
        <f>IF(AND(VLOOKUP(P$1,'40Trips'!$A$3:$I$42,8,FALSE)-VLOOKUP($A41,'40Trips'!$A$3:$I$42,9,FALSE)&gt;=VLOOKUP(VLOOKUP(P$1, '40Trips'!$A$3:$I$42,3,FALSE),'40Trips'!$J$32:$K$35, 2, FALSE)),1,0)</f>
        <v>0</v>
      </c>
      <c r="Q41">
        <f>IF(AND(VLOOKUP(Q$1,'40Trips'!$A$3:$I$42,8,FALSE)-VLOOKUP($A41,'40Trips'!$A$3:$I$42,9,FALSE)&gt;=VLOOKUP(VLOOKUP(Q$1, '40Trips'!$A$3:$I$42,3,FALSE),'40Trips'!$J$32:$K$35, 2, FALSE)),1,0)</f>
        <v>0</v>
      </c>
      <c r="R41">
        <f>IF(AND(VLOOKUP(R$1,'40Trips'!$A$3:$I$42,8,FALSE)-VLOOKUP($A41,'40Trips'!$A$3:$I$42,9,FALSE)&gt;=VLOOKUP(VLOOKUP(R$1, '40Trips'!$A$3:$I$42,3,FALSE),'40Trips'!$J$32:$K$35, 2, FALSE)),1,0)</f>
        <v>0</v>
      </c>
      <c r="S41">
        <f>IF(AND(VLOOKUP(S$1,'40Trips'!$A$3:$I$42,8,FALSE)-VLOOKUP($A41,'40Trips'!$A$3:$I$42,9,FALSE)&gt;=VLOOKUP(VLOOKUP(S$1, '40Trips'!$A$3:$I$42,3,FALSE),'40Trips'!$J$32:$K$35, 2, FALSE)),1,0)</f>
        <v>0</v>
      </c>
      <c r="T41">
        <f>IF(AND(VLOOKUP(T$1,'40Trips'!$A$3:$I$42,8,FALSE)-VLOOKUP($A41,'40Trips'!$A$3:$I$42,9,FALSE)&gt;=VLOOKUP(VLOOKUP(T$1, '40Trips'!$A$3:$I$42,3,FALSE),'40Trips'!$J$32:$K$35, 2, FALSE)),1,0)</f>
        <v>0</v>
      </c>
      <c r="U41">
        <f>IF(AND(VLOOKUP(U$1,'40Trips'!$A$3:$I$42,8,FALSE)-VLOOKUP($A41,'40Trips'!$A$3:$I$42,9,FALSE)&gt;=VLOOKUP(VLOOKUP(U$1, '40Trips'!$A$3:$I$42,3,FALSE),'40Trips'!$J$32:$K$35, 2, FALSE)),1,0)</f>
        <v>0</v>
      </c>
      <c r="V41">
        <f>IF(AND(VLOOKUP(V$1,'40Trips'!$A$3:$I$42,8,FALSE)-VLOOKUP($A41,'40Trips'!$A$3:$I$42,9,FALSE)&gt;=VLOOKUP(VLOOKUP(V$1, '40Trips'!$A$3:$I$42,3,FALSE),'40Trips'!$J$32:$K$35, 2, FALSE)),1,0)</f>
        <v>1</v>
      </c>
      <c r="W41">
        <f>IF(AND(VLOOKUP(W$1,'40Trips'!$A$3:$I$42,8,FALSE)-VLOOKUP($A41,'40Trips'!$A$3:$I$42,9,FALSE)&gt;=VLOOKUP(VLOOKUP(W$1, '40Trips'!$A$3:$I$42,3,FALSE),'40Trips'!$J$32:$K$35, 2, FALSE)),1,0)</f>
        <v>0</v>
      </c>
      <c r="X41">
        <f>IF(AND(VLOOKUP(X$1,'40Trips'!$A$3:$I$42,8,FALSE)-VLOOKUP($A41,'40Trips'!$A$3:$I$42,9,FALSE)&gt;=VLOOKUP(VLOOKUP(X$1, '40Trips'!$A$3:$I$42,3,FALSE),'40Trips'!$J$32:$K$35, 2, FALSE)),1,0)</f>
        <v>0</v>
      </c>
      <c r="Y41">
        <f>IF(AND(VLOOKUP(Y$1,'40Trips'!$A$3:$I$42,8,FALSE)-VLOOKUP($A41,'40Trips'!$A$3:$I$42,9,FALSE)&gt;=VLOOKUP(VLOOKUP(Y$1, '40Trips'!$A$3:$I$42,3,FALSE),'40Trips'!$J$32:$K$35, 2, FALSE)),1,0)</f>
        <v>0</v>
      </c>
      <c r="Z41">
        <f>IF(AND(VLOOKUP(Z$1,'40Trips'!$A$3:$I$42,8,FALSE)-VLOOKUP($A41,'40Trips'!$A$3:$I$42,9,FALSE)&gt;=VLOOKUP(VLOOKUP(Z$1, '40Trips'!$A$3:$I$42,3,FALSE),'40Trips'!$J$32:$K$35, 2, FALSE)),1,0)</f>
        <v>1</v>
      </c>
      <c r="AA41">
        <f>IF(AND(VLOOKUP(AA$1,'40Trips'!$A$3:$I$42,8,FALSE)-VLOOKUP($A41,'40Trips'!$A$3:$I$42,9,FALSE)&gt;=VLOOKUP(VLOOKUP(AA$1, '40Trips'!$A$3:$I$42,3,FALSE),'40Trips'!$J$32:$K$35, 2, FALSE)),1,0)</f>
        <v>0</v>
      </c>
      <c r="AB41">
        <f>IF(AND(VLOOKUP(AB$1,'40Trips'!$A$3:$I$42,8,FALSE)-VLOOKUP($A41,'40Trips'!$A$3:$I$42,9,FALSE)&gt;=VLOOKUP(VLOOKUP(AB$1, '40Trips'!$A$3:$I$42,3,FALSE),'40Trips'!$J$32:$K$35, 2, FALSE)),1,0)</f>
        <v>0</v>
      </c>
      <c r="AC41">
        <f>IF(AND(VLOOKUP(AC$1,'40Trips'!$A$3:$I$42,8,FALSE)-VLOOKUP($A41,'40Trips'!$A$3:$I$42,9,FALSE)&gt;=VLOOKUP(VLOOKUP(AC$1, '40Trips'!$A$3:$I$42,3,FALSE),'40Trips'!$J$32:$K$35, 2, FALSE)),1,0)</f>
        <v>0</v>
      </c>
      <c r="AD41">
        <f>IF(AND(VLOOKUP(AD$1,'40Trips'!$A$3:$I$42,8,FALSE)-VLOOKUP($A41,'40Trips'!$A$3:$I$42,9,FALSE)&gt;=VLOOKUP(VLOOKUP(AD$1, '40Trips'!$A$3:$I$42,3,FALSE),'40Trips'!$J$32:$K$35, 2, FALSE)),1,0)</f>
        <v>1</v>
      </c>
      <c r="AE41">
        <f>IF(AND(VLOOKUP(AE$1,'40Trips'!$A$3:$I$42,8,FALSE)-VLOOKUP($A41,'40Trips'!$A$3:$I$42,9,FALSE)&gt;=VLOOKUP(VLOOKUP(AE$1, '40Trips'!$A$3:$I$42,3,FALSE),'40Trips'!$J$32:$K$35, 2, FALSE)),1,0)</f>
        <v>0</v>
      </c>
      <c r="AF41">
        <f>IF(AND(VLOOKUP(AF$1,'40Trips'!$A$3:$I$42,8,FALSE)-VLOOKUP($A41,'40Trips'!$A$3:$I$42,9,FALSE)&gt;=VLOOKUP(VLOOKUP(AF$1, '40Trips'!$A$3:$I$42,3,FALSE),'40Trips'!$J$32:$K$35, 2, FALSE)),1,0)</f>
        <v>0</v>
      </c>
      <c r="AG41">
        <f>IF(AND(VLOOKUP(AG$1,'40Trips'!$A$3:$I$42,8,FALSE)-VLOOKUP($A41,'40Trips'!$A$3:$I$42,9,FALSE)&gt;=VLOOKUP(VLOOKUP(AG$1, '40Trips'!$A$3:$I$42,3,FALSE),'40Trips'!$J$32:$K$35, 2, FALSE)),1,0)</f>
        <v>0</v>
      </c>
      <c r="AH41">
        <f>IF(AND(VLOOKUP(AH$1,'40Trips'!$A$3:$I$42,8,FALSE)-VLOOKUP($A41,'40Trips'!$A$3:$I$42,9,FALSE)&gt;=VLOOKUP(VLOOKUP(AH$1, '40Trips'!$A$3:$I$42,3,FALSE),'40Trips'!$J$32:$K$35, 2, FALSE)),1,0)</f>
        <v>0</v>
      </c>
      <c r="AI41">
        <f>IF(AND(VLOOKUP(AI$1,'40Trips'!$A$3:$I$42,8,FALSE)-VLOOKUP($A41,'40Trips'!$A$3:$I$42,9,FALSE)&gt;=VLOOKUP(VLOOKUP(AI$1, '40Trips'!$A$3:$I$42,3,FALSE),'40Trips'!$J$32:$K$35, 2, FALSE)),1,0)</f>
        <v>0</v>
      </c>
      <c r="AJ41">
        <f>IF(AND(VLOOKUP(AJ$1,'40Trips'!$A$3:$I$42,8,FALSE)-VLOOKUP($A41,'40Trips'!$A$3:$I$42,9,FALSE)&gt;=VLOOKUP(VLOOKUP(AJ$1, '40Trips'!$A$3:$I$42,3,FALSE),'40Trips'!$J$32:$K$35, 2, FALSE)),1,0)</f>
        <v>0</v>
      </c>
      <c r="AK41">
        <f>IF(AND(VLOOKUP(AK$1,'40Trips'!$A$3:$I$42,8,FALSE)-VLOOKUP($A41,'40Trips'!$A$3:$I$42,9,FALSE)&gt;=VLOOKUP(VLOOKUP(AK$1, '40Trips'!$A$3:$I$42,3,FALSE),'40Trips'!$J$32:$K$35, 2, FALSE)),1,0)</f>
        <v>0</v>
      </c>
      <c r="AL41">
        <f>IF(AND(VLOOKUP(AL$1,'40Trips'!$A$3:$I$42,8,FALSE)-VLOOKUP($A41,'40Trips'!$A$3:$I$42,9,FALSE)&gt;=VLOOKUP(VLOOKUP(AL$1, '40Trips'!$A$3:$I$42,3,FALSE),'40Trips'!$J$32:$K$35, 2, FALSE)),1,0)</f>
        <v>1</v>
      </c>
      <c r="AM41">
        <f>IF(AND(VLOOKUP(AM$1,'40Trips'!$A$3:$I$42,8,FALSE)-VLOOKUP($A41,'40Trips'!$A$3:$I$42,9,FALSE)&gt;=VLOOKUP(VLOOKUP(AM$1, '40Trips'!$A$3:$I$42,3,FALSE),'40Trips'!$J$32:$K$35, 2, FALSE)),1,0)</f>
        <v>0</v>
      </c>
      <c r="AN41">
        <f>IF(AND(VLOOKUP(AN$1,'40Trips'!$A$3:$I$42,8,FALSE)-VLOOKUP($A41,'40Trips'!$A$3:$I$42,9,FALSE)&gt;=VLOOKUP(VLOOKUP(AN$1, '40Trips'!$A$3:$I$42,3,FALSE),'40Trips'!$J$32:$K$35, 2, FALSE)),1,0)</f>
        <v>0</v>
      </c>
      <c r="AO41">
        <f>IF(AND(VLOOKUP(AO$1,'40Trips'!$A$3:$I$42,8,FALSE)-VLOOKUP($A41,'40Trips'!$A$3:$I$42,9,FALSE)&gt;=VLOOKUP(VLOOKUP(AO$1, '40Trips'!$A$3:$I$42,3,FALSE),'40Trips'!$J$32:$K$35, 2, FALSE)),1,0)</f>
        <v>0</v>
      </c>
      <c r="AP41">
        <f>IF(AND(VLOOKUP(AP$1,'40Trips'!$A$3:$I$42,8,FALSE)-VLOOKUP($A41,'40Trips'!$A$3:$I$42,9,FALSE)&gt;=VLOOKUP(VLOOKUP(AP$1, '40Trips'!$A$3:$I$42,3,FALSE),'40Trips'!$J$32:$K$35, 2, FALSE)),1,0)</f>
        <v>1</v>
      </c>
    </row>
    <row r="42" spans="1:42" x14ac:dyDescent="0.25">
      <c r="A42" t="s">
        <v>91</v>
      </c>
      <c r="B42" s="3">
        <v>1</v>
      </c>
      <c r="C42">
        <f>IF(AND(VLOOKUP(C$1,'40Trips'!$A$3:$I$42,8,FALSE)-VLOOKUP($A42,'40Trips'!$A$3:$I$42,9,FALSE)&gt;=VLOOKUP(VLOOKUP(C$1, '40Trips'!$A$3:$I$42,3,FALSE),'40Trips'!$J$32:$K$35, 2, FALSE)),1,0)</f>
        <v>0</v>
      </c>
      <c r="D42">
        <f>IF(AND(VLOOKUP(D$1,'40Trips'!$A$3:$I$42,8,FALSE)-VLOOKUP($A42,'40Trips'!$A$3:$I$42,9,FALSE)&gt;=VLOOKUP(VLOOKUP(D$1, '40Trips'!$A$3:$I$42,3,FALSE),'40Trips'!$J$32:$K$35, 2, FALSE)),1,0)</f>
        <v>0</v>
      </c>
      <c r="E42">
        <f>IF(AND(VLOOKUP(E$1,'40Trips'!$A$3:$I$42,8,FALSE)-VLOOKUP($A42,'40Trips'!$A$3:$I$42,9,FALSE)&gt;=VLOOKUP(VLOOKUP(E$1, '40Trips'!$A$3:$I$42,3,FALSE),'40Trips'!$J$32:$K$35, 2, FALSE)),1,0)</f>
        <v>0</v>
      </c>
      <c r="F42">
        <f>IF(AND(VLOOKUP(F$1,'40Trips'!$A$3:$I$42,8,FALSE)-VLOOKUP($A42,'40Trips'!$A$3:$I$42,9,FALSE)&gt;=VLOOKUP(VLOOKUP(F$1, '40Trips'!$A$3:$I$42,3,FALSE),'40Trips'!$J$32:$K$35, 2, FALSE)),1,0)</f>
        <v>0</v>
      </c>
      <c r="G42">
        <f>IF(AND(VLOOKUP(G$1,'40Trips'!$A$3:$I$42,8,FALSE)-VLOOKUP($A42,'40Trips'!$A$3:$I$42,9,FALSE)&gt;=VLOOKUP(VLOOKUP(G$1, '40Trips'!$A$3:$I$42,3,FALSE),'40Trips'!$J$32:$K$35, 2, FALSE)),1,0)</f>
        <v>0</v>
      </c>
      <c r="H42">
        <f>IF(AND(VLOOKUP(H$1,'40Trips'!$A$3:$I$42,8,FALSE)-VLOOKUP($A42,'40Trips'!$A$3:$I$42,9,FALSE)&gt;=VLOOKUP(VLOOKUP(H$1, '40Trips'!$A$3:$I$42,3,FALSE),'40Trips'!$J$32:$K$35, 2, FALSE)),1,0)</f>
        <v>0</v>
      </c>
      <c r="I42">
        <f>IF(AND(VLOOKUP(I$1,'40Trips'!$A$3:$I$42,8,FALSE)-VLOOKUP($A42,'40Trips'!$A$3:$I$42,9,FALSE)&gt;=VLOOKUP(VLOOKUP(I$1, '40Trips'!$A$3:$I$42,3,FALSE),'40Trips'!$J$32:$K$35, 2, FALSE)),1,0)</f>
        <v>0</v>
      </c>
      <c r="J42">
        <f>IF(AND(VLOOKUP(J$1,'40Trips'!$A$3:$I$42,8,FALSE)-VLOOKUP($A42,'40Trips'!$A$3:$I$42,9,FALSE)&gt;=VLOOKUP(VLOOKUP(J$1, '40Trips'!$A$3:$I$42,3,FALSE),'40Trips'!$J$32:$K$35, 2, FALSE)),1,0)</f>
        <v>1</v>
      </c>
      <c r="K42">
        <f>IF(AND(VLOOKUP(K$1,'40Trips'!$A$3:$I$42,8,FALSE)-VLOOKUP($A42,'40Trips'!$A$3:$I$42,9,FALSE)&gt;=VLOOKUP(VLOOKUP(K$1, '40Trips'!$A$3:$I$42,3,FALSE),'40Trips'!$J$32:$K$35, 2, FALSE)),1,0)</f>
        <v>0</v>
      </c>
      <c r="L42">
        <f>IF(AND(VLOOKUP(L$1,'40Trips'!$A$3:$I$42,8,FALSE)-VLOOKUP($A42,'40Trips'!$A$3:$I$42,9,FALSE)&gt;=VLOOKUP(VLOOKUP(L$1, '40Trips'!$A$3:$I$42,3,FALSE),'40Trips'!$J$32:$K$35, 2, FALSE)),1,0)</f>
        <v>0</v>
      </c>
      <c r="M42">
        <f>IF(AND(VLOOKUP(M$1,'40Trips'!$A$3:$I$42,8,FALSE)-VLOOKUP($A42,'40Trips'!$A$3:$I$42,9,FALSE)&gt;=VLOOKUP(VLOOKUP(M$1, '40Trips'!$A$3:$I$42,3,FALSE),'40Trips'!$J$32:$K$35, 2, FALSE)),1,0)</f>
        <v>0</v>
      </c>
      <c r="N42">
        <f>IF(AND(VLOOKUP(N$1,'40Trips'!$A$3:$I$42,8,FALSE)-VLOOKUP($A42,'40Trips'!$A$3:$I$42,9,FALSE)&gt;=VLOOKUP(VLOOKUP(N$1, '40Trips'!$A$3:$I$42,3,FALSE),'40Trips'!$J$32:$K$35, 2, FALSE)),1,0)</f>
        <v>0</v>
      </c>
      <c r="O42">
        <f>IF(AND(VLOOKUP(O$1,'40Trips'!$A$3:$I$42,8,FALSE)-VLOOKUP($A42,'40Trips'!$A$3:$I$42,9,FALSE)&gt;=VLOOKUP(VLOOKUP(O$1, '40Trips'!$A$3:$I$42,3,FALSE),'40Trips'!$J$32:$K$35, 2, FALSE)),1,0)</f>
        <v>0</v>
      </c>
      <c r="P42">
        <f>IF(AND(VLOOKUP(P$1,'40Trips'!$A$3:$I$42,8,FALSE)-VLOOKUP($A42,'40Trips'!$A$3:$I$42,9,FALSE)&gt;=VLOOKUP(VLOOKUP(P$1, '40Trips'!$A$3:$I$42,3,FALSE),'40Trips'!$J$32:$K$35, 2, FALSE)),1,0)</f>
        <v>0</v>
      </c>
      <c r="Q42">
        <f>IF(AND(VLOOKUP(Q$1,'40Trips'!$A$3:$I$42,8,FALSE)-VLOOKUP($A42,'40Trips'!$A$3:$I$42,9,FALSE)&gt;=VLOOKUP(VLOOKUP(Q$1, '40Trips'!$A$3:$I$42,3,FALSE),'40Trips'!$J$32:$K$35, 2, FALSE)),1,0)</f>
        <v>0</v>
      </c>
      <c r="R42">
        <f>IF(AND(VLOOKUP(R$1,'40Trips'!$A$3:$I$42,8,FALSE)-VLOOKUP($A42,'40Trips'!$A$3:$I$42,9,FALSE)&gt;=VLOOKUP(VLOOKUP(R$1, '40Trips'!$A$3:$I$42,3,FALSE),'40Trips'!$J$32:$K$35, 2, FALSE)),1,0)</f>
        <v>0</v>
      </c>
      <c r="S42">
        <f>IF(AND(VLOOKUP(S$1,'40Trips'!$A$3:$I$42,8,FALSE)-VLOOKUP($A42,'40Trips'!$A$3:$I$42,9,FALSE)&gt;=VLOOKUP(VLOOKUP(S$1, '40Trips'!$A$3:$I$42,3,FALSE),'40Trips'!$J$32:$K$35, 2, FALSE)),1,0)</f>
        <v>0</v>
      </c>
      <c r="T42">
        <f>IF(AND(VLOOKUP(T$1,'40Trips'!$A$3:$I$42,8,FALSE)-VLOOKUP($A42,'40Trips'!$A$3:$I$42,9,FALSE)&gt;=VLOOKUP(VLOOKUP(T$1, '40Trips'!$A$3:$I$42,3,FALSE),'40Trips'!$J$32:$K$35, 2, FALSE)),1,0)</f>
        <v>0</v>
      </c>
      <c r="U42">
        <f>IF(AND(VLOOKUP(U$1,'40Trips'!$A$3:$I$42,8,FALSE)-VLOOKUP($A42,'40Trips'!$A$3:$I$42,9,FALSE)&gt;=VLOOKUP(VLOOKUP(U$1, '40Trips'!$A$3:$I$42,3,FALSE),'40Trips'!$J$32:$K$35, 2, FALSE)),1,0)</f>
        <v>0</v>
      </c>
      <c r="V42">
        <f>IF(AND(VLOOKUP(V$1,'40Trips'!$A$3:$I$42,8,FALSE)-VLOOKUP($A42,'40Trips'!$A$3:$I$42,9,FALSE)&gt;=VLOOKUP(VLOOKUP(V$1, '40Trips'!$A$3:$I$42,3,FALSE),'40Trips'!$J$32:$K$35, 2, FALSE)),1,0)</f>
        <v>0</v>
      </c>
      <c r="W42">
        <f>IF(AND(VLOOKUP(W$1,'40Trips'!$A$3:$I$42,8,FALSE)-VLOOKUP($A42,'40Trips'!$A$3:$I$42,9,FALSE)&gt;=VLOOKUP(VLOOKUP(W$1, '40Trips'!$A$3:$I$42,3,FALSE),'40Trips'!$J$32:$K$35, 2, FALSE)),1,0)</f>
        <v>0</v>
      </c>
      <c r="X42">
        <f>IF(AND(VLOOKUP(X$1,'40Trips'!$A$3:$I$42,8,FALSE)-VLOOKUP($A42,'40Trips'!$A$3:$I$42,9,FALSE)&gt;=VLOOKUP(VLOOKUP(X$1, '40Trips'!$A$3:$I$42,3,FALSE),'40Trips'!$J$32:$K$35, 2, FALSE)),1,0)</f>
        <v>0</v>
      </c>
      <c r="Y42">
        <f>IF(AND(VLOOKUP(Y$1,'40Trips'!$A$3:$I$42,8,FALSE)-VLOOKUP($A42,'40Trips'!$A$3:$I$42,9,FALSE)&gt;=VLOOKUP(VLOOKUP(Y$1, '40Trips'!$A$3:$I$42,3,FALSE),'40Trips'!$J$32:$K$35, 2, FALSE)),1,0)</f>
        <v>0</v>
      </c>
      <c r="Z42">
        <f>IF(AND(VLOOKUP(Z$1,'40Trips'!$A$3:$I$42,8,FALSE)-VLOOKUP($A42,'40Trips'!$A$3:$I$42,9,FALSE)&gt;=VLOOKUP(VLOOKUP(Z$1, '40Trips'!$A$3:$I$42,3,FALSE),'40Trips'!$J$32:$K$35, 2, FALSE)),1,0)</f>
        <v>0</v>
      </c>
      <c r="AA42">
        <f>IF(AND(VLOOKUP(AA$1,'40Trips'!$A$3:$I$42,8,FALSE)-VLOOKUP($A42,'40Trips'!$A$3:$I$42,9,FALSE)&gt;=VLOOKUP(VLOOKUP(AA$1, '40Trips'!$A$3:$I$42,3,FALSE),'40Trips'!$J$32:$K$35, 2, FALSE)),1,0)</f>
        <v>0</v>
      </c>
      <c r="AB42">
        <f>IF(AND(VLOOKUP(AB$1,'40Trips'!$A$3:$I$42,8,FALSE)-VLOOKUP($A42,'40Trips'!$A$3:$I$42,9,FALSE)&gt;=VLOOKUP(VLOOKUP(AB$1, '40Trips'!$A$3:$I$42,3,FALSE),'40Trips'!$J$32:$K$35, 2, FALSE)),1,0)</f>
        <v>0</v>
      </c>
      <c r="AC42">
        <f>IF(AND(VLOOKUP(AC$1,'40Trips'!$A$3:$I$42,8,FALSE)-VLOOKUP($A42,'40Trips'!$A$3:$I$42,9,FALSE)&gt;=VLOOKUP(VLOOKUP(AC$1, '40Trips'!$A$3:$I$42,3,FALSE),'40Trips'!$J$32:$K$35, 2, FALSE)),1,0)</f>
        <v>0</v>
      </c>
      <c r="AD42">
        <f>IF(AND(VLOOKUP(AD$1,'40Trips'!$A$3:$I$42,8,FALSE)-VLOOKUP($A42,'40Trips'!$A$3:$I$42,9,FALSE)&gt;=VLOOKUP(VLOOKUP(AD$1, '40Trips'!$A$3:$I$42,3,FALSE),'40Trips'!$J$32:$K$35, 2, FALSE)),1,0)</f>
        <v>0</v>
      </c>
      <c r="AE42">
        <f>IF(AND(VLOOKUP(AE$1,'40Trips'!$A$3:$I$42,8,FALSE)-VLOOKUP($A42,'40Trips'!$A$3:$I$42,9,FALSE)&gt;=VLOOKUP(VLOOKUP(AE$1, '40Trips'!$A$3:$I$42,3,FALSE),'40Trips'!$J$32:$K$35, 2, FALSE)),1,0)</f>
        <v>0</v>
      </c>
      <c r="AF42">
        <f>IF(AND(VLOOKUP(AF$1,'40Trips'!$A$3:$I$42,8,FALSE)-VLOOKUP($A42,'40Trips'!$A$3:$I$42,9,FALSE)&gt;=VLOOKUP(VLOOKUP(AF$1, '40Trips'!$A$3:$I$42,3,FALSE),'40Trips'!$J$32:$K$35, 2, FALSE)),1,0)</f>
        <v>0</v>
      </c>
      <c r="AG42">
        <f>IF(AND(VLOOKUP(AG$1,'40Trips'!$A$3:$I$42,8,FALSE)-VLOOKUP($A42,'40Trips'!$A$3:$I$42,9,FALSE)&gt;=VLOOKUP(VLOOKUP(AG$1, '40Trips'!$A$3:$I$42,3,FALSE),'40Trips'!$J$32:$K$35, 2, FALSE)),1,0)</f>
        <v>0</v>
      </c>
      <c r="AH42">
        <f>IF(AND(VLOOKUP(AH$1,'40Trips'!$A$3:$I$42,8,FALSE)-VLOOKUP($A42,'40Trips'!$A$3:$I$42,9,FALSE)&gt;=VLOOKUP(VLOOKUP(AH$1, '40Trips'!$A$3:$I$42,3,FALSE),'40Trips'!$J$32:$K$35, 2, FALSE)),1,0)</f>
        <v>0</v>
      </c>
      <c r="AI42">
        <f>IF(AND(VLOOKUP(AI$1,'40Trips'!$A$3:$I$42,8,FALSE)-VLOOKUP($A42,'40Trips'!$A$3:$I$42,9,FALSE)&gt;=VLOOKUP(VLOOKUP(AI$1, '40Trips'!$A$3:$I$42,3,FALSE),'40Trips'!$J$32:$K$35, 2, FALSE)),1,0)</f>
        <v>0</v>
      </c>
      <c r="AJ42">
        <f>IF(AND(VLOOKUP(AJ$1,'40Trips'!$A$3:$I$42,8,FALSE)-VLOOKUP($A42,'40Trips'!$A$3:$I$42,9,FALSE)&gt;=VLOOKUP(VLOOKUP(AJ$1, '40Trips'!$A$3:$I$42,3,FALSE),'40Trips'!$J$32:$K$35, 2, FALSE)),1,0)</f>
        <v>0</v>
      </c>
      <c r="AK42">
        <f>IF(AND(VLOOKUP(AK$1,'40Trips'!$A$3:$I$42,8,FALSE)-VLOOKUP($A42,'40Trips'!$A$3:$I$42,9,FALSE)&gt;=VLOOKUP(VLOOKUP(AK$1, '40Trips'!$A$3:$I$42,3,FALSE),'40Trips'!$J$32:$K$35, 2, FALSE)),1,0)</f>
        <v>0</v>
      </c>
      <c r="AL42">
        <f>IF(AND(VLOOKUP(AL$1,'40Trips'!$A$3:$I$42,8,FALSE)-VLOOKUP($A42,'40Trips'!$A$3:$I$42,9,FALSE)&gt;=VLOOKUP(VLOOKUP(AL$1, '40Trips'!$A$3:$I$42,3,FALSE),'40Trips'!$J$32:$K$35, 2, FALSE)),1,0)</f>
        <v>0</v>
      </c>
      <c r="AM42">
        <f>IF(AND(VLOOKUP(AM$1,'40Trips'!$A$3:$I$42,8,FALSE)-VLOOKUP($A42,'40Trips'!$A$3:$I$42,9,FALSE)&gt;=VLOOKUP(VLOOKUP(AM$1, '40Trips'!$A$3:$I$42,3,FALSE),'40Trips'!$J$32:$K$35, 2, FALSE)),1,0)</f>
        <v>0</v>
      </c>
      <c r="AN42">
        <f>IF(AND(VLOOKUP(AN$1,'40Trips'!$A$3:$I$42,8,FALSE)-VLOOKUP($A42,'40Trips'!$A$3:$I$42,9,FALSE)&gt;=VLOOKUP(VLOOKUP(AN$1, '40Trips'!$A$3:$I$42,3,FALSE),'40Trips'!$J$32:$K$35, 2, FALSE)),1,0)</f>
        <v>0</v>
      </c>
      <c r="AO42">
        <f>IF(AND(VLOOKUP(AO$1,'40Trips'!$A$3:$I$42,8,FALSE)-VLOOKUP($A42,'40Trips'!$A$3:$I$42,9,FALSE)&gt;=VLOOKUP(VLOOKUP(AO$1, '40Trips'!$A$3:$I$42,3,FALSE),'40Trips'!$J$32:$K$35, 2, FALSE)),1,0)</f>
        <v>0</v>
      </c>
      <c r="AP42">
        <f>IF(AND(VLOOKUP(AP$1,'40Trips'!$A$3:$I$42,8,FALSE)-VLOOKUP($A42,'40Trips'!$A$3:$I$42,9,FALSE)&gt;=VLOOKUP(VLOOKUP(AP$1, '40Trips'!$A$3:$I$42,3,FALSE),'40Trips'!$J$32:$K$35, 2, FALSE)),1,0)</f>
        <v>0</v>
      </c>
    </row>
  </sheetData>
  <conditionalFormatting sqref="C3:AP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FFAE-5369-4C25-B375-EB161AF56D7D}">
  <dimension ref="A1:AT46"/>
  <sheetViews>
    <sheetView topLeftCell="S1" workbookViewId="0">
      <pane ySplit="1" topLeftCell="A14" activePane="bottomLeft" state="frozen"/>
      <selection pane="bottomLeft" activeCell="AT42" sqref="AT42"/>
    </sheetView>
  </sheetViews>
  <sheetFormatPr defaultRowHeight="15" x14ac:dyDescent="0.25"/>
  <sheetData>
    <row r="1" spans="1:46" x14ac:dyDescent="0.25">
      <c r="B1" t="s">
        <v>46</v>
      </c>
      <c r="C1" t="s">
        <v>6</v>
      </c>
      <c r="D1" t="s">
        <v>9</v>
      </c>
      <c r="E1" t="s">
        <v>10</v>
      </c>
      <c r="F1" t="s">
        <v>11</v>
      </c>
      <c r="G1" t="s">
        <v>18</v>
      </c>
      <c r="H1" t="s">
        <v>20</v>
      </c>
      <c r="I1" t="s">
        <v>21</v>
      </c>
      <c r="J1" t="s">
        <v>22</v>
      </c>
      <c r="K1" t="s">
        <v>24</v>
      </c>
      <c r="L1" t="s">
        <v>73</v>
      </c>
      <c r="M1" t="s">
        <v>74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75</v>
      </c>
      <c r="T1" t="s">
        <v>76</v>
      </c>
      <c r="U1" t="s">
        <v>77</v>
      </c>
      <c r="V1" t="s">
        <v>78</v>
      </c>
      <c r="W1" t="s">
        <v>34</v>
      </c>
      <c r="X1" t="s">
        <v>35</v>
      </c>
      <c r="Y1" t="s">
        <v>36</v>
      </c>
      <c r="Z1" t="s">
        <v>37</v>
      </c>
      <c r="AA1" t="s">
        <v>79</v>
      </c>
      <c r="AB1" t="s">
        <v>80</v>
      </c>
      <c r="AC1" t="s">
        <v>81</v>
      </c>
      <c r="AD1" t="s">
        <v>82</v>
      </c>
      <c r="AE1" t="s">
        <v>39</v>
      </c>
      <c r="AF1" t="s">
        <v>83</v>
      </c>
      <c r="AG1" t="s">
        <v>84</v>
      </c>
      <c r="AH1" t="s">
        <v>85</v>
      </c>
      <c r="AI1" t="s">
        <v>40</v>
      </c>
      <c r="AJ1" t="s">
        <v>86</v>
      </c>
      <c r="AK1" t="s">
        <v>87</v>
      </c>
      <c r="AL1" t="s">
        <v>88</v>
      </c>
      <c r="AM1" t="s">
        <v>41</v>
      </c>
      <c r="AN1" t="s">
        <v>89</v>
      </c>
      <c r="AO1" t="s">
        <v>90</v>
      </c>
      <c r="AP1" t="s">
        <v>91</v>
      </c>
      <c r="AQ1" t="s">
        <v>62</v>
      </c>
      <c r="AR1" t="s">
        <v>67</v>
      </c>
      <c r="AS1" t="s">
        <v>68</v>
      </c>
      <c r="AT1" t="s">
        <v>69</v>
      </c>
    </row>
    <row r="2" spans="1:46" x14ac:dyDescent="0.2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25">
      <c r="A3" t="s">
        <v>6</v>
      </c>
      <c r="B3">
        <v>0</v>
      </c>
      <c r="C3">
        <f>IF(AND(SUM(VLOOKUP($A3,'40Trips'!$A$3:$I$42,2,FALSE),VLOOKUP(C$1,'40Trips'!$A$3:$I$42,2,FALSE))&lt;'40Trips'!$K$16,$A3&lt;&gt;C$1,gamma!C3=1),SUM(VLOOKUP($A3,'40Trips'!$A$3:$I$42,2,FALSE), VLOOKUP(C$1,'40Trips'!$A$3:$I$42,2,FALSE)),0)</f>
        <v>0</v>
      </c>
      <c r="D3">
        <f>IF(AND(SUM(VLOOKUP($A3,'40Trips'!$A$3:$I$42,2,FALSE),VLOOKUP(D$1,'40Trips'!$A$3:$I$42,2,FALSE))&lt;'40Trips'!$K$16,$A3&lt;&gt;D$1,gamma!D3=1),SUM(VLOOKUP($A3,'40Trips'!$A$3:$I$42,2,FALSE), VLOOKUP(D$1,'40Trips'!$A$3:$I$42,2,FALSE)),0)</f>
        <v>270</v>
      </c>
      <c r="E3">
        <f>IF(AND(SUM(VLOOKUP($A3,'40Trips'!$A$3:$I$42,2,FALSE),VLOOKUP(E$1,'40Trips'!$A$3:$I$42,2,FALSE))&lt;'40Trips'!$K$16,$A3&lt;&gt;E$1,gamma!E3=1),SUM(VLOOKUP($A3,'40Trips'!$A$3:$I$42,2,FALSE), VLOOKUP(E$1,'40Trips'!$A$3:$I$42,2,FALSE)),0)</f>
        <v>270</v>
      </c>
      <c r="F3">
        <f>IF(AND(SUM(VLOOKUP($A3,'40Trips'!$A$3:$I$42,2,FALSE),VLOOKUP(F$1,'40Trips'!$A$3:$I$42,2,FALSE))&lt;'40Trips'!$K$16,$A3&lt;&gt;F$1,gamma!F3=1),SUM(VLOOKUP($A3,'40Trips'!$A$3:$I$42,2,FALSE), VLOOKUP(F$1,'40Trips'!$A$3:$I$42,2,FALSE)),0)</f>
        <v>270</v>
      </c>
      <c r="G3">
        <f>IF(AND(SUM(VLOOKUP($A3,'40Trips'!$A$3:$I$42,2,FALSE),VLOOKUP(G$1,'40Trips'!$A$3:$I$42,2,FALSE))&lt;'40Trips'!$K$16,$A3&lt;&gt;G$1,gamma!G3=1),SUM(VLOOKUP($A3,'40Trips'!$A$3:$I$42,2,FALSE), VLOOKUP(G$1,'40Trips'!$A$3:$I$42,2,FALSE)),0)</f>
        <v>0</v>
      </c>
      <c r="H3">
        <f>IF(AND(SUM(VLOOKUP($A3,'40Trips'!$A$3:$I$42,2,FALSE),VLOOKUP(H$1,'40Trips'!$A$3:$I$42,2,FALSE))&lt;'40Trips'!$K$16,$A3&lt;&gt;H$1,gamma!H3=1),SUM(VLOOKUP($A3,'40Trips'!$A$3:$I$42,2,FALSE), VLOOKUP(H$1,'40Trips'!$A$3:$I$42,2,FALSE)),0)</f>
        <v>0</v>
      </c>
      <c r="I3">
        <f>IF(AND(SUM(VLOOKUP($A3,'40Trips'!$A$3:$I$42,2,FALSE),VLOOKUP(I$1,'40Trips'!$A$3:$I$42,2,FALSE))&lt;'40Trips'!$K$16,$A3&lt;&gt;I$1,gamma!I3=1),SUM(VLOOKUP($A3,'40Trips'!$A$3:$I$42,2,FALSE), VLOOKUP(I$1,'40Trips'!$A$3:$I$42,2,FALSE)),0)</f>
        <v>275</v>
      </c>
      <c r="J3">
        <f>IF(AND(SUM(VLOOKUP($A3,'40Trips'!$A$3:$I$42,2,FALSE),VLOOKUP(J$1,'40Trips'!$A$3:$I$42,2,FALSE))&lt;'40Trips'!$K$16,$A3&lt;&gt;J$1,gamma!J3=1),SUM(VLOOKUP($A3,'40Trips'!$A$3:$I$42,2,FALSE), VLOOKUP(J$1,'40Trips'!$A$3:$I$42,2,FALSE)),0)</f>
        <v>275</v>
      </c>
      <c r="K3">
        <f>IF(AND(SUM(VLOOKUP($A3,'40Trips'!$A$3:$I$42,2,FALSE),VLOOKUP(K$1,'40Trips'!$A$3:$I$42,2,FALSE))&lt;'40Trips'!$K$16,$A3&lt;&gt;K$1,gamma!K3=1),SUM(VLOOKUP($A3,'40Trips'!$A$3:$I$42,2,FALSE), VLOOKUP(K$1,'40Trips'!$A$3:$I$42,2,FALSE)),0)</f>
        <v>0</v>
      </c>
      <c r="L3">
        <f>IF(AND(SUM(VLOOKUP($A3,'40Trips'!$A$3:$I$42,2,FALSE),VLOOKUP(L$1,'40Trips'!$A$3:$I$42,2,FALSE))&lt;'40Trips'!$K$16,$A3&lt;&gt;L$1,gamma!L3=1),SUM(VLOOKUP($A3,'40Trips'!$A$3:$I$42,2,FALSE), VLOOKUP(L$1,'40Trips'!$A$3:$I$42,2,FALSE)),0)</f>
        <v>0</v>
      </c>
      <c r="M3">
        <f>IF(AND(SUM(VLOOKUP($A3,'40Trips'!$A$3:$I$42,2,FALSE),VLOOKUP(M$1,'40Trips'!$A$3:$I$42,2,FALSE))&lt;'40Trips'!$K$16,$A3&lt;&gt;M$1,gamma!M3=1),SUM(VLOOKUP($A3,'40Trips'!$A$3:$I$42,2,FALSE), VLOOKUP(M$1,'40Trips'!$A$3:$I$42,2,FALSE)),0)</f>
        <v>270</v>
      </c>
      <c r="N3">
        <f>IF(AND(SUM(VLOOKUP($A3,'40Trips'!$A$3:$I$42,2,FALSE),VLOOKUP(N$1,'40Trips'!$A$3:$I$42,2,FALSE))&lt;'40Trips'!$K$16,$A3&lt;&gt;N$1,gamma!N3=1),SUM(VLOOKUP($A3,'40Trips'!$A$3:$I$42,2,FALSE), VLOOKUP(N$1,'40Trips'!$A$3:$I$42,2,FALSE)),0)</f>
        <v>0</v>
      </c>
      <c r="O3">
        <f>IF(AND(SUM(VLOOKUP($A3,'40Trips'!$A$3:$I$42,2,FALSE),VLOOKUP(O$1,'40Trips'!$A$3:$I$42,2,FALSE))&lt;'40Trips'!$K$16,$A3&lt;&gt;O$1,gamma!O3=1),SUM(VLOOKUP($A3,'40Trips'!$A$3:$I$42,2,FALSE), VLOOKUP(O$1,'40Trips'!$A$3:$I$42,2,FALSE)),0)</f>
        <v>0</v>
      </c>
      <c r="P3">
        <f>IF(AND(SUM(VLOOKUP($A3,'40Trips'!$A$3:$I$42,2,FALSE),VLOOKUP(P$1,'40Trips'!$A$3:$I$42,2,FALSE))&lt;'40Trips'!$K$16,$A3&lt;&gt;P$1,gamma!P3=1),SUM(VLOOKUP($A3,'40Trips'!$A$3:$I$42,2,FALSE), VLOOKUP(P$1,'40Trips'!$A$3:$I$42,2,FALSE)),0)</f>
        <v>270</v>
      </c>
      <c r="Q3">
        <f>IF(AND(SUM(VLOOKUP($A3,'40Trips'!$A$3:$I$42,2,FALSE),VLOOKUP(Q$1,'40Trips'!$A$3:$I$42,2,FALSE))&lt;'40Trips'!$K$16,$A3&lt;&gt;Q$1,gamma!Q3=1),SUM(VLOOKUP($A3,'40Trips'!$A$3:$I$42,2,FALSE), VLOOKUP(Q$1,'40Trips'!$A$3:$I$42,2,FALSE)),0)</f>
        <v>270</v>
      </c>
      <c r="R3">
        <f>IF(AND(SUM(VLOOKUP($A3,'40Trips'!$A$3:$I$42,2,FALSE),VLOOKUP(R$1,'40Trips'!$A$3:$I$42,2,FALSE))&lt;'40Trips'!$K$16,$A3&lt;&gt;R$1,gamma!R3=1),SUM(VLOOKUP($A3,'40Trips'!$A$3:$I$42,2,FALSE), VLOOKUP(R$1,'40Trips'!$A$3:$I$42,2,FALSE)),0)</f>
        <v>270</v>
      </c>
      <c r="S3">
        <f>IF(AND(SUM(VLOOKUP($A3,'40Trips'!$A$3:$I$42,2,FALSE),VLOOKUP(S$1,'40Trips'!$A$3:$I$42,2,FALSE))&lt;'40Trips'!$K$16,$A3&lt;&gt;S$1,gamma!S3=1),SUM(VLOOKUP($A3,'40Trips'!$A$3:$I$42,2,FALSE), VLOOKUP(S$1,'40Trips'!$A$3:$I$42,2,FALSE)),0)</f>
        <v>0</v>
      </c>
      <c r="T3">
        <f>IF(AND(SUM(VLOOKUP($A3,'40Trips'!$A$3:$I$42,2,FALSE),VLOOKUP(T$1,'40Trips'!$A$3:$I$42,2,FALSE))&lt;'40Trips'!$K$16,$A3&lt;&gt;T$1,gamma!T3=1),SUM(VLOOKUP($A3,'40Trips'!$A$3:$I$42,2,FALSE), VLOOKUP(T$1,'40Trips'!$A$3:$I$42,2,FALSE)),0)</f>
        <v>0</v>
      </c>
      <c r="U3">
        <f>IF(AND(SUM(VLOOKUP($A3,'40Trips'!$A$3:$I$42,2,FALSE),VLOOKUP(U$1,'40Trips'!$A$3:$I$42,2,FALSE))&lt;'40Trips'!$K$16,$A3&lt;&gt;U$1,gamma!U3=1),SUM(VLOOKUP($A3,'40Trips'!$A$3:$I$42,2,FALSE), VLOOKUP(U$1,'40Trips'!$A$3:$I$42,2,FALSE)),0)</f>
        <v>255</v>
      </c>
      <c r="V3">
        <f>IF(AND(SUM(VLOOKUP($A3,'40Trips'!$A$3:$I$42,2,FALSE),VLOOKUP(V$1,'40Trips'!$A$3:$I$42,2,FALSE))&lt;'40Trips'!$K$16,$A3&lt;&gt;V$1,gamma!V3=1),SUM(VLOOKUP($A3,'40Trips'!$A$3:$I$42,2,FALSE), VLOOKUP(V$1,'40Trips'!$A$3:$I$42,2,FALSE)),0)</f>
        <v>265</v>
      </c>
      <c r="W3">
        <f>IF(AND(SUM(VLOOKUP($A3,'40Trips'!$A$3:$I$42,2,FALSE),VLOOKUP(W$1,'40Trips'!$A$3:$I$42,2,FALSE))&lt;'40Trips'!$K$16,$A3&lt;&gt;W$1,gamma!W3=1),SUM(VLOOKUP($A3,'40Trips'!$A$3:$I$42,2,FALSE), VLOOKUP(W$1,'40Trips'!$A$3:$I$42,2,FALSE)),0)</f>
        <v>0</v>
      </c>
      <c r="X3">
        <f>IF(AND(SUM(VLOOKUP($A3,'40Trips'!$A$3:$I$42,2,FALSE),VLOOKUP(X$1,'40Trips'!$A$3:$I$42,2,FALSE))&lt;'40Trips'!$K$16,$A3&lt;&gt;X$1,gamma!X3=1),SUM(VLOOKUP($A3,'40Trips'!$A$3:$I$42,2,FALSE), VLOOKUP(X$1,'40Trips'!$A$3:$I$42,2,FALSE)),0)</f>
        <v>275</v>
      </c>
      <c r="Y3">
        <f>IF(AND(SUM(VLOOKUP($A3,'40Trips'!$A$3:$I$42,2,FALSE),VLOOKUP(Y$1,'40Trips'!$A$3:$I$42,2,FALSE))&lt;'40Trips'!$K$16,$A3&lt;&gt;Y$1,gamma!Y3=1),SUM(VLOOKUP($A3,'40Trips'!$A$3:$I$42,2,FALSE), VLOOKUP(Y$1,'40Trips'!$A$3:$I$42,2,FALSE)),0)</f>
        <v>275</v>
      </c>
      <c r="Z3">
        <f>IF(AND(SUM(VLOOKUP($A3,'40Trips'!$A$3:$I$42,2,FALSE),VLOOKUP(Z$1,'40Trips'!$A$3:$I$42,2,FALSE))&lt;'40Trips'!$K$16,$A3&lt;&gt;Z$1,gamma!Z3=1),SUM(VLOOKUP($A3,'40Trips'!$A$3:$I$42,2,FALSE), VLOOKUP(Z$1,'40Trips'!$A$3:$I$42,2,FALSE)),0)</f>
        <v>275</v>
      </c>
      <c r="AA3">
        <f>IF(AND(SUM(VLOOKUP($A3,'40Trips'!$A$3:$I$42,2,FALSE),VLOOKUP(AA$1,'40Trips'!$A$3:$I$42,2,FALSE))&lt;'40Trips'!$K$16,$A3&lt;&gt;AA$1,gamma!AA3=1),SUM(VLOOKUP($A3,'40Trips'!$A$3:$I$42,2,FALSE), VLOOKUP(AA$1,'40Trips'!$A$3:$I$42,2,FALSE)),0)</f>
        <v>0</v>
      </c>
      <c r="AB3">
        <f>IF(AND(SUM(VLOOKUP($A3,'40Trips'!$A$3:$I$42,2,FALSE),VLOOKUP(AB$1,'40Trips'!$A$3:$I$42,2,FALSE))&lt;'40Trips'!$K$16,$A3&lt;&gt;AB$1,gamma!AB3=1),SUM(VLOOKUP($A3,'40Trips'!$A$3:$I$42,2,FALSE), VLOOKUP(AB$1,'40Trips'!$A$3:$I$42,2,FALSE)),0)</f>
        <v>0</v>
      </c>
      <c r="AC3">
        <f>IF(AND(SUM(VLOOKUP($A3,'40Trips'!$A$3:$I$42,2,FALSE),VLOOKUP(AC$1,'40Trips'!$A$3:$I$42,2,FALSE))&lt;'40Trips'!$K$16,$A3&lt;&gt;AC$1,gamma!AC3=1),SUM(VLOOKUP($A3,'40Trips'!$A$3:$I$42,2,FALSE), VLOOKUP(AC$1,'40Trips'!$A$3:$I$42,2,FALSE)),0)</f>
        <v>255</v>
      </c>
      <c r="AD3">
        <f>IF(AND(SUM(VLOOKUP($A3,'40Trips'!$A$3:$I$42,2,FALSE),VLOOKUP(AD$1,'40Trips'!$A$3:$I$42,2,FALSE))&lt;'40Trips'!$K$16,$A3&lt;&gt;AD$1,gamma!AD3=1),SUM(VLOOKUP($A3,'40Trips'!$A$3:$I$42,2,FALSE), VLOOKUP(AD$1,'40Trips'!$A$3:$I$42,2,FALSE)),0)</f>
        <v>265</v>
      </c>
      <c r="AE3">
        <f>IF(AND(SUM(VLOOKUP($A3,'40Trips'!$A$3:$I$42,2,FALSE),VLOOKUP(AE$1,'40Trips'!$A$3:$I$42,2,FALSE))&lt;'40Trips'!$K$16,$A3&lt;&gt;AE$1,gamma!AE3=1),SUM(VLOOKUP($A3,'40Trips'!$A$3:$I$42,2,FALSE), VLOOKUP(AE$1,'40Trips'!$A$3:$I$42,2,FALSE)),0)</f>
        <v>0</v>
      </c>
      <c r="AF3">
        <f>IF(AND(SUM(VLOOKUP($A3,'40Trips'!$A$3:$I$42,2,FALSE),VLOOKUP(AF$1,'40Trips'!$A$3:$I$42,2,FALSE))&lt;'40Trips'!$K$16,$A3&lt;&gt;AF$1,gamma!AF3=1),SUM(VLOOKUP($A3,'40Trips'!$A$3:$I$42,2,FALSE), VLOOKUP(AF$1,'40Trips'!$A$3:$I$42,2,FALSE)),0)</f>
        <v>0</v>
      </c>
      <c r="AG3">
        <f>IF(AND(SUM(VLOOKUP($A3,'40Trips'!$A$3:$I$42,2,FALSE),VLOOKUP(AG$1,'40Trips'!$A$3:$I$42,2,FALSE))&lt;'40Trips'!$K$16,$A3&lt;&gt;AG$1,gamma!AG3=1),SUM(VLOOKUP($A3,'40Trips'!$A$3:$I$42,2,FALSE), VLOOKUP(AG$1,'40Trips'!$A$3:$I$42,2,FALSE)),0)</f>
        <v>0</v>
      </c>
      <c r="AH3">
        <f>IF(AND(SUM(VLOOKUP($A3,'40Trips'!$A$3:$I$42,2,FALSE),VLOOKUP(AH$1,'40Trips'!$A$3:$I$42,2,FALSE))&lt;'40Trips'!$K$16,$A3&lt;&gt;AH$1,gamma!AH3=1),SUM(VLOOKUP($A3,'40Trips'!$A$3:$I$42,2,FALSE), VLOOKUP(AH$1,'40Trips'!$A$3:$I$42,2,FALSE)),0)</f>
        <v>270</v>
      </c>
      <c r="AI3">
        <f>IF(AND(SUM(VLOOKUP($A3,'40Trips'!$A$3:$I$42,2,FALSE),VLOOKUP(AI$1,'40Trips'!$A$3:$I$42,2,FALSE))&lt;'40Trips'!$K$16,$A3&lt;&gt;AI$1,gamma!AI3=1),SUM(VLOOKUP($A3,'40Trips'!$A$3:$I$42,2,FALSE), VLOOKUP(AI$1,'40Trips'!$A$3:$I$42,2,FALSE)),0)</f>
        <v>275</v>
      </c>
      <c r="AJ3">
        <f>IF(AND(SUM(VLOOKUP($A3,'40Trips'!$A$3:$I$42,2,FALSE),VLOOKUP(AJ$1,'40Trips'!$A$3:$I$42,2,FALSE))&lt;'40Trips'!$K$16,$A3&lt;&gt;AJ$1,gamma!AJ3=1),SUM(VLOOKUP($A3,'40Trips'!$A$3:$I$42,2,FALSE), VLOOKUP(AJ$1,'40Trips'!$A$3:$I$42,2,FALSE)),0)</f>
        <v>270</v>
      </c>
      <c r="AK3">
        <f>IF(AND(SUM(VLOOKUP($A3,'40Trips'!$A$3:$I$42,2,FALSE),VLOOKUP(AK$1,'40Trips'!$A$3:$I$42,2,FALSE))&lt;'40Trips'!$K$16,$A3&lt;&gt;AK$1,gamma!AK3=1),SUM(VLOOKUP($A3,'40Trips'!$A$3:$I$42,2,FALSE), VLOOKUP(AK$1,'40Trips'!$A$3:$I$42,2,FALSE)),0)</f>
        <v>275</v>
      </c>
      <c r="AL3">
        <f>IF(AND(SUM(VLOOKUP($A3,'40Trips'!$A$3:$I$42,2,FALSE),VLOOKUP(AL$1,'40Trips'!$A$3:$I$42,2,FALSE))&lt;'40Trips'!$K$16,$A3&lt;&gt;AL$1,gamma!AL3=1),SUM(VLOOKUP($A3,'40Trips'!$A$3:$I$42,2,FALSE), VLOOKUP(AL$1,'40Trips'!$A$3:$I$42,2,FALSE)),0)</f>
        <v>275</v>
      </c>
      <c r="AM3">
        <f>IF(AND(SUM(VLOOKUP($A3,'40Trips'!$A$3:$I$42,2,FALSE),VLOOKUP(AM$1,'40Trips'!$A$3:$I$42,2,FALSE))&lt;'40Trips'!$K$16,$A3&lt;&gt;AM$1,gamma!AM3=1),SUM(VLOOKUP($A3,'40Trips'!$A$3:$I$42,2,FALSE), VLOOKUP(AM$1,'40Trips'!$A$3:$I$42,2,FALSE)),0)</f>
        <v>0</v>
      </c>
      <c r="AN3">
        <f>IF(AND(SUM(VLOOKUP($A3,'40Trips'!$A$3:$I$42,2,FALSE),VLOOKUP(AN$1,'40Trips'!$A$3:$I$42,2,FALSE))&lt;'40Trips'!$K$16,$A3&lt;&gt;AN$1,gamma!AN3=1),SUM(VLOOKUP($A3,'40Trips'!$A$3:$I$42,2,FALSE), VLOOKUP(AN$1,'40Trips'!$A$3:$I$42,2,FALSE)),0)</f>
        <v>255</v>
      </c>
      <c r="AO3">
        <f>IF(AND(SUM(VLOOKUP($A3,'40Trips'!$A$3:$I$42,2,FALSE),VLOOKUP(AO$1,'40Trips'!$A$3:$I$42,2,FALSE))&lt;'40Trips'!$K$16,$A3&lt;&gt;AO$1,gamma!AO3=1),SUM(VLOOKUP($A3,'40Trips'!$A$3:$I$42,2,FALSE), VLOOKUP(AO$1,'40Trips'!$A$3:$I$42,2,FALSE)),0)</f>
        <v>255</v>
      </c>
      <c r="AP3">
        <f>IF(AND(SUM(VLOOKUP($A3,'40Trips'!$A$3:$I$42,2,FALSE),VLOOKUP(AP$1,'40Trips'!$A$3:$I$42,2,FALSE))&lt;'40Trips'!$K$16,$A3&lt;&gt;AP$1,gamma!AP3=1),SUM(VLOOKUP($A3,'40Trips'!$A$3:$I$42,2,FALSE), VLOOKUP(AP$1,'40Trips'!$A$3:$I$42,2,FALSE)),0)</f>
        <v>270</v>
      </c>
      <c r="AQ3">
        <v>0</v>
      </c>
      <c r="AR3">
        <v>0</v>
      </c>
      <c r="AS3">
        <v>0</v>
      </c>
      <c r="AT3">
        <v>0</v>
      </c>
    </row>
    <row r="4" spans="1:46" x14ac:dyDescent="0.25">
      <c r="A4" t="s">
        <v>9</v>
      </c>
      <c r="B4">
        <v>0</v>
      </c>
      <c r="C4">
        <f>IF(AND(SUM(VLOOKUP($A4,'40Trips'!$A$3:$I$42,2,FALSE),VLOOKUP(C$1,'40Trips'!$A$3:$I$42,2,FALSE))&lt;'40Trips'!$K$16,$A4&lt;&gt;C$1,gamma!C4=1),SUM(VLOOKUP($A4,'40Trips'!$A$3:$I$42,2,FALSE), VLOOKUP(C$1,'40Trips'!$A$3:$I$42,2,FALSE)),0)</f>
        <v>0</v>
      </c>
      <c r="D4">
        <f>IF(AND(SUM(VLOOKUP($A4,'40Trips'!$A$3:$I$42,2,FALSE),VLOOKUP(D$1,'40Trips'!$A$3:$I$42,2,FALSE))&lt;'40Trips'!$K$16,$A4&lt;&gt;D$1,gamma!D4=1),SUM(VLOOKUP($A4,'40Trips'!$A$3:$I$42,2,FALSE), VLOOKUP(D$1,'40Trips'!$A$3:$I$42,2,FALSE)),0)</f>
        <v>0</v>
      </c>
      <c r="E4">
        <f>IF(AND(SUM(VLOOKUP($A4,'40Trips'!$A$3:$I$42,2,FALSE),VLOOKUP(E$1,'40Trips'!$A$3:$I$42,2,FALSE))&lt;'40Trips'!$K$16,$A4&lt;&gt;E$1,gamma!E4=1),SUM(VLOOKUP($A4,'40Trips'!$A$3:$I$42,2,FALSE), VLOOKUP(E$1,'40Trips'!$A$3:$I$42,2,FALSE)),0)</f>
        <v>0</v>
      </c>
      <c r="F4">
        <f>IF(AND(SUM(VLOOKUP($A4,'40Trips'!$A$3:$I$42,2,FALSE),VLOOKUP(F$1,'40Trips'!$A$3:$I$42,2,FALSE))&lt;'40Trips'!$K$16,$A4&lt;&gt;F$1,gamma!F4=1),SUM(VLOOKUP($A4,'40Trips'!$A$3:$I$42,2,FALSE), VLOOKUP(F$1,'40Trips'!$A$3:$I$42,2,FALSE)),0)</f>
        <v>270</v>
      </c>
      <c r="G4">
        <f>IF(AND(SUM(VLOOKUP($A4,'40Trips'!$A$3:$I$42,2,FALSE),VLOOKUP(G$1,'40Trips'!$A$3:$I$42,2,FALSE))&lt;'40Trips'!$K$16,$A4&lt;&gt;G$1,gamma!G4=1),SUM(VLOOKUP($A4,'40Trips'!$A$3:$I$42,2,FALSE), VLOOKUP(G$1,'40Trips'!$A$3:$I$42,2,FALSE)),0)</f>
        <v>0</v>
      </c>
      <c r="H4">
        <f>IF(AND(SUM(VLOOKUP($A4,'40Trips'!$A$3:$I$42,2,FALSE),VLOOKUP(H$1,'40Trips'!$A$3:$I$42,2,FALSE))&lt;'40Trips'!$K$16,$A4&lt;&gt;H$1,gamma!H4=1),SUM(VLOOKUP($A4,'40Trips'!$A$3:$I$42,2,FALSE), VLOOKUP(H$1,'40Trips'!$A$3:$I$42,2,FALSE)),0)</f>
        <v>0</v>
      </c>
      <c r="I4">
        <f>IF(AND(SUM(VLOOKUP($A4,'40Trips'!$A$3:$I$42,2,FALSE),VLOOKUP(I$1,'40Trips'!$A$3:$I$42,2,FALSE))&lt;'40Trips'!$K$16,$A4&lt;&gt;I$1,gamma!I4=1),SUM(VLOOKUP($A4,'40Trips'!$A$3:$I$42,2,FALSE), VLOOKUP(I$1,'40Trips'!$A$3:$I$42,2,FALSE)),0)</f>
        <v>0</v>
      </c>
      <c r="J4">
        <f>IF(AND(SUM(VLOOKUP($A4,'40Trips'!$A$3:$I$42,2,FALSE),VLOOKUP(J$1,'40Trips'!$A$3:$I$42,2,FALSE))&lt;'40Trips'!$K$16,$A4&lt;&gt;J$1,gamma!J4=1),SUM(VLOOKUP($A4,'40Trips'!$A$3:$I$42,2,FALSE), VLOOKUP(J$1,'40Trips'!$A$3:$I$42,2,FALSE)),0)</f>
        <v>275</v>
      </c>
      <c r="K4">
        <f>IF(AND(SUM(VLOOKUP($A4,'40Trips'!$A$3:$I$42,2,FALSE),VLOOKUP(K$1,'40Trips'!$A$3:$I$42,2,FALSE))&lt;'40Trips'!$K$16,$A4&lt;&gt;K$1,gamma!K4=1),SUM(VLOOKUP($A4,'40Trips'!$A$3:$I$42,2,FALSE), VLOOKUP(K$1,'40Trips'!$A$3:$I$42,2,FALSE)),0)</f>
        <v>0</v>
      </c>
      <c r="L4">
        <f>IF(AND(SUM(VLOOKUP($A4,'40Trips'!$A$3:$I$42,2,FALSE),VLOOKUP(L$1,'40Trips'!$A$3:$I$42,2,FALSE))&lt;'40Trips'!$K$16,$A4&lt;&gt;L$1,gamma!L4=1),SUM(VLOOKUP($A4,'40Trips'!$A$3:$I$42,2,FALSE), VLOOKUP(L$1,'40Trips'!$A$3:$I$42,2,FALSE)),0)</f>
        <v>0</v>
      </c>
      <c r="M4">
        <f>IF(AND(SUM(VLOOKUP($A4,'40Trips'!$A$3:$I$42,2,FALSE),VLOOKUP(M$1,'40Trips'!$A$3:$I$42,2,FALSE))&lt;'40Trips'!$K$16,$A4&lt;&gt;M$1,gamma!M4=1),SUM(VLOOKUP($A4,'40Trips'!$A$3:$I$42,2,FALSE), VLOOKUP(M$1,'40Trips'!$A$3:$I$42,2,FALSE)),0)</f>
        <v>0</v>
      </c>
      <c r="N4">
        <f>IF(AND(SUM(VLOOKUP($A4,'40Trips'!$A$3:$I$42,2,FALSE),VLOOKUP(N$1,'40Trips'!$A$3:$I$42,2,FALSE))&lt;'40Trips'!$K$16,$A4&lt;&gt;N$1,gamma!N4=1),SUM(VLOOKUP($A4,'40Trips'!$A$3:$I$42,2,FALSE), VLOOKUP(N$1,'40Trips'!$A$3:$I$42,2,FALSE)),0)</f>
        <v>0</v>
      </c>
      <c r="O4">
        <f>IF(AND(SUM(VLOOKUP($A4,'40Trips'!$A$3:$I$42,2,FALSE),VLOOKUP(O$1,'40Trips'!$A$3:$I$42,2,FALSE))&lt;'40Trips'!$K$16,$A4&lt;&gt;O$1,gamma!O4=1),SUM(VLOOKUP($A4,'40Trips'!$A$3:$I$42,2,FALSE), VLOOKUP(O$1,'40Trips'!$A$3:$I$42,2,FALSE)),0)</f>
        <v>0</v>
      </c>
      <c r="P4">
        <f>IF(AND(SUM(VLOOKUP($A4,'40Trips'!$A$3:$I$42,2,FALSE),VLOOKUP(P$1,'40Trips'!$A$3:$I$42,2,FALSE))&lt;'40Trips'!$K$16,$A4&lt;&gt;P$1,gamma!P4=1),SUM(VLOOKUP($A4,'40Trips'!$A$3:$I$42,2,FALSE), VLOOKUP(P$1,'40Trips'!$A$3:$I$42,2,FALSE)),0)</f>
        <v>0</v>
      </c>
      <c r="Q4">
        <f>IF(AND(SUM(VLOOKUP($A4,'40Trips'!$A$3:$I$42,2,FALSE),VLOOKUP(Q$1,'40Trips'!$A$3:$I$42,2,FALSE))&lt;'40Trips'!$K$16,$A4&lt;&gt;Q$1,gamma!Q4=1),SUM(VLOOKUP($A4,'40Trips'!$A$3:$I$42,2,FALSE), VLOOKUP(Q$1,'40Trips'!$A$3:$I$42,2,FALSE)),0)</f>
        <v>0</v>
      </c>
      <c r="R4">
        <f>IF(AND(SUM(VLOOKUP($A4,'40Trips'!$A$3:$I$42,2,FALSE),VLOOKUP(R$1,'40Trips'!$A$3:$I$42,2,FALSE))&lt;'40Trips'!$K$16,$A4&lt;&gt;R$1,gamma!R4=1),SUM(VLOOKUP($A4,'40Trips'!$A$3:$I$42,2,FALSE), VLOOKUP(R$1,'40Trips'!$A$3:$I$42,2,FALSE)),0)</f>
        <v>270</v>
      </c>
      <c r="S4">
        <f>IF(AND(SUM(VLOOKUP($A4,'40Trips'!$A$3:$I$42,2,FALSE),VLOOKUP(S$1,'40Trips'!$A$3:$I$42,2,FALSE))&lt;'40Trips'!$K$16,$A4&lt;&gt;S$1,gamma!S4=1),SUM(VLOOKUP($A4,'40Trips'!$A$3:$I$42,2,FALSE), VLOOKUP(S$1,'40Trips'!$A$3:$I$42,2,FALSE)),0)</f>
        <v>0</v>
      </c>
      <c r="T4">
        <f>IF(AND(SUM(VLOOKUP($A4,'40Trips'!$A$3:$I$42,2,FALSE),VLOOKUP(T$1,'40Trips'!$A$3:$I$42,2,FALSE))&lt;'40Trips'!$K$16,$A4&lt;&gt;T$1,gamma!T4=1),SUM(VLOOKUP($A4,'40Trips'!$A$3:$I$42,2,FALSE), VLOOKUP(T$1,'40Trips'!$A$3:$I$42,2,FALSE)),0)</f>
        <v>0</v>
      </c>
      <c r="U4">
        <f>IF(AND(SUM(VLOOKUP($A4,'40Trips'!$A$3:$I$42,2,FALSE),VLOOKUP(U$1,'40Trips'!$A$3:$I$42,2,FALSE))&lt;'40Trips'!$K$16,$A4&lt;&gt;U$1,gamma!U4=1),SUM(VLOOKUP($A4,'40Trips'!$A$3:$I$42,2,FALSE), VLOOKUP(U$1,'40Trips'!$A$3:$I$42,2,FALSE)),0)</f>
        <v>0</v>
      </c>
      <c r="V4">
        <f>IF(AND(SUM(VLOOKUP($A4,'40Trips'!$A$3:$I$42,2,FALSE),VLOOKUP(V$1,'40Trips'!$A$3:$I$42,2,FALSE))&lt;'40Trips'!$K$16,$A4&lt;&gt;V$1,gamma!V4=1),SUM(VLOOKUP($A4,'40Trips'!$A$3:$I$42,2,FALSE), VLOOKUP(V$1,'40Trips'!$A$3:$I$42,2,FALSE)),0)</f>
        <v>265</v>
      </c>
      <c r="W4">
        <f>IF(AND(SUM(VLOOKUP($A4,'40Trips'!$A$3:$I$42,2,FALSE),VLOOKUP(W$1,'40Trips'!$A$3:$I$42,2,FALSE))&lt;'40Trips'!$K$16,$A4&lt;&gt;W$1,gamma!W4=1),SUM(VLOOKUP($A4,'40Trips'!$A$3:$I$42,2,FALSE), VLOOKUP(W$1,'40Trips'!$A$3:$I$42,2,FALSE)),0)</f>
        <v>0</v>
      </c>
      <c r="X4">
        <f>IF(AND(SUM(VLOOKUP($A4,'40Trips'!$A$3:$I$42,2,FALSE),VLOOKUP(X$1,'40Trips'!$A$3:$I$42,2,FALSE))&lt;'40Trips'!$K$16,$A4&lt;&gt;X$1,gamma!X4=1),SUM(VLOOKUP($A4,'40Trips'!$A$3:$I$42,2,FALSE), VLOOKUP(X$1,'40Trips'!$A$3:$I$42,2,FALSE)),0)</f>
        <v>0</v>
      </c>
      <c r="Y4">
        <f>IF(AND(SUM(VLOOKUP($A4,'40Trips'!$A$3:$I$42,2,FALSE),VLOOKUP(Y$1,'40Trips'!$A$3:$I$42,2,FALSE))&lt;'40Trips'!$K$16,$A4&lt;&gt;Y$1,gamma!Y4=1),SUM(VLOOKUP($A4,'40Trips'!$A$3:$I$42,2,FALSE), VLOOKUP(Y$1,'40Trips'!$A$3:$I$42,2,FALSE)),0)</f>
        <v>0</v>
      </c>
      <c r="Z4">
        <f>IF(AND(SUM(VLOOKUP($A4,'40Trips'!$A$3:$I$42,2,FALSE),VLOOKUP(Z$1,'40Trips'!$A$3:$I$42,2,FALSE))&lt;'40Trips'!$K$16,$A4&lt;&gt;Z$1,gamma!Z4=1),SUM(VLOOKUP($A4,'40Trips'!$A$3:$I$42,2,FALSE), VLOOKUP(Z$1,'40Trips'!$A$3:$I$42,2,FALSE)),0)</f>
        <v>275</v>
      </c>
      <c r="AA4">
        <f>IF(AND(SUM(VLOOKUP($A4,'40Trips'!$A$3:$I$42,2,FALSE),VLOOKUP(AA$1,'40Trips'!$A$3:$I$42,2,FALSE))&lt;'40Trips'!$K$16,$A4&lt;&gt;AA$1,gamma!AA4=1),SUM(VLOOKUP($A4,'40Trips'!$A$3:$I$42,2,FALSE), VLOOKUP(AA$1,'40Trips'!$A$3:$I$42,2,FALSE)),0)</f>
        <v>0</v>
      </c>
      <c r="AB4">
        <f>IF(AND(SUM(VLOOKUP($A4,'40Trips'!$A$3:$I$42,2,FALSE),VLOOKUP(AB$1,'40Trips'!$A$3:$I$42,2,FALSE))&lt;'40Trips'!$K$16,$A4&lt;&gt;AB$1,gamma!AB4=1),SUM(VLOOKUP($A4,'40Trips'!$A$3:$I$42,2,FALSE), VLOOKUP(AB$1,'40Trips'!$A$3:$I$42,2,FALSE)),0)</f>
        <v>0</v>
      </c>
      <c r="AC4">
        <f>IF(AND(SUM(VLOOKUP($A4,'40Trips'!$A$3:$I$42,2,FALSE),VLOOKUP(AC$1,'40Trips'!$A$3:$I$42,2,FALSE))&lt;'40Trips'!$K$16,$A4&lt;&gt;AC$1,gamma!AC4=1),SUM(VLOOKUP($A4,'40Trips'!$A$3:$I$42,2,FALSE), VLOOKUP(AC$1,'40Trips'!$A$3:$I$42,2,FALSE)),0)</f>
        <v>255</v>
      </c>
      <c r="AD4">
        <f>IF(AND(SUM(VLOOKUP($A4,'40Trips'!$A$3:$I$42,2,FALSE),VLOOKUP(AD$1,'40Trips'!$A$3:$I$42,2,FALSE))&lt;'40Trips'!$K$16,$A4&lt;&gt;AD$1,gamma!AD4=1),SUM(VLOOKUP($A4,'40Trips'!$A$3:$I$42,2,FALSE), VLOOKUP(AD$1,'40Trips'!$A$3:$I$42,2,FALSE)),0)</f>
        <v>265</v>
      </c>
      <c r="AE4">
        <f>IF(AND(SUM(VLOOKUP($A4,'40Trips'!$A$3:$I$42,2,FALSE),VLOOKUP(AE$1,'40Trips'!$A$3:$I$42,2,FALSE))&lt;'40Trips'!$K$16,$A4&lt;&gt;AE$1,gamma!AE4=1),SUM(VLOOKUP($A4,'40Trips'!$A$3:$I$42,2,FALSE), VLOOKUP(AE$1,'40Trips'!$A$3:$I$42,2,FALSE)),0)</f>
        <v>0</v>
      </c>
      <c r="AF4">
        <f>IF(AND(SUM(VLOOKUP($A4,'40Trips'!$A$3:$I$42,2,FALSE),VLOOKUP(AF$1,'40Trips'!$A$3:$I$42,2,FALSE))&lt;'40Trips'!$K$16,$A4&lt;&gt;AF$1,gamma!AF4=1),SUM(VLOOKUP($A4,'40Trips'!$A$3:$I$42,2,FALSE), VLOOKUP(AF$1,'40Trips'!$A$3:$I$42,2,FALSE)),0)</f>
        <v>0</v>
      </c>
      <c r="AG4">
        <f>IF(AND(SUM(VLOOKUP($A4,'40Trips'!$A$3:$I$42,2,FALSE),VLOOKUP(AG$1,'40Trips'!$A$3:$I$42,2,FALSE))&lt;'40Trips'!$K$16,$A4&lt;&gt;AG$1,gamma!AG4=1),SUM(VLOOKUP($A4,'40Trips'!$A$3:$I$42,2,FALSE), VLOOKUP(AG$1,'40Trips'!$A$3:$I$42,2,FALSE)),0)</f>
        <v>0</v>
      </c>
      <c r="AH4">
        <f>IF(AND(SUM(VLOOKUP($A4,'40Trips'!$A$3:$I$42,2,FALSE),VLOOKUP(AH$1,'40Trips'!$A$3:$I$42,2,FALSE))&lt;'40Trips'!$K$16,$A4&lt;&gt;AH$1,gamma!AH4=1),SUM(VLOOKUP($A4,'40Trips'!$A$3:$I$42,2,FALSE), VLOOKUP(AH$1,'40Trips'!$A$3:$I$42,2,FALSE)),0)</f>
        <v>0</v>
      </c>
      <c r="AI4">
        <f>IF(AND(SUM(VLOOKUP($A4,'40Trips'!$A$3:$I$42,2,FALSE),VLOOKUP(AI$1,'40Trips'!$A$3:$I$42,2,FALSE))&lt;'40Trips'!$K$16,$A4&lt;&gt;AI$1,gamma!AI4=1),SUM(VLOOKUP($A4,'40Trips'!$A$3:$I$42,2,FALSE), VLOOKUP(AI$1,'40Trips'!$A$3:$I$42,2,FALSE)),0)</f>
        <v>0</v>
      </c>
      <c r="AJ4">
        <f>IF(AND(SUM(VLOOKUP($A4,'40Trips'!$A$3:$I$42,2,FALSE),VLOOKUP(AJ$1,'40Trips'!$A$3:$I$42,2,FALSE))&lt;'40Trips'!$K$16,$A4&lt;&gt;AJ$1,gamma!AJ4=1),SUM(VLOOKUP($A4,'40Trips'!$A$3:$I$42,2,FALSE), VLOOKUP(AJ$1,'40Trips'!$A$3:$I$42,2,FALSE)),0)</f>
        <v>0</v>
      </c>
      <c r="AK4">
        <f>IF(AND(SUM(VLOOKUP($A4,'40Trips'!$A$3:$I$42,2,FALSE),VLOOKUP(AK$1,'40Trips'!$A$3:$I$42,2,FALSE))&lt;'40Trips'!$K$16,$A4&lt;&gt;AK$1,gamma!AK4=1),SUM(VLOOKUP($A4,'40Trips'!$A$3:$I$42,2,FALSE), VLOOKUP(AK$1,'40Trips'!$A$3:$I$42,2,FALSE)),0)</f>
        <v>0</v>
      </c>
      <c r="AL4">
        <f>IF(AND(SUM(VLOOKUP($A4,'40Trips'!$A$3:$I$42,2,FALSE),VLOOKUP(AL$1,'40Trips'!$A$3:$I$42,2,FALSE))&lt;'40Trips'!$K$16,$A4&lt;&gt;AL$1,gamma!AL4=1),SUM(VLOOKUP($A4,'40Trips'!$A$3:$I$42,2,FALSE), VLOOKUP(AL$1,'40Trips'!$A$3:$I$42,2,FALSE)),0)</f>
        <v>275</v>
      </c>
      <c r="AM4">
        <f>IF(AND(SUM(VLOOKUP($A4,'40Trips'!$A$3:$I$42,2,FALSE),VLOOKUP(AM$1,'40Trips'!$A$3:$I$42,2,FALSE))&lt;'40Trips'!$K$16,$A4&lt;&gt;AM$1,gamma!AM4=1),SUM(VLOOKUP($A4,'40Trips'!$A$3:$I$42,2,FALSE), VLOOKUP(AM$1,'40Trips'!$A$3:$I$42,2,FALSE)),0)</f>
        <v>0</v>
      </c>
      <c r="AN4">
        <f>IF(AND(SUM(VLOOKUP($A4,'40Trips'!$A$3:$I$42,2,FALSE),VLOOKUP(AN$1,'40Trips'!$A$3:$I$42,2,FALSE))&lt;'40Trips'!$K$16,$A4&lt;&gt;AN$1,gamma!AN4=1),SUM(VLOOKUP($A4,'40Trips'!$A$3:$I$42,2,FALSE), VLOOKUP(AN$1,'40Trips'!$A$3:$I$42,2,FALSE)),0)</f>
        <v>0</v>
      </c>
      <c r="AO4">
        <f>IF(AND(SUM(VLOOKUP($A4,'40Trips'!$A$3:$I$42,2,FALSE),VLOOKUP(AO$1,'40Trips'!$A$3:$I$42,2,FALSE))&lt;'40Trips'!$K$16,$A4&lt;&gt;AO$1,gamma!AO4=1),SUM(VLOOKUP($A4,'40Trips'!$A$3:$I$42,2,FALSE), VLOOKUP(AO$1,'40Trips'!$A$3:$I$42,2,FALSE)),0)</f>
        <v>0</v>
      </c>
      <c r="AP4">
        <f>IF(AND(SUM(VLOOKUP($A4,'40Trips'!$A$3:$I$42,2,FALSE),VLOOKUP(AP$1,'40Trips'!$A$3:$I$42,2,FALSE))&lt;'40Trips'!$K$16,$A4&lt;&gt;AP$1,gamma!AP4=1),SUM(VLOOKUP($A4,'40Trips'!$A$3:$I$42,2,FALSE), VLOOKUP(AP$1,'40Trips'!$A$3:$I$42,2,FALSE)),0)</f>
        <v>270</v>
      </c>
      <c r="AQ4">
        <v>0</v>
      </c>
      <c r="AR4">
        <v>0</v>
      </c>
      <c r="AS4">
        <v>0</v>
      </c>
      <c r="AT4">
        <v>0</v>
      </c>
    </row>
    <row r="5" spans="1:46" x14ac:dyDescent="0.25">
      <c r="A5" t="s">
        <v>10</v>
      </c>
      <c r="B5">
        <v>0</v>
      </c>
      <c r="C5">
        <f>IF(AND(SUM(VLOOKUP($A5,'40Trips'!$A$3:$I$42,2,FALSE),VLOOKUP(C$1,'40Trips'!$A$3:$I$42,2,FALSE))&lt;'40Trips'!$K$16,$A5&lt;&gt;C$1,gamma!C5=1),SUM(VLOOKUP($A5,'40Trips'!$A$3:$I$42,2,FALSE), VLOOKUP(C$1,'40Trips'!$A$3:$I$42,2,FALSE)),0)</f>
        <v>0</v>
      </c>
      <c r="D5">
        <f>IF(AND(SUM(VLOOKUP($A5,'40Trips'!$A$3:$I$42,2,FALSE),VLOOKUP(D$1,'40Trips'!$A$3:$I$42,2,FALSE))&lt;'40Trips'!$K$16,$A5&lt;&gt;D$1,gamma!D5=1),SUM(VLOOKUP($A5,'40Trips'!$A$3:$I$42,2,FALSE), VLOOKUP(D$1,'40Trips'!$A$3:$I$42,2,FALSE)),0)</f>
        <v>0</v>
      </c>
      <c r="E5">
        <f>IF(AND(SUM(VLOOKUP($A5,'40Trips'!$A$3:$I$42,2,FALSE),VLOOKUP(E$1,'40Trips'!$A$3:$I$42,2,FALSE))&lt;'40Trips'!$K$16,$A5&lt;&gt;E$1,gamma!E5=1),SUM(VLOOKUP($A5,'40Trips'!$A$3:$I$42,2,FALSE), VLOOKUP(E$1,'40Trips'!$A$3:$I$42,2,FALSE)),0)</f>
        <v>0</v>
      </c>
      <c r="F5">
        <f>IF(AND(SUM(VLOOKUP($A5,'40Trips'!$A$3:$I$42,2,FALSE),VLOOKUP(F$1,'40Trips'!$A$3:$I$42,2,FALSE))&lt;'40Trips'!$K$16,$A5&lt;&gt;F$1,gamma!F5=1),SUM(VLOOKUP($A5,'40Trips'!$A$3:$I$42,2,FALSE), VLOOKUP(F$1,'40Trips'!$A$3:$I$42,2,FALSE)),0)</f>
        <v>0</v>
      </c>
      <c r="G5">
        <f>IF(AND(SUM(VLOOKUP($A5,'40Trips'!$A$3:$I$42,2,FALSE),VLOOKUP(G$1,'40Trips'!$A$3:$I$42,2,FALSE))&lt;'40Trips'!$K$16,$A5&lt;&gt;G$1,gamma!G5=1),SUM(VLOOKUP($A5,'40Trips'!$A$3:$I$42,2,FALSE), VLOOKUP(G$1,'40Trips'!$A$3:$I$42,2,FALSE)),0)</f>
        <v>0</v>
      </c>
      <c r="H5">
        <f>IF(AND(SUM(VLOOKUP($A5,'40Trips'!$A$3:$I$42,2,FALSE),VLOOKUP(H$1,'40Trips'!$A$3:$I$42,2,FALSE))&lt;'40Trips'!$K$16,$A5&lt;&gt;H$1,gamma!H5=1),SUM(VLOOKUP($A5,'40Trips'!$A$3:$I$42,2,FALSE), VLOOKUP(H$1,'40Trips'!$A$3:$I$42,2,FALSE)),0)</f>
        <v>0</v>
      </c>
      <c r="I5">
        <f>IF(AND(SUM(VLOOKUP($A5,'40Trips'!$A$3:$I$42,2,FALSE),VLOOKUP(I$1,'40Trips'!$A$3:$I$42,2,FALSE))&lt;'40Trips'!$K$16,$A5&lt;&gt;I$1,gamma!I5=1),SUM(VLOOKUP($A5,'40Trips'!$A$3:$I$42,2,FALSE), VLOOKUP(I$1,'40Trips'!$A$3:$I$42,2,FALSE)),0)</f>
        <v>0</v>
      </c>
      <c r="J5">
        <f>IF(AND(SUM(VLOOKUP($A5,'40Trips'!$A$3:$I$42,2,FALSE),VLOOKUP(J$1,'40Trips'!$A$3:$I$42,2,FALSE))&lt;'40Trips'!$K$16,$A5&lt;&gt;J$1,gamma!J5=1),SUM(VLOOKUP($A5,'40Trips'!$A$3:$I$42,2,FALSE), VLOOKUP(J$1,'40Trips'!$A$3:$I$42,2,FALSE)),0)</f>
        <v>275</v>
      </c>
      <c r="K5">
        <f>IF(AND(SUM(VLOOKUP($A5,'40Trips'!$A$3:$I$42,2,FALSE),VLOOKUP(K$1,'40Trips'!$A$3:$I$42,2,FALSE))&lt;'40Trips'!$K$16,$A5&lt;&gt;K$1,gamma!K5=1),SUM(VLOOKUP($A5,'40Trips'!$A$3:$I$42,2,FALSE), VLOOKUP(K$1,'40Trips'!$A$3:$I$42,2,FALSE)),0)</f>
        <v>0</v>
      </c>
      <c r="L5">
        <f>IF(AND(SUM(VLOOKUP($A5,'40Trips'!$A$3:$I$42,2,FALSE),VLOOKUP(L$1,'40Trips'!$A$3:$I$42,2,FALSE))&lt;'40Trips'!$K$16,$A5&lt;&gt;L$1,gamma!L5=1),SUM(VLOOKUP($A5,'40Trips'!$A$3:$I$42,2,FALSE), VLOOKUP(L$1,'40Trips'!$A$3:$I$42,2,FALSE)),0)</f>
        <v>0</v>
      </c>
      <c r="M5">
        <f>IF(AND(SUM(VLOOKUP($A5,'40Trips'!$A$3:$I$42,2,FALSE),VLOOKUP(M$1,'40Trips'!$A$3:$I$42,2,FALSE))&lt;'40Trips'!$K$16,$A5&lt;&gt;M$1,gamma!M5=1),SUM(VLOOKUP($A5,'40Trips'!$A$3:$I$42,2,FALSE), VLOOKUP(M$1,'40Trips'!$A$3:$I$42,2,FALSE)),0)</f>
        <v>0</v>
      </c>
      <c r="N5">
        <f>IF(AND(SUM(VLOOKUP($A5,'40Trips'!$A$3:$I$42,2,FALSE),VLOOKUP(N$1,'40Trips'!$A$3:$I$42,2,FALSE))&lt;'40Trips'!$K$16,$A5&lt;&gt;N$1,gamma!N5=1),SUM(VLOOKUP($A5,'40Trips'!$A$3:$I$42,2,FALSE), VLOOKUP(N$1,'40Trips'!$A$3:$I$42,2,FALSE)),0)</f>
        <v>0</v>
      </c>
      <c r="O5">
        <f>IF(AND(SUM(VLOOKUP($A5,'40Trips'!$A$3:$I$42,2,FALSE),VLOOKUP(O$1,'40Trips'!$A$3:$I$42,2,FALSE))&lt;'40Trips'!$K$16,$A5&lt;&gt;O$1,gamma!O5=1),SUM(VLOOKUP($A5,'40Trips'!$A$3:$I$42,2,FALSE), VLOOKUP(O$1,'40Trips'!$A$3:$I$42,2,FALSE)),0)</f>
        <v>0</v>
      </c>
      <c r="P5">
        <f>IF(AND(SUM(VLOOKUP($A5,'40Trips'!$A$3:$I$42,2,FALSE),VLOOKUP(P$1,'40Trips'!$A$3:$I$42,2,FALSE))&lt;'40Trips'!$K$16,$A5&lt;&gt;P$1,gamma!P5=1),SUM(VLOOKUP($A5,'40Trips'!$A$3:$I$42,2,FALSE), VLOOKUP(P$1,'40Trips'!$A$3:$I$42,2,FALSE)),0)</f>
        <v>0</v>
      </c>
      <c r="Q5">
        <f>IF(AND(SUM(VLOOKUP($A5,'40Trips'!$A$3:$I$42,2,FALSE),VLOOKUP(Q$1,'40Trips'!$A$3:$I$42,2,FALSE))&lt;'40Trips'!$K$16,$A5&lt;&gt;Q$1,gamma!Q5=1),SUM(VLOOKUP($A5,'40Trips'!$A$3:$I$42,2,FALSE), VLOOKUP(Q$1,'40Trips'!$A$3:$I$42,2,FALSE)),0)</f>
        <v>0</v>
      </c>
      <c r="R5">
        <f>IF(AND(SUM(VLOOKUP($A5,'40Trips'!$A$3:$I$42,2,FALSE),VLOOKUP(R$1,'40Trips'!$A$3:$I$42,2,FALSE))&lt;'40Trips'!$K$16,$A5&lt;&gt;R$1,gamma!R5=1),SUM(VLOOKUP($A5,'40Trips'!$A$3:$I$42,2,FALSE), VLOOKUP(R$1,'40Trips'!$A$3:$I$42,2,FALSE)),0)</f>
        <v>0</v>
      </c>
      <c r="S5">
        <f>IF(AND(SUM(VLOOKUP($A5,'40Trips'!$A$3:$I$42,2,FALSE),VLOOKUP(S$1,'40Trips'!$A$3:$I$42,2,FALSE))&lt;'40Trips'!$K$16,$A5&lt;&gt;S$1,gamma!S5=1),SUM(VLOOKUP($A5,'40Trips'!$A$3:$I$42,2,FALSE), VLOOKUP(S$1,'40Trips'!$A$3:$I$42,2,FALSE)),0)</f>
        <v>0</v>
      </c>
      <c r="T5">
        <f>IF(AND(SUM(VLOOKUP($A5,'40Trips'!$A$3:$I$42,2,FALSE),VLOOKUP(T$1,'40Trips'!$A$3:$I$42,2,FALSE))&lt;'40Trips'!$K$16,$A5&lt;&gt;T$1,gamma!T5=1),SUM(VLOOKUP($A5,'40Trips'!$A$3:$I$42,2,FALSE), VLOOKUP(T$1,'40Trips'!$A$3:$I$42,2,FALSE)),0)</f>
        <v>0</v>
      </c>
      <c r="U5">
        <f>IF(AND(SUM(VLOOKUP($A5,'40Trips'!$A$3:$I$42,2,FALSE),VLOOKUP(U$1,'40Trips'!$A$3:$I$42,2,FALSE))&lt;'40Trips'!$K$16,$A5&lt;&gt;U$1,gamma!U5=1),SUM(VLOOKUP($A5,'40Trips'!$A$3:$I$42,2,FALSE), VLOOKUP(U$1,'40Trips'!$A$3:$I$42,2,FALSE)),0)</f>
        <v>0</v>
      </c>
      <c r="V5">
        <f>IF(AND(SUM(VLOOKUP($A5,'40Trips'!$A$3:$I$42,2,FALSE),VLOOKUP(V$1,'40Trips'!$A$3:$I$42,2,FALSE))&lt;'40Trips'!$K$16,$A5&lt;&gt;V$1,gamma!V5=1),SUM(VLOOKUP($A5,'40Trips'!$A$3:$I$42,2,FALSE), VLOOKUP(V$1,'40Trips'!$A$3:$I$42,2,FALSE)),0)</f>
        <v>0</v>
      </c>
      <c r="W5">
        <f>IF(AND(SUM(VLOOKUP($A5,'40Trips'!$A$3:$I$42,2,FALSE),VLOOKUP(W$1,'40Trips'!$A$3:$I$42,2,FALSE))&lt;'40Trips'!$K$16,$A5&lt;&gt;W$1,gamma!W5=1),SUM(VLOOKUP($A5,'40Trips'!$A$3:$I$42,2,FALSE), VLOOKUP(W$1,'40Trips'!$A$3:$I$42,2,FALSE)),0)</f>
        <v>0</v>
      </c>
      <c r="X5">
        <f>IF(AND(SUM(VLOOKUP($A5,'40Trips'!$A$3:$I$42,2,FALSE),VLOOKUP(X$1,'40Trips'!$A$3:$I$42,2,FALSE))&lt;'40Trips'!$K$16,$A5&lt;&gt;X$1,gamma!X5=1),SUM(VLOOKUP($A5,'40Trips'!$A$3:$I$42,2,FALSE), VLOOKUP(X$1,'40Trips'!$A$3:$I$42,2,FALSE)),0)</f>
        <v>0</v>
      </c>
      <c r="Y5">
        <f>IF(AND(SUM(VLOOKUP($A5,'40Trips'!$A$3:$I$42,2,FALSE),VLOOKUP(Y$1,'40Trips'!$A$3:$I$42,2,FALSE))&lt;'40Trips'!$K$16,$A5&lt;&gt;Y$1,gamma!Y5=1),SUM(VLOOKUP($A5,'40Trips'!$A$3:$I$42,2,FALSE), VLOOKUP(Y$1,'40Trips'!$A$3:$I$42,2,FALSE)),0)</f>
        <v>0</v>
      </c>
      <c r="Z5">
        <f>IF(AND(SUM(VLOOKUP($A5,'40Trips'!$A$3:$I$42,2,FALSE),VLOOKUP(Z$1,'40Trips'!$A$3:$I$42,2,FALSE))&lt;'40Trips'!$K$16,$A5&lt;&gt;Z$1,gamma!Z5=1),SUM(VLOOKUP($A5,'40Trips'!$A$3:$I$42,2,FALSE), VLOOKUP(Z$1,'40Trips'!$A$3:$I$42,2,FALSE)),0)</f>
        <v>0</v>
      </c>
      <c r="AA5">
        <f>IF(AND(SUM(VLOOKUP($A5,'40Trips'!$A$3:$I$42,2,FALSE),VLOOKUP(AA$1,'40Trips'!$A$3:$I$42,2,FALSE))&lt;'40Trips'!$K$16,$A5&lt;&gt;AA$1,gamma!AA5=1),SUM(VLOOKUP($A5,'40Trips'!$A$3:$I$42,2,FALSE), VLOOKUP(AA$1,'40Trips'!$A$3:$I$42,2,FALSE)),0)</f>
        <v>0</v>
      </c>
      <c r="AB5">
        <f>IF(AND(SUM(VLOOKUP($A5,'40Trips'!$A$3:$I$42,2,FALSE),VLOOKUP(AB$1,'40Trips'!$A$3:$I$42,2,FALSE))&lt;'40Trips'!$K$16,$A5&lt;&gt;AB$1,gamma!AB5=1),SUM(VLOOKUP($A5,'40Trips'!$A$3:$I$42,2,FALSE), VLOOKUP(AB$1,'40Trips'!$A$3:$I$42,2,FALSE)),0)</f>
        <v>0</v>
      </c>
      <c r="AC5">
        <f>IF(AND(SUM(VLOOKUP($A5,'40Trips'!$A$3:$I$42,2,FALSE),VLOOKUP(AC$1,'40Trips'!$A$3:$I$42,2,FALSE))&lt;'40Trips'!$K$16,$A5&lt;&gt;AC$1,gamma!AC5=1),SUM(VLOOKUP($A5,'40Trips'!$A$3:$I$42,2,FALSE), VLOOKUP(AC$1,'40Trips'!$A$3:$I$42,2,FALSE)),0)</f>
        <v>0</v>
      </c>
      <c r="AD5">
        <f>IF(AND(SUM(VLOOKUP($A5,'40Trips'!$A$3:$I$42,2,FALSE),VLOOKUP(AD$1,'40Trips'!$A$3:$I$42,2,FALSE))&lt;'40Trips'!$K$16,$A5&lt;&gt;AD$1,gamma!AD5=1),SUM(VLOOKUP($A5,'40Trips'!$A$3:$I$42,2,FALSE), VLOOKUP(AD$1,'40Trips'!$A$3:$I$42,2,FALSE)),0)</f>
        <v>0</v>
      </c>
      <c r="AE5">
        <f>IF(AND(SUM(VLOOKUP($A5,'40Trips'!$A$3:$I$42,2,FALSE),VLOOKUP(AE$1,'40Trips'!$A$3:$I$42,2,FALSE))&lt;'40Trips'!$K$16,$A5&lt;&gt;AE$1,gamma!AE5=1),SUM(VLOOKUP($A5,'40Trips'!$A$3:$I$42,2,FALSE), VLOOKUP(AE$1,'40Trips'!$A$3:$I$42,2,FALSE)),0)</f>
        <v>0</v>
      </c>
      <c r="AF5">
        <f>IF(AND(SUM(VLOOKUP($A5,'40Trips'!$A$3:$I$42,2,FALSE),VLOOKUP(AF$1,'40Trips'!$A$3:$I$42,2,FALSE))&lt;'40Trips'!$K$16,$A5&lt;&gt;AF$1,gamma!AF5=1),SUM(VLOOKUP($A5,'40Trips'!$A$3:$I$42,2,FALSE), VLOOKUP(AF$1,'40Trips'!$A$3:$I$42,2,FALSE)),0)</f>
        <v>0</v>
      </c>
      <c r="AG5">
        <f>IF(AND(SUM(VLOOKUP($A5,'40Trips'!$A$3:$I$42,2,FALSE),VLOOKUP(AG$1,'40Trips'!$A$3:$I$42,2,FALSE))&lt;'40Trips'!$K$16,$A5&lt;&gt;AG$1,gamma!AG5=1),SUM(VLOOKUP($A5,'40Trips'!$A$3:$I$42,2,FALSE), VLOOKUP(AG$1,'40Trips'!$A$3:$I$42,2,FALSE)),0)</f>
        <v>0</v>
      </c>
      <c r="AH5">
        <f>IF(AND(SUM(VLOOKUP($A5,'40Trips'!$A$3:$I$42,2,FALSE),VLOOKUP(AH$1,'40Trips'!$A$3:$I$42,2,FALSE))&lt;'40Trips'!$K$16,$A5&lt;&gt;AH$1,gamma!AH5=1),SUM(VLOOKUP($A5,'40Trips'!$A$3:$I$42,2,FALSE), VLOOKUP(AH$1,'40Trips'!$A$3:$I$42,2,FALSE)),0)</f>
        <v>0</v>
      </c>
      <c r="AI5">
        <f>IF(AND(SUM(VLOOKUP($A5,'40Trips'!$A$3:$I$42,2,FALSE),VLOOKUP(AI$1,'40Trips'!$A$3:$I$42,2,FALSE))&lt;'40Trips'!$K$16,$A5&lt;&gt;AI$1,gamma!AI5=1),SUM(VLOOKUP($A5,'40Trips'!$A$3:$I$42,2,FALSE), VLOOKUP(AI$1,'40Trips'!$A$3:$I$42,2,FALSE)),0)</f>
        <v>0</v>
      </c>
      <c r="AJ5">
        <f>IF(AND(SUM(VLOOKUP($A5,'40Trips'!$A$3:$I$42,2,FALSE),VLOOKUP(AJ$1,'40Trips'!$A$3:$I$42,2,FALSE))&lt;'40Trips'!$K$16,$A5&lt;&gt;AJ$1,gamma!AJ5=1),SUM(VLOOKUP($A5,'40Trips'!$A$3:$I$42,2,FALSE), VLOOKUP(AJ$1,'40Trips'!$A$3:$I$42,2,FALSE)),0)</f>
        <v>0</v>
      </c>
      <c r="AK5">
        <f>IF(AND(SUM(VLOOKUP($A5,'40Trips'!$A$3:$I$42,2,FALSE),VLOOKUP(AK$1,'40Trips'!$A$3:$I$42,2,FALSE))&lt;'40Trips'!$K$16,$A5&lt;&gt;AK$1,gamma!AK5=1),SUM(VLOOKUP($A5,'40Trips'!$A$3:$I$42,2,FALSE), VLOOKUP(AK$1,'40Trips'!$A$3:$I$42,2,FALSE)),0)</f>
        <v>0</v>
      </c>
      <c r="AL5">
        <f>IF(AND(SUM(VLOOKUP($A5,'40Trips'!$A$3:$I$42,2,FALSE),VLOOKUP(AL$1,'40Trips'!$A$3:$I$42,2,FALSE))&lt;'40Trips'!$K$16,$A5&lt;&gt;AL$1,gamma!AL5=1),SUM(VLOOKUP($A5,'40Trips'!$A$3:$I$42,2,FALSE), VLOOKUP(AL$1,'40Trips'!$A$3:$I$42,2,FALSE)),0)</f>
        <v>275</v>
      </c>
      <c r="AM5">
        <f>IF(AND(SUM(VLOOKUP($A5,'40Trips'!$A$3:$I$42,2,FALSE),VLOOKUP(AM$1,'40Trips'!$A$3:$I$42,2,FALSE))&lt;'40Trips'!$K$16,$A5&lt;&gt;AM$1,gamma!AM5=1),SUM(VLOOKUP($A5,'40Trips'!$A$3:$I$42,2,FALSE), VLOOKUP(AM$1,'40Trips'!$A$3:$I$42,2,FALSE)),0)</f>
        <v>0</v>
      </c>
      <c r="AN5">
        <f>IF(AND(SUM(VLOOKUP($A5,'40Trips'!$A$3:$I$42,2,FALSE),VLOOKUP(AN$1,'40Trips'!$A$3:$I$42,2,FALSE))&lt;'40Trips'!$K$16,$A5&lt;&gt;AN$1,gamma!AN5=1),SUM(VLOOKUP($A5,'40Trips'!$A$3:$I$42,2,FALSE), VLOOKUP(AN$1,'40Trips'!$A$3:$I$42,2,FALSE)),0)</f>
        <v>0</v>
      </c>
      <c r="AO5">
        <f>IF(AND(SUM(VLOOKUP($A5,'40Trips'!$A$3:$I$42,2,FALSE),VLOOKUP(AO$1,'40Trips'!$A$3:$I$42,2,FALSE))&lt;'40Trips'!$K$16,$A5&lt;&gt;AO$1,gamma!AO5=1),SUM(VLOOKUP($A5,'40Trips'!$A$3:$I$42,2,FALSE), VLOOKUP(AO$1,'40Trips'!$A$3:$I$42,2,FALSE)),0)</f>
        <v>0</v>
      </c>
      <c r="AP5">
        <f>IF(AND(SUM(VLOOKUP($A5,'40Trips'!$A$3:$I$42,2,FALSE),VLOOKUP(AP$1,'40Trips'!$A$3:$I$42,2,FALSE))&lt;'40Trips'!$K$16,$A5&lt;&gt;AP$1,gamma!AP5=1),SUM(VLOOKUP($A5,'40Trips'!$A$3:$I$42,2,FALSE), VLOOKUP(AP$1,'40Trips'!$A$3:$I$42,2,FALSE)),0)</f>
        <v>0</v>
      </c>
      <c r="AQ5">
        <v>0</v>
      </c>
      <c r="AR5">
        <v>0</v>
      </c>
      <c r="AS5">
        <v>0</v>
      </c>
      <c r="AT5">
        <v>0</v>
      </c>
    </row>
    <row r="6" spans="1:46" x14ac:dyDescent="0.25">
      <c r="A6" t="s">
        <v>11</v>
      </c>
      <c r="B6">
        <v>0</v>
      </c>
      <c r="C6">
        <f>IF(AND(SUM(VLOOKUP($A6,'40Trips'!$A$3:$I$42,2,FALSE),VLOOKUP(C$1,'40Trips'!$A$3:$I$42,2,FALSE))&lt;'40Trips'!$K$16,$A6&lt;&gt;C$1,gamma!C6=1),SUM(VLOOKUP($A6,'40Trips'!$A$3:$I$42,2,FALSE), VLOOKUP(C$1,'40Trips'!$A$3:$I$42,2,FALSE)),0)</f>
        <v>0</v>
      </c>
      <c r="D6">
        <f>IF(AND(SUM(VLOOKUP($A6,'40Trips'!$A$3:$I$42,2,FALSE),VLOOKUP(D$1,'40Trips'!$A$3:$I$42,2,FALSE))&lt;'40Trips'!$K$16,$A6&lt;&gt;D$1,gamma!D6=1),SUM(VLOOKUP($A6,'40Trips'!$A$3:$I$42,2,FALSE), VLOOKUP(D$1,'40Trips'!$A$3:$I$42,2,FALSE)),0)</f>
        <v>0</v>
      </c>
      <c r="E6">
        <f>IF(AND(SUM(VLOOKUP($A6,'40Trips'!$A$3:$I$42,2,FALSE),VLOOKUP(E$1,'40Trips'!$A$3:$I$42,2,FALSE))&lt;'40Trips'!$K$16,$A6&lt;&gt;E$1,gamma!E6=1),SUM(VLOOKUP($A6,'40Trips'!$A$3:$I$42,2,FALSE), VLOOKUP(E$1,'40Trips'!$A$3:$I$42,2,FALSE)),0)</f>
        <v>0</v>
      </c>
      <c r="F6">
        <f>IF(AND(SUM(VLOOKUP($A6,'40Trips'!$A$3:$I$42,2,FALSE),VLOOKUP(F$1,'40Trips'!$A$3:$I$42,2,FALSE))&lt;'40Trips'!$K$16,$A6&lt;&gt;F$1,gamma!F6=1),SUM(VLOOKUP($A6,'40Trips'!$A$3:$I$42,2,FALSE), VLOOKUP(F$1,'40Trips'!$A$3:$I$42,2,FALSE)),0)</f>
        <v>0</v>
      </c>
      <c r="G6">
        <f>IF(AND(SUM(VLOOKUP($A6,'40Trips'!$A$3:$I$42,2,FALSE),VLOOKUP(G$1,'40Trips'!$A$3:$I$42,2,FALSE))&lt;'40Trips'!$K$16,$A6&lt;&gt;G$1,gamma!G6=1),SUM(VLOOKUP($A6,'40Trips'!$A$3:$I$42,2,FALSE), VLOOKUP(G$1,'40Trips'!$A$3:$I$42,2,FALSE)),0)</f>
        <v>0</v>
      </c>
      <c r="H6">
        <f>IF(AND(SUM(VLOOKUP($A6,'40Trips'!$A$3:$I$42,2,FALSE),VLOOKUP(H$1,'40Trips'!$A$3:$I$42,2,FALSE))&lt;'40Trips'!$K$16,$A6&lt;&gt;H$1,gamma!H6=1),SUM(VLOOKUP($A6,'40Trips'!$A$3:$I$42,2,FALSE), VLOOKUP(H$1,'40Trips'!$A$3:$I$42,2,FALSE)),0)</f>
        <v>0</v>
      </c>
      <c r="I6">
        <f>IF(AND(SUM(VLOOKUP($A6,'40Trips'!$A$3:$I$42,2,FALSE),VLOOKUP(I$1,'40Trips'!$A$3:$I$42,2,FALSE))&lt;'40Trips'!$K$16,$A6&lt;&gt;I$1,gamma!I6=1),SUM(VLOOKUP($A6,'40Trips'!$A$3:$I$42,2,FALSE), VLOOKUP(I$1,'40Trips'!$A$3:$I$42,2,FALSE)),0)</f>
        <v>0</v>
      </c>
      <c r="J6">
        <f>IF(AND(SUM(VLOOKUP($A6,'40Trips'!$A$3:$I$42,2,FALSE),VLOOKUP(J$1,'40Trips'!$A$3:$I$42,2,FALSE))&lt;'40Trips'!$K$16,$A6&lt;&gt;J$1,gamma!J6=1),SUM(VLOOKUP($A6,'40Trips'!$A$3:$I$42,2,FALSE), VLOOKUP(J$1,'40Trips'!$A$3:$I$42,2,FALSE)),0)</f>
        <v>275</v>
      </c>
      <c r="K6">
        <f>IF(AND(SUM(VLOOKUP($A6,'40Trips'!$A$3:$I$42,2,FALSE),VLOOKUP(K$1,'40Trips'!$A$3:$I$42,2,FALSE))&lt;'40Trips'!$K$16,$A6&lt;&gt;K$1,gamma!K6=1),SUM(VLOOKUP($A6,'40Trips'!$A$3:$I$42,2,FALSE), VLOOKUP(K$1,'40Trips'!$A$3:$I$42,2,FALSE)),0)</f>
        <v>0</v>
      </c>
      <c r="L6">
        <f>IF(AND(SUM(VLOOKUP($A6,'40Trips'!$A$3:$I$42,2,FALSE),VLOOKUP(L$1,'40Trips'!$A$3:$I$42,2,FALSE))&lt;'40Trips'!$K$16,$A6&lt;&gt;L$1,gamma!L6=1),SUM(VLOOKUP($A6,'40Trips'!$A$3:$I$42,2,FALSE), VLOOKUP(L$1,'40Trips'!$A$3:$I$42,2,FALSE)),0)</f>
        <v>0</v>
      </c>
      <c r="M6">
        <f>IF(AND(SUM(VLOOKUP($A6,'40Trips'!$A$3:$I$42,2,FALSE),VLOOKUP(M$1,'40Trips'!$A$3:$I$42,2,FALSE))&lt;'40Trips'!$K$16,$A6&lt;&gt;M$1,gamma!M6=1),SUM(VLOOKUP($A6,'40Trips'!$A$3:$I$42,2,FALSE), VLOOKUP(M$1,'40Trips'!$A$3:$I$42,2,FALSE)),0)</f>
        <v>0</v>
      </c>
      <c r="N6">
        <f>IF(AND(SUM(VLOOKUP($A6,'40Trips'!$A$3:$I$42,2,FALSE),VLOOKUP(N$1,'40Trips'!$A$3:$I$42,2,FALSE))&lt;'40Trips'!$K$16,$A6&lt;&gt;N$1,gamma!N6=1),SUM(VLOOKUP($A6,'40Trips'!$A$3:$I$42,2,FALSE), VLOOKUP(N$1,'40Trips'!$A$3:$I$42,2,FALSE)),0)</f>
        <v>0</v>
      </c>
      <c r="O6">
        <f>IF(AND(SUM(VLOOKUP($A6,'40Trips'!$A$3:$I$42,2,FALSE),VLOOKUP(O$1,'40Trips'!$A$3:$I$42,2,FALSE))&lt;'40Trips'!$K$16,$A6&lt;&gt;O$1,gamma!O6=1),SUM(VLOOKUP($A6,'40Trips'!$A$3:$I$42,2,FALSE), VLOOKUP(O$1,'40Trips'!$A$3:$I$42,2,FALSE)),0)</f>
        <v>0</v>
      </c>
      <c r="P6">
        <f>IF(AND(SUM(VLOOKUP($A6,'40Trips'!$A$3:$I$42,2,FALSE),VLOOKUP(P$1,'40Trips'!$A$3:$I$42,2,FALSE))&lt;'40Trips'!$K$16,$A6&lt;&gt;P$1,gamma!P6=1),SUM(VLOOKUP($A6,'40Trips'!$A$3:$I$42,2,FALSE), VLOOKUP(P$1,'40Trips'!$A$3:$I$42,2,FALSE)),0)</f>
        <v>0</v>
      </c>
      <c r="Q6">
        <f>IF(AND(SUM(VLOOKUP($A6,'40Trips'!$A$3:$I$42,2,FALSE),VLOOKUP(Q$1,'40Trips'!$A$3:$I$42,2,FALSE))&lt;'40Trips'!$K$16,$A6&lt;&gt;Q$1,gamma!Q6=1),SUM(VLOOKUP($A6,'40Trips'!$A$3:$I$42,2,FALSE), VLOOKUP(Q$1,'40Trips'!$A$3:$I$42,2,FALSE)),0)</f>
        <v>0</v>
      </c>
      <c r="R6">
        <f>IF(AND(SUM(VLOOKUP($A6,'40Trips'!$A$3:$I$42,2,FALSE),VLOOKUP(R$1,'40Trips'!$A$3:$I$42,2,FALSE))&lt;'40Trips'!$K$16,$A6&lt;&gt;R$1,gamma!R6=1),SUM(VLOOKUP($A6,'40Trips'!$A$3:$I$42,2,FALSE), VLOOKUP(R$1,'40Trips'!$A$3:$I$42,2,FALSE)),0)</f>
        <v>0</v>
      </c>
      <c r="S6">
        <f>IF(AND(SUM(VLOOKUP($A6,'40Trips'!$A$3:$I$42,2,FALSE),VLOOKUP(S$1,'40Trips'!$A$3:$I$42,2,FALSE))&lt;'40Trips'!$K$16,$A6&lt;&gt;S$1,gamma!S6=1),SUM(VLOOKUP($A6,'40Trips'!$A$3:$I$42,2,FALSE), VLOOKUP(S$1,'40Trips'!$A$3:$I$42,2,FALSE)),0)</f>
        <v>0</v>
      </c>
      <c r="T6">
        <f>IF(AND(SUM(VLOOKUP($A6,'40Trips'!$A$3:$I$42,2,FALSE),VLOOKUP(T$1,'40Trips'!$A$3:$I$42,2,FALSE))&lt;'40Trips'!$K$16,$A6&lt;&gt;T$1,gamma!T6=1),SUM(VLOOKUP($A6,'40Trips'!$A$3:$I$42,2,FALSE), VLOOKUP(T$1,'40Trips'!$A$3:$I$42,2,FALSE)),0)</f>
        <v>0</v>
      </c>
      <c r="U6">
        <f>IF(AND(SUM(VLOOKUP($A6,'40Trips'!$A$3:$I$42,2,FALSE),VLOOKUP(U$1,'40Trips'!$A$3:$I$42,2,FALSE))&lt;'40Trips'!$K$16,$A6&lt;&gt;U$1,gamma!U6=1),SUM(VLOOKUP($A6,'40Trips'!$A$3:$I$42,2,FALSE), VLOOKUP(U$1,'40Trips'!$A$3:$I$42,2,FALSE)),0)</f>
        <v>0</v>
      </c>
      <c r="V6">
        <f>IF(AND(SUM(VLOOKUP($A6,'40Trips'!$A$3:$I$42,2,FALSE),VLOOKUP(V$1,'40Trips'!$A$3:$I$42,2,FALSE))&lt;'40Trips'!$K$16,$A6&lt;&gt;V$1,gamma!V6=1),SUM(VLOOKUP($A6,'40Trips'!$A$3:$I$42,2,FALSE), VLOOKUP(V$1,'40Trips'!$A$3:$I$42,2,FALSE)),0)</f>
        <v>0</v>
      </c>
      <c r="W6">
        <f>IF(AND(SUM(VLOOKUP($A6,'40Trips'!$A$3:$I$42,2,FALSE),VLOOKUP(W$1,'40Trips'!$A$3:$I$42,2,FALSE))&lt;'40Trips'!$K$16,$A6&lt;&gt;W$1,gamma!W6=1),SUM(VLOOKUP($A6,'40Trips'!$A$3:$I$42,2,FALSE), VLOOKUP(W$1,'40Trips'!$A$3:$I$42,2,FALSE)),0)</f>
        <v>0</v>
      </c>
      <c r="X6">
        <f>IF(AND(SUM(VLOOKUP($A6,'40Trips'!$A$3:$I$42,2,FALSE),VLOOKUP(X$1,'40Trips'!$A$3:$I$42,2,FALSE))&lt;'40Trips'!$K$16,$A6&lt;&gt;X$1,gamma!X6=1),SUM(VLOOKUP($A6,'40Trips'!$A$3:$I$42,2,FALSE), VLOOKUP(X$1,'40Trips'!$A$3:$I$42,2,FALSE)),0)</f>
        <v>0</v>
      </c>
      <c r="Y6">
        <f>IF(AND(SUM(VLOOKUP($A6,'40Trips'!$A$3:$I$42,2,FALSE),VLOOKUP(Y$1,'40Trips'!$A$3:$I$42,2,FALSE))&lt;'40Trips'!$K$16,$A6&lt;&gt;Y$1,gamma!Y6=1),SUM(VLOOKUP($A6,'40Trips'!$A$3:$I$42,2,FALSE), VLOOKUP(Y$1,'40Trips'!$A$3:$I$42,2,FALSE)),0)</f>
        <v>0</v>
      </c>
      <c r="Z6">
        <f>IF(AND(SUM(VLOOKUP($A6,'40Trips'!$A$3:$I$42,2,FALSE),VLOOKUP(Z$1,'40Trips'!$A$3:$I$42,2,FALSE))&lt;'40Trips'!$K$16,$A6&lt;&gt;Z$1,gamma!Z6=1),SUM(VLOOKUP($A6,'40Trips'!$A$3:$I$42,2,FALSE), VLOOKUP(Z$1,'40Trips'!$A$3:$I$42,2,FALSE)),0)</f>
        <v>0</v>
      </c>
      <c r="AA6">
        <f>IF(AND(SUM(VLOOKUP($A6,'40Trips'!$A$3:$I$42,2,FALSE),VLOOKUP(AA$1,'40Trips'!$A$3:$I$42,2,FALSE))&lt;'40Trips'!$K$16,$A6&lt;&gt;AA$1,gamma!AA6=1),SUM(VLOOKUP($A6,'40Trips'!$A$3:$I$42,2,FALSE), VLOOKUP(AA$1,'40Trips'!$A$3:$I$42,2,FALSE)),0)</f>
        <v>0</v>
      </c>
      <c r="AB6">
        <f>IF(AND(SUM(VLOOKUP($A6,'40Trips'!$A$3:$I$42,2,FALSE),VLOOKUP(AB$1,'40Trips'!$A$3:$I$42,2,FALSE))&lt;'40Trips'!$K$16,$A6&lt;&gt;AB$1,gamma!AB6=1),SUM(VLOOKUP($A6,'40Trips'!$A$3:$I$42,2,FALSE), VLOOKUP(AB$1,'40Trips'!$A$3:$I$42,2,FALSE)),0)</f>
        <v>0</v>
      </c>
      <c r="AC6">
        <f>IF(AND(SUM(VLOOKUP($A6,'40Trips'!$A$3:$I$42,2,FALSE),VLOOKUP(AC$1,'40Trips'!$A$3:$I$42,2,FALSE))&lt;'40Trips'!$K$16,$A6&lt;&gt;AC$1,gamma!AC6=1),SUM(VLOOKUP($A6,'40Trips'!$A$3:$I$42,2,FALSE), VLOOKUP(AC$1,'40Trips'!$A$3:$I$42,2,FALSE)),0)</f>
        <v>0</v>
      </c>
      <c r="AD6">
        <f>IF(AND(SUM(VLOOKUP($A6,'40Trips'!$A$3:$I$42,2,FALSE),VLOOKUP(AD$1,'40Trips'!$A$3:$I$42,2,FALSE))&lt;'40Trips'!$K$16,$A6&lt;&gt;AD$1,gamma!AD6=1),SUM(VLOOKUP($A6,'40Trips'!$A$3:$I$42,2,FALSE), VLOOKUP(AD$1,'40Trips'!$A$3:$I$42,2,FALSE)),0)</f>
        <v>0</v>
      </c>
      <c r="AE6">
        <f>IF(AND(SUM(VLOOKUP($A6,'40Trips'!$A$3:$I$42,2,FALSE),VLOOKUP(AE$1,'40Trips'!$A$3:$I$42,2,FALSE))&lt;'40Trips'!$K$16,$A6&lt;&gt;AE$1,gamma!AE6=1),SUM(VLOOKUP($A6,'40Trips'!$A$3:$I$42,2,FALSE), VLOOKUP(AE$1,'40Trips'!$A$3:$I$42,2,FALSE)),0)</f>
        <v>0</v>
      </c>
      <c r="AF6">
        <f>IF(AND(SUM(VLOOKUP($A6,'40Trips'!$A$3:$I$42,2,FALSE),VLOOKUP(AF$1,'40Trips'!$A$3:$I$42,2,FALSE))&lt;'40Trips'!$K$16,$A6&lt;&gt;AF$1,gamma!AF6=1),SUM(VLOOKUP($A6,'40Trips'!$A$3:$I$42,2,FALSE), VLOOKUP(AF$1,'40Trips'!$A$3:$I$42,2,FALSE)),0)</f>
        <v>0</v>
      </c>
      <c r="AG6">
        <f>IF(AND(SUM(VLOOKUP($A6,'40Trips'!$A$3:$I$42,2,FALSE),VLOOKUP(AG$1,'40Trips'!$A$3:$I$42,2,FALSE))&lt;'40Trips'!$K$16,$A6&lt;&gt;AG$1,gamma!AG6=1),SUM(VLOOKUP($A6,'40Trips'!$A$3:$I$42,2,FALSE), VLOOKUP(AG$1,'40Trips'!$A$3:$I$42,2,FALSE)),0)</f>
        <v>0</v>
      </c>
      <c r="AH6">
        <f>IF(AND(SUM(VLOOKUP($A6,'40Trips'!$A$3:$I$42,2,FALSE),VLOOKUP(AH$1,'40Trips'!$A$3:$I$42,2,FALSE))&lt;'40Trips'!$K$16,$A6&lt;&gt;AH$1,gamma!AH6=1),SUM(VLOOKUP($A6,'40Trips'!$A$3:$I$42,2,FALSE), VLOOKUP(AH$1,'40Trips'!$A$3:$I$42,2,FALSE)),0)</f>
        <v>0</v>
      </c>
      <c r="AI6">
        <f>IF(AND(SUM(VLOOKUP($A6,'40Trips'!$A$3:$I$42,2,FALSE),VLOOKUP(AI$1,'40Trips'!$A$3:$I$42,2,FALSE))&lt;'40Trips'!$K$16,$A6&lt;&gt;AI$1,gamma!AI6=1),SUM(VLOOKUP($A6,'40Trips'!$A$3:$I$42,2,FALSE), VLOOKUP(AI$1,'40Trips'!$A$3:$I$42,2,FALSE)),0)</f>
        <v>0</v>
      </c>
      <c r="AJ6">
        <f>IF(AND(SUM(VLOOKUP($A6,'40Trips'!$A$3:$I$42,2,FALSE),VLOOKUP(AJ$1,'40Trips'!$A$3:$I$42,2,FALSE))&lt;'40Trips'!$K$16,$A6&lt;&gt;AJ$1,gamma!AJ6=1),SUM(VLOOKUP($A6,'40Trips'!$A$3:$I$42,2,FALSE), VLOOKUP(AJ$1,'40Trips'!$A$3:$I$42,2,FALSE)),0)</f>
        <v>0</v>
      </c>
      <c r="AK6">
        <f>IF(AND(SUM(VLOOKUP($A6,'40Trips'!$A$3:$I$42,2,FALSE),VLOOKUP(AK$1,'40Trips'!$A$3:$I$42,2,FALSE))&lt;'40Trips'!$K$16,$A6&lt;&gt;AK$1,gamma!AK6=1),SUM(VLOOKUP($A6,'40Trips'!$A$3:$I$42,2,FALSE), VLOOKUP(AK$1,'40Trips'!$A$3:$I$42,2,FALSE)),0)</f>
        <v>0</v>
      </c>
      <c r="AL6">
        <f>IF(AND(SUM(VLOOKUP($A6,'40Trips'!$A$3:$I$42,2,FALSE),VLOOKUP(AL$1,'40Trips'!$A$3:$I$42,2,FALSE))&lt;'40Trips'!$K$16,$A6&lt;&gt;AL$1,gamma!AL6=1),SUM(VLOOKUP($A6,'40Trips'!$A$3:$I$42,2,FALSE), VLOOKUP(AL$1,'40Trips'!$A$3:$I$42,2,FALSE)),0)</f>
        <v>0</v>
      </c>
      <c r="AM6">
        <f>IF(AND(SUM(VLOOKUP($A6,'40Trips'!$A$3:$I$42,2,FALSE),VLOOKUP(AM$1,'40Trips'!$A$3:$I$42,2,FALSE))&lt;'40Trips'!$K$16,$A6&lt;&gt;AM$1,gamma!AM6=1),SUM(VLOOKUP($A6,'40Trips'!$A$3:$I$42,2,FALSE), VLOOKUP(AM$1,'40Trips'!$A$3:$I$42,2,FALSE)),0)</f>
        <v>0</v>
      </c>
      <c r="AN6">
        <f>IF(AND(SUM(VLOOKUP($A6,'40Trips'!$A$3:$I$42,2,FALSE),VLOOKUP(AN$1,'40Trips'!$A$3:$I$42,2,FALSE))&lt;'40Trips'!$K$16,$A6&lt;&gt;AN$1,gamma!AN6=1),SUM(VLOOKUP($A6,'40Trips'!$A$3:$I$42,2,FALSE), VLOOKUP(AN$1,'40Trips'!$A$3:$I$42,2,FALSE)),0)</f>
        <v>0</v>
      </c>
      <c r="AO6">
        <f>IF(AND(SUM(VLOOKUP($A6,'40Trips'!$A$3:$I$42,2,FALSE),VLOOKUP(AO$1,'40Trips'!$A$3:$I$42,2,FALSE))&lt;'40Trips'!$K$16,$A6&lt;&gt;AO$1,gamma!AO6=1),SUM(VLOOKUP($A6,'40Trips'!$A$3:$I$42,2,FALSE), VLOOKUP(AO$1,'40Trips'!$A$3:$I$42,2,FALSE)),0)</f>
        <v>0</v>
      </c>
      <c r="AP6">
        <f>IF(AND(SUM(VLOOKUP($A6,'40Trips'!$A$3:$I$42,2,FALSE),VLOOKUP(AP$1,'40Trips'!$A$3:$I$42,2,FALSE))&lt;'40Trips'!$K$16,$A6&lt;&gt;AP$1,gamma!AP6=1),SUM(VLOOKUP($A6,'40Trips'!$A$3:$I$42,2,FALSE), VLOOKUP(AP$1,'40Trips'!$A$3:$I$42,2,FALSE)),0)</f>
        <v>0</v>
      </c>
      <c r="AQ6">
        <v>0</v>
      </c>
      <c r="AR6">
        <v>0</v>
      </c>
      <c r="AS6">
        <v>0</v>
      </c>
      <c r="AT6">
        <v>0</v>
      </c>
    </row>
    <row r="7" spans="1:46" x14ac:dyDescent="0.25">
      <c r="A7" t="s">
        <v>18</v>
      </c>
      <c r="B7">
        <v>0</v>
      </c>
      <c r="C7">
        <f>IF(AND(SUM(VLOOKUP($A7,'40Trips'!$A$3:$I$42,2,FALSE),VLOOKUP(C$1,'40Trips'!$A$3:$I$42,2,FALSE))&lt;'40Trips'!$K$16,$A7&lt;&gt;C$1,gamma!C7=1),SUM(VLOOKUP($A7,'40Trips'!$A$3:$I$42,2,FALSE), VLOOKUP(C$1,'40Trips'!$A$3:$I$42,2,FALSE)),0)</f>
        <v>0</v>
      </c>
      <c r="D7">
        <f>IF(AND(SUM(VLOOKUP($A7,'40Trips'!$A$3:$I$42,2,FALSE),VLOOKUP(D$1,'40Trips'!$A$3:$I$42,2,FALSE))&lt;'40Trips'!$K$16,$A7&lt;&gt;D$1,gamma!D7=1),SUM(VLOOKUP($A7,'40Trips'!$A$3:$I$42,2,FALSE), VLOOKUP(D$1,'40Trips'!$A$3:$I$42,2,FALSE)),0)</f>
        <v>275</v>
      </c>
      <c r="E7">
        <f>IF(AND(SUM(VLOOKUP($A7,'40Trips'!$A$3:$I$42,2,FALSE),VLOOKUP(E$1,'40Trips'!$A$3:$I$42,2,FALSE))&lt;'40Trips'!$K$16,$A7&lt;&gt;E$1,gamma!E7=1),SUM(VLOOKUP($A7,'40Trips'!$A$3:$I$42,2,FALSE), VLOOKUP(E$1,'40Trips'!$A$3:$I$42,2,FALSE)),0)</f>
        <v>275</v>
      </c>
      <c r="F7">
        <f>IF(AND(SUM(VLOOKUP($A7,'40Trips'!$A$3:$I$42,2,FALSE),VLOOKUP(F$1,'40Trips'!$A$3:$I$42,2,FALSE))&lt;'40Trips'!$K$16,$A7&lt;&gt;F$1,gamma!F7=1),SUM(VLOOKUP($A7,'40Trips'!$A$3:$I$42,2,FALSE), VLOOKUP(F$1,'40Trips'!$A$3:$I$42,2,FALSE)),0)</f>
        <v>275</v>
      </c>
      <c r="G7">
        <f>IF(AND(SUM(VLOOKUP($A7,'40Trips'!$A$3:$I$42,2,FALSE),VLOOKUP(G$1,'40Trips'!$A$3:$I$42,2,FALSE))&lt;'40Trips'!$K$16,$A7&lt;&gt;G$1,gamma!G7=1),SUM(VLOOKUP($A7,'40Trips'!$A$3:$I$42,2,FALSE), VLOOKUP(G$1,'40Trips'!$A$3:$I$42,2,FALSE)),0)</f>
        <v>0</v>
      </c>
      <c r="H7">
        <f>IF(AND(SUM(VLOOKUP($A7,'40Trips'!$A$3:$I$42,2,FALSE),VLOOKUP(H$1,'40Trips'!$A$3:$I$42,2,FALSE))&lt;'40Trips'!$K$16,$A7&lt;&gt;H$1,gamma!H7=1),SUM(VLOOKUP($A7,'40Trips'!$A$3:$I$42,2,FALSE), VLOOKUP(H$1,'40Trips'!$A$3:$I$42,2,FALSE)),0)</f>
        <v>0</v>
      </c>
      <c r="I7">
        <f>IF(AND(SUM(VLOOKUP($A7,'40Trips'!$A$3:$I$42,2,FALSE),VLOOKUP(I$1,'40Trips'!$A$3:$I$42,2,FALSE))&lt;'40Trips'!$K$16,$A7&lt;&gt;I$1,gamma!I7=1),SUM(VLOOKUP($A7,'40Trips'!$A$3:$I$42,2,FALSE), VLOOKUP(I$1,'40Trips'!$A$3:$I$42,2,FALSE)),0)</f>
        <v>280</v>
      </c>
      <c r="J7">
        <f>IF(AND(SUM(VLOOKUP($A7,'40Trips'!$A$3:$I$42,2,FALSE),VLOOKUP(J$1,'40Trips'!$A$3:$I$42,2,FALSE))&lt;'40Trips'!$K$16,$A7&lt;&gt;J$1,gamma!J7=1),SUM(VLOOKUP($A7,'40Trips'!$A$3:$I$42,2,FALSE), VLOOKUP(J$1,'40Trips'!$A$3:$I$42,2,FALSE)),0)</f>
        <v>280</v>
      </c>
      <c r="K7">
        <f>IF(AND(SUM(VLOOKUP($A7,'40Trips'!$A$3:$I$42,2,FALSE),VLOOKUP(K$1,'40Trips'!$A$3:$I$42,2,FALSE))&lt;'40Trips'!$K$16,$A7&lt;&gt;K$1,gamma!K7=1),SUM(VLOOKUP($A7,'40Trips'!$A$3:$I$42,2,FALSE), VLOOKUP(K$1,'40Trips'!$A$3:$I$42,2,FALSE)),0)</f>
        <v>0</v>
      </c>
      <c r="L7">
        <f>IF(AND(SUM(VLOOKUP($A7,'40Trips'!$A$3:$I$42,2,FALSE),VLOOKUP(L$1,'40Trips'!$A$3:$I$42,2,FALSE))&lt;'40Trips'!$K$16,$A7&lt;&gt;L$1,gamma!L7=1),SUM(VLOOKUP($A7,'40Trips'!$A$3:$I$42,2,FALSE), VLOOKUP(L$1,'40Trips'!$A$3:$I$42,2,FALSE)),0)</f>
        <v>0</v>
      </c>
      <c r="M7">
        <f>IF(AND(SUM(VLOOKUP($A7,'40Trips'!$A$3:$I$42,2,FALSE),VLOOKUP(M$1,'40Trips'!$A$3:$I$42,2,FALSE))&lt;'40Trips'!$K$16,$A7&lt;&gt;M$1,gamma!M7=1),SUM(VLOOKUP($A7,'40Trips'!$A$3:$I$42,2,FALSE), VLOOKUP(M$1,'40Trips'!$A$3:$I$42,2,FALSE)),0)</f>
        <v>275</v>
      </c>
      <c r="N7">
        <f>IF(AND(SUM(VLOOKUP($A7,'40Trips'!$A$3:$I$42,2,FALSE),VLOOKUP(N$1,'40Trips'!$A$3:$I$42,2,FALSE))&lt;'40Trips'!$K$16,$A7&lt;&gt;N$1,gamma!N7=1),SUM(VLOOKUP($A7,'40Trips'!$A$3:$I$42,2,FALSE), VLOOKUP(N$1,'40Trips'!$A$3:$I$42,2,FALSE)),0)</f>
        <v>0</v>
      </c>
      <c r="O7">
        <f>IF(AND(SUM(VLOOKUP($A7,'40Trips'!$A$3:$I$42,2,FALSE),VLOOKUP(O$1,'40Trips'!$A$3:$I$42,2,FALSE))&lt;'40Trips'!$K$16,$A7&lt;&gt;O$1,gamma!O7=1),SUM(VLOOKUP($A7,'40Trips'!$A$3:$I$42,2,FALSE), VLOOKUP(O$1,'40Trips'!$A$3:$I$42,2,FALSE)),0)</f>
        <v>0</v>
      </c>
      <c r="P7">
        <f>IF(AND(SUM(VLOOKUP($A7,'40Trips'!$A$3:$I$42,2,FALSE),VLOOKUP(P$1,'40Trips'!$A$3:$I$42,2,FALSE))&lt;'40Trips'!$K$16,$A7&lt;&gt;P$1,gamma!P7=1),SUM(VLOOKUP($A7,'40Trips'!$A$3:$I$42,2,FALSE), VLOOKUP(P$1,'40Trips'!$A$3:$I$42,2,FALSE)),0)</f>
        <v>275</v>
      </c>
      <c r="Q7">
        <f>IF(AND(SUM(VLOOKUP($A7,'40Trips'!$A$3:$I$42,2,FALSE),VLOOKUP(Q$1,'40Trips'!$A$3:$I$42,2,FALSE))&lt;'40Trips'!$K$16,$A7&lt;&gt;Q$1,gamma!Q7=1),SUM(VLOOKUP($A7,'40Trips'!$A$3:$I$42,2,FALSE), VLOOKUP(Q$1,'40Trips'!$A$3:$I$42,2,FALSE)),0)</f>
        <v>275</v>
      </c>
      <c r="R7">
        <f>IF(AND(SUM(VLOOKUP($A7,'40Trips'!$A$3:$I$42,2,FALSE),VLOOKUP(R$1,'40Trips'!$A$3:$I$42,2,FALSE))&lt;'40Trips'!$K$16,$A7&lt;&gt;R$1,gamma!R7=1),SUM(VLOOKUP($A7,'40Trips'!$A$3:$I$42,2,FALSE), VLOOKUP(R$1,'40Trips'!$A$3:$I$42,2,FALSE)),0)</f>
        <v>275</v>
      </c>
      <c r="S7">
        <f>IF(AND(SUM(VLOOKUP($A7,'40Trips'!$A$3:$I$42,2,FALSE),VLOOKUP(S$1,'40Trips'!$A$3:$I$42,2,FALSE))&lt;'40Trips'!$K$16,$A7&lt;&gt;S$1,gamma!S7=1),SUM(VLOOKUP($A7,'40Trips'!$A$3:$I$42,2,FALSE), VLOOKUP(S$1,'40Trips'!$A$3:$I$42,2,FALSE)),0)</f>
        <v>0</v>
      </c>
      <c r="T7">
        <f>IF(AND(SUM(VLOOKUP($A7,'40Trips'!$A$3:$I$42,2,FALSE),VLOOKUP(T$1,'40Trips'!$A$3:$I$42,2,FALSE))&lt;'40Trips'!$K$16,$A7&lt;&gt;T$1,gamma!T7=1),SUM(VLOOKUP($A7,'40Trips'!$A$3:$I$42,2,FALSE), VLOOKUP(T$1,'40Trips'!$A$3:$I$42,2,FALSE)),0)</f>
        <v>0</v>
      </c>
      <c r="U7">
        <f>IF(AND(SUM(VLOOKUP($A7,'40Trips'!$A$3:$I$42,2,FALSE),VLOOKUP(U$1,'40Trips'!$A$3:$I$42,2,FALSE))&lt;'40Trips'!$K$16,$A7&lt;&gt;U$1,gamma!U7=1),SUM(VLOOKUP($A7,'40Trips'!$A$3:$I$42,2,FALSE), VLOOKUP(U$1,'40Trips'!$A$3:$I$42,2,FALSE)),0)</f>
        <v>260</v>
      </c>
      <c r="V7">
        <f>IF(AND(SUM(VLOOKUP($A7,'40Trips'!$A$3:$I$42,2,FALSE),VLOOKUP(V$1,'40Trips'!$A$3:$I$42,2,FALSE))&lt;'40Trips'!$K$16,$A7&lt;&gt;V$1,gamma!V7=1),SUM(VLOOKUP($A7,'40Trips'!$A$3:$I$42,2,FALSE), VLOOKUP(V$1,'40Trips'!$A$3:$I$42,2,FALSE)),0)</f>
        <v>270</v>
      </c>
      <c r="W7">
        <f>IF(AND(SUM(VLOOKUP($A7,'40Trips'!$A$3:$I$42,2,FALSE),VLOOKUP(W$1,'40Trips'!$A$3:$I$42,2,FALSE))&lt;'40Trips'!$K$16,$A7&lt;&gt;W$1,gamma!W7=1),SUM(VLOOKUP($A7,'40Trips'!$A$3:$I$42,2,FALSE), VLOOKUP(W$1,'40Trips'!$A$3:$I$42,2,FALSE)),0)</f>
        <v>0</v>
      </c>
      <c r="X7">
        <f>IF(AND(SUM(VLOOKUP($A7,'40Trips'!$A$3:$I$42,2,FALSE),VLOOKUP(X$1,'40Trips'!$A$3:$I$42,2,FALSE))&lt;'40Trips'!$K$16,$A7&lt;&gt;X$1,gamma!X7=1),SUM(VLOOKUP($A7,'40Trips'!$A$3:$I$42,2,FALSE), VLOOKUP(X$1,'40Trips'!$A$3:$I$42,2,FALSE)),0)</f>
        <v>280</v>
      </c>
      <c r="Y7">
        <f>IF(AND(SUM(VLOOKUP($A7,'40Trips'!$A$3:$I$42,2,FALSE),VLOOKUP(Y$1,'40Trips'!$A$3:$I$42,2,FALSE))&lt;'40Trips'!$K$16,$A7&lt;&gt;Y$1,gamma!Y7=1),SUM(VLOOKUP($A7,'40Trips'!$A$3:$I$42,2,FALSE), VLOOKUP(Y$1,'40Trips'!$A$3:$I$42,2,FALSE)),0)</f>
        <v>280</v>
      </c>
      <c r="Z7">
        <f>IF(AND(SUM(VLOOKUP($A7,'40Trips'!$A$3:$I$42,2,FALSE),VLOOKUP(Z$1,'40Trips'!$A$3:$I$42,2,FALSE))&lt;'40Trips'!$K$16,$A7&lt;&gt;Z$1,gamma!Z7=1),SUM(VLOOKUP($A7,'40Trips'!$A$3:$I$42,2,FALSE), VLOOKUP(Z$1,'40Trips'!$A$3:$I$42,2,FALSE)),0)</f>
        <v>280</v>
      </c>
      <c r="AA7">
        <f>IF(AND(SUM(VLOOKUP($A7,'40Trips'!$A$3:$I$42,2,FALSE),VLOOKUP(AA$1,'40Trips'!$A$3:$I$42,2,FALSE))&lt;'40Trips'!$K$16,$A7&lt;&gt;AA$1,gamma!AA7=1),SUM(VLOOKUP($A7,'40Trips'!$A$3:$I$42,2,FALSE), VLOOKUP(AA$1,'40Trips'!$A$3:$I$42,2,FALSE)),0)</f>
        <v>0</v>
      </c>
      <c r="AB7">
        <f>IF(AND(SUM(VLOOKUP($A7,'40Trips'!$A$3:$I$42,2,FALSE),VLOOKUP(AB$1,'40Trips'!$A$3:$I$42,2,FALSE))&lt;'40Trips'!$K$16,$A7&lt;&gt;AB$1,gamma!AB7=1),SUM(VLOOKUP($A7,'40Trips'!$A$3:$I$42,2,FALSE), VLOOKUP(AB$1,'40Trips'!$A$3:$I$42,2,FALSE)),0)</f>
        <v>0</v>
      </c>
      <c r="AC7">
        <f>IF(AND(SUM(VLOOKUP($A7,'40Trips'!$A$3:$I$42,2,FALSE),VLOOKUP(AC$1,'40Trips'!$A$3:$I$42,2,FALSE))&lt;'40Trips'!$K$16,$A7&lt;&gt;AC$1,gamma!AC7=1),SUM(VLOOKUP($A7,'40Trips'!$A$3:$I$42,2,FALSE), VLOOKUP(AC$1,'40Trips'!$A$3:$I$42,2,FALSE)),0)</f>
        <v>260</v>
      </c>
      <c r="AD7">
        <f>IF(AND(SUM(VLOOKUP($A7,'40Trips'!$A$3:$I$42,2,FALSE),VLOOKUP(AD$1,'40Trips'!$A$3:$I$42,2,FALSE))&lt;'40Trips'!$K$16,$A7&lt;&gt;AD$1,gamma!AD7=1),SUM(VLOOKUP($A7,'40Trips'!$A$3:$I$42,2,FALSE), VLOOKUP(AD$1,'40Trips'!$A$3:$I$42,2,FALSE)),0)</f>
        <v>270</v>
      </c>
      <c r="AE7">
        <f>IF(AND(SUM(VLOOKUP($A7,'40Trips'!$A$3:$I$42,2,FALSE),VLOOKUP(AE$1,'40Trips'!$A$3:$I$42,2,FALSE))&lt;'40Trips'!$K$16,$A7&lt;&gt;AE$1,gamma!AE7=1),SUM(VLOOKUP($A7,'40Trips'!$A$3:$I$42,2,FALSE), VLOOKUP(AE$1,'40Trips'!$A$3:$I$42,2,FALSE)),0)</f>
        <v>0</v>
      </c>
      <c r="AF7">
        <f>IF(AND(SUM(VLOOKUP($A7,'40Trips'!$A$3:$I$42,2,FALSE),VLOOKUP(AF$1,'40Trips'!$A$3:$I$42,2,FALSE))&lt;'40Trips'!$K$16,$A7&lt;&gt;AF$1,gamma!AF7=1),SUM(VLOOKUP($A7,'40Trips'!$A$3:$I$42,2,FALSE), VLOOKUP(AF$1,'40Trips'!$A$3:$I$42,2,FALSE)),0)</f>
        <v>0</v>
      </c>
      <c r="AG7">
        <f>IF(AND(SUM(VLOOKUP($A7,'40Trips'!$A$3:$I$42,2,FALSE),VLOOKUP(AG$1,'40Trips'!$A$3:$I$42,2,FALSE))&lt;'40Trips'!$K$16,$A7&lt;&gt;AG$1,gamma!AG7=1),SUM(VLOOKUP($A7,'40Trips'!$A$3:$I$42,2,FALSE), VLOOKUP(AG$1,'40Trips'!$A$3:$I$42,2,FALSE)),0)</f>
        <v>0</v>
      </c>
      <c r="AH7">
        <f>IF(AND(SUM(VLOOKUP($A7,'40Trips'!$A$3:$I$42,2,FALSE),VLOOKUP(AH$1,'40Trips'!$A$3:$I$42,2,FALSE))&lt;'40Trips'!$K$16,$A7&lt;&gt;AH$1,gamma!AH7=1),SUM(VLOOKUP($A7,'40Trips'!$A$3:$I$42,2,FALSE), VLOOKUP(AH$1,'40Trips'!$A$3:$I$42,2,FALSE)),0)</f>
        <v>275</v>
      </c>
      <c r="AI7">
        <f>IF(AND(SUM(VLOOKUP($A7,'40Trips'!$A$3:$I$42,2,FALSE),VLOOKUP(AI$1,'40Trips'!$A$3:$I$42,2,FALSE))&lt;'40Trips'!$K$16,$A7&lt;&gt;AI$1,gamma!AI7=1),SUM(VLOOKUP($A7,'40Trips'!$A$3:$I$42,2,FALSE), VLOOKUP(AI$1,'40Trips'!$A$3:$I$42,2,FALSE)),0)</f>
        <v>280</v>
      </c>
      <c r="AJ7">
        <f>IF(AND(SUM(VLOOKUP($A7,'40Trips'!$A$3:$I$42,2,FALSE),VLOOKUP(AJ$1,'40Trips'!$A$3:$I$42,2,FALSE))&lt;'40Trips'!$K$16,$A7&lt;&gt;AJ$1,gamma!AJ7=1),SUM(VLOOKUP($A7,'40Trips'!$A$3:$I$42,2,FALSE), VLOOKUP(AJ$1,'40Trips'!$A$3:$I$42,2,FALSE)),0)</f>
        <v>275</v>
      </c>
      <c r="AK7">
        <f>IF(AND(SUM(VLOOKUP($A7,'40Trips'!$A$3:$I$42,2,FALSE),VLOOKUP(AK$1,'40Trips'!$A$3:$I$42,2,FALSE))&lt;'40Trips'!$K$16,$A7&lt;&gt;AK$1,gamma!AK7=1),SUM(VLOOKUP($A7,'40Trips'!$A$3:$I$42,2,FALSE), VLOOKUP(AK$1,'40Trips'!$A$3:$I$42,2,FALSE)),0)</f>
        <v>280</v>
      </c>
      <c r="AL7">
        <f>IF(AND(SUM(VLOOKUP($A7,'40Trips'!$A$3:$I$42,2,FALSE),VLOOKUP(AL$1,'40Trips'!$A$3:$I$42,2,FALSE))&lt;'40Trips'!$K$16,$A7&lt;&gt;AL$1,gamma!AL7=1),SUM(VLOOKUP($A7,'40Trips'!$A$3:$I$42,2,FALSE), VLOOKUP(AL$1,'40Trips'!$A$3:$I$42,2,FALSE)),0)</f>
        <v>280</v>
      </c>
      <c r="AM7">
        <f>IF(AND(SUM(VLOOKUP($A7,'40Trips'!$A$3:$I$42,2,FALSE),VLOOKUP(AM$1,'40Trips'!$A$3:$I$42,2,FALSE))&lt;'40Trips'!$K$16,$A7&lt;&gt;AM$1,gamma!AM7=1),SUM(VLOOKUP($A7,'40Trips'!$A$3:$I$42,2,FALSE), VLOOKUP(AM$1,'40Trips'!$A$3:$I$42,2,FALSE)),0)</f>
        <v>0</v>
      </c>
      <c r="AN7">
        <f>IF(AND(SUM(VLOOKUP($A7,'40Trips'!$A$3:$I$42,2,FALSE),VLOOKUP(AN$1,'40Trips'!$A$3:$I$42,2,FALSE))&lt;'40Trips'!$K$16,$A7&lt;&gt;AN$1,gamma!AN7=1),SUM(VLOOKUP($A7,'40Trips'!$A$3:$I$42,2,FALSE), VLOOKUP(AN$1,'40Trips'!$A$3:$I$42,2,FALSE)),0)</f>
        <v>260</v>
      </c>
      <c r="AO7">
        <f>IF(AND(SUM(VLOOKUP($A7,'40Trips'!$A$3:$I$42,2,FALSE),VLOOKUP(AO$1,'40Trips'!$A$3:$I$42,2,FALSE))&lt;'40Trips'!$K$16,$A7&lt;&gt;AO$1,gamma!AO7=1),SUM(VLOOKUP($A7,'40Trips'!$A$3:$I$42,2,FALSE), VLOOKUP(AO$1,'40Trips'!$A$3:$I$42,2,FALSE)),0)</f>
        <v>260</v>
      </c>
      <c r="AP7">
        <f>IF(AND(SUM(VLOOKUP($A7,'40Trips'!$A$3:$I$42,2,FALSE),VLOOKUP(AP$1,'40Trips'!$A$3:$I$42,2,FALSE))&lt;'40Trips'!$K$16,$A7&lt;&gt;AP$1,gamma!AP7=1),SUM(VLOOKUP($A7,'40Trips'!$A$3:$I$42,2,FALSE), VLOOKUP(AP$1,'40Trips'!$A$3:$I$42,2,FALSE)),0)</f>
        <v>275</v>
      </c>
      <c r="AQ7">
        <v>0</v>
      </c>
      <c r="AR7">
        <v>0</v>
      </c>
      <c r="AS7">
        <v>0</v>
      </c>
      <c r="AT7">
        <v>0</v>
      </c>
    </row>
    <row r="8" spans="1:46" x14ac:dyDescent="0.25">
      <c r="A8" t="s">
        <v>20</v>
      </c>
      <c r="B8">
        <v>0</v>
      </c>
      <c r="C8">
        <f>IF(AND(SUM(VLOOKUP($A8,'40Trips'!$A$3:$I$42,2,FALSE),VLOOKUP(C$1,'40Trips'!$A$3:$I$42,2,FALSE))&lt;'40Trips'!$K$16,$A8&lt;&gt;C$1,gamma!C8=1),SUM(VLOOKUP($A8,'40Trips'!$A$3:$I$42,2,FALSE), VLOOKUP(C$1,'40Trips'!$A$3:$I$42,2,FALSE)),0)</f>
        <v>0</v>
      </c>
      <c r="D8">
        <f>IF(AND(SUM(VLOOKUP($A8,'40Trips'!$A$3:$I$42,2,FALSE),VLOOKUP(D$1,'40Trips'!$A$3:$I$42,2,FALSE))&lt;'40Trips'!$K$16,$A8&lt;&gt;D$1,gamma!D8=1),SUM(VLOOKUP($A8,'40Trips'!$A$3:$I$42,2,FALSE), VLOOKUP(D$1,'40Trips'!$A$3:$I$42,2,FALSE)),0)</f>
        <v>0</v>
      </c>
      <c r="E8">
        <f>IF(AND(SUM(VLOOKUP($A8,'40Trips'!$A$3:$I$42,2,FALSE),VLOOKUP(E$1,'40Trips'!$A$3:$I$42,2,FALSE))&lt;'40Trips'!$K$16,$A8&lt;&gt;E$1,gamma!E8=1),SUM(VLOOKUP($A8,'40Trips'!$A$3:$I$42,2,FALSE), VLOOKUP(E$1,'40Trips'!$A$3:$I$42,2,FALSE)),0)</f>
        <v>275</v>
      </c>
      <c r="F8">
        <f>IF(AND(SUM(VLOOKUP($A8,'40Trips'!$A$3:$I$42,2,FALSE),VLOOKUP(F$1,'40Trips'!$A$3:$I$42,2,FALSE))&lt;'40Trips'!$K$16,$A8&lt;&gt;F$1,gamma!F8=1),SUM(VLOOKUP($A8,'40Trips'!$A$3:$I$42,2,FALSE), VLOOKUP(F$1,'40Trips'!$A$3:$I$42,2,FALSE)),0)</f>
        <v>275</v>
      </c>
      <c r="G8">
        <f>IF(AND(SUM(VLOOKUP($A8,'40Trips'!$A$3:$I$42,2,FALSE),VLOOKUP(G$1,'40Trips'!$A$3:$I$42,2,FALSE))&lt;'40Trips'!$K$16,$A8&lt;&gt;G$1,gamma!G8=1),SUM(VLOOKUP($A8,'40Trips'!$A$3:$I$42,2,FALSE), VLOOKUP(G$1,'40Trips'!$A$3:$I$42,2,FALSE)),0)</f>
        <v>0</v>
      </c>
      <c r="H8">
        <f>IF(AND(SUM(VLOOKUP($A8,'40Trips'!$A$3:$I$42,2,FALSE),VLOOKUP(H$1,'40Trips'!$A$3:$I$42,2,FALSE))&lt;'40Trips'!$K$16,$A8&lt;&gt;H$1,gamma!H8=1),SUM(VLOOKUP($A8,'40Trips'!$A$3:$I$42,2,FALSE), VLOOKUP(H$1,'40Trips'!$A$3:$I$42,2,FALSE)),0)</f>
        <v>0</v>
      </c>
      <c r="I8">
        <f>IF(AND(SUM(VLOOKUP($A8,'40Trips'!$A$3:$I$42,2,FALSE),VLOOKUP(I$1,'40Trips'!$A$3:$I$42,2,FALSE))&lt;'40Trips'!$K$16,$A8&lt;&gt;I$1,gamma!I8=1),SUM(VLOOKUP($A8,'40Trips'!$A$3:$I$42,2,FALSE), VLOOKUP(I$1,'40Trips'!$A$3:$I$42,2,FALSE)),0)</f>
        <v>0</v>
      </c>
      <c r="J8">
        <f>IF(AND(SUM(VLOOKUP($A8,'40Trips'!$A$3:$I$42,2,FALSE),VLOOKUP(J$1,'40Trips'!$A$3:$I$42,2,FALSE))&lt;'40Trips'!$K$16,$A8&lt;&gt;J$1,gamma!J8=1),SUM(VLOOKUP($A8,'40Trips'!$A$3:$I$42,2,FALSE), VLOOKUP(J$1,'40Trips'!$A$3:$I$42,2,FALSE)),0)</f>
        <v>280</v>
      </c>
      <c r="K8">
        <f>IF(AND(SUM(VLOOKUP($A8,'40Trips'!$A$3:$I$42,2,FALSE),VLOOKUP(K$1,'40Trips'!$A$3:$I$42,2,FALSE))&lt;'40Trips'!$K$16,$A8&lt;&gt;K$1,gamma!K8=1),SUM(VLOOKUP($A8,'40Trips'!$A$3:$I$42,2,FALSE), VLOOKUP(K$1,'40Trips'!$A$3:$I$42,2,FALSE)),0)</f>
        <v>0</v>
      </c>
      <c r="L8">
        <f>IF(AND(SUM(VLOOKUP($A8,'40Trips'!$A$3:$I$42,2,FALSE),VLOOKUP(L$1,'40Trips'!$A$3:$I$42,2,FALSE))&lt;'40Trips'!$K$16,$A8&lt;&gt;L$1,gamma!L8=1),SUM(VLOOKUP($A8,'40Trips'!$A$3:$I$42,2,FALSE), VLOOKUP(L$1,'40Trips'!$A$3:$I$42,2,FALSE)),0)</f>
        <v>0</v>
      </c>
      <c r="M8">
        <f>IF(AND(SUM(VLOOKUP($A8,'40Trips'!$A$3:$I$42,2,FALSE),VLOOKUP(M$1,'40Trips'!$A$3:$I$42,2,FALSE))&lt;'40Trips'!$K$16,$A8&lt;&gt;M$1,gamma!M8=1),SUM(VLOOKUP($A8,'40Trips'!$A$3:$I$42,2,FALSE), VLOOKUP(M$1,'40Trips'!$A$3:$I$42,2,FALSE)),0)</f>
        <v>0</v>
      </c>
      <c r="N8">
        <f>IF(AND(SUM(VLOOKUP($A8,'40Trips'!$A$3:$I$42,2,FALSE),VLOOKUP(N$1,'40Trips'!$A$3:$I$42,2,FALSE))&lt;'40Trips'!$K$16,$A8&lt;&gt;N$1,gamma!N8=1),SUM(VLOOKUP($A8,'40Trips'!$A$3:$I$42,2,FALSE), VLOOKUP(N$1,'40Trips'!$A$3:$I$42,2,FALSE)),0)</f>
        <v>0</v>
      </c>
      <c r="O8">
        <f>IF(AND(SUM(VLOOKUP($A8,'40Trips'!$A$3:$I$42,2,FALSE),VLOOKUP(O$1,'40Trips'!$A$3:$I$42,2,FALSE))&lt;'40Trips'!$K$16,$A8&lt;&gt;O$1,gamma!O8=1),SUM(VLOOKUP($A8,'40Trips'!$A$3:$I$42,2,FALSE), VLOOKUP(O$1,'40Trips'!$A$3:$I$42,2,FALSE)),0)</f>
        <v>0</v>
      </c>
      <c r="P8">
        <f>IF(AND(SUM(VLOOKUP($A8,'40Trips'!$A$3:$I$42,2,FALSE),VLOOKUP(P$1,'40Trips'!$A$3:$I$42,2,FALSE))&lt;'40Trips'!$K$16,$A8&lt;&gt;P$1,gamma!P8=1),SUM(VLOOKUP($A8,'40Trips'!$A$3:$I$42,2,FALSE), VLOOKUP(P$1,'40Trips'!$A$3:$I$42,2,FALSE)),0)</f>
        <v>0</v>
      </c>
      <c r="Q8">
        <f>IF(AND(SUM(VLOOKUP($A8,'40Trips'!$A$3:$I$42,2,FALSE),VLOOKUP(Q$1,'40Trips'!$A$3:$I$42,2,FALSE))&lt;'40Trips'!$K$16,$A8&lt;&gt;Q$1,gamma!Q8=1),SUM(VLOOKUP($A8,'40Trips'!$A$3:$I$42,2,FALSE), VLOOKUP(Q$1,'40Trips'!$A$3:$I$42,2,FALSE)),0)</f>
        <v>0</v>
      </c>
      <c r="R8">
        <f>IF(AND(SUM(VLOOKUP($A8,'40Trips'!$A$3:$I$42,2,FALSE),VLOOKUP(R$1,'40Trips'!$A$3:$I$42,2,FALSE))&lt;'40Trips'!$K$16,$A8&lt;&gt;R$1,gamma!R8=1),SUM(VLOOKUP($A8,'40Trips'!$A$3:$I$42,2,FALSE), VLOOKUP(R$1,'40Trips'!$A$3:$I$42,2,FALSE)),0)</f>
        <v>275</v>
      </c>
      <c r="S8">
        <f>IF(AND(SUM(VLOOKUP($A8,'40Trips'!$A$3:$I$42,2,FALSE),VLOOKUP(S$1,'40Trips'!$A$3:$I$42,2,FALSE))&lt;'40Trips'!$K$16,$A8&lt;&gt;S$1,gamma!S8=1),SUM(VLOOKUP($A8,'40Trips'!$A$3:$I$42,2,FALSE), VLOOKUP(S$1,'40Trips'!$A$3:$I$42,2,FALSE)),0)</f>
        <v>0</v>
      </c>
      <c r="T8">
        <f>IF(AND(SUM(VLOOKUP($A8,'40Trips'!$A$3:$I$42,2,FALSE),VLOOKUP(T$1,'40Trips'!$A$3:$I$42,2,FALSE))&lt;'40Trips'!$K$16,$A8&lt;&gt;T$1,gamma!T8=1),SUM(VLOOKUP($A8,'40Trips'!$A$3:$I$42,2,FALSE), VLOOKUP(T$1,'40Trips'!$A$3:$I$42,2,FALSE)),0)</f>
        <v>0</v>
      </c>
      <c r="U8">
        <f>IF(AND(SUM(VLOOKUP($A8,'40Trips'!$A$3:$I$42,2,FALSE),VLOOKUP(U$1,'40Trips'!$A$3:$I$42,2,FALSE))&lt;'40Trips'!$K$16,$A8&lt;&gt;U$1,gamma!U8=1),SUM(VLOOKUP($A8,'40Trips'!$A$3:$I$42,2,FALSE), VLOOKUP(U$1,'40Trips'!$A$3:$I$42,2,FALSE)),0)</f>
        <v>0</v>
      </c>
      <c r="V8">
        <f>IF(AND(SUM(VLOOKUP($A8,'40Trips'!$A$3:$I$42,2,FALSE),VLOOKUP(V$1,'40Trips'!$A$3:$I$42,2,FALSE))&lt;'40Trips'!$K$16,$A8&lt;&gt;V$1,gamma!V8=1),SUM(VLOOKUP($A8,'40Trips'!$A$3:$I$42,2,FALSE), VLOOKUP(V$1,'40Trips'!$A$3:$I$42,2,FALSE)),0)</f>
        <v>270</v>
      </c>
      <c r="W8">
        <f>IF(AND(SUM(VLOOKUP($A8,'40Trips'!$A$3:$I$42,2,FALSE),VLOOKUP(W$1,'40Trips'!$A$3:$I$42,2,FALSE))&lt;'40Trips'!$K$16,$A8&lt;&gt;W$1,gamma!W8=1),SUM(VLOOKUP($A8,'40Trips'!$A$3:$I$42,2,FALSE), VLOOKUP(W$1,'40Trips'!$A$3:$I$42,2,FALSE)),0)</f>
        <v>0</v>
      </c>
      <c r="X8">
        <f>IF(AND(SUM(VLOOKUP($A8,'40Trips'!$A$3:$I$42,2,FALSE),VLOOKUP(X$1,'40Trips'!$A$3:$I$42,2,FALSE))&lt;'40Trips'!$K$16,$A8&lt;&gt;X$1,gamma!X8=1),SUM(VLOOKUP($A8,'40Trips'!$A$3:$I$42,2,FALSE), VLOOKUP(X$1,'40Trips'!$A$3:$I$42,2,FALSE)),0)</f>
        <v>0</v>
      </c>
      <c r="Y8">
        <f>IF(AND(SUM(VLOOKUP($A8,'40Trips'!$A$3:$I$42,2,FALSE),VLOOKUP(Y$1,'40Trips'!$A$3:$I$42,2,FALSE))&lt;'40Trips'!$K$16,$A8&lt;&gt;Y$1,gamma!Y8=1),SUM(VLOOKUP($A8,'40Trips'!$A$3:$I$42,2,FALSE), VLOOKUP(Y$1,'40Trips'!$A$3:$I$42,2,FALSE)),0)</f>
        <v>280</v>
      </c>
      <c r="Z8">
        <f>IF(AND(SUM(VLOOKUP($A8,'40Trips'!$A$3:$I$42,2,FALSE),VLOOKUP(Z$1,'40Trips'!$A$3:$I$42,2,FALSE))&lt;'40Trips'!$K$16,$A8&lt;&gt;Z$1,gamma!Z8=1),SUM(VLOOKUP($A8,'40Trips'!$A$3:$I$42,2,FALSE), VLOOKUP(Z$1,'40Trips'!$A$3:$I$42,2,FALSE)),0)</f>
        <v>280</v>
      </c>
      <c r="AA8">
        <f>IF(AND(SUM(VLOOKUP($A8,'40Trips'!$A$3:$I$42,2,FALSE),VLOOKUP(AA$1,'40Trips'!$A$3:$I$42,2,FALSE))&lt;'40Trips'!$K$16,$A8&lt;&gt;AA$1,gamma!AA8=1),SUM(VLOOKUP($A8,'40Trips'!$A$3:$I$42,2,FALSE), VLOOKUP(AA$1,'40Trips'!$A$3:$I$42,2,FALSE)),0)</f>
        <v>0</v>
      </c>
      <c r="AB8">
        <f>IF(AND(SUM(VLOOKUP($A8,'40Trips'!$A$3:$I$42,2,FALSE),VLOOKUP(AB$1,'40Trips'!$A$3:$I$42,2,FALSE))&lt;'40Trips'!$K$16,$A8&lt;&gt;AB$1,gamma!AB8=1),SUM(VLOOKUP($A8,'40Trips'!$A$3:$I$42,2,FALSE), VLOOKUP(AB$1,'40Trips'!$A$3:$I$42,2,FALSE)),0)</f>
        <v>0</v>
      </c>
      <c r="AC8">
        <f>IF(AND(SUM(VLOOKUP($A8,'40Trips'!$A$3:$I$42,2,FALSE),VLOOKUP(AC$1,'40Trips'!$A$3:$I$42,2,FALSE))&lt;'40Trips'!$K$16,$A8&lt;&gt;AC$1,gamma!AC8=1),SUM(VLOOKUP($A8,'40Trips'!$A$3:$I$42,2,FALSE), VLOOKUP(AC$1,'40Trips'!$A$3:$I$42,2,FALSE)),0)</f>
        <v>260</v>
      </c>
      <c r="AD8">
        <f>IF(AND(SUM(VLOOKUP($A8,'40Trips'!$A$3:$I$42,2,FALSE),VLOOKUP(AD$1,'40Trips'!$A$3:$I$42,2,FALSE))&lt;'40Trips'!$K$16,$A8&lt;&gt;AD$1,gamma!AD8=1),SUM(VLOOKUP($A8,'40Trips'!$A$3:$I$42,2,FALSE), VLOOKUP(AD$1,'40Trips'!$A$3:$I$42,2,FALSE)),0)</f>
        <v>270</v>
      </c>
      <c r="AE8">
        <f>IF(AND(SUM(VLOOKUP($A8,'40Trips'!$A$3:$I$42,2,FALSE),VLOOKUP(AE$1,'40Trips'!$A$3:$I$42,2,FALSE))&lt;'40Trips'!$K$16,$A8&lt;&gt;AE$1,gamma!AE8=1),SUM(VLOOKUP($A8,'40Trips'!$A$3:$I$42,2,FALSE), VLOOKUP(AE$1,'40Trips'!$A$3:$I$42,2,FALSE)),0)</f>
        <v>0</v>
      </c>
      <c r="AF8">
        <f>IF(AND(SUM(VLOOKUP($A8,'40Trips'!$A$3:$I$42,2,FALSE),VLOOKUP(AF$1,'40Trips'!$A$3:$I$42,2,FALSE))&lt;'40Trips'!$K$16,$A8&lt;&gt;AF$1,gamma!AF8=1),SUM(VLOOKUP($A8,'40Trips'!$A$3:$I$42,2,FALSE), VLOOKUP(AF$1,'40Trips'!$A$3:$I$42,2,FALSE)),0)</f>
        <v>0</v>
      </c>
      <c r="AG8">
        <f>IF(AND(SUM(VLOOKUP($A8,'40Trips'!$A$3:$I$42,2,FALSE),VLOOKUP(AG$1,'40Trips'!$A$3:$I$42,2,FALSE))&lt;'40Trips'!$K$16,$A8&lt;&gt;AG$1,gamma!AG8=1),SUM(VLOOKUP($A8,'40Trips'!$A$3:$I$42,2,FALSE), VLOOKUP(AG$1,'40Trips'!$A$3:$I$42,2,FALSE)),0)</f>
        <v>0</v>
      </c>
      <c r="AH8">
        <f>IF(AND(SUM(VLOOKUP($A8,'40Trips'!$A$3:$I$42,2,FALSE),VLOOKUP(AH$1,'40Trips'!$A$3:$I$42,2,FALSE))&lt;'40Trips'!$K$16,$A8&lt;&gt;AH$1,gamma!AH8=1),SUM(VLOOKUP($A8,'40Trips'!$A$3:$I$42,2,FALSE), VLOOKUP(AH$1,'40Trips'!$A$3:$I$42,2,FALSE)),0)</f>
        <v>0</v>
      </c>
      <c r="AI8">
        <f>IF(AND(SUM(VLOOKUP($A8,'40Trips'!$A$3:$I$42,2,FALSE),VLOOKUP(AI$1,'40Trips'!$A$3:$I$42,2,FALSE))&lt;'40Trips'!$K$16,$A8&lt;&gt;AI$1,gamma!AI8=1),SUM(VLOOKUP($A8,'40Trips'!$A$3:$I$42,2,FALSE), VLOOKUP(AI$1,'40Trips'!$A$3:$I$42,2,FALSE)),0)</f>
        <v>0</v>
      </c>
      <c r="AJ8">
        <f>IF(AND(SUM(VLOOKUP($A8,'40Trips'!$A$3:$I$42,2,FALSE),VLOOKUP(AJ$1,'40Trips'!$A$3:$I$42,2,FALSE))&lt;'40Trips'!$K$16,$A8&lt;&gt;AJ$1,gamma!AJ8=1),SUM(VLOOKUP($A8,'40Trips'!$A$3:$I$42,2,FALSE), VLOOKUP(AJ$1,'40Trips'!$A$3:$I$42,2,FALSE)),0)</f>
        <v>0</v>
      </c>
      <c r="AK8">
        <f>IF(AND(SUM(VLOOKUP($A8,'40Trips'!$A$3:$I$42,2,FALSE),VLOOKUP(AK$1,'40Trips'!$A$3:$I$42,2,FALSE))&lt;'40Trips'!$K$16,$A8&lt;&gt;AK$1,gamma!AK8=1),SUM(VLOOKUP($A8,'40Trips'!$A$3:$I$42,2,FALSE), VLOOKUP(AK$1,'40Trips'!$A$3:$I$42,2,FALSE)),0)</f>
        <v>0</v>
      </c>
      <c r="AL8">
        <f>IF(AND(SUM(VLOOKUP($A8,'40Trips'!$A$3:$I$42,2,FALSE),VLOOKUP(AL$1,'40Trips'!$A$3:$I$42,2,FALSE))&lt;'40Trips'!$K$16,$A8&lt;&gt;AL$1,gamma!AL8=1),SUM(VLOOKUP($A8,'40Trips'!$A$3:$I$42,2,FALSE), VLOOKUP(AL$1,'40Trips'!$A$3:$I$42,2,FALSE)),0)</f>
        <v>280</v>
      </c>
      <c r="AM8">
        <f>IF(AND(SUM(VLOOKUP($A8,'40Trips'!$A$3:$I$42,2,FALSE),VLOOKUP(AM$1,'40Trips'!$A$3:$I$42,2,FALSE))&lt;'40Trips'!$K$16,$A8&lt;&gt;AM$1,gamma!AM8=1),SUM(VLOOKUP($A8,'40Trips'!$A$3:$I$42,2,FALSE), VLOOKUP(AM$1,'40Trips'!$A$3:$I$42,2,FALSE)),0)</f>
        <v>0</v>
      </c>
      <c r="AN8">
        <f>IF(AND(SUM(VLOOKUP($A8,'40Trips'!$A$3:$I$42,2,FALSE),VLOOKUP(AN$1,'40Trips'!$A$3:$I$42,2,FALSE))&lt;'40Trips'!$K$16,$A8&lt;&gt;AN$1,gamma!AN8=1),SUM(VLOOKUP($A8,'40Trips'!$A$3:$I$42,2,FALSE), VLOOKUP(AN$1,'40Trips'!$A$3:$I$42,2,FALSE)),0)</f>
        <v>0</v>
      </c>
      <c r="AO8">
        <f>IF(AND(SUM(VLOOKUP($A8,'40Trips'!$A$3:$I$42,2,FALSE),VLOOKUP(AO$1,'40Trips'!$A$3:$I$42,2,FALSE))&lt;'40Trips'!$K$16,$A8&lt;&gt;AO$1,gamma!AO8=1),SUM(VLOOKUP($A8,'40Trips'!$A$3:$I$42,2,FALSE), VLOOKUP(AO$1,'40Trips'!$A$3:$I$42,2,FALSE)),0)</f>
        <v>0</v>
      </c>
      <c r="AP8">
        <f>IF(AND(SUM(VLOOKUP($A8,'40Trips'!$A$3:$I$42,2,FALSE),VLOOKUP(AP$1,'40Trips'!$A$3:$I$42,2,FALSE))&lt;'40Trips'!$K$16,$A8&lt;&gt;AP$1,gamma!AP8=1),SUM(VLOOKUP($A8,'40Trips'!$A$3:$I$42,2,FALSE), VLOOKUP(AP$1,'40Trips'!$A$3:$I$42,2,FALSE)),0)</f>
        <v>275</v>
      </c>
      <c r="AQ8">
        <v>0</v>
      </c>
      <c r="AR8">
        <v>0</v>
      </c>
      <c r="AS8">
        <v>0</v>
      </c>
      <c r="AT8">
        <v>0</v>
      </c>
    </row>
    <row r="9" spans="1:46" x14ac:dyDescent="0.25">
      <c r="A9" t="s">
        <v>21</v>
      </c>
      <c r="B9">
        <v>0</v>
      </c>
      <c r="C9">
        <f>IF(AND(SUM(VLOOKUP($A9,'40Trips'!$A$3:$I$42,2,FALSE),VLOOKUP(C$1,'40Trips'!$A$3:$I$42,2,FALSE))&lt;'40Trips'!$K$16,$A9&lt;&gt;C$1,gamma!C9=1),SUM(VLOOKUP($A9,'40Trips'!$A$3:$I$42,2,FALSE), VLOOKUP(C$1,'40Trips'!$A$3:$I$42,2,FALSE)),0)</f>
        <v>0</v>
      </c>
      <c r="D9">
        <f>IF(AND(SUM(VLOOKUP($A9,'40Trips'!$A$3:$I$42,2,FALSE),VLOOKUP(D$1,'40Trips'!$A$3:$I$42,2,FALSE))&lt;'40Trips'!$K$16,$A9&lt;&gt;D$1,gamma!D9=1),SUM(VLOOKUP($A9,'40Trips'!$A$3:$I$42,2,FALSE), VLOOKUP(D$1,'40Trips'!$A$3:$I$42,2,FALSE)),0)</f>
        <v>0</v>
      </c>
      <c r="E9">
        <f>IF(AND(SUM(VLOOKUP($A9,'40Trips'!$A$3:$I$42,2,FALSE),VLOOKUP(E$1,'40Trips'!$A$3:$I$42,2,FALSE))&lt;'40Trips'!$K$16,$A9&lt;&gt;E$1,gamma!E9=1),SUM(VLOOKUP($A9,'40Trips'!$A$3:$I$42,2,FALSE), VLOOKUP(E$1,'40Trips'!$A$3:$I$42,2,FALSE)),0)</f>
        <v>0</v>
      </c>
      <c r="F9">
        <f>IF(AND(SUM(VLOOKUP($A9,'40Trips'!$A$3:$I$42,2,FALSE),VLOOKUP(F$1,'40Trips'!$A$3:$I$42,2,FALSE))&lt;'40Trips'!$K$16,$A9&lt;&gt;F$1,gamma!F9=1),SUM(VLOOKUP($A9,'40Trips'!$A$3:$I$42,2,FALSE), VLOOKUP(F$1,'40Trips'!$A$3:$I$42,2,FALSE)),0)</f>
        <v>0</v>
      </c>
      <c r="G9">
        <f>IF(AND(SUM(VLOOKUP($A9,'40Trips'!$A$3:$I$42,2,FALSE),VLOOKUP(G$1,'40Trips'!$A$3:$I$42,2,FALSE))&lt;'40Trips'!$K$16,$A9&lt;&gt;G$1,gamma!G9=1),SUM(VLOOKUP($A9,'40Trips'!$A$3:$I$42,2,FALSE), VLOOKUP(G$1,'40Trips'!$A$3:$I$42,2,FALSE)),0)</f>
        <v>0</v>
      </c>
      <c r="H9">
        <f>IF(AND(SUM(VLOOKUP($A9,'40Trips'!$A$3:$I$42,2,FALSE),VLOOKUP(H$1,'40Trips'!$A$3:$I$42,2,FALSE))&lt;'40Trips'!$K$16,$A9&lt;&gt;H$1,gamma!H9=1),SUM(VLOOKUP($A9,'40Trips'!$A$3:$I$42,2,FALSE), VLOOKUP(H$1,'40Trips'!$A$3:$I$42,2,FALSE)),0)</f>
        <v>0</v>
      </c>
      <c r="I9">
        <f>IF(AND(SUM(VLOOKUP($A9,'40Trips'!$A$3:$I$42,2,FALSE),VLOOKUP(I$1,'40Trips'!$A$3:$I$42,2,FALSE))&lt;'40Trips'!$K$16,$A9&lt;&gt;I$1,gamma!I9=1),SUM(VLOOKUP($A9,'40Trips'!$A$3:$I$42,2,FALSE), VLOOKUP(I$1,'40Trips'!$A$3:$I$42,2,FALSE)),0)</f>
        <v>0</v>
      </c>
      <c r="J9">
        <f>IF(AND(SUM(VLOOKUP($A9,'40Trips'!$A$3:$I$42,2,FALSE),VLOOKUP(J$1,'40Trips'!$A$3:$I$42,2,FALSE))&lt;'40Trips'!$K$16,$A9&lt;&gt;J$1,gamma!J9=1),SUM(VLOOKUP($A9,'40Trips'!$A$3:$I$42,2,FALSE), VLOOKUP(J$1,'40Trips'!$A$3:$I$42,2,FALSE)),0)</f>
        <v>280</v>
      </c>
      <c r="K9">
        <f>IF(AND(SUM(VLOOKUP($A9,'40Trips'!$A$3:$I$42,2,FALSE),VLOOKUP(K$1,'40Trips'!$A$3:$I$42,2,FALSE))&lt;'40Trips'!$K$16,$A9&lt;&gt;K$1,gamma!K9=1),SUM(VLOOKUP($A9,'40Trips'!$A$3:$I$42,2,FALSE), VLOOKUP(K$1,'40Trips'!$A$3:$I$42,2,FALSE)),0)</f>
        <v>0</v>
      </c>
      <c r="L9">
        <f>IF(AND(SUM(VLOOKUP($A9,'40Trips'!$A$3:$I$42,2,FALSE),VLOOKUP(L$1,'40Trips'!$A$3:$I$42,2,FALSE))&lt;'40Trips'!$K$16,$A9&lt;&gt;L$1,gamma!L9=1),SUM(VLOOKUP($A9,'40Trips'!$A$3:$I$42,2,FALSE), VLOOKUP(L$1,'40Trips'!$A$3:$I$42,2,FALSE)),0)</f>
        <v>0</v>
      </c>
      <c r="M9">
        <f>IF(AND(SUM(VLOOKUP($A9,'40Trips'!$A$3:$I$42,2,FALSE),VLOOKUP(M$1,'40Trips'!$A$3:$I$42,2,FALSE))&lt;'40Trips'!$K$16,$A9&lt;&gt;M$1,gamma!M9=1),SUM(VLOOKUP($A9,'40Trips'!$A$3:$I$42,2,FALSE), VLOOKUP(M$1,'40Trips'!$A$3:$I$42,2,FALSE)),0)</f>
        <v>0</v>
      </c>
      <c r="N9">
        <f>IF(AND(SUM(VLOOKUP($A9,'40Trips'!$A$3:$I$42,2,FALSE),VLOOKUP(N$1,'40Trips'!$A$3:$I$42,2,FALSE))&lt;'40Trips'!$K$16,$A9&lt;&gt;N$1,gamma!N9=1),SUM(VLOOKUP($A9,'40Trips'!$A$3:$I$42,2,FALSE), VLOOKUP(N$1,'40Trips'!$A$3:$I$42,2,FALSE)),0)</f>
        <v>0</v>
      </c>
      <c r="O9">
        <f>IF(AND(SUM(VLOOKUP($A9,'40Trips'!$A$3:$I$42,2,FALSE),VLOOKUP(O$1,'40Trips'!$A$3:$I$42,2,FALSE))&lt;'40Trips'!$K$16,$A9&lt;&gt;O$1,gamma!O9=1),SUM(VLOOKUP($A9,'40Trips'!$A$3:$I$42,2,FALSE), VLOOKUP(O$1,'40Trips'!$A$3:$I$42,2,FALSE)),0)</f>
        <v>0</v>
      </c>
      <c r="P9">
        <f>IF(AND(SUM(VLOOKUP($A9,'40Trips'!$A$3:$I$42,2,FALSE),VLOOKUP(P$1,'40Trips'!$A$3:$I$42,2,FALSE))&lt;'40Trips'!$K$16,$A9&lt;&gt;P$1,gamma!P9=1),SUM(VLOOKUP($A9,'40Trips'!$A$3:$I$42,2,FALSE), VLOOKUP(P$1,'40Trips'!$A$3:$I$42,2,FALSE)),0)</f>
        <v>0</v>
      </c>
      <c r="Q9">
        <f>IF(AND(SUM(VLOOKUP($A9,'40Trips'!$A$3:$I$42,2,FALSE),VLOOKUP(Q$1,'40Trips'!$A$3:$I$42,2,FALSE))&lt;'40Trips'!$K$16,$A9&lt;&gt;Q$1,gamma!Q9=1),SUM(VLOOKUP($A9,'40Trips'!$A$3:$I$42,2,FALSE), VLOOKUP(Q$1,'40Trips'!$A$3:$I$42,2,FALSE)),0)</f>
        <v>0</v>
      </c>
      <c r="R9">
        <f>IF(AND(SUM(VLOOKUP($A9,'40Trips'!$A$3:$I$42,2,FALSE),VLOOKUP(R$1,'40Trips'!$A$3:$I$42,2,FALSE))&lt;'40Trips'!$K$16,$A9&lt;&gt;R$1,gamma!R9=1),SUM(VLOOKUP($A9,'40Trips'!$A$3:$I$42,2,FALSE), VLOOKUP(R$1,'40Trips'!$A$3:$I$42,2,FALSE)),0)</f>
        <v>0</v>
      </c>
      <c r="S9">
        <f>IF(AND(SUM(VLOOKUP($A9,'40Trips'!$A$3:$I$42,2,FALSE),VLOOKUP(S$1,'40Trips'!$A$3:$I$42,2,FALSE))&lt;'40Trips'!$K$16,$A9&lt;&gt;S$1,gamma!S9=1),SUM(VLOOKUP($A9,'40Trips'!$A$3:$I$42,2,FALSE), VLOOKUP(S$1,'40Trips'!$A$3:$I$42,2,FALSE)),0)</f>
        <v>0</v>
      </c>
      <c r="T9">
        <f>IF(AND(SUM(VLOOKUP($A9,'40Trips'!$A$3:$I$42,2,FALSE),VLOOKUP(T$1,'40Trips'!$A$3:$I$42,2,FALSE))&lt;'40Trips'!$K$16,$A9&lt;&gt;T$1,gamma!T9=1),SUM(VLOOKUP($A9,'40Trips'!$A$3:$I$42,2,FALSE), VLOOKUP(T$1,'40Trips'!$A$3:$I$42,2,FALSE)),0)</f>
        <v>0</v>
      </c>
      <c r="U9">
        <f>IF(AND(SUM(VLOOKUP($A9,'40Trips'!$A$3:$I$42,2,FALSE),VLOOKUP(U$1,'40Trips'!$A$3:$I$42,2,FALSE))&lt;'40Trips'!$K$16,$A9&lt;&gt;U$1,gamma!U9=1),SUM(VLOOKUP($A9,'40Trips'!$A$3:$I$42,2,FALSE), VLOOKUP(U$1,'40Trips'!$A$3:$I$42,2,FALSE)),0)</f>
        <v>0</v>
      </c>
      <c r="V9">
        <f>IF(AND(SUM(VLOOKUP($A9,'40Trips'!$A$3:$I$42,2,FALSE),VLOOKUP(V$1,'40Trips'!$A$3:$I$42,2,FALSE))&lt;'40Trips'!$K$16,$A9&lt;&gt;V$1,gamma!V9=1),SUM(VLOOKUP($A9,'40Trips'!$A$3:$I$42,2,FALSE), VLOOKUP(V$1,'40Trips'!$A$3:$I$42,2,FALSE)),0)</f>
        <v>270</v>
      </c>
      <c r="W9">
        <f>IF(AND(SUM(VLOOKUP($A9,'40Trips'!$A$3:$I$42,2,FALSE),VLOOKUP(W$1,'40Trips'!$A$3:$I$42,2,FALSE))&lt;'40Trips'!$K$16,$A9&lt;&gt;W$1,gamma!W9=1),SUM(VLOOKUP($A9,'40Trips'!$A$3:$I$42,2,FALSE), VLOOKUP(W$1,'40Trips'!$A$3:$I$42,2,FALSE)),0)</f>
        <v>0</v>
      </c>
      <c r="X9">
        <f>IF(AND(SUM(VLOOKUP($A9,'40Trips'!$A$3:$I$42,2,FALSE),VLOOKUP(X$1,'40Trips'!$A$3:$I$42,2,FALSE))&lt;'40Trips'!$K$16,$A9&lt;&gt;X$1,gamma!X9=1),SUM(VLOOKUP($A9,'40Trips'!$A$3:$I$42,2,FALSE), VLOOKUP(X$1,'40Trips'!$A$3:$I$42,2,FALSE)),0)</f>
        <v>0</v>
      </c>
      <c r="Y9">
        <f>IF(AND(SUM(VLOOKUP($A9,'40Trips'!$A$3:$I$42,2,FALSE),VLOOKUP(Y$1,'40Trips'!$A$3:$I$42,2,FALSE))&lt;'40Trips'!$K$16,$A9&lt;&gt;Y$1,gamma!Y9=1),SUM(VLOOKUP($A9,'40Trips'!$A$3:$I$42,2,FALSE), VLOOKUP(Y$1,'40Trips'!$A$3:$I$42,2,FALSE)),0)</f>
        <v>0</v>
      </c>
      <c r="Z9">
        <f>IF(AND(SUM(VLOOKUP($A9,'40Trips'!$A$3:$I$42,2,FALSE),VLOOKUP(Z$1,'40Trips'!$A$3:$I$42,2,FALSE))&lt;'40Trips'!$K$16,$A9&lt;&gt;Z$1,gamma!Z9=1),SUM(VLOOKUP($A9,'40Trips'!$A$3:$I$42,2,FALSE), VLOOKUP(Z$1,'40Trips'!$A$3:$I$42,2,FALSE)),0)</f>
        <v>0</v>
      </c>
      <c r="AA9">
        <f>IF(AND(SUM(VLOOKUP($A9,'40Trips'!$A$3:$I$42,2,FALSE),VLOOKUP(AA$1,'40Trips'!$A$3:$I$42,2,FALSE))&lt;'40Trips'!$K$16,$A9&lt;&gt;AA$1,gamma!AA9=1),SUM(VLOOKUP($A9,'40Trips'!$A$3:$I$42,2,FALSE), VLOOKUP(AA$1,'40Trips'!$A$3:$I$42,2,FALSE)),0)</f>
        <v>0</v>
      </c>
      <c r="AB9">
        <f>IF(AND(SUM(VLOOKUP($A9,'40Trips'!$A$3:$I$42,2,FALSE),VLOOKUP(AB$1,'40Trips'!$A$3:$I$42,2,FALSE))&lt;'40Trips'!$K$16,$A9&lt;&gt;AB$1,gamma!AB9=1),SUM(VLOOKUP($A9,'40Trips'!$A$3:$I$42,2,FALSE), VLOOKUP(AB$1,'40Trips'!$A$3:$I$42,2,FALSE)),0)</f>
        <v>0</v>
      </c>
      <c r="AC9">
        <f>IF(AND(SUM(VLOOKUP($A9,'40Trips'!$A$3:$I$42,2,FALSE),VLOOKUP(AC$1,'40Trips'!$A$3:$I$42,2,FALSE))&lt;'40Trips'!$K$16,$A9&lt;&gt;AC$1,gamma!AC9=1),SUM(VLOOKUP($A9,'40Trips'!$A$3:$I$42,2,FALSE), VLOOKUP(AC$1,'40Trips'!$A$3:$I$42,2,FALSE)),0)</f>
        <v>0</v>
      </c>
      <c r="AD9">
        <f>IF(AND(SUM(VLOOKUP($A9,'40Trips'!$A$3:$I$42,2,FALSE),VLOOKUP(AD$1,'40Trips'!$A$3:$I$42,2,FALSE))&lt;'40Trips'!$K$16,$A9&lt;&gt;AD$1,gamma!AD9=1),SUM(VLOOKUP($A9,'40Trips'!$A$3:$I$42,2,FALSE), VLOOKUP(AD$1,'40Trips'!$A$3:$I$42,2,FALSE)),0)</f>
        <v>270</v>
      </c>
      <c r="AE9">
        <f>IF(AND(SUM(VLOOKUP($A9,'40Trips'!$A$3:$I$42,2,FALSE),VLOOKUP(AE$1,'40Trips'!$A$3:$I$42,2,FALSE))&lt;'40Trips'!$K$16,$A9&lt;&gt;AE$1,gamma!AE9=1),SUM(VLOOKUP($A9,'40Trips'!$A$3:$I$42,2,FALSE), VLOOKUP(AE$1,'40Trips'!$A$3:$I$42,2,FALSE)),0)</f>
        <v>0</v>
      </c>
      <c r="AF9">
        <f>IF(AND(SUM(VLOOKUP($A9,'40Trips'!$A$3:$I$42,2,FALSE),VLOOKUP(AF$1,'40Trips'!$A$3:$I$42,2,FALSE))&lt;'40Trips'!$K$16,$A9&lt;&gt;AF$1,gamma!AF9=1),SUM(VLOOKUP($A9,'40Trips'!$A$3:$I$42,2,FALSE), VLOOKUP(AF$1,'40Trips'!$A$3:$I$42,2,FALSE)),0)</f>
        <v>0</v>
      </c>
      <c r="AG9">
        <f>IF(AND(SUM(VLOOKUP($A9,'40Trips'!$A$3:$I$42,2,FALSE),VLOOKUP(AG$1,'40Trips'!$A$3:$I$42,2,FALSE))&lt;'40Trips'!$K$16,$A9&lt;&gt;AG$1,gamma!AG9=1),SUM(VLOOKUP($A9,'40Trips'!$A$3:$I$42,2,FALSE), VLOOKUP(AG$1,'40Trips'!$A$3:$I$42,2,FALSE)),0)</f>
        <v>0</v>
      </c>
      <c r="AH9">
        <f>IF(AND(SUM(VLOOKUP($A9,'40Trips'!$A$3:$I$42,2,FALSE),VLOOKUP(AH$1,'40Trips'!$A$3:$I$42,2,FALSE))&lt;'40Trips'!$K$16,$A9&lt;&gt;AH$1,gamma!AH9=1),SUM(VLOOKUP($A9,'40Trips'!$A$3:$I$42,2,FALSE), VLOOKUP(AH$1,'40Trips'!$A$3:$I$42,2,FALSE)),0)</f>
        <v>0</v>
      </c>
      <c r="AI9">
        <f>IF(AND(SUM(VLOOKUP($A9,'40Trips'!$A$3:$I$42,2,FALSE),VLOOKUP(AI$1,'40Trips'!$A$3:$I$42,2,FALSE))&lt;'40Trips'!$K$16,$A9&lt;&gt;AI$1,gamma!AI9=1),SUM(VLOOKUP($A9,'40Trips'!$A$3:$I$42,2,FALSE), VLOOKUP(AI$1,'40Trips'!$A$3:$I$42,2,FALSE)),0)</f>
        <v>0</v>
      </c>
      <c r="AJ9">
        <f>IF(AND(SUM(VLOOKUP($A9,'40Trips'!$A$3:$I$42,2,FALSE),VLOOKUP(AJ$1,'40Trips'!$A$3:$I$42,2,FALSE))&lt;'40Trips'!$K$16,$A9&lt;&gt;AJ$1,gamma!AJ9=1),SUM(VLOOKUP($A9,'40Trips'!$A$3:$I$42,2,FALSE), VLOOKUP(AJ$1,'40Trips'!$A$3:$I$42,2,FALSE)),0)</f>
        <v>0</v>
      </c>
      <c r="AK9">
        <f>IF(AND(SUM(VLOOKUP($A9,'40Trips'!$A$3:$I$42,2,FALSE),VLOOKUP(AK$1,'40Trips'!$A$3:$I$42,2,FALSE))&lt;'40Trips'!$K$16,$A9&lt;&gt;AK$1,gamma!AK9=1),SUM(VLOOKUP($A9,'40Trips'!$A$3:$I$42,2,FALSE), VLOOKUP(AK$1,'40Trips'!$A$3:$I$42,2,FALSE)),0)</f>
        <v>0</v>
      </c>
      <c r="AL9">
        <f>IF(AND(SUM(VLOOKUP($A9,'40Trips'!$A$3:$I$42,2,FALSE),VLOOKUP(AL$1,'40Trips'!$A$3:$I$42,2,FALSE))&lt;'40Trips'!$K$16,$A9&lt;&gt;AL$1,gamma!AL9=1),SUM(VLOOKUP($A9,'40Trips'!$A$3:$I$42,2,FALSE), VLOOKUP(AL$1,'40Trips'!$A$3:$I$42,2,FALSE)),0)</f>
        <v>280</v>
      </c>
      <c r="AM9">
        <f>IF(AND(SUM(VLOOKUP($A9,'40Trips'!$A$3:$I$42,2,FALSE),VLOOKUP(AM$1,'40Trips'!$A$3:$I$42,2,FALSE))&lt;'40Trips'!$K$16,$A9&lt;&gt;AM$1,gamma!AM9=1),SUM(VLOOKUP($A9,'40Trips'!$A$3:$I$42,2,FALSE), VLOOKUP(AM$1,'40Trips'!$A$3:$I$42,2,FALSE)),0)</f>
        <v>0</v>
      </c>
      <c r="AN9">
        <f>IF(AND(SUM(VLOOKUP($A9,'40Trips'!$A$3:$I$42,2,FALSE),VLOOKUP(AN$1,'40Trips'!$A$3:$I$42,2,FALSE))&lt;'40Trips'!$K$16,$A9&lt;&gt;AN$1,gamma!AN9=1),SUM(VLOOKUP($A9,'40Trips'!$A$3:$I$42,2,FALSE), VLOOKUP(AN$1,'40Trips'!$A$3:$I$42,2,FALSE)),0)</f>
        <v>0</v>
      </c>
      <c r="AO9">
        <f>IF(AND(SUM(VLOOKUP($A9,'40Trips'!$A$3:$I$42,2,FALSE),VLOOKUP(AO$1,'40Trips'!$A$3:$I$42,2,FALSE))&lt;'40Trips'!$K$16,$A9&lt;&gt;AO$1,gamma!AO9=1),SUM(VLOOKUP($A9,'40Trips'!$A$3:$I$42,2,FALSE), VLOOKUP(AO$1,'40Trips'!$A$3:$I$42,2,FALSE)),0)</f>
        <v>0</v>
      </c>
      <c r="AP9">
        <f>IF(AND(SUM(VLOOKUP($A9,'40Trips'!$A$3:$I$42,2,FALSE),VLOOKUP(AP$1,'40Trips'!$A$3:$I$42,2,FALSE))&lt;'40Trips'!$K$16,$A9&lt;&gt;AP$1,gamma!AP9=1),SUM(VLOOKUP($A9,'40Trips'!$A$3:$I$42,2,FALSE), VLOOKUP(AP$1,'40Trips'!$A$3:$I$42,2,FALSE)),0)</f>
        <v>275</v>
      </c>
      <c r="AQ9">
        <v>0</v>
      </c>
      <c r="AR9">
        <v>0</v>
      </c>
      <c r="AS9">
        <v>0</v>
      </c>
      <c r="AT9">
        <v>0</v>
      </c>
    </row>
    <row r="10" spans="1:46" x14ac:dyDescent="0.25">
      <c r="A10" t="s">
        <v>22</v>
      </c>
      <c r="B10">
        <v>0</v>
      </c>
      <c r="C10">
        <f>IF(AND(SUM(VLOOKUP($A10,'40Trips'!$A$3:$I$42,2,FALSE),VLOOKUP(C$1,'40Trips'!$A$3:$I$42,2,FALSE))&lt;'40Trips'!$K$16,$A10&lt;&gt;C$1,gamma!C10=1),SUM(VLOOKUP($A10,'40Trips'!$A$3:$I$42,2,FALSE), VLOOKUP(C$1,'40Trips'!$A$3:$I$42,2,FALSE)),0)</f>
        <v>0</v>
      </c>
      <c r="D10">
        <f>IF(AND(SUM(VLOOKUP($A10,'40Trips'!$A$3:$I$42,2,FALSE),VLOOKUP(D$1,'40Trips'!$A$3:$I$42,2,FALSE))&lt;'40Trips'!$K$16,$A10&lt;&gt;D$1,gamma!D10=1),SUM(VLOOKUP($A10,'40Trips'!$A$3:$I$42,2,FALSE), VLOOKUP(D$1,'40Trips'!$A$3:$I$42,2,FALSE)),0)</f>
        <v>0</v>
      </c>
      <c r="E10">
        <f>IF(AND(SUM(VLOOKUP($A10,'40Trips'!$A$3:$I$42,2,FALSE),VLOOKUP(E$1,'40Trips'!$A$3:$I$42,2,FALSE))&lt;'40Trips'!$K$16,$A10&lt;&gt;E$1,gamma!E10=1),SUM(VLOOKUP($A10,'40Trips'!$A$3:$I$42,2,FALSE), VLOOKUP(E$1,'40Trips'!$A$3:$I$42,2,FALSE)),0)</f>
        <v>0</v>
      </c>
      <c r="F10">
        <f>IF(AND(SUM(VLOOKUP($A10,'40Trips'!$A$3:$I$42,2,FALSE),VLOOKUP(F$1,'40Trips'!$A$3:$I$42,2,FALSE))&lt;'40Trips'!$K$16,$A10&lt;&gt;F$1,gamma!F10=1),SUM(VLOOKUP($A10,'40Trips'!$A$3:$I$42,2,FALSE), VLOOKUP(F$1,'40Trips'!$A$3:$I$42,2,FALSE)),0)</f>
        <v>0</v>
      </c>
      <c r="G10">
        <f>IF(AND(SUM(VLOOKUP($A10,'40Trips'!$A$3:$I$42,2,FALSE),VLOOKUP(G$1,'40Trips'!$A$3:$I$42,2,FALSE))&lt;'40Trips'!$K$16,$A10&lt;&gt;G$1,gamma!G10=1),SUM(VLOOKUP($A10,'40Trips'!$A$3:$I$42,2,FALSE), VLOOKUP(G$1,'40Trips'!$A$3:$I$42,2,FALSE)),0)</f>
        <v>0</v>
      </c>
      <c r="H10">
        <f>IF(AND(SUM(VLOOKUP($A10,'40Trips'!$A$3:$I$42,2,FALSE),VLOOKUP(H$1,'40Trips'!$A$3:$I$42,2,FALSE))&lt;'40Trips'!$K$16,$A10&lt;&gt;H$1,gamma!H10=1),SUM(VLOOKUP($A10,'40Trips'!$A$3:$I$42,2,FALSE), VLOOKUP(H$1,'40Trips'!$A$3:$I$42,2,FALSE)),0)</f>
        <v>0</v>
      </c>
      <c r="I10">
        <f>IF(AND(SUM(VLOOKUP($A10,'40Trips'!$A$3:$I$42,2,FALSE),VLOOKUP(I$1,'40Trips'!$A$3:$I$42,2,FALSE))&lt;'40Trips'!$K$16,$A10&lt;&gt;I$1,gamma!I10=1),SUM(VLOOKUP($A10,'40Trips'!$A$3:$I$42,2,FALSE), VLOOKUP(I$1,'40Trips'!$A$3:$I$42,2,FALSE)),0)</f>
        <v>0</v>
      </c>
      <c r="J10">
        <f>IF(AND(SUM(VLOOKUP($A10,'40Trips'!$A$3:$I$42,2,FALSE),VLOOKUP(J$1,'40Trips'!$A$3:$I$42,2,FALSE))&lt;'40Trips'!$K$16,$A10&lt;&gt;J$1,gamma!J10=1),SUM(VLOOKUP($A10,'40Trips'!$A$3:$I$42,2,FALSE), VLOOKUP(J$1,'40Trips'!$A$3:$I$42,2,FALSE)),0)</f>
        <v>0</v>
      </c>
      <c r="K10">
        <f>IF(AND(SUM(VLOOKUP($A10,'40Trips'!$A$3:$I$42,2,FALSE),VLOOKUP(K$1,'40Trips'!$A$3:$I$42,2,FALSE))&lt;'40Trips'!$K$16,$A10&lt;&gt;K$1,gamma!K10=1),SUM(VLOOKUP($A10,'40Trips'!$A$3:$I$42,2,FALSE), VLOOKUP(K$1,'40Trips'!$A$3:$I$42,2,FALSE)),0)</f>
        <v>0</v>
      </c>
      <c r="L10">
        <f>IF(AND(SUM(VLOOKUP($A10,'40Trips'!$A$3:$I$42,2,FALSE),VLOOKUP(L$1,'40Trips'!$A$3:$I$42,2,FALSE))&lt;'40Trips'!$K$16,$A10&lt;&gt;L$1,gamma!L10=1),SUM(VLOOKUP($A10,'40Trips'!$A$3:$I$42,2,FALSE), VLOOKUP(L$1,'40Trips'!$A$3:$I$42,2,FALSE)),0)</f>
        <v>0</v>
      </c>
      <c r="M10">
        <f>IF(AND(SUM(VLOOKUP($A10,'40Trips'!$A$3:$I$42,2,FALSE),VLOOKUP(M$1,'40Trips'!$A$3:$I$42,2,FALSE))&lt;'40Trips'!$K$16,$A10&lt;&gt;M$1,gamma!M10=1),SUM(VLOOKUP($A10,'40Trips'!$A$3:$I$42,2,FALSE), VLOOKUP(M$1,'40Trips'!$A$3:$I$42,2,FALSE)),0)</f>
        <v>0</v>
      </c>
      <c r="N10">
        <f>IF(AND(SUM(VLOOKUP($A10,'40Trips'!$A$3:$I$42,2,FALSE),VLOOKUP(N$1,'40Trips'!$A$3:$I$42,2,FALSE))&lt;'40Trips'!$K$16,$A10&lt;&gt;N$1,gamma!N10=1),SUM(VLOOKUP($A10,'40Trips'!$A$3:$I$42,2,FALSE), VLOOKUP(N$1,'40Trips'!$A$3:$I$42,2,FALSE)),0)</f>
        <v>0</v>
      </c>
      <c r="O10">
        <f>IF(AND(SUM(VLOOKUP($A10,'40Trips'!$A$3:$I$42,2,FALSE),VLOOKUP(O$1,'40Trips'!$A$3:$I$42,2,FALSE))&lt;'40Trips'!$K$16,$A10&lt;&gt;O$1,gamma!O10=1),SUM(VLOOKUP($A10,'40Trips'!$A$3:$I$42,2,FALSE), VLOOKUP(O$1,'40Trips'!$A$3:$I$42,2,FALSE)),0)</f>
        <v>0</v>
      </c>
      <c r="P10">
        <f>IF(AND(SUM(VLOOKUP($A10,'40Trips'!$A$3:$I$42,2,FALSE),VLOOKUP(P$1,'40Trips'!$A$3:$I$42,2,FALSE))&lt;'40Trips'!$K$16,$A10&lt;&gt;P$1,gamma!P10=1),SUM(VLOOKUP($A10,'40Trips'!$A$3:$I$42,2,FALSE), VLOOKUP(P$1,'40Trips'!$A$3:$I$42,2,FALSE)),0)</f>
        <v>0</v>
      </c>
      <c r="Q10">
        <f>IF(AND(SUM(VLOOKUP($A10,'40Trips'!$A$3:$I$42,2,FALSE),VLOOKUP(Q$1,'40Trips'!$A$3:$I$42,2,FALSE))&lt;'40Trips'!$K$16,$A10&lt;&gt;Q$1,gamma!Q10=1),SUM(VLOOKUP($A10,'40Trips'!$A$3:$I$42,2,FALSE), VLOOKUP(Q$1,'40Trips'!$A$3:$I$42,2,FALSE)),0)</f>
        <v>0</v>
      </c>
      <c r="R10">
        <f>IF(AND(SUM(VLOOKUP($A10,'40Trips'!$A$3:$I$42,2,FALSE),VLOOKUP(R$1,'40Trips'!$A$3:$I$42,2,FALSE))&lt;'40Trips'!$K$16,$A10&lt;&gt;R$1,gamma!R10=1),SUM(VLOOKUP($A10,'40Trips'!$A$3:$I$42,2,FALSE), VLOOKUP(R$1,'40Trips'!$A$3:$I$42,2,FALSE)),0)</f>
        <v>0</v>
      </c>
      <c r="S10">
        <f>IF(AND(SUM(VLOOKUP($A10,'40Trips'!$A$3:$I$42,2,FALSE),VLOOKUP(S$1,'40Trips'!$A$3:$I$42,2,FALSE))&lt;'40Trips'!$K$16,$A10&lt;&gt;S$1,gamma!S10=1),SUM(VLOOKUP($A10,'40Trips'!$A$3:$I$42,2,FALSE), VLOOKUP(S$1,'40Trips'!$A$3:$I$42,2,FALSE)),0)</f>
        <v>0</v>
      </c>
      <c r="T10">
        <f>IF(AND(SUM(VLOOKUP($A10,'40Trips'!$A$3:$I$42,2,FALSE),VLOOKUP(T$1,'40Trips'!$A$3:$I$42,2,FALSE))&lt;'40Trips'!$K$16,$A10&lt;&gt;T$1,gamma!T10=1),SUM(VLOOKUP($A10,'40Trips'!$A$3:$I$42,2,FALSE), VLOOKUP(T$1,'40Trips'!$A$3:$I$42,2,FALSE)),0)</f>
        <v>0</v>
      </c>
      <c r="U10">
        <f>IF(AND(SUM(VLOOKUP($A10,'40Trips'!$A$3:$I$42,2,FALSE),VLOOKUP(U$1,'40Trips'!$A$3:$I$42,2,FALSE))&lt;'40Trips'!$K$16,$A10&lt;&gt;U$1,gamma!U10=1),SUM(VLOOKUP($A10,'40Trips'!$A$3:$I$42,2,FALSE), VLOOKUP(U$1,'40Trips'!$A$3:$I$42,2,FALSE)),0)</f>
        <v>0</v>
      </c>
      <c r="V10">
        <f>IF(AND(SUM(VLOOKUP($A10,'40Trips'!$A$3:$I$42,2,FALSE),VLOOKUP(V$1,'40Trips'!$A$3:$I$42,2,FALSE))&lt;'40Trips'!$K$16,$A10&lt;&gt;V$1,gamma!V10=1),SUM(VLOOKUP($A10,'40Trips'!$A$3:$I$42,2,FALSE), VLOOKUP(V$1,'40Trips'!$A$3:$I$42,2,FALSE)),0)</f>
        <v>0</v>
      </c>
      <c r="W10">
        <f>IF(AND(SUM(VLOOKUP($A10,'40Trips'!$A$3:$I$42,2,FALSE),VLOOKUP(W$1,'40Trips'!$A$3:$I$42,2,FALSE))&lt;'40Trips'!$K$16,$A10&lt;&gt;W$1,gamma!W10=1),SUM(VLOOKUP($A10,'40Trips'!$A$3:$I$42,2,FALSE), VLOOKUP(W$1,'40Trips'!$A$3:$I$42,2,FALSE)),0)</f>
        <v>0</v>
      </c>
      <c r="X10">
        <f>IF(AND(SUM(VLOOKUP($A10,'40Trips'!$A$3:$I$42,2,FALSE),VLOOKUP(X$1,'40Trips'!$A$3:$I$42,2,FALSE))&lt;'40Trips'!$K$16,$A10&lt;&gt;X$1,gamma!X10=1),SUM(VLOOKUP($A10,'40Trips'!$A$3:$I$42,2,FALSE), VLOOKUP(X$1,'40Trips'!$A$3:$I$42,2,FALSE)),0)</f>
        <v>0</v>
      </c>
      <c r="Y10">
        <f>IF(AND(SUM(VLOOKUP($A10,'40Trips'!$A$3:$I$42,2,FALSE),VLOOKUP(Y$1,'40Trips'!$A$3:$I$42,2,FALSE))&lt;'40Trips'!$K$16,$A10&lt;&gt;Y$1,gamma!Y10=1),SUM(VLOOKUP($A10,'40Trips'!$A$3:$I$42,2,FALSE), VLOOKUP(Y$1,'40Trips'!$A$3:$I$42,2,FALSE)),0)</f>
        <v>0</v>
      </c>
      <c r="Z10">
        <f>IF(AND(SUM(VLOOKUP($A10,'40Trips'!$A$3:$I$42,2,FALSE),VLOOKUP(Z$1,'40Trips'!$A$3:$I$42,2,FALSE))&lt;'40Trips'!$K$16,$A10&lt;&gt;Z$1,gamma!Z10=1),SUM(VLOOKUP($A10,'40Trips'!$A$3:$I$42,2,FALSE), VLOOKUP(Z$1,'40Trips'!$A$3:$I$42,2,FALSE)),0)</f>
        <v>0</v>
      </c>
      <c r="AA10">
        <f>IF(AND(SUM(VLOOKUP($A10,'40Trips'!$A$3:$I$42,2,FALSE),VLOOKUP(AA$1,'40Trips'!$A$3:$I$42,2,FALSE))&lt;'40Trips'!$K$16,$A10&lt;&gt;AA$1,gamma!AA10=1),SUM(VLOOKUP($A10,'40Trips'!$A$3:$I$42,2,FALSE), VLOOKUP(AA$1,'40Trips'!$A$3:$I$42,2,FALSE)),0)</f>
        <v>0</v>
      </c>
      <c r="AB10">
        <f>IF(AND(SUM(VLOOKUP($A10,'40Trips'!$A$3:$I$42,2,FALSE),VLOOKUP(AB$1,'40Trips'!$A$3:$I$42,2,FALSE))&lt;'40Trips'!$K$16,$A10&lt;&gt;AB$1,gamma!AB10=1),SUM(VLOOKUP($A10,'40Trips'!$A$3:$I$42,2,FALSE), VLOOKUP(AB$1,'40Trips'!$A$3:$I$42,2,FALSE)),0)</f>
        <v>0</v>
      </c>
      <c r="AC10">
        <f>IF(AND(SUM(VLOOKUP($A10,'40Trips'!$A$3:$I$42,2,FALSE),VLOOKUP(AC$1,'40Trips'!$A$3:$I$42,2,FALSE))&lt;'40Trips'!$K$16,$A10&lt;&gt;AC$1,gamma!AC10=1),SUM(VLOOKUP($A10,'40Trips'!$A$3:$I$42,2,FALSE), VLOOKUP(AC$1,'40Trips'!$A$3:$I$42,2,FALSE)),0)</f>
        <v>0</v>
      </c>
      <c r="AD10">
        <f>IF(AND(SUM(VLOOKUP($A10,'40Trips'!$A$3:$I$42,2,FALSE),VLOOKUP(AD$1,'40Trips'!$A$3:$I$42,2,FALSE))&lt;'40Trips'!$K$16,$A10&lt;&gt;AD$1,gamma!AD10=1),SUM(VLOOKUP($A10,'40Trips'!$A$3:$I$42,2,FALSE), VLOOKUP(AD$1,'40Trips'!$A$3:$I$42,2,FALSE)),0)</f>
        <v>0</v>
      </c>
      <c r="AE10">
        <f>IF(AND(SUM(VLOOKUP($A10,'40Trips'!$A$3:$I$42,2,FALSE),VLOOKUP(AE$1,'40Trips'!$A$3:$I$42,2,FALSE))&lt;'40Trips'!$K$16,$A10&lt;&gt;AE$1,gamma!AE10=1),SUM(VLOOKUP($A10,'40Trips'!$A$3:$I$42,2,FALSE), VLOOKUP(AE$1,'40Trips'!$A$3:$I$42,2,FALSE)),0)</f>
        <v>0</v>
      </c>
      <c r="AF10">
        <f>IF(AND(SUM(VLOOKUP($A10,'40Trips'!$A$3:$I$42,2,FALSE),VLOOKUP(AF$1,'40Trips'!$A$3:$I$42,2,FALSE))&lt;'40Trips'!$K$16,$A10&lt;&gt;AF$1,gamma!AF10=1),SUM(VLOOKUP($A10,'40Trips'!$A$3:$I$42,2,FALSE), VLOOKUP(AF$1,'40Trips'!$A$3:$I$42,2,FALSE)),0)</f>
        <v>0</v>
      </c>
      <c r="AG10">
        <f>IF(AND(SUM(VLOOKUP($A10,'40Trips'!$A$3:$I$42,2,FALSE),VLOOKUP(AG$1,'40Trips'!$A$3:$I$42,2,FALSE))&lt;'40Trips'!$K$16,$A10&lt;&gt;AG$1,gamma!AG10=1),SUM(VLOOKUP($A10,'40Trips'!$A$3:$I$42,2,FALSE), VLOOKUP(AG$1,'40Trips'!$A$3:$I$42,2,FALSE)),0)</f>
        <v>0</v>
      </c>
      <c r="AH10">
        <f>IF(AND(SUM(VLOOKUP($A10,'40Trips'!$A$3:$I$42,2,FALSE),VLOOKUP(AH$1,'40Trips'!$A$3:$I$42,2,FALSE))&lt;'40Trips'!$K$16,$A10&lt;&gt;AH$1,gamma!AH10=1),SUM(VLOOKUP($A10,'40Trips'!$A$3:$I$42,2,FALSE), VLOOKUP(AH$1,'40Trips'!$A$3:$I$42,2,FALSE)),0)</f>
        <v>0</v>
      </c>
      <c r="AI10">
        <f>IF(AND(SUM(VLOOKUP($A10,'40Trips'!$A$3:$I$42,2,FALSE),VLOOKUP(AI$1,'40Trips'!$A$3:$I$42,2,FALSE))&lt;'40Trips'!$K$16,$A10&lt;&gt;AI$1,gamma!AI10=1),SUM(VLOOKUP($A10,'40Trips'!$A$3:$I$42,2,FALSE), VLOOKUP(AI$1,'40Trips'!$A$3:$I$42,2,FALSE)),0)</f>
        <v>0</v>
      </c>
      <c r="AJ10">
        <f>IF(AND(SUM(VLOOKUP($A10,'40Trips'!$A$3:$I$42,2,FALSE),VLOOKUP(AJ$1,'40Trips'!$A$3:$I$42,2,FALSE))&lt;'40Trips'!$K$16,$A10&lt;&gt;AJ$1,gamma!AJ10=1),SUM(VLOOKUP($A10,'40Trips'!$A$3:$I$42,2,FALSE), VLOOKUP(AJ$1,'40Trips'!$A$3:$I$42,2,FALSE)),0)</f>
        <v>0</v>
      </c>
      <c r="AK10">
        <f>IF(AND(SUM(VLOOKUP($A10,'40Trips'!$A$3:$I$42,2,FALSE),VLOOKUP(AK$1,'40Trips'!$A$3:$I$42,2,FALSE))&lt;'40Trips'!$K$16,$A10&lt;&gt;AK$1,gamma!AK10=1),SUM(VLOOKUP($A10,'40Trips'!$A$3:$I$42,2,FALSE), VLOOKUP(AK$1,'40Trips'!$A$3:$I$42,2,FALSE)),0)</f>
        <v>0</v>
      </c>
      <c r="AL10">
        <f>IF(AND(SUM(VLOOKUP($A10,'40Trips'!$A$3:$I$42,2,FALSE),VLOOKUP(AL$1,'40Trips'!$A$3:$I$42,2,FALSE))&lt;'40Trips'!$K$16,$A10&lt;&gt;AL$1,gamma!AL10=1),SUM(VLOOKUP($A10,'40Trips'!$A$3:$I$42,2,FALSE), VLOOKUP(AL$1,'40Trips'!$A$3:$I$42,2,FALSE)),0)</f>
        <v>0</v>
      </c>
      <c r="AM10">
        <f>IF(AND(SUM(VLOOKUP($A10,'40Trips'!$A$3:$I$42,2,FALSE),VLOOKUP(AM$1,'40Trips'!$A$3:$I$42,2,FALSE))&lt;'40Trips'!$K$16,$A10&lt;&gt;AM$1,gamma!AM10=1),SUM(VLOOKUP($A10,'40Trips'!$A$3:$I$42,2,FALSE), VLOOKUP(AM$1,'40Trips'!$A$3:$I$42,2,FALSE)),0)</f>
        <v>0</v>
      </c>
      <c r="AN10">
        <f>IF(AND(SUM(VLOOKUP($A10,'40Trips'!$A$3:$I$42,2,FALSE),VLOOKUP(AN$1,'40Trips'!$A$3:$I$42,2,FALSE))&lt;'40Trips'!$K$16,$A10&lt;&gt;AN$1,gamma!AN10=1),SUM(VLOOKUP($A10,'40Trips'!$A$3:$I$42,2,FALSE), VLOOKUP(AN$1,'40Trips'!$A$3:$I$42,2,FALSE)),0)</f>
        <v>0</v>
      </c>
      <c r="AO10">
        <f>IF(AND(SUM(VLOOKUP($A10,'40Trips'!$A$3:$I$42,2,FALSE),VLOOKUP(AO$1,'40Trips'!$A$3:$I$42,2,FALSE))&lt;'40Trips'!$K$16,$A10&lt;&gt;AO$1,gamma!AO10=1),SUM(VLOOKUP($A10,'40Trips'!$A$3:$I$42,2,FALSE), VLOOKUP(AO$1,'40Trips'!$A$3:$I$42,2,FALSE)),0)</f>
        <v>0</v>
      </c>
      <c r="AP10">
        <f>IF(AND(SUM(VLOOKUP($A10,'40Trips'!$A$3:$I$42,2,FALSE),VLOOKUP(AP$1,'40Trips'!$A$3:$I$42,2,FALSE))&lt;'40Trips'!$K$16,$A10&lt;&gt;AP$1,gamma!AP10=1),SUM(VLOOKUP($A10,'40Trips'!$A$3:$I$42,2,FALSE), VLOOKUP(AP$1,'40Trips'!$A$3:$I$42,2,FALSE)),0)</f>
        <v>0</v>
      </c>
      <c r="AQ10">
        <v>0</v>
      </c>
      <c r="AR10">
        <v>0</v>
      </c>
      <c r="AS10">
        <v>0</v>
      </c>
      <c r="AT10">
        <v>0</v>
      </c>
    </row>
    <row r="11" spans="1:46" x14ac:dyDescent="0.25">
      <c r="A11" t="s">
        <v>24</v>
      </c>
      <c r="B11">
        <v>0</v>
      </c>
      <c r="C11">
        <f>IF(AND(SUM(VLOOKUP($A11,'40Trips'!$A$3:$I$42,2,FALSE),VLOOKUP(C$1,'40Trips'!$A$3:$I$42,2,FALSE))&lt;'40Trips'!$K$16,$A11&lt;&gt;C$1,gamma!C11=1),SUM(VLOOKUP($A11,'40Trips'!$A$3:$I$42,2,FALSE), VLOOKUP(C$1,'40Trips'!$A$3:$I$42,2,FALSE)),0)</f>
        <v>0</v>
      </c>
      <c r="D11">
        <f>IF(AND(SUM(VLOOKUP($A11,'40Trips'!$A$3:$I$42,2,FALSE),VLOOKUP(D$1,'40Trips'!$A$3:$I$42,2,FALSE))&lt;'40Trips'!$K$16,$A11&lt;&gt;D$1,gamma!D11=1),SUM(VLOOKUP($A11,'40Trips'!$A$3:$I$42,2,FALSE), VLOOKUP(D$1,'40Trips'!$A$3:$I$42,2,FALSE)),0)</f>
        <v>275</v>
      </c>
      <c r="E11">
        <f>IF(AND(SUM(VLOOKUP($A11,'40Trips'!$A$3:$I$42,2,FALSE),VLOOKUP(E$1,'40Trips'!$A$3:$I$42,2,FALSE))&lt;'40Trips'!$K$16,$A11&lt;&gt;E$1,gamma!E11=1),SUM(VLOOKUP($A11,'40Trips'!$A$3:$I$42,2,FALSE), VLOOKUP(E$1,'40Trips'!$A$3:$I$42,2,FALSE)),0)</f>
        <v>275</v>
      </c>
      <c r="F11">
        <f>IF(AND(SUM(VLOOKUP($A11,'40Trips'!$A$3:$I$42,2,FALSE),VLOOKUP(F$1,'40Trips'!$A$3:$I$42,2,FALSE))&lt;'40Trips'!$K$16,$A11&lt;&gt;F$1,gamma!F11=1),SUM(VLOOKUP($A11,'40Trips'!$A$3:$I$42,2,FALSE), VLOOKUP(F$1,'40Trips'!$A$3:$I$42,2,FALSE)),0)</f>
        <v>275</v>
      </c>
      <c r="G11">
        <f>IF(AND(SUM(VLOOKUP($A11,'40Trips'!$A$3:$I$42,2,FALSE),VLOOKUP(G$1,'40Trips'!$A$3:$I$42,2,FALSE))&lt;'40Trips'!$K$16,$A11&lt;&gt;G$1,gamma!G11=1),SUM(VLOOKUP($A11,'40Trips'!$A$3:$I$42,2,FALSE), VLOOKUP(G$1,'40Trips'!$A$3:$I$42,2,FALSE)),0)</f>
        <v>0</v>
      </c>
      <c r="H11">
        <f>IF(AND(SUM(VLOOKUP($A11,'40Trips'!$A$3:$I$42,2,FALSE),VLOOKUP(H$1,'40Trips'!$A$3:$I$42,2,FALSE))&lt;'40Trips'!$K$16,$A11&lt;&gt;H$1,gamma!H11=1),SUM(VLOOKUP($A11,'40Trips'!$A$3:$I$42,2,FALSE), VLOOKUP(H$1,'40Trips'!$A$3:$I$42,2,FALSE)),0)</f>
        <v>0</v>
      </c>
      <c r="I11">
        <f>IF(AND(SUM(VLOOKUP($A11,'40Trips'!$A$3:$I$42,2,FALSE),VLOOKUP(I$1,'40Trips'!$A$3:$I$42,2,FALSE))&lt;'40Trips'!$K$16,$A11&lt;&gt;I$1,gamma!I11=1),SUM(VLOOKUP($A11,'40Trips'!$A$3:$I$42,2,FALSE), VLOOKUP(I$1,'40Trips'!$A$3:$I$42,2,FALSE)),0)</f>
        <v>280</v>
      </c>
      <c r="J11">
        <f>IF(AND(SUM(VLOOKUP($A11,'40Trips'!$A$3:$I$42,2,FALSE),VLOOKUP(J$1,'40Trips'!$A$3:$I$42,2,FALSE))&lt;'40Trips'!$K$16,$A11&lt;&gt;J$1,gamma!J11=1),SUM(VLOOKUP($A11,'40Trips'!$A$3:$I$42,2,FALSE), VLOOKUP(J$1,'40Trips'!$A$3:$I$42,2,FALSE)),0)</f>
        <v>280</v>
      </c>
      <c r="K11">
        <f>IF(AND(SUM(VLOOKUP($A11,'40Trips'!$A$3:$I$42,2,FALSE),VLOOKUP(K$1,'40Trips'!$A$3:$I$42,2,FALSE))&lt;'40Trips'!$K$16,$A11&lt;&gt;K$1,gamma!K11=1),SUM(VLOOKUP($A11,'40Trips'!$A$3:$I$42,2,FALSE), VLOOKUP(K$1,'40Trips'!$A$3:$I$42,2,FALSE)),0)</f>
        <v>0</v>
      </c>
      <c r="L11">
        <f>IF(AND(SUM(VLOOKUP($A11,'40Trips'!$A$3:$I$42,2,FALSE),VLOOKUP(L$1,'40Trips'!$A$3:$I$42,2,FALSE))&lt;'40Trips'!$K$16,$A11&lt;&gt;L$1,gamma!L11=1),SUM(VLOOKUP($A11,'40Trips'!$A$3:$I$42,2,FALSE), VLOOKUP(L$1,'40Trips'!$A$3:$I$42,2,FALSE)),0)</f>
        <v>0</v>
      </c>
      <c r="M11">
        <f>IF(AND(SUM(VLOOKUP($A11,'40Trips'!$A$3:$I$42,2,FALSE),VLOOKUP(M$1,'40Trips'!$A$3:$I$42,2,FALSE))&lt;'40Trips'!$K$16,$A11&lt;&gt;M$1,gamma!M11=1),SUM(VLOOKUP($A11,'40Trips'!$A$3:$I$42,2,FALSE), VLOOKUP(M$1,'40Trips'!$A$3:$I$42,2,FALSE)),0)</f>
        <v>275</v>
      </c>
      <c r="N11">
        <f>IF(AND(SUM(VLOOKUP($A11,'40Trips'!$A$3:$I$42,2,FALSE),VLOOKUP(N$1,'40Trips'!$A$3:$I$42,2,FALSE))&lt;'40Trips'!$K$16,$A11&lt;&gt;N$1,gamma!N11=1),SUM(VLOOKUP($A11,'40Trips'!$A$3:$I$42,2,FALSE), VLOOKUP(N$1,'40Trips'!$A$3:$I$42,2,FALSE)),0)</f>
        <v>0</v>
      </c>
      <c r="O11">
        <f>IF(AND(SUM(VLOOKUP($A11,'40Trips'!$A$3:$I$42,2,FALSE),VLOOKUP(O$1,'40Trips'!$A$3:$I$42,2,FALSE))&lt;'40Trips'!$K$16,$A11&lt;&gt;O$1,gamma!O11=1),SUM(VLOOKUP($A11,'40Trips'!$A$3:$I$42,2,FALSE), VLOOKUP(O$1,'40Trips'!$A$3:$I$42,2,FALSE)),0)</f>
        <v>0</v>
      </c>
      <c r="P11">
        <f>IF(AND(SUM(VLOOKUP($A11,'40Trips'!$A$3:$I$42,2,FALSE),VLOOKUP(P$1,'40Trips'!$A$3:$I$42,2,FALSE))&lt;'40Trips'!$K$16,$A11&lt;&gt;P$1,gamma!P11=1),SUM(VLOOKUP($A11,'40Trips'!$A$3:$I$42,2,FALSE), VLOOKUP(P$1,'40Trips'!$A$3:$I$42,2,FALSE)),0)</f>
        <v>275</v>
      </c>
      <c r="Q11">
        <f>IF(AND(SUM(VLOOKUP($A11,'40Trips'!$A$3:$I$42,2,FALSE),VLOOKUP(Q$1,'40Trips'!$A$3:$I$42,2,FALSE))&lt;'40Trips'!$K$16,$A11&lt;&gt;Q$1,gamma!Q11=1),SUM(VLOOKUP($A11,'40Trips'!$A$3:$I$42,2,FALSE), VLOOKUP(Q$1,'40Trips'!$A$3:$I$42,2,FALSE)),0)</f>
        <v>275</v>
      </c>
      <c r="R11">
        <f>IF(AND(SUM(VLOOKUP($A11,'40Trips'!$A$3:$I$42,2,FALSE),VLOOKUP(R$1,'40Trips'!$A$3:$I$42,2,FALSE))&lt;'40Trips'!$K$16,$A11&lt;&gt;R$1,gamma!R11=1),SUM(VLOOKUP($A11,'40Trips'!$A$3:$I$42,2,FALSE), VLOOKUP(R$1,'40Trips'!$A$3:$I$42,2,FALSE)),0)</f>
        <v>275</v>
      </c>
      <c r="S11">
        <f>IF(AND(SUM(VLOOKUP($A11,'40Trips'!$A$3:$I$42,2,FALSE),VLOOKUP(S$1,'40Trips'!$A$3:$I$42,2,FALSE))&lt;'40Trips'!$K$16,$A11&lt;&gt;S$1,gamma!S11=1),SUM(VLOOKUP($A11,'40Trips'!$A$3:$I$42,2,FALSE), VLOOKUP(S$1,'40Trips'!$A$3:$I$42,2,FALSE)),0)</f>
        <v>0</v>
      </c>
      <c r="T11">
        <f>IF(AND(SUM(VLOOKUP($A11,'40Trips'!$A$3:$I$42,2,FALSE),VLOOKUP(T$1,'40Trips'!$A$3:$I$42,2,FALSE))&lt;'40Trips'!$K$16,$A11&lt;&gt;T$1,gamma!T11=1),SUM(VLOOKUP($A11,'40Trips'!$A$3:$I$42,2,FALSE), VLOOKUP(T$1,'40Trips'!$A$3:$I$42,2,FALSE)),0)</f>
        <v>0</v>
      </c>
      <c r="U11">
        <f>IF(AND(SUM(VLOOKUP($A11,'40Trips'!$A$3:$I$42,2,FALSE),VLOOKUP(U$1,'40Trips'!$A$3:$I$42,2,FALSE))&lt;'40Trips'!$K$16,$A11&lt;&gt;U$1,gamma!U11=1),SUM(VLOOKUP($A11,'40Trips'!$A$3:$I$42,2,FALSE), VLOOKUP(U$1,'40Trips'!$A$3:$I$42,2,FALSE)),0)</f>
        <v>260</v>
      </c>
      <c r="V11">
        <f>IF(AND(SUM(VLOOKUP($A11,'40Trips'!$A$3:$I$42,2,FALSE),VLOOKUP(V$1,'40Trips'!$A$3:$I$42,2,FALSE))&lt;'40Trips'!$K$16,$A11&lt;&gt;V$1,gamma!V11=1),SUM(VLOOKUP($A11,'40Trips'!$A$3:$I$42,2,FALSE), VLOOKUP(V$1,'40Trips'!$A$3:$I$42,2,FALSE)),0)</f>
        <v>270</v>
      </c>
      <c r="W11">
        <f>IF(AND(SUM(VLOOKUP($A11,'40Trips'!$A$3:$I$42,2,FALSE),VLOOKUP(W$1,'40Trips'!$A$3:$I$42,2,FALSE))&lt;'40Trips'!$K$16,$A11&lt;&gt;W$1,gamma!W11=1),SUM(VLOOKUP($A11,'40Trips'!$A$3:$I$42,2,FALSE), VLOOKUP(W$1,'40Trips'!$A$3:$I$42,2,FALSE)),0)</f>
        <v>0</v>
      </c>
      <c r="X11">
        <f>IF(AND(SUM(VLOOKUP($A11,'40Trips'!$A$3:$I$42,2,FALSE),VLOOKUP(X$1,'40Trips'!$A$3:$I$42,2,FALSE))&lt;'40Trips'!$K$16,$A11&lt;&gt;X$1,gamma!X11=1),SUM(VLOOKUP($A11,'40Trips'!$A$3:$I$42,2,FALSE), VLOOKUP(X$1,'40Trips'!$A$3:$I$42,2,FALSE)),0)</f>
        <v>280</v>
      </c>
      <c r="Y11">
        <f>IF(AND(SUM(VLOOKUP($A11,'40Trips'!$A$3:$I$42,2,FALSE),VLOOKUP(Y$1,'40Trips'!$A$3:$I$42,2,FALSE))&lt;'40Trips'!$K$16,$A11&lt;&gt;Y$1,gamma!Y11=1),SUM(VLOOKUP($A11,'40Trips'!$A$3:$I$42,2,FALSE), VLOOKUP(Y$1,'40Trips'!$A$3:$I$42,2,FALSE)),0)</f>
        <v>280</v>
      </c>
      <c r="Z11">
        <f>IF(AND(SUM(VLOOKUP($A11,'40Trips'!$A$3:$I$42,2,FALSE),VLOOKUP(Z$1,'40Trips'!$A$3:$I$42,2,FALSE))&lt;'40Trips'!$K$16,$A11&lt;&gt;Z$1,gamma!Z11=1),SUM(VLOOKUP($A11,'40Trips'!$A$3:$I$42,2,FALSE), VLOOKUP(Z$1,'40Trips'!$A$3:$I$42,2,FALSE)),0)</f>
        <v>280</v>
      </c>
      <c r="AA11">
        <f>IF(AND(SUM(VLOOKUP($A11,'40Trips'!$A$3:$I$42,2,FALSE),VLOOKUP(AA$1,'40Trips'!$A$3:$I$42,2,FALSE))&lt;'40Trips'!$K$16,$A11&lt;&gt;AA$1,gamma!AA11=1),SUM(VLOOKUP($A11,'40Trips'!$A$3:$I$42,2,FALSE), VLOOKUP(AA$1,'40Trips'!$A$3:$I$42,2,FALSE)),0)</f>
        <v>0</v>
      </c>
      <c r="AB11">
        <f>IF(AND(SUM(VLOOKUP($A11,'40Trips'!$A$3:$I$42,2,FALSE),VLOOKUP(AB$1,'40Trips'!$A$3:$I$42,2,FALSE))&lt;'40Trips'!$K$16,$A11&lt;&gt;AB$1,gamma!AB11=1),SUM(VLOOKUP($A11,'40Trips'!$A$3:$I$42,2,FALSE), VLOOKUP(AB$1,'40Trips'!$A$3:$I$42,2,FALSE)),0)</f>
        <v>0</v>
      </c>
      <c r="AC11">
        <f>IF(AND(SUM(VLOOKUP($A11,'40Trips'!$A$3:$I$42,2,FALSE),VLOOKUP(AC$1,'40Trips'!$A$3:$I$42,2,FALSE))&lt;'40Trips'!$K$16,$A11&lt;&gt;AC$1,gamma!AC11=1),SUM(VLOOKUP($A11,'40Trips'!$A$3:$I$42,2,FALSE), VLOOKUP(AC$1,'40Trips'!$A$3:$I$42,2,FALSE)),0)</f>
        <v>260</v>
      </c>
      <c r="AD11">
        <f>IF(AND(SUM(VLOOKUP($A11,'40Trips'!$A$3:$I$42,2,FALSE),VLOOKUP(AD$1,'40Trips'!$A$3:$I$42,2,FALSE))&lt;'40Trips'!$K$16,$A11&lt;&gt;AD$1,gamma!AD11=1),SUM(VLOOKUP($A11,'40Trips'!$A$3:$I$42,2,FALSE), VLOOKUP(AD$1,'40Trips'!$A$3:$I$42,2,FALSE)),0)</f>
        <v>270</v>
      </c>
      <c r="AE11">
        <f>IF(AND(SUM(VLOOKUP($A11,'40Trips'!$A$3:$I$42,2,FALSE),VLOOKUP(AE$1,'40Trips'!$A$3:$I$42,2,FALSE))&lt;'40Trips'!$K$16,$A11&lt;&gt;AE$1,gamma!AE11=1),SUM(VLOOKUP($A11,'40Trips'!$A$3:$I$42,2,FALSE), VLOOKUP(AE$1,'40Trips'!$A$3:$I$42,2,FALSE)),0)</f>
        <v>0</v>
      </c>
      <c r="AF11">
        <f>IF(AND(SUM(VLOOKUP($A11,'40Trips'!$A$3:$I$42,2,FALSE),VLOOKUP(AF$1,'40Trips'!$A$3:$I$42,2,FALSE))&lt;'40Trips'!$K$16,$A11&lt;&gt;AF$1,gamma!AF11=1),SUM(VLOOKUP($A11,'40Trips'!$A$3:$I$42,2,FALSE), VLOOKUP(AF$1,'40Trips'!$A$3:$I$42,2,FALSE)),0)</f>
        <v>0</v>
      </c>
      <c r="AG11">
        <f>IF(AND(SUM(VLOOKUP($A11,'40Trips'!$A$3:$I$42,2,FALSE),VLOOKUP(AG$1,'40Trips'!$A$3:$I$42,2,FALSE))&lt;'40Trips'!$K$16,$A11&lt;&gt;AG$1,gamma!AG11=1),SUM(VLOOKUP($A11,'40Trips'!$A$3:$I$42,2,FALSE), VLOOKUP(AG$1,'40Trips'!$A$3:$I$42,2,FALSE)),0)</f>
        <v>0</v>
      </c>
      <c r="AH11">
        <f>IF(AND(SUM(VLOOKUP($A11,'40Trips'!$A$3:$I$42,2,FALSE),VLOOKUP(AH$1,'40Trips'!$A$3:$I$42,2,FALSE))&lt;'40Trips'!$K$16,$A11&lt;&gt;AH$1,gamma!AH11=1),SUM(VLOOKUP($A11,'40Trips'!$A$3:$I$42,2,FALSE), VLOOKUP(AH$1,'40Trips'!$A$3:$I$42,2,FALSE)),0)</f>
        <v>275</v>
      </c>
      <c r="AI11">
        <f>IF(AND(SUM(VLOOKUP($A11,'40Trips'!$A$3:$I$42,2,FALSE),VLOOKUP(AI$1,'40Trips'!$A$3:$I$42,2,FALSE))&lt;'40Trips'!$K$16,$A11&lt;&gt;AI$1,gamma!AI11=1),SUM(VLOOKUP($A11,'40Trips'!$A$3:$I$42,2,FALSE), VLOOKUP(AI$1,'40Trips'!$A$3:$I$42,2,FALSE)),0)</f>
        <v>280</v>
      </c>
      <c r="AJ11">
        <f>IF(AND(SUM(VLOOKUP($A11,'40Trips'!$A$3:$I$42,2,FALSE),VLOOKUP(AJ$1,'40Trips'!$A$3:$I$42,2,FALSE))&lt;'40Trips'!$K$16,$A11&lt;&gt;AJ$1,gamma!AJ11=1),SUM(VLOOKUP($A11,'40Trips'!$A$3:$I$42,2,FALSE), VLOOKUP(AJ$1,'40Trips'!$A$3:$I$42,2,FALSE)),0)</f>
        <v>275</v>
      </c>
      <c r="AK11">
        <f>IF(AND(SUM(VLOOKUP($A11,'40Trips'!$A$3:$I$42,2,FALSE),VLOOKUP(AK$1,'40Trips'!$A$3:$I$42,2,FALSE))&lt;'40Trips'!$K$16,$A11&lt;&gt;AK$1,gamma!AK11=1),SUM(VLOOKUP($A11,'40Trips'!$A$3:$I$42,2,FALSE), VLOOKUP(AK$1,'40Trips'!$A$3:$I$42,2,FALSE)),0)</f>
        <v>280</v>
      </c>
      <c r="AL11">
        <f>IF(AND(SUM(VLOOKUP($A11,'40Trips'!$A$3:$I$42,2,FALSE),VLOOKUP(AL$1,'40Trips'!$A$3:$I$42,2,FALSE))&lt;'40Trips'!$K$16,$A11&lt;&gt;AL$1,gamma!AL11=1),SUM(VLOOKUP($A11,'40Trips'!$A$3:$I$42,2,FALSE), VLOOKUP(AL$1,'40Trips'!$A$3:$I$42,2,FALSE)),0)</f>
        <v>280</v>
      </c>
      <c r="AM11">
        <f>IF(AND(SUM(VLOOKUP($A11,'40Trips'!$A$3:$I$42,2,FALSE),VLOOKUP(AM$1,'40Trips'!$A$3:$I$42,2,FALSE))&lt;'40Trips'!$K$16,$A11&lt;&gt;AM$1,gamma!AM11=1),SUM(VLOOKUP($A11,'40Trips'!$A$3:$I$42,2,FALSE), VLOOKUP(AM$1,'40Trips'!$A$3:$I$42,2,FALSE)),0)</f>
        <v>0</v>
      </c>
      <c r="AN11">
        <f>IF(AND(SUM(VLOOKUP($A11,'40Trips'!$A$3:$I$42,2,FALSE),VLOOKUP(AN$1,'40Trips'!$A$3:$I$42,2,FALSE))&lt;'40Trips'!$K$16,$A11&lt;&gt;AN$1,gamma!AN11=1),SUM(VLOOKUP($A11,'40Trips'!$A$3:$I$42,2,FALSE), VLOOKUP(AN$1,'40Trips'!$A$3:$I$42,2,FALSE)),0)</f>
        <v>260</v>
      </c>
      <c r="AO11">
        <f>IF(AND(SUM(VLOOKUP($A11,'40Trips'!$A$3:$I$42,2,FALSE),VLOOKUP(AO$1,'40Trips'!$A$3:$I$42,2,FALSE))&lt;'40Trips'!$K$16,$A11&lt;&gt;AO$1,gamma!AO11=1),SUM(VLOOKUP($A11,'40Trips'!$A$3:$I$42,2,FALSE), VLOOKUP(AO$1,'40Trips'!$A$3:$I$42,2,FALSE)),0)</f>
        <v>260</v>
      </c>
      <c r="AP11">
        <f>IF(AND(SUM(VLOOKUP($A11,'40Trips'!$A$3:$I$42,2,FALSE),VLOOKUP(AP$1,'40Trips'!$A$3:$I$42,2,FALSE))&lt;'40Trips'!$K$16,$A11&lt;&gt;AP$1,gamma!AP11=1),SUM(VLOOKUP($A11,'40Trips'!$A$3:$I$42,2,FALSE), VLOOKUP(AP$1,'40Trips'!$A$3:$I$42,2,FALSE)),0)</f>
        <v>275</v>
      </c>
      <c r="AQ11">
        <v>0</v>
      </c>
      <c r="AR11">
        <v>0</v>
      </c>
      <c r="AS11">
        <v>0</v>
      </c>
      <c r="AT11">
        <v>0</v>
      </c>
    </row>
    <row r="12" spans="1:46" x14ac:dyDescent="0.25">
      <c r="A12" t="s">
        <v>73</v>
      </c>
      <c r="B12">
        <v>0</v>
      </c>
      <c r="C12">
        <f>IF(AND(SUM(VLOOKUP($A12,'40Trips'!$A$3:$I$42,2,FALSE),VLOOKUP(C$1,'40Trips'!$A$3:$I$42,2,FALSE))&lt;'40Trips'!$K$16,$A12&lt;&gt;C$1,gamma!C12=1),SUM(VLOOKUP($A12,'40Trips'!$A$3:$I$42,2,FALSE), VLOOKUP(C$1,'40Trips'!$A$3:$I$42,2,FALSE)),0)</f>
        <v>0</v>
      </c>
      <c r="D12">
        <f>IF(AND(SUM(VLOOKUP($A12,'40Trips'!$A$3:$I$42,2,FALSE),VLOOKUP(D$1,'40Trips'!$A$3:$I$42,2,FALSE))&lt;'40Trips'!$K$16,$A12&lt;&gt;D$1,gamma!D12=1),SUM(VLOOKUP($A12,'40Trips'!$A$3:$I$42,2,FALSE), VLOOKUP(D$1,'40Trips'!$A$3:$I$42,2,FALSE)),0)</f>
        <v>0</v>
      </c>
      <c r="E12">
        <f>IF(AND(SUM(VLOOKUP($A12,'40Trips'!$A$3:$I$42,2,FALSE),VLOOKUP(E$1,'40Trips'!$A$3:$I$42,2,FALSE))&lt;'40Trips'!$K$16,$A12&lt;&gt;E$1,gamma!E12=1),SUM(VLOOKUP($A12,'40Trips'!$A$3:$I$42,2,FALSE), VLOOKUP(E$1,'40Trips'!$A$3:$I$42,2,FALSE)),0)</f>
        <v>275</v>
      </c>
      <c r="F12">
        <f>IF(AND(SUM(VLOOKUP($A12,'40Trips'!$A$3:$I$42,2,FALSE),VLOOKUP(F$1,'40Trips'!$A$3:$I$42,2,FALSE))&lt;'40Trips'!$K$16,$A12&lt;&gt;F$1,gamma!F12=1),SUM(VLOOKUP($A12,'40Trips'!$A$3:$I$42,2,FALSE), VLOOKUP(F$1,'40Trips'!$A$3:$I$42,2,FALSE)),0)</f>
        <v>275</v>
      </c>
      <c r="G12">
        <f>IF(AND(SUM(VLOOKUP($A12,'40Trips'!$A$3:$I$42,2,FALSE),VLOOKUP(G$1,'40Trips'!$A$3:$I$42,2,FALSE))&lt;'40Trips'!$K$16,$A12&lt;&gt;G$1,gamma!G12=1),SUM(VLOOKUP($A12,'40Trips'!$A$3:$I$42,2,FALSE), VLOOKUP(G$1,'40Trips'!$A$3:$I$42,2,FALSE)),0)</f>
        <v>0</v>
      </c>
      <c r="H12">
        <f>IF(AND(SUM(VLOOKUP($A12,'40Trips'!$A$3:$I$42,2,FALSE),VLOOKUP(H$1,'40Trips'!$A$3:$I$42,2,FALSE))&lt;'40Trips'!$K$16,$A12&lt;&gt;H$1,gamma!H12=1),SUM(VLOOKUP($A12,'40Trips'!$A$3:$I$42,2,FALSE), VLOOKUP(H$1,'40Trips'!$A$3:$I$42,2,FALSE)),0)</f>
        <v>0</v>
      </c>
      <c r="I12">
        <f>IF(AND(SUM(VLOOKUP($A12,'40Trips'!$A$3:$I$42,2,FALSE),VLOOKUP(I$1,'40Trips'!$A$3:$I$42,2,FALSE))&lt;'40Trips'!$K$16,$A12&lt;&gt;I$1,gamma!I12=1),SUM(VLOOKUP($A12,'40Trips'!$A$3:$I$42,2,FALSE), VLOOKUP(I$1,'40Trips'!$A$3:$I$42,2,FALSE)),0)</f>
        <v>280</v>
      </c>
      <c r="J12">
        <f>IF(AND(SUM(VLOOKUP($A12,'40Trips'!$A$3:$I$42,2,FALSE),VLOOKUP(J$1,'40Trips'!$A$3:$I$42,2,FALSE))&lt;'40Trips'!$K$16,$A12&lt;&gt;J$1,gamma!J12=1),SUM(VLOOKUP($A12,'40Trips'!$A$3:$I$42,2,FALSE), VLOOKUP(J$1,'40Trips'!$A$3:$I$42,2,FALSE)),0)</f>
        <v>280</v>
      </c>
      <c r="K12">
        <f>IF(AND(SUM(VLOOKUP($A12,'40Trips'!$A$3:$I$42,2,FALSE),VLOOKUP(K$1,'40Trips'!$A$3:$I$42,2,FALSE))&lt;'40Trips'!$K$16,$A12&lt;&gt;K$1,gamma!K12=1),SUM(VLOOKUP($A12,'40Trips'!$A$3:$I$42,2,FALSE), VLOOKUP(K$1,'40Trips'!$A$3:$I$42,2,FALSE)),0)</f>
        <v>0</v>
      </c>
      <c r="L12">
        <f>IF(AND(SUM(VLOOKUP($A12,'40Trips'!$A$3:$I$42,2,FALSE),VLOOKUP(L$1,'40Trips'!$A$3:$I$42,2,FALSE))&lt;'40Trips'!$K$16,$A12&lt;&gt;L$1,gamma!L12=1),SUM(VLOOKUP($A12,'40Trips'!$A$3:$I$42,2,FALSE), VLOOKUP(L$1,'40Trips'!$A$3:$I$42,2,FALSE)),0)</f>
        <v>0</v>
      </c>
      <c r="M12">
        <f>IF(AND(SUM(VLOOKUP($A12,'40Trips'!$A$3:$I$42,2,FALSE),VLOOKUP(M$1,'40Trips'!$A$3:$I$42,2,FALSE))&lt;'40Trips'!$K$16,$A12&lt;&gt;M$1,gamma!M12=1),SUM(VLOOKUP($A12,'40Trips'!$A$3:$I$42,2,FALSE), VLOOKUP(M$1,'40Trips'!$A$3:$I$42,2,FALSE)),0)</f>
        <v>275</v>
      </c>
      <c r="N12">
        <f>IF(AND(SUM(VLOOKUP($A12,'40Trips'!$A$3:$I$42,2,FALSE),VLOOKUP(N$1,'40Trips'!$A$3:$I$42,2,FALSE))&lt;'40Trips'!$K$16,$A12&lt;&gt;N$1,gamma!N12=1),SUM(VLOOKUP($A12,'40Trips'!$A$3:$I$42,2,FALSE), VLOOKUP(N$1,'40Trips'!$A$3:$I$42,2,FALSE)),0)</f>
        <v>0</v>
      </c>
      <c r="O12">
        <f>IF(AND(SUM(VLOOKUP($A12,'40Trips'!$A$3:$I$42,2,FALSE),VLOOKUP(O$1,'40Trips'!$A$3:$I$42,2,FALSE))&lt;'40Trips'!$K$16,$A12&lt;&gt;O$1,gamma!O12=1),SUM(VLOOKUP($A12,'40Trips'!$A$3:$I$42,2,FALSE), VLOOKUP(O$1,'40Trips'!$A$3:$I$42,2,FALSE)),0)</f>
        <v>0</v>
      </c>
      <c r="P12">
        <f>IF(AND(SUM(VLOOKUP($A12,'40Trips'!$A$3:$I$42,2,FALSE),VLOOKUP(P$1,'40Trips'!$A$3:$I$42,2,FALSE))&lt;'40Trips'!$K$16,$A12&lt;&gt;P$1,gamma!P12=1),SUM(VLOOKUP($A12,'40Trips'!$A$3:$I$42,2,FALSE), VLOOKUP(P$1,'40Trips'!$A$3:$I$42,2,FALSE)),0)</f>
        <v>0</v>
      </c>
      <c r="Q12">
        <f>IF(AND(SUM(VLOOKUP($A12,'40Trips'!$A$3:$I$42,2,FALSE),VLOOKUP(Q$1,'40Trips'!$A$3:$I$42,2,FALSE))&lt;'40Trips'!$K$16,$A12&lt;&gt;Q$1,gamma!Q12=1),SUM(VLOOKUP($A12,'40Trips'!$A$3:$I$42,2,FALSE), VLOOKUP(Q$1,'40Trips'!$A$3:$I$42,2,FALSE)),0)</f>
        <v>275</v>
      </c>
      <c r="R12">
        <f>IF(AND(SUM(VLOOKUP($A12,'40Trips'!$A$3:$I$42,2,FALSE),VLOOKUP(R$1,'40Trips'!$A$3:$I$42,2,FALSE))&lt;'40Trips'!$K$16,$A12&lt;&gt;R$1,gamma!R12=1),SUM(VLOOKUP($A12,'40Trips'!$A$3:$I$42,2,FALSE), VLOOKUP(R$1,'40Trips'!$A$3:$I$42,2,FALSE)),0)</f>
        <v>275</v>
      </c>
      <c r="S12">
        <f>IF(AND(SUM(VLOOKUP($A12,'40Trips'!$A$3:$I$42,2,FALSE),VLOOKUP(S$1,'40Trips'!$A$3:$I$42,2,FALSE))&lt;'40Trips'!$K$16,$A12&lt;&gt;S$1,gamma!S12=1),SUM(VLOOKUP($A12,'40Trips'!$A$3:$I$42,2,FALSE), VLOOKUP(S$1,'40Trips'!$A$3:$I$42,2,FALSE)),0)</f>
        <v>0</v>
      </c>
      <c r="T12">
        <f>IF(AND(SUM(VLOOKUP($A12,'40Trips'!$A$3:$I$42,2,FALSE),VLOOKUP(T$1,'40Trips'!$A$3:$I$42,2,FALSE))&lt;'40Trips'!$K$16,$A12&lt;&gt;T$1,gamma!T12=1),SUM(VLOOKUP($A12,'40Trips'!$A$3:$I$42,2,FALSE), VLOOKUP(T$1,'40Trips'!$A$3:$I$42,2,FALSE)),0)</f>
        <v>0</v>
      </c>
      <c r="U12">
        <f>IF(AND(SUM(VLOOKUP($A12,'40Trips'!$A$3:$I$42,2,FALSE),VLOOKUP(U$1,'40Trips'!$A$3:$I$42,2,FALSE))&lt;'40Trips'!$K$16,$A12&lt;&gt;U$1,gamma!U12=1),SUM(VLOOKUP($A12,'40Trips'!$A$3:$I$42,2,FALSE), VLOOKUP(U$1,'40Trips'!$A$3:$I$42,2,FALSE)),0)</f>
        <v>260</v>
      </c>
      <c r="V12">
        <f>IF(AND(SUM(VLOOKUP($A12,'40Trips'!$A$3:$I$42,2,FALSE),VLOOKUP(V$1,'40Trips'!$A$3:$I$42,2,FALSE))&lt;'40Trips'!$K$16,$A12&lt;&gt;V$1,gamma!V12=1),SUM(VLOOKUP($A12,'40Trips'!$A$3:$I$42,2,FALSE), VLOOKUP(V$1,'40Trips'!$A$3:$I$42,2,FALSE)),0)</f>
        <v>270</v>
      </c>
      <c r="W12">
        <f>IF(AND(SUM(VLOOKUP($A12,'40Trips'!$A$3:$I$42,2,FALSE),VLOOKUP(W$1,'40Trips'!$A$3:$I$42,2,FALSE))&lt;'40Trips'!$K$16,$A12&lt;&gt;W$1,gamma!W12=1),SUM(VLOOKUP($A12,'40Trips'!$A$3:$I$42,2,FALSE), VLOOKUP(W$1,'40Trips'!$A$3:$I$42,2,FALSE)),0)</f>
        <v>0</v>
      </c>
      <c r="X12">
        <f>IF(AND(SUM(VLOOKUP($A12,'40Trips'!$A$3:$I$42,2,FALSE),VLOOKUP(X$1,'40Trips'!$A$3:$I$42,2,FALSE))&lt;'40Trips'!$K$16,$A12&lt;&gt;X$1,gamma!X12=1),SUM(VLOOKUP($A12,'40Trips'!$A$3:$I$42,2,FALSE), VLOOKUP(X$1,'40Trips'!$A$3:$I$42,2,FALSE)),0)</f>
        <v>0</v>
      </c>
      <c r="Y12">
        <f>IF(AND(SUM(VLOOKUP($A12,'40Trips'!$A$3:$I$42,2,FALSE),VLOOKUP(Y$1,'40Trips'!$A$3:$I$42,2,FALSE))&lt;'40Trips'!$K$16,$A12&lt;&gt;Y$1,gamma!Y12=1),SUM(VLOOKUP($A12,'40Trips'!$A$3:$I$42,2,FALSE), VLOOKUP(Y$1,'40Trips'!$A$3:$I$42,2,FALSE)),0)</f>
        <v>280</v>
      </c>
      <c r="Z12">
        <f>IF(AND(SUM(VLOOKUP($A12,'40Trips'!$A$3:$I$42,2,FALSE),VLOOKUP(Z$1,'40Trips'!$A$3:$I$42,2,FALSE))&lt;'40Trips'!$K$16,$A12&lt;&gt;Z$1,gamma!Z12=1),SUM(VLOOKUP($A12,'40Trips'!$A$3:$I$42,2,FALSE), VLOOKUP(Z$1,'40Trips'!$A$3:$I$42,2,FALSE)),0)</f>
        <v>280</v>
      </c>
      <c r="AA12">
        <f>IF(AND(SUM(VLOOKUP($A12,'40Trips'!$A$3:$I$42,2,FALSE),VLOOKUP(AA$1,'40Trips'!$A$3:$I$42,2,FALSE))&lt;'40Trips'!$K$16,$A12&lt;&gt;AA$1,gamma!AA12=1),SUM(VLOOKUP($A12,'40Trips'!$A$3:$I$42,2,FALSE), VLOOKUP(AA$1,'40Trips'!$A$3:$I$42,2,FALSE)),0)</f>
        <v>0</v>
      </c>
      <c r="AB12">
        <f>IF(AND(SUM(VLOOKUP($A12,'40Trips'!$A$3:$I$42,2,FALSE),VLOOKUP(AB$1,'40Trips'!$A$3:$I$42,2,FALSE))&lt;'40Trips'!$K$16,$A12&lt;&gt;AB$1,gamma!AB12=1),SUM(VLOOKUP($A12,'40Trips'!$A$3:$I$42,2,FALSE), VLOOKUP(AB$1,'40Trips'!$A$3:$I$42,2,FALSE)),0)</f>
        <v>0</v>
      </c>
      <c r="AC12">
        <f>IF(AND(SUM(VLOOKUP($A12,'40Trips'!$A$3:$I$42,2,FALSE),VLOOKUP(AC$1,'40Trips'!$A$3:$I$42,2,FALSE))&lt;'40Trips'!$K$16,$A12&lt;&gt;AC$1,gamma!AC12=1),SUM(VLOOKUP($A12,'40Trips'!$A$3:$I$42,2,FALSE), VLOOKUP(AC$1,'40Trips'!$A$3:$I$42,2,FALSE)),0)</f>
        <v>260</v>
      </c>
      <c r="AD12">
        <f>IF(AND(SUM(VLOOKUP($A12,'40Trips'!$A$3:$I$42,2,FALSE),VLOOKUP(AD$1,'40Trips'!$A$3:$I$42,2,FALSE))&lt;'40Trips'!$K$16,$A12&lt;&gt;AD$1,gamma!AD12=1),SUM(VLOOKUP($A12,'40Trips'!$A$3:$I$42,2,FALSE), VLOOKUP(AD$1,'40Trips'!$A$3:$I$42,2,FALSE)),0)</f>
        <v>270</v>
      </c>
      <c r="AE12">
        <f>IF(AND(SUM(VLOOKUP($A12,'40Trips'!$A$3:$I$42,2,FALSE),VLOOKUP(AE$1,'40Trips'!$A$3:$I$42,2,FALSE))&lt;'40Trips'!$K$16,$A12&lt;&gt;AE$1,gamma!AE12=1),SUM(VLOOKUP($A12,'40Trips'!$A$3:$I$42,2,FALSE), VLOOKUP(AE$1,'40Trips'!$A$3:$I$42,2,FALSE)),0)</f>
        <v>0</v>
      </c>
      <c r="AF12">
        <f>IF(AND(SUM(VLOOKUP($A12,'40Trips'!$A$3:$I$42,2,FALSE),VLOOKUP(AF$1,'40Trips'!$A$3:$I$42,2,FALSE))&lt;'40Trips'!$K$16,$A12&lt;&gt;AF$1,gamma!AF12=1),SUM(VLOOKUP($A12,'40Trips'!$A$3:$I$42,2,FALSE), VLOOKUP(AF$1,'40Trips'!$A$3:$I$42,2,FALSE)),0)</f>
        <v>0</v>
      </c>
      <c r="AG12">
        <f>IF(AND(SUM(VLOOKUP($A12,'40Trips'!$A$3:$I$42,2,FALSE),VLOOKUP(AG$1,'40Trips'!$A$3:$I$42,2,FALSE))&lt;'40Trips'!$K$16,$A12&lt;&gt;AG$1,gamma!AG12=1),SUM(VLOOKUP($A12,'40Trips'!$A$3:$I$42,2,FALSE), VLOOKUP(AG$1,'40Trips'!$A$3:$I$42,2,FALSE)),0)</f>
        <v>0</v>
      </c>
      <c r="AH12">
        <f>IF(AND(SUM(VLOOKUP($A12,'40Trips'!$A$3:$I$42,2,FALSE),VLOOKUP(AH$1,'40Trips'!$A$3:$I$42,2,FALSE))&lt;'40Trips'!$K$16,$A12&lt;&gt;AH$1,gamma!AH12=1),SUM(VLOOKUP($A12,'40Trips'!$A$3:$I$42,2,FALSE), VLOOKUP(AH$1,'40Trips'!$A$3:$I$42,2,FALSE)),0)</f>
        <v>0</v>
      </c>
      <c r="AI12">
        <f>IF(AND(SUM(VLOOKUP($A12,'40Trips'!$A$3:$I$42,2,FALSE),VLOOKUP(AI$1,'40Trips'!$A$3:$I$42,2,FALSE))&lt;'40Trips'!$K$16,$A12&lt;&gt;AI$1,gamma!AI12=1),SUM(VLOOKUP($A12,'40Trips'!$A$3:$I$42,2,FALSE), VLOOKUP(AI$1,'40Trips'!$A$3:$I$42,2,FALSE)),0)</f>
        <v>0</v>
      </c>
      <c r="AJ12">
        <f>IF(AND(SUM(VLOOKUP($A12,'40Trips'!$A$3:$I$42,2,FALSE),VLOOKUP(AJ$1,'40Trips'!$A$3:$I$42,2,FALSE))&lt;'40Trips'!$K$16,$A12&lt;&gt;AJ$1,gamma!AJ12=1),SUM(VLOOKUP($A12,'40Trips'!$A$3:$I$42,2,FALSE), VLOOKUP(AJ$1,'40Trips'!$A$3:$I$42,2,FALSE)),0)</f>
        <v>0</v>
      </c>
      <c r="AK12">
        <f>IF(AND(SUM(VLOOKUP($A12,'40Trips'!$A$3:$I$42,2,FALSE),VLOOKUP(AK$1,'40Trips'!$A$3:$I$42,2,FALSE))&lt;'40Trips'!$K$16,$A12&lt;&gt;AK$1,gamma!AK12=1),SUM(VLOOKUP($A12,'40Trips'!$A$3:$I$42,2,FALSE), VLOOKUP(AK$1,'40Trips'!$A$3:$I$42,2,FALSE)),0)</f>
        <v>280</v>
      </c>
      <c r="AL12">
        <f>IF(AND(SUM(VLOOKUP($A12,'40Trips'!$A$3:$I$42,2,FALSE),VLOOKUP(AL$1,'40Trips'!$A$3:$I$42,2,FALSE))&lt;'40Trips'!$K$16,$A12&lt;&gt;AL$1,gamma!AL12=1),SUM(VLOOKUP($A12,'40Trips'!$A$3:$I$42,2,FALSE), VLOOKUP(AL$1,'40Trips'!$A$3:$I$42,2,FALSE)),0)</f>
        <v>280</v>
      </c>
      <c r="AM12">
        <f>IF(AND(SUM(VLOOKUP($A12,'40Trips'!$A$3:$I$42,2,FALSE),VLOOKUP(AM$1,'40Trips'!$A$3:$I$42,2,FALSE))&lt;'40Trips'!$K$16,$A12&lt;&gt;AM$1,gamma!AM12=1),SUM(VLOOKUP($A12,'40Trips'!$A$3:$I$42,2,FALSE), VLOOKUP(AM$1,'40Trips'!$A$3:$I$42,2,FALSE)),0)</f>
        <v>0</v>
      </c>
      <c r="AN12">
        <f>IF(AND(SUM(VLOOKUP($A12,'40Trips'!$A$3:$I$42,2,FALSE),VLOOKUP(AN$1,'40Trips'!$A$3:$I$42,2,FALSE))&lt;'40Trips'!$K$16,$A12&lt;&gt;AN$1,gamma!AN12=1),SUM(VLOOKUP($A12,'40Trips'!$A$3:$I$42,2,FALSE), VLOOKUP(AN$1,'40Trips'!$A$3:$I$42,2,FALSE)),0)</f>
        <v>0</v>
      </c>
      <c r="AO12">
        <f>IF(AND(SUM(VLOOKUP($A12,'40Trips'!$A$3:$I$42,2,FALSE),VLOOKUP(AO$1,'40Trips'!$A$3:$I$42,2,FALSE))&lt;'40Trips'!$K$16,$A12&lt;&gt;AO$1,gamma!AO12=1),SUM(VLOOKUP($A12,'40Trips'!$A$3:$I$42,2,FALSE), VLOOKUP(AO$1,'40Trips'!$A$3:$I$42,2,FALSE)),0)</f>
        <v>0</v>
      </c>
      <c r="AP12">
        <f>IF(AND(SUM(VLOOKUP($A12,'40Trips'!$A$3:$I$42,2,FALSE),VLOOKUP(AP$1,'40Trips'!$A$3:$I$42,2,FALSE))&lt;'40Trips'!$K$16,$A12&lt;&gt;AP$1,gamma!AP12=1),SUM(VLOOKUP($A12,'40Trips'!$A$3:$I$42,2,FALSE), VLOOKUP(AP$1,'40Trips'!$A$3:$I$42,2,FALSE)),0)</f>
        <v>275</v>
      </c>
      <c r="AQ12">
        <v>0</v>
      </c>
      <c r="AR12">
        <v>0</v>
      </c>
      <c r="AS12">
        <v>0</v>
      </c>
      <c r="AT12">
        <v>0</v>
      </c>
    </row>
    <row r="13" spans="1:46" x14ac:dyDescent="0.25">
      <c r="A13" t="s">
        <v>74</v>
      </c>
      <c r="B13">
        <v>0</v>
      </c>
      <c r="C13">
        <f>IF(AND(SUM(VLOOKUP($A13,'40Trips'!$A$3:$I$42,2,FALSE),VLOOKUP(C$1,'40Trips'!$A$3:$I$42,2,FALSE))&lt;'40Trips'!$K$16,$A13&lt;&gt;C$1,gamma!C13=1),SUM(VLOOKUP($A13,'40Trips'!$A$3:$I$42,2,FALSE), VLOOKUP(C$1,'40Trips'!$A$3:$I$42,2,FALSE)),0)</f>
        <v>0</v>
      </c>
      <c r="D13">
        <f>IF(AND(SUM(VLOOKUP($A13,'40Trips'!$A$3:$I$42,2,FALSE),VLOOKUP(D$1,'40Trips'!$A$3:$I$42,2,FALSE))&lt;'40Trips'!$K$16,$A13&lt;&gt;D$1,gamma!D13=1),SUM(VLOOKUP($A13,'40Trips'!$A$3:$I$42,2,FALSE), VLOOKUP(D$1,'40Trips'!$A$3:$I$42,2,FALSE)),0)</f>
        <v>0</v>
      </c>
      <c r="E13">
        <f>IF(AND(SUM(VLOOKUP($A13,'40Trips'!$A$3:$I$42,2,FALSE),VLOOKUP(E$1,'40Trips'!$A$3:$I$42,2,FALSE))&lt;'40Trips'!$K$16,$A13&lt;&gt;E$1,gamma!E13=1),SUM(VLOOKUP($A13,'40Trips'!$A$3:$I$42,2,FALSE), VLOOKUP(E$1,'40Trips'!$A$3:$I$42,2,FALSE)),0)</f>
        <v>0</v>
      </c>
      <c r="F13">
        <f>IF(AND(SUM(VLOOKUP($A13,'40Trips'!$A$3:$I$42,2,FALSE),VLOOKUP(F$1,'40Trips'!$A$3:$I$42,2,FALSE))&lt;'40Trips'!$K$16,$A13&lt;&gt;F$1,gamma!F13=1),SUM(VLOOKUP($A13,'40Trips'!$A$3:$I$42,2,FALSE), VLOOKUP(F$1,'40Trips'!$A$3:$I$42,2,FALSE)),0)</f>
        <v>0</v>
      </c>
      <c r="G13">
        <f>IF(AND(SUM(VLOOKUP($A13,'40Trips'!$A$3:$I$42,2,FALSE),VLOOKUP(G$1,'40Trips'!$A$3:$I$42,2,FALSE))&lt;'40Trips'!$K$16,$A13&lt;&gt;G$1,gamma!G13=1),SUM(VLOOKUP($A13,'40Trips'!$A$3:$I$42,2,FALSE), VLOOKUP(G$1,'40Trips'!$A$3:$I$42,2,FALSE)),0)</f>
        <v>0</v>
      </c>
      <c r="H13">
        <f>IF(AND(SUM(VLOOKUP($A13,'40Trips'!$A$3:$I$42,2,FALSE),VLOOKUP(H$1,'40Trips'!$A$3:$I$42,2,FALSE))&lt;'40Trips'!$K$16,$A13&lt;&gt;H$1,gamma!H13=1),SUM(VLOOKUP($A13,'40Trips'!$A$3:$I$42,2,FALSE), VLOOKUP(H$1,'40Trips'!$A$3:$I$42,2,FALSE)),0)</f>
        <v>0</v>
      </c>
      <c r="I13">
        <f>IF(AND(SUM(VLOOKUP($A13,'40Trips'!$A$3:$I$42,2,FALSE),VLOOKUP(I$1,'40Trips'!$A$3:$I$42,2,FALSE))&lt;'40Trips'!$K$16,$A13&lt;&gt;I$1,gamma!I13=1),SUM(VLOOKUP($A13,'40Trips'!$A$3:$I$42,2,FALSE), VLOOKUP(I$1,'40Trips'!$A$3:$I$42,2,FALSE)),0)</f>
        <v>0</v>
      </c>
      <c r="J13">
        <f>IF(AND(SUM(VLOOKUP($A13,'40Trips'!$A$3:$I$42,2,FALSE),VLOOKUP(J$1,'40Trips'!$A$3:$I$42,2,FALSE))&lt;'40Trips'!$K$16,$A13&lt;&gt;J$1,gamma!J13=1),SUM(VLOOKUP($A13,'40Trips'!$A$3:$I$42,2,FALSE), VLOOKUP(J$1,'40Trips'!$A$3:$I$42,2,FALSE)),0)</f>
        <v>275</v>
      </c>
      <c r="K13">
        <f>IF(AND(SUM(VLOOKUP($A13,'40Trips'!$A$3:$I$42,2,FALSE),VLOOKUP(K$1,'40Trips'!$A$3:$I$42,2,FALSE))&lt;'40Trips'!$K$16,$A13&lt;&gt;K$1,gamma!K13=1),SUM(VLOOKUP($A13,'40Trips'!$A$3:$I$42,2,FALSE), VLOOKUP(K$1,'40Trips'!$A$3:$I$42,2,FALSE)),0)</f>
        <v>0</v>
      </c>
      <c r="L13">
        <f>IF(AND(SUM(VLOOKUP($A13,'40Trips'!$A$3:$I$42,2,FALSE),VLOOKUP(L$1,'40Trips'!$A$3:$I$42,2,FALSE))&lt;'40Trips'!$K$16,$A13&lt;&gt;L$1,gamma!L13=1),SUM(VLOOKUP($A13,'40Trips'!$A$3:$I$42,2,FALSE), VLOOKUP(L$1,'40Trips'!$A$3:$I$42,2,FALSE)),0)</f>
        <v>0</v>
      </c>
      <c r="M13">
        <f>IF(AND(SUM(VLOOKUP($A13,'40Trips'!$A$3:$I$42,2,FALSE),VLOOKUP(M$1,'40Trips'!$A$3:$I$42,2,FALSE))&lt;'40Trips'!$K$16,$A13&lt;&gt;M$1,gamma!M13=1),SUM(VLOOKUP($A13,'40Trips'!$A$3:$I$42,2,FALSE), VLOOKUP(M$1,'40Trips'!$A$3:$I$42,2,FALSE)),0)</f>
        <v>0</v>
      </c>
      <c r="N13">
        <f>IF(AND(SUM(VLOOKUP($A13,'40Trips'!$A$3:$I$42,2,FALSE),VLOOKUP(N$1,'40Trips'!$A$3:$I$42,2,FALSE))&lt;'40Trips'!$K$16,$A13&lt;&gt;N$1,gamma!N13=1),SUM(VLOOKUP($A13,'40Trips'!$A$3:$I$42,2,FALSE), VLOOKUP(N$1,'40Trips'!$A$3:$I$42,2,FALSE)),0)</f>
        <v>0</v>
      </c>
      <c r="O13">
        <f>IF(AND(SUM(VLOOKUP($A13,'40Trips'!$A$3:$I$42,2,FALSE),VLOOKUP(O$1,'40Trips'!$A$3:$I$42,2,FALSE))&lt;'40Trips'!$K$16,$A13&lt;&gt;O$1,gamma!O13=1),SUM(VLOOKUP($A13,'40Trips'!$A$3:$I$42,2,FALSE), VLOOKUP(O$1,'40Trips'!$A$3:$I$42,2,FALSE)),0)</f>
        <v>0</v>
      </c>
      <c r="P13">
        <f>IF(AND(SUM(VLOOKUP($A13,'40Trips'!$A$3:$I$42,2,FALSE),VLOOKUP(P$1,'40Trips'!$A$3:$I$42,2,FALSE))&lt;'40Trips'!$K$16,$A13&lt;&gt;P$1,gamma!P13=1),SUM(VLOOKUP($A13,'40Trips'!$A$3:$I$42,2,FALSE), VLOOKUP(P$1,'40Trips'!$A$3:$I$42,2,FALSE)),0)</f>
        <v>0</v>
      </c>
      <c r="Q13">
        <f>IF(AND(SUM(VLOOKUP($A13,'40Trips'!$A$3:$I$42,2,FALSE),VLOOKUP(Q$1,'40Trips'!$A$3:$I$42,2,FALSE))&lt;'40Trips'!$K$16,$A13&lt;&gt;Q$1,gamma!Q13=1),SUM(VLOOKUP($A13,'40Trips'!$A$3:$I$42,2,FALSE), VLOOKUP(Q$1,'40Trips'!$A$3:$I$42,2,FALSE)),0)</f>
        <v>0</v>
      </c>
      <c r="R13">
        <f>IF(AND(SUM(VLOOKUP($A13,'40Trips'!$A$3:$I$42,2,FALSE),VLOOKUP(R$1,'40Trips'!$A$3:$I$42,2,FALSE))&lt;'40Trips'!$K$16,$A13&lt;&gt;R$1,gamma!R13=1),SUM(VLOOKUP($A13,'40Trips'!$A$3:$I$42,2,FALSE), VLOOKUP(R$1,'40Trips'!$A$3:$I$42,2,FALSE)),0)</f>
        <v>0</v>
      </c>
      <c r="S13">
        <f>IF(AND(SUM(VLOOKUP($A13,'40Trips'!$A$3:$I$42,2,FALSE),VLOOKUP(S$1,'40Trips'!$A$3:$I$42,2,FALSE))&lt;'40Trips'!$K$16,$A13&lt;&gt;S$1,gamma!S13=1),SUM(VLOOKUP($A13,'40Trips'!$A$3:$I$42,2,FALSE), VLOOKUP(S$1,'40Trips'!$A$3:$I$42,2,FALSE)),0)</f>
        <v>0</v>
      </c>
      <c r="T13">
        <f>IF(AND(SUM(VLOOKUP($A13,'40Trips'!$A$3:$I$42,2,FALSE),VLOOKUP(T$1,'40Trips'!$A$3:$I$42,2,FALSE))&lt;'40Trips'!$K$16,$A13&lt;&gt;T$1,gamma!T13=1),SUM(VLOOKUP($A13,'40Trips'!$A$3:$I$42,2,FALSE), VLOOKUP(T$1,'40Trips'!$A$3:$I$42,2,FALSE)),0)</f>
        <v>0</v>
      </c>
      <c r="U13">
        <f>IF(AND(SUM(VLOOKUP($A13,'40Trips'!$A$3:$I$42,2,FALSE),VLOOKUP(U$1,'40Trips'!$A$3:$I$42,2,FALSE))&lt;'40Trips'!$K$16,$A13&lt;&gt;U$1,gamma!U13=1),SUM(VLOOKUP($A13,'40Trips'!$A$3:$I$42,2,FALSE), VLOOKUP(U$1,'40Trips'!$A$3:$I$42,2,FALSE)),0)</f>
        <v>0</v>
      </c>
      <c r="V13">
        <f>IF(AND(SUM(VLOOKUP($A13,'40Trips'!$A$3:$I$42,2,FALSE),VLOOKUP(V$1,'40Trips'!$A$3:$I$42,2,FALSE))&lt;'40Trips'!$K$16,$A13&lt;&gt;V$1,gamma!V13=1),SUM(VLOOKUP($A13,'40Trips'!$A$3:$I$42,2,FALSE), VLOOKUP(V$1,'40Trips'!$A$3:$I$42,2,FALSE)),0)</f>
        <v>265</v>
      </c>
      <c r="W13">
        <f>IF(AND(SUM(VLOOKUP($A13,'40Trips'!$A$3:$I$42,2,FALSE),VLOOKUP(W$1,'40Trips'!$A$3:$I$42,2,FALSE))&lt;'40Trips'!$K$16,$A13&lt;&gt;W$1,gamma!W13=1),SUM(VLOOKUP($A13,'40Trips'!$A$3:$I$42,2,FALSE), VLOOKUP(W$1,'40Trips'!$A$3:$I$42,2,FALSE)),0)</f>
        <v>0</v>
      </c>
      <c r="X13">
        <f>IF(AND(SUM(VLOOKUP($A13,'40Trips'!$A$3:$I$42,2,FALSE),VLOOKUP(X$1,'40Trips'!$A$3:$I$42,2,FALSE))&lt;'40Trips'!$K$16,$A13&lt;&gt;X$1,gamma!X13=1),SUM(VLOOKUP($A13,'40Trips'!$A$3:$I$42,2,FALSE), VLOOKUP(X$1,'40Trips'!$A$3:$I$42,2,FALSE)),0)</f>
        <v>0</v>
      </c>
      <c r="Y13">
        <f>IF(AND(SUM(VLOOKUP($A13,'40Trips'!$A$3:$I$42,2,FALSE),VLOOKUP(Y$1,'40Trips'!$A$3:$I$42,2,FALSE))&lt;'40Trips'!$K$16,$A13&lt;&gt;Y$1,gamma!Y13=1),SUM(VLOOKUP($A13,'40Trips'!$A$3:$I$42,2,FALSE), VLOOKUP(Y$1,'40Trips'!$A$3:$I$42,2,FALSE)),0)</f>
        <v>0</v>
      </c>
      <c r="Z13">
        <f>IF(AND(SUM(VLOOKUP($A13,'40Trips'!$A$3:$I$42,2,FALSE),VLOOKUP(Z$1,'40Trips'!$A$3:$I$42,2,FALSE))&lt;'40Trips'!$K$16,$A13&lt;&gt;Z$1,gamma!Z13=1),SUM(VLOOKUP($A13,'40Trips'!$A$3:$I$42,2,FALSE), VLOOKUP(Z$1,'40Trips'!$A$3:$I$42,2,FALSE)),0)</f>
        <v>0</v>
      </c>
      <c r="AA13">
        <f>IF(AND(SUM(VLOOKUP($A13,'40Trips'!$A$3:$I$42,2,FALSE),VLOOKUP(AA$1,'40Trips'!$A$3:$I$42,2,FALSE))&lt;'40Trips'!$K$16,$A13&lt;&gt;AA$1,gamma!AA13=1),SUM(VLOOKUP($A13,'40Trips'!$A$3:$I$42,2,FALSE), VLOOKUP(AA$1,'40Trips'!$A$3:$I$42,2,FALSE)),0)</f>
        <v>0</v>
      </c>
      <c r="AB13">
        <f>IF(AND(SUM(VLOOKUP($A13,'40Trips'!$A$3:$I$42,2,FALSE),VLOOKUP(AB$1,'40Trips'!$A$3:$I$42,2,FALSE))&lt;'40Trips'!$K$16,$A13&lt;&gt;AB$1,gamma!AB13=1),SUM(VLOOKUP($A13,'40Trips'!$A$3:$I$42,2,FALSE), VLOOKUP(AB$1,'40Trips'!$A$3:$I$42,2,FALSE)),0)</f>
        <v>0</v>
      </c>
      <c r="AC13">
        <f>IF(AND(SUM(VLOOKUP($A13,'40Trips'!$A$3:$I$42,2,FALSE),VLOOKUP(AC$1,'40Trips'!$A$3:$I$42,2,FALSE))&lt;'40Trips'!$K$16,$A13&lt;&gt;AC$1,gamma!AC13=1),SUM(VLOOKUP($A13,'40Trips'!$A$3:$I$42,2,FALSE), VLOOKUP(AC$1,'40Trips'!$A$3:$I$42,2,FALSE)),0)</f>
        <v>0</v>
      </c>
      <c r="AD13">
        <f>IF(AND(SUM(VLOOKUP($A13,'40Trips'!$A$3:$I$42,2,FALSE),VLOOKUP(AD$1,'40Trips'!$A$3:$I$42,2,FALSE))&lt;'40Trips'!$K$16,$A13&lt;&gt;AD$1,gamma!AD13=1),SUM(VLOOKUP($A13,'40Trips'!$A$3:$I$42,2,FALSE), VLOOKUP(AD$1,'40Trips'!$A$3:$I$42,2,FALSE)),0)</f>
        <v>265</v>
      </c>
      <c r="AE13">
        <f>IF(AND(SUM(VLOOKUP($A13,'40Trips'!$A$3:$I$42,2,FALSE),VLOOKUP(AE$1,'40Trips'!$A$3:$I$42,2,FALSE))&lt;'40Trips'!$K$16,$A13&lt;&gt;AE$1,gamma!AE13=1),SUM(VLOOKUP($A13,'40Trips'!$A$3:$I$42,2,FALSE), VLOOKUP(AE$1,'40Trips'!$A$3:$I$42,2,FALSE)),0)</f>
        <v>0</v>
      </c>
      <c r="AF13">
        <f>IF(AND(SUM(VLOOKUP($A13,'40Trips'!$A$3:$I$42,2,FALSE),VLOOKUP(AF$1,'40Trips'!$A$3:$I$42,2,FALSE))&lt;'40Trips'!$K$16,$A13&lt;&gt;AF$1,gamma!AF13=1),SUM(VLOOKUP($A13,'40Trips'!$A$3:$I$42,2,FALSE), VLOOKUP(AF$1,'40Trips'!$A$3:$I$42,2,FALSE)),0)</f>
        <v>0</v>
      </c>
      <c r="AG13">
        <f>IF(AND(SUM(VLOOKUP($A13,'40Trips'!$A$3:$I$42,2,FALSE),VLOOKUP(AG$1,'40Trips'!$A$3:$I$42,2,FALSE))&lt;'40Trips'!$K$16,$A13&lt;&gt;AG$1,gamma!AG13=1),SUM(VLOOKUP($A13,'40Trips'!$A$3:$I$42,2,FALSE), VLOOKUP(AG$1,'40Trips'!$A$3:$I$42,2,FALSE)),0)</f>
        <v>0</v>
      </c>
      <c r="AH13">
        <f>IF(AND(SUM(VLOOKUP($A13,'40Trips'!$A$3:$I$42,2,FALSE),VLOOKUP(AH$1,'40Trips'!$A$3:$I$42,2,FALSE))&lt;'40Trips'!$K$16,$A13&lt;&gt;AH$1,gamma!AH13=1),SUM(VLOOKUP($A13,'40Trips'!$A$3:$I$42,2,FALSE), VLOOKUP(AH$1,'40Trips'!$A$3:$I$42,2,FALSE)),0)</f>
        <v>0</v>
      </c>
      <c r="AI13">
        <f>IF(AND(SUM(VLOOKUP($A13,'40Trips'!$A$3:$I$42,2,FALSE),VLOOKUP(AI$1,'40Trips'!$A$3:$I$42,2,FALSE))&lt;'40Trips'!$K$16,$A13&lt;&gt;AI$1,gamma!AI13=1),SUM(VLOOKUP($A13,'40Trips'!$A$3:$I$42,2,FALSE), VLOOKUP(AI$1,'40Trips'!$A$3:$I$42,2,FALSE)),0)</f>
        <v>0</v>
      </c>
      <c r="AJ13">
        <f>IF(AND(SUM(VLOOKUP($A13,'40Trips'!$A$3:$I$42,2,FALSE),VLOOKUP(AJ$1,'40Trips'!$A$3:$I$42,2,FALSE))&lt;'40Trips'!$K$16,$A13&lt;&gt;AJ$1,gamma!AJ13=1),SUM(VLOOKUP($A13,'40Trips'!$A$3:$I$42,2,FALSE), VLOOKUP(AJ$1,'40Trips'!$A$3:$I$42,2,FALSE)),0)</f>
        <v>0</v>
      </c>
      <c r="AK13">
        <f>IF(AND(SUM(VLOOKUP($A13,'40Trips'!$A$3:$I$42,2,FALSE),VLOOKUP(AK$1,'40Trips'!$A$3:$I$42,2,FALSE))&lt;'40Trips'!$K$16,$A13&lt;&gt;AK$1,gamma!AK13=1),SUM(VLOOKUP($A13,'40Trips'!$A$3:$I$42,2,FALSE), VLOOKUP(AK$1,'40Trips'!$A$3:$I$42,2,FALSE)),0)</f>
        <v>0</v>
      </c>
      <c r="AL13">
        <f>IF(AND(SUM(VLOOKUP($A13,'40Trips'!$A$3:$I$42,2,FALSE),VLOOKUP(AL$1,'40Trips'!$A$3:$I$42,2,FALSE))&lt;'40Trips'!$K$16,$A13&lt;&gt;AL$1,gamma!AL13=1),SUM(VLOOKUP($A13,'40Trips'!$A$3:$I$42,2,FALSE), VLOOKUP(AL$1,'40Trips'!$A$3:$I$42,2,FALSE)),0)</f>
        <v>275</v>
      </c>
      <c r="AM13">
        <f>IF(AND(SUM(VLOOKUP($A13,'40Trips'!$A$3:$I$42,2,FALSE),VLOOKUP(AM$1,'40Trips'!$A$3:$I$42,2,FALSE))&lt;'40Trips'!$K$16,$A13&lt;&gt;AM$1,gamma!AM13=1),SUM(VLOOKUP($A13,'40Trips'!$A$3:$I$42,2,FALSE), VLOOKUP(AM$1,'40Trips'!$A$3:$I$42,2,FALSE)),0)</f>
        <v>0</v>
      </c>
      <c r="AN13">
        <f>IF(AND(SUM(VLOOKUP($A13,'40Trips'!$A$3:$I$42,2,FALSE),VLOOKUP(AN$1,'40Trips'!$A$3:$I$42,2,FALSE))&lt;'40Trips'!$K$16,$A13&lt;&gt;AN$1,gamma!AN13=1),SUM(VLOOKUP($A13,'40Trips'!$A$3:$I$42,2,FALSE), VLOOKUP(AN$1,'40Trips'!$A$3:$I$42,2,FALSE)),0)</f>
        <v>0</v>
      </c>
      <c r="AO13">
        <f>IF(AND(SUM(VLOOKUP($A13,'40Trips'!$A$3:$I$42,2,FALSE),VLOOKUP(AO$1,'40Trips'!$A$3:$I$42,2,FALSE))&lt;'40Trips'!$K$16,$A13&lt;&gt;AO$1,gamma!AO13=1),SUM(VLOOKUP($A13,'40Trips'!$A$3:$I$42,2,FALSE), VLOOKUP(AO$1,'40Trips'!$A$3:$I$42,2,FALSE)),0)</f>
        <v>0</v>
      </c>
      <c r="AP13">
        <f>IF(AND(SUM(VLOOKUP($A13,'40Trips'!$A$3:$I$42,2,FALSE),VLOOKUP(AP$1,'40Trips'!$A$3:$I$42,2,FALSE))&lt;'40Trips'!$K$16,$A13&lt;&gt;AP$1,gamma!AP13=1),SUM(VLOOKUP($A13,'40Trips'!$A$3:$I$42,2,FALSE), VLOOKUP(AP$1,'40Trips'!$A$3:$I$42,2,FALSE)),0)</f>
        <v>270</v>
      </c>
      <c r="AQ13">
        <v>0</v>
      </c>
      <c r="AR13">
        <v>0</v>
      </c>
      <c r="AS13">
        <v>0</v>
      </c>
      <c r="AT13">
        <v>0</v>
      </c>
    </row>
    <row r="14" spans="1:46" x14ac:dyDescent="0.25">
      <c r="A14" t="s">
        <v>26</v>
      </c>
      <c r="B14">
        <v>0</v>
      </c>
      <c r="C14">
        <f>IF(AND(SUM(VLOOKUP($A14,'40Trips'!$A$3:$I$42,2,FALSE),VLOOKUP(C$1,'40Trips'!$A$3:$I$42,2,FALSE))&lt;'40Trips'!$K$16,$A14&lt;&gt;C$1,gamma!C14=1),SUM(VLOOKUP($A14,'40Trips'!$A$3:$I$42,2,FALSE), VLOOKUP(C$1,'40Trips'!$A$3:$I$42,2,FALSE)),0)</f>
        <v>0</v>
      </c>
      <c r="D14">
        <f>IF(AND(SUM(VLOOKUP($A14,'40Trips'!$A$3:$I$42,2,FALSE),VLOOKUP(D$1,'40Trips'!$A$3:$I$42,2,FALSE))&lt;'40Trips'!$K$16,$A14&lt;&gt;D$1,gamma!D14=1),SUM(VLOOKUP($A14,'40Trips'!$A$3:$I$42,2,FALSE), VLOOKUP(D$1,'40Trips'!$A$3:$I$42,2,FALSE)),0)</f>
        <v>270</v>
      </c>
      <c r="E14">
        <f>IF(AND(SUM(VLOOKUP($A14,'40Trips'!$A$3:$I$42,2,FALSE),VLOOKUP(E$1,'40Trips'!$A$3:$I$42,2,FALSE))&lt;'40Trips'!$K$16,$A14&lt;&gt;E$1,gamma!E14=1),SUM(VLOOKUP($A14,'40Trips'!$A$3:$I$42,2,FALSE), VLOOKUP(E$1,'40Trips'!$A$3:$I$42,2,FALSE)),0)</f>
        <v>270</v>
      </c>
      <c r="F14">
        <f>IF(AND(SUM(VLOOKUP($A14,'40Trips'!$A$3:$I$42,2,FALSE),VLOOKUP(F$1,'40Trips'!$A$3:$I$42,2,FALSE))&lt;'40Trips'!$K$16,$A14&lt;&gt;F$1,gamma!F14=1),SUM(VLOOKUP($A14,'40Trips'!$A$3:$I$42,2,FALSE), VLOOKUP(F$1,'40Trips'!$A$3:$I$42,2,FALSE)),0)</f>
        <v>270</v>
      </c>
      <c r="G14">
        <f>IF(AND(SUM(VLOOKUP($A14,'40Trips'!$A$3:$I$42,2,FALSE),VLOOKUP(G$1,'40Trips'!$A$3:$I$42,2,FALSE))&lt;'40Trips'!$K$16,$A14&lt;&gt;G$1,gamma!G14=1),SUM(VLOOKUP($A14,'40Trips'!$A$3:$I$42,2,FALSE), VLOOKUP(G$1,'40Trips'!$A$3:$I$42,2,FALSE)),0)</f>
        <v>0</v>
      </c>
      <c r="H14">
        <f>IF(AND(SUM(VLOOKUP($A14,'40Trips'!$A$3:$I$42,2,FALSE),VLOOKUP(H$1,'40Trips'!$A$3:$I$42,2,FALSE))&lt;'40Trips'!$K$16,$A14&lt;&gt;H$1,gamma!H14=1),SUM(VLOOKUP($A14,'40Trips'!$A$3:$I$42,2,FALSE), VLOOKUP(H$1,'40Trips'!$A$3:$I$42,2,FALSE)),0)</f>
        <v>0</v>
      </c>
      <c r="I14">
        <f>IF(AND(SUM(VLOOKUP($A14,'40Trips'!$A$3:$I$42,2,FALSE),VLOOKUP(I$1,'40Trips'!$A$3:$I$42,2,FALSE))&lt;'40Trips'!$K$16,$A14&lt;&gt;I$1,gamma!I14=1),SUM(VLOOKUP($A14,'40Trips'!$A$3:$I$42,2,FALSE), VLOOKUP(I$1,'40Trips'!$A$3:$I$42,2,FALSE)),0)</f>
        <v>275</v>
      </c>
      <c r="J14">
        <f>IF(AND(SUM(VLOOKUP($A14,'40Trips'!$A$3:$I$42,2,FALSE),VLOOKUP(J$1,'40Trips'!$A$3:$I$42,2,FALSE))&lt;'40Trips'!$K$16,$A14&lt;&gt;J$1,gamma!J14=1),SUM(VLOOKUP($A14,'40Trips'!$A$3:$I$42,2,FALSE), VLOOKUP(J$1,'40Trips'!$A$3:$I$42,2,FALSE)),0)</f>
        <v>275</v>
      </c>
      <c r="K14">
        <f>IF(AND(SUM(VLOOKUP($A14,'40Trips'!$A$3:$I$42,2,FALSE),VLOOKUP(K$1,'40Trips'!$A$3:$I$42,2,FALSE))&lt;'40Trips'!$K$16,$A14&lt;&gt;K$1,gamma!K14=1),SUM(VLOOKUP($A14,'40Trips'!$A$3:$I$42,2,FALSE), VLOOKUP(K$1,'40Trips'!$A$3:$I$42,2,FALSE)),0)</f>
        <v>0</v>
      </c>
      <c r="L14">
        <f>IF(AND(SUM(VLOOKUP($A14,'40Trips'!$A$3:$I$42,2,FALSE),VLOOKUP(L$1,'40Trips'!$A$3:$I$42,2,FALSE))&lt;'40Trips'!$K$16,$A14&lt;&gt;L$1,gamma!L14=1),SUM(VLOOKUP($A14,'40Trips'!$A$3:$I$42,2,FALSE), VLOOKUP(L$1,'40Trips'!$A$3:$I$42,2,FALSE)),0)</f>
        <v>0</v>
      </c>
      <c r="M14">
        <f>IF(AND(SUM(VLOOKUP($A14,'40Trips'!$A$3:$I$42,2,FALSE),VLOOKUP(M$1,'40Trips'!$A$3:$I$42,2,FALSE))&lt;'40Trips'!$K$16,$A14&lt;&gt;M$1,gamma!M14=1),SUM(VLOOKUP($A14,'40Trips'!$A$3:$I$42,2,FALSE), VLOOKUP(M$1,'40Trips'!$A$3:$I$42,2,FALSE)),0)</f>
        <v>270</v>
      </c>
      <c r="N14">
        <f>IF(AND(SUM(VLOOKUP($A14,'40Trips'!$A$3:$I$42,2,FALSE),VLOOKUP(N$1,'40Trips'!$A$3:$I$42,2,FALSE))&lt;'40Trips'!$K$16,$A14&lt;&gt;N$1,gamma!N14=1),SUM(VLOOKUP($A14,'40Trips'!$A$3:$I$42,2,FALSE), VLOOKUP(N$1,'40Trips'!$A$3:$I$42,2,FALSE)),0)</f>
        <v>0</v>
      </c>
      <c r="O14">
        <f>IF(AND(SUM(VLOOKUP($A14,'40Trips'!$A$3:$I$42,2,FALSE),VLOOKUP(O$1,'40Trips'!$A$3:$I$42,2,FALSE))&lt;'40Trips'!$K$16,$A14&lt;&gt;O$1,gamma!O14=1),SUM(VLOOKUP($A14,'40Trips'!$A$3:$I$42,2,FALSE), VLOOKUP(O$1,'40Trips'!$A$3:$I$42,2,FALSE)),0)</f>
        <v>0</v>
      </c>
      <c r="P14">
        <f>IF(AND(SUM(VLOOKUP($A14,'40Trips'!$A$3:$I$42,2,FALSE),VLOOKUP(P$1,'40Trips'!$A$3:$I$42,2,FALSE))&lt;'40Trips'!$K$16,$A14&lt;&gt;P$1,gamma!P14=1),SUM(VLOOKUP($A14,'40Trips'!$A$3:$I$42,2,FALSE), VLOOKUP(P$1,'40Trips'!$A$3:$I$42,2,FALSE)),0)</f>
        <v>270</v>
      </c>
      <c r="Q14">
        <f>IF(AND(SUM(VLOOKUP($A14,'40Trips'!$A$3:$I$42,2,FALSE),VLOOKUP(Q$1,'40Trips'!$A$3:$I$42,2,FALSE))&lt;'40Trips'!$K$16,$A14&lt;&gt;Q$1,gamma!Q14=1),SUM(VLOOKUP($A14,'40Trips'!$A$3:$I$42,2,FALSE), VLOOKUP(Q$1,'40Trips'!$A$3:$I$42,2,FALSE)),0)</f>
        <v>270</v>
      </c>
      <c r="R14">
        <f>IF(AND(SUM(VLOOKUP($A14,'40Trips'!$A$3:$I$42,2,FALSE),VLOOKUP(R$1,'40Trips'!$A$3:$I$42,2,FALSE))&lt;'40Trips'!$K$16,$A14&lt;&gt;R$1,gamma!R14=1),SUM(VLOOKUP($A14,'40Trips'!$A$3:$I$42,2,FALSE), VLOOKUP(R$1,'40Trips'!$A$3:$I$42,2,FALSE)),0)</f>
        <v>270</v>
      </c>
      <c r="S14">
        <f>IF(AND(SUM(VLOOKUP($A14,'40Trips'!$A$3:$I$42,2,FALSE),VLOOKUP(S$1,'40Trips'!$A$3:$I$42,2,FALSE))&lt;'40Trips'!$K$16,$A14&lt;&gt;S$1,gamma!S14=1),SUM(VLOOKUP($A14,'40Trips'!$A$3:$I$42,2,FALSE), VLOOKUP(S$1,'40Trips'!$A$3:$I$42,2,FALSE)),0)</f>
        <v>0</v>
      </c>
      <c r="T14">
        <f>IF(AND(SUM(VLOOKUP($A14,'40Trips'!$A$3:$I$42,2,FALSE),VLOOKUP(T$1,'40Trips'!$A$3:$I$42,2,FALSE))&lt;'40Trips'!$K$16,$A14&lt;&gt;T$1,gamma!T14=1),SUM(VLOOKUP($A14,'40Trips'!$A$3:$I$42,2,FALSE), VLOOKUP(T$1,'40Trips'!$A$3:$I$42,2,FALSE)),0)</f>
        <v>0</v>
      </c>
      <c r="U14">
        <f>IF(AND(SUM(VLOOKUP($A14,'40Trips'!$A$3:$I$42,2,FALSE),VLOOKUP(U$1,'40Trips'!$A$3:$I$42,2,FALSE))&lt;'40Trips'!$K$16,$A14&lt;&gt;U$1,gamma!U14=1),SUM(VLOOKUP($A14,'40Trips'!$A$3:$I$42,2,FALSE), VLOOKUP(U$1,'40Trips'!$A$3:$I$42,2,FALSE)),0)</f>
        <v>255</v>
      </c>
      <c r="V14">
        <f>IF(AND(SUM(VLOOKUP($A14,'40Trips'!$A$3:$I$42,2,FALSE),VLOOKUP(V$1,'40Trips'!$A$3:$I$42,2,FALSE))&lt;'40Trips'!$K$16,$A14&lt;&gt;V$1,gamma!V14=1),SUM(VLOOKUP($A14,'40Trips'!$A$3:$I$42,2,FALSE), VLOOKUP(V$1,'40Trips'!$A$3:$I$42,2,FALSE)),0)</f>
        <v>265</v>
      </c>
      <c r="W14">
        <f>IF(AND(SUM(VLOOKUP($A14,'40Trips'!$A$3:$I$42,2,FALSE),VLOOKUP(W$1,'40Trips'!$A$3:$I$42,2,FALSE))&lt;'40Trips'!$K$16,$A14&lt;&gt;W$1,gamma!W14=1),SUM(VLOOKUP($A14,'40Trips'!$A$3:$I$42,2,FALSE), VLOOKUP(W$1,'40Trips'!$A$3:$I$42,2,FALSE)),0)</f>
        <v>0</v>
      </c>
      <c r="X14">
        <f>IF(AND(SUM(VLOOKUP($A14,'40Trips'!$A$3:$I$42,2,FALSE),VLOOKUP(X$1,'40Trips'!$A$3:$I$42,2,FALSE))&lt;'40Trips'!$K$16,$A14&lt;&gt;X$1,gamma!X14=1),SUM(VLOOKUP($A14,'40Trips'!$A$3:$I$42,2,FALSE), VLOOKUP(X$1,'40Trips'!$A$3:$I$42,2,FALSE)),0)</f>
        <v>275</v>
      </c>
      <c r="Y14">
        <f>IF(AND(SUM(VLOOKUP($A14,'40Trips'!$A$3:$I$42,2,FALSE),VLOOKUP(Y$1,'40Trips'!$A$3:$I$42,2,FALSE))&lt;'40Trips'!$K$16,$A14&lt;&gt;Y$1,gamma!Y14=1),SUM(VLOOKUP($A14,'40Trips'!$A$3:$I$42,2,FALSE), VLOOKUP(Y$1,'40Trips'!$A$3:$I$42,2,FALSE)),0)</f>
        <v>275</v>
      </c>
      <c r="Z14">
        <f>IF(AND(SUM(VLOOKUP($A14,'40Trips'!$A$3:$I$42,2,FALSE),VLOOKUP(Z$1,'40Trips'!$A$3:$I$42,2,FALSE))&lt;'40Trips'!$K$16,$A14&lt;&gt;Z$1,gamma!Z14=1),SUM(VLOOKUP($A14,'40Trips'!$A$3:$I$42,2,FALSE), VLOOKUP(Z$1,'40Trips'!$A$3:$I$42,2,FALSE)),0)</f>
        <v>275</v>
      </c>
      <c r="AA14">
        <f>IF(AND(SUM(VLOOKUP($A14,'40Trips'!$A$3:$I$42,2,FALSE),VLOOKUP(AA$1,'40Trips'!$A$3:$I$42,2,FALSE))&lt;'40Trips'!$K$16,$A14&lt;&gt;AA$1,gamma!AA14=1),SUM(VLOOKUP($A14,'40Trips'!$A$3:$I$42,2,FALSE), VLOOKUP(AA$1,'40Trips'!$A$3:$I$42,2,FALSE)),0)</f>
        <v>0</v>
      </c>
      <c r="AB14">
        <f>IF(AND(SUM(VLOOKUP($A14,'40Trips'!$A$3:$I$42,2,FALSE),VLOOKUP(AB$1,'40Trips'!$A$3:$I$42,2,FALSE))&lt;'40Trips'!$K$16,$A14&lt;&gt;AB$1,gamma!AB14=1),SUM(VLOOKUP($A14,'40Trips'!$A$3:$I$42,2,FALSE), VLOOKUP(AB$1,'40Trips'!$A$3:$I$42,2,FALSE)),0)</f>
        <v>0</v>
      </c>
      <c r="AC14">
        <f>IF(AND(SUM(VLOOKUP($A14,'40Trips'!$A$3:$I$42,2,FALSE),VLOOKUP(AC$1,'40Trips'!$A$3:$I$42,2,FALSE))&lt;'40Trips'!$K$16,$A14&lt;&gt;AC$1,gamma!AC14=1),SUM(VLOOKUP($A14,'40Trips'!$A$3:$I$42,2,FALSE), VLOOKUP(AC$1,'40Trips'!$A$3:$I$42,2,FALSE)),0)</f>
        <v>255</v>
      </c>
      <c r="AD14">
        <f>IF(AND(SUM(VLOOKUP($A14,'40Trips'!$A$3:$I$42,2,FALSE),VLOOKUP(AD$1,'40Trips'!$A$3:$I$42,2,FALSE))&lt;'40Trips'!$K$16,$A14&lt;&gt;AD$1,gamma!AD14=1),SUM(VLOOKUP($A14,'40Trips'!$A$3:$I$42,2,FALSE), VLOOKUP(AD$1,'40Trips'!$A$3:$I$42,2,FALSE)),0)</f>
        <v>265</v>
      </c>
      <c r="AE14">
        <f>IF(AND(SUM(VLOOKUP($A14,'40Trips'!$A$3:$I$42,2,FALSE),VLOOKUP(AE$1,'40Trips'!$A$3:$I$42,2,FALSE))&lt;'40Trips'!$K$16,$A14&lt;&gt;AE$1,gamma!AE14=1),SUM(VLOOKUP($A14,'40Trips'!$A$3:$I$42,2,FALSE), VLOOKUP(AE$1,'40Trips'!$A$3:$I$42,2,FALSE)),0)</f>
        <v>0</v>
      </c>
      <c r="AF14">
        <f>IF(AND(SUM(VLOOKUP($A14,'40Trips'!$A$3:$I$42,2,FALSE),VLOOKUP(AF$1,'40Trips'!$A$3:$I$42,2,FALSE))&lt;'40Trips'!$K$16,$A14&lt;&gt;AF$1,gamma!AF14=1),SUM(VLOOKUP($A14,'40Trips'!$A$3:$I$42,2,FALSE), VLOOKUP(AF$1,'40Trips'!$A$3:$I$42,2,FALSE)),0)</f>
        <v>0</v>
      </c>
      <c r="AG14">
        <f>IF(AND(SUM(VLOOKUP($A14,'40Trips'!$A$3:$I$42,2,FALSE),VLOOKUP(AG$1,'40Trips'!$A$3:$I$42,2,FALSE))&lt;'40Trips'!$K$16,$A14&lt;&gt;AG$1,gamma!AG14=1),SUM(VLOOKUP($A14,'40Trips'!$A$3:$I$42,2,FALSE), VLOOKUP(AG$1,'40Trips'!$A$3:$I$42,2,FALSE)),0)</f>
        <v>0</v>
      </c>
      <c r="AH14">
        <f>IF(AND(SUM(VLOOKUP($A14,'40Trips'!$A$3:$I$42,2,FALSE),VLOOKUP(AH$1,'40Trips'!$A$3:$I$42,2,FALSE))&lt;'40Trips'!$K$16,$A14&lt;&gt;AH$1,gamma!AH14=1),SUM(VLOOKUP($A14,'40Trips'!$A$3:$I$42,2,FALSE), VLOOKUP(AH$1,'40Trips'!$A$3:$I$42,2,FALSE)),0)</f>
        <v>270</v>
      </c>
      <c r="AI14">
        <f>IF(AND(SUM(VLOOKUP($A14,'40Trips'!$A$3:$I$42,2,FALSE),VLOOKUP(AI$1,'40Trips'!$A$3:$I$42,2,FALSE))&lt;'40Trips'!$K$16,$A14&lt;&gt;AI$1,gamma!AI14=1),SUM(VLOOKUP($A14,'40Trips'!$A$3:$I$42,2,FALSE), VLOOKUP(AI$1,'40Trips'!$A$3:$I$42,2,FALSE)),0)</f>
        <v>275</v>
      </c>
      <c r="AJ14">
        <f>IF(AND(SUM(VLOOKUP($A14,'40Trips'!$A$3:$I$42,2,FALSE),VLOOKUP(AJ$1,'40Trips'!$A$3:$I$42,2,FALSE))&lt;'40Trips'!$K$16,$A14&lt;&gt;AJ$1,gamma!AJ14=1),SUM(VLOOKUP($A14,'40Trips'!$A$3:$I$42,2,FALSE), VLOOKUP(AJ$1,'40Trips'!$A$3:$I$42,2,FALSE)),0)</f>
        <v>270</v>
      </c>
      <c r="AK14">
        <f>IF(AND(SUM(VLOOKUP($A14,'40Trips'!$A$3:$I$42,2,FALSE),VLOOKUP(AK$1,'40Trips'!$A$3:$I$42,2,FALSE))&lt;'40Trips'!$K$16,$A14&lt;&gt;AK$1,gamma!AK14=1),SUM(VLOOKUP($A14,'40Trips'!$A$3:$I$42,2,FALSE), VLOOKUP(AK$1,'40Trips'!$A$3:$I$42,2,FALSE)),0)</f>
        <v>275</v>
      </c>
      <c r="AL14">
        <f>IF(AND(SUM(VLOOKUP($A14,'40Trips'!$A$3:$I$42,2,FALSE),VLOOKUP(AL$1,'40Trips'!$A$3:$I$42,2,FALSE))&lt;'40Trips'!$K$16,$A14&lt;&gt;AL$1,gamma!AL14=1),SUM(VLOOKUP($A14,'40Trips'!$A$3:$I$42,2,FALSE), VLOOKUP(AL$1,'40Trips'!$A$3:$I$42,2,FALSE)),0)</f>
        <v>275</v>
      </c>
      <c r="AM14">
        <f>IF(AND(SUM(VLOOKUP($A14,'40Trips'!$A$3:$I$42,2,FALSE),VLOOKUP(AM$1,'40Trips'!$A$3:$I$42,2,FALSE))&lt;'40Trips'!$K$16,$A14&lt;&gt;AM$1,gamma!AM14=1),SUM(VLOOKUP($A14,'40Trips'!$A$3:$I$42,2,FALSE), VLOOKUP(AM$1,'40Trips'!$A$3:$I$42,2,FALSE)),0)</f>
        <v>0</v>
      </c>
      <c r="AN14">
        <f>IF(AND(SUM(VLOOKUP($A14,'40Trips'!$A$3:$I$42,2,FALSE),VLOOKUP(AN$1,'40Trips'!$A$3:$I$42,2,FALSE))&lt;'40Trips'!$K$16,$A14&lt;&gt;AN$1,gamma!AN14=1),SUM(VLOOKUP($A14,'40Trips'!$A$3:$I$42,2,FALSE), VLOOKUP(AN$1,'40Trips'!$A$3:$I$42,2,FALSE)),0)</f>
        <v>255</v>
      </c>
      <c r="AO14">
        <f>IF(AND(SUM(VLOOKUP($A14,'40Trips'!$A$3:$I$42,2,FALSE),VLOOKUP(AO$1,'40Trips'!$A$3:$I$42,2,FALSE))&lt;'40Trips'!$K$16,$A14&lt;&gt;AO$1,gamma!AO14=1),SUM(VLOOKUP($A14,'40Trips'!$A$3:$I$42,2,FALSE), VLOOKUP(AO$1,'40Trips'!$A$3:$I$42,2,FALSE)),0)</f>
        <v>255</v>
      </c>
      <c r="AP14">
        <f>IF(AND(SUM(VLOOKUP($A14,'40Trips'!$A$3:$I$42,2,FALSE),VLOOKUP(AP$1,'40Trips'!$A$3:$I$42,2,FALSE))&lt;'40Trips'!$K$16,$A14&lt;&gt;AP$1,gamma!AP14=1),SUM(VLOOKUP($A14,'40Trips'!$A$3:$I$42,2,FALSE), VLOOKUP(AP$1,'40Trips'!$A$3:$I$42,2,FALSE)),0)</f>
        <v>270</v>
      </c>
      <c r="AQ14">
        <v>0</v>
      </c>
      <c r="AR14">
        <v>0</v>
      </c>
      <c r="AS14">
        <v>0</v>
      </c>
      <c r="AT14">
        <v>0</v>
      </c>
    </row>
    <row r="15" spans="1:46" x14ac:dyDescent="0.25">
      <c r="A15" t="s">
        <v>27</v>
      </c>
      <c r="B15">
        <v>0</v>
      </c>
      <c r="C15">
        <f>IF(AND(SUM(VLOOKUP($A15,'40Trips'!$A$3:$I$42,2,FALSE),VLOOKUP(C$1,'40Trips'!$A$3:$I$42,2,FALSE))&lt;'40Trips'!$K$16,$A15&lt;&gt;C$1,gamma!C15=1),SUM(VLOOKUP($A15,'40Trips'!$A$3:$I$42,2,FALSE), VLOOKUP(C$1,'40Trips'!$A$3:$I$42,2,FALSE)),0)</f>
        <v>0</v>
      </c>
      <c r="D15">
        <f>IF(AND(SUM(VLOOKUP($A15,'40Trips'!$A$3:$I$42,2,FALSE),VLOOKUP(D$1,'40Trips'!$A$3:$I$42,2,FALSE))&lt;'40Trips'!$K$16,$A15&lt;&gt;D$1,gamma!D15=1),SUM(VLOOKUP($A15,'40Trips'!$A$3:$I$42,2,FALSE), VLOOKUP(D$1,'40Trips'!$A$3:$I$42,2,FALSE)),0)</f>
        <v>0</v>
      </c>
      <c r="E15">
        <f>IF(AND(SUM(VLOOKUP($A15,'40Trips'!$A$3:$I$42,2,FALSE),VLOOKUP(E$1,'40Trips'!$A$3:$I$42,2,FALSE))&lt;'40Trips'!$K$16,$A15&lt;&gt;E$1,gamma!E15=1),SUM(VLOOKUP($A15,'40Trips'!$A$3:$I$42,2,FALSE), VLOOKUP(E$1,'40Trips'!$A$3:$I$42,2,FALSE)),0)</f>
        <v>270</v>
      </c>
      <c r="F15">
        <f>IF(AND(SUM(VLOOKUP($A15,'40Trips'!$A$3:$I$42,2,FALSE),VLOOKUP(F$1,'40Trips'!$A$3:$I$42,2,FALSE))&lt;'40Trips'!$K$16,$A15&lt;&gt;F$1,gamma!F15=1),SUM(VLOOKUP($A15,'40Trips'!$A$3:$I$42,2,FALSE), VLOOKUP(F$1,'40Trips'!$A$3:$I$42,2,FALSE)),0)</f>
        <v>270</v>
      </c>
      <c r="G15">
        <f>IF(AND(SUM(VLOOKUP($A15,'40Trips'!$A$3:$I$42,2,FALSE),VLOOKUP(G$1,'40Trips'!$A$3:$I$42,2,FALSE))&lt;'40Trips'!$K$16,$A15&lt;&gt;G$1,gamma!G15=1),SUM(VLOOKUP($A15,'40Trips'!$A$3:$I$42,2,FALSE), VLOOKUP(G$1,'40Trips'!$A$3:$I$42,2,FALSE)),0)</f>
        <v>0</v>
      </c>
      <c r="H15">
        <f>IF(AND(SUM(VLOOKUP($A15,'40Trips'!$A$3:$I$42,2,FALSE),VLOOKUP(H$1,'40Trips'!$A$3:$I$42,2,FALSE))&lt;'40Trips'!$K$16,$A15&lt;&gt;H$1,gamma!H15=1),SUM(VLOOKUP($A15,'40Trips'!$A$3:$I$42,2,FALSE), VLOOKUP(H$1,'40Trips'!$A$3:$I$42,2,FALSE)),0)</f>
        <v>0</v>
      </c>
      <c r="I15">
        <f>IF(AND(SUM(VLOOKUP($A15,'40Trips'!$A$3:$I$42,2,FALSE),VLOOKUP(I$1,'40Trips'!$A$3:$I$42,2,FALSE))&lt;'40Trips'!$K$16,$A15&lt;&gt;I$1,gamma!I15=1),SUM(VLOOKUP($A15,'40Trips'!$A$3:$I$42,2,FALSE), VLOOKUP(I$1,'40Trips'!$A$3:$I$42,2,FALSE)),0)</f>
        <v>275</v>
      </c>
      <c r="J15">
        <f>IF(AND(SUM(VLOOKUP($A15,'40Trips'!$A$3:$I$42,2,FALSE),VLOOKUP(J$1,'40Trips'!$A$3:$I$42,2,FALSE))&lt;'40Trips'!$K$16,$A15&lt;&gt;J$1,gamma!J15=1),SUM(VLOOKUP($A15,'40Trips'!$A$3:$I$42,2,FALSE), VLOOKUP(J$1,'40Trips'!$A$3:$I$42,2,FALSE)),0)</f>
        <v>275</v>
      </c>
      <c r="K15">
        <f>IF(AND(SUM(VLOOKUP($A15,'40Trips'!$A$3:$I$42,2,FALSE),VLOOKUP(K$1,'40Trips'!$A$3:$I$42,2,FALSE))&lt;'40Trips'!$K$16,$A15&lt;&gt;K$1,gamma!K15=1),SUM(VLOOKUP($A15,'40Trips'!$A$3:$I$42,2,FALSE), VLOOKUP(K$1,'40Trips'!$A$3:$I$42,2,FALSE)),0)</f>
        <v>0</v>
      </c>
      <c r="L15">
        <f>IF(AND(SUM(VLOOKUP($A15,'40Trips'!$A$3:$I$42,2,FALSE),VLOOKUP(L$1,'40Trips'!$A$3:$I$42,2,FALSE))&lt;'40Trips'!$K$16,$A15&lt;&gt;L$1,gamma!L15=1),SUM(VLOOKUP($A15,'40Trips'!$A$3:$I$42,2,FALSE), VLOOKUP(L$1,'40Trips'!$A$3:$I$42,2,FALSE)),0)</f>
        <v>0</v>
      </c>
      <c r="M15">
        <f>IF(AND(SUM(VLOOKUP($A15,'40Trips'!$A$3:$I$42,2,FALSE),VLOOKUP(M$1,'40Trips'!$A$3:$I$42,2,FALSE))&lt;'40Trips'!$K$16,$A15&lt;&gt;M$1,gamma!M15=1),SUM(VLOOKUP($A15,'40Trips'!$A$3:$I$42,2,FALSE), VLOOKUP(M$1,'40Trips'!$A$3:$I$42,2,FALSE)),0)</f>
        <v>270</v>
      </c>
      <c r="N15">
        <f>IF(AND(SUM(VLOOKUP($A15,'40Trips'!$A$3:$I$42,2,FALSE),VLOOKUP(N$1,'40Trips'!$A$3:$I$42,2,FALSE))&lt;'40Trips'!$K$16,$A15&lt;&gt;N$1,gamma!N15=1),SUM(VLOOKUP($A15,'40Trips'!$A$3:$I$42,2,FALSE), VLOOKUP(N$1,'40Trips'!$A$3:$I$42,2,FALSE)),0)</f>
        <v>0</v>
      </c>
      <c r="O15">
        <f>IF(AND(SUM(VLOOKUP($A15,'40Trips'!$A$3:$I$42,2,FALSE),VLOOKUP(O$1,'40Trips'!$A$3:$I$42,2,FALSE))&lt;'40Trips'!$K$16,$A15&lt;&gt;O$1,gamma!O15=1),SUM(VLOOKUP($A15,'40Trips'!$A$3:$I$42,2,FALSE), VLOOKUP(O$1,'40Trips'!$A$3:$I$42,2,FALSE)),0)</f>
        <v>0</v>
      </c>
      <c r="P15">
        <f>IF(AND(SUM(VLOOKUP($A15,'40Trips'!$A$3:$I$42,2,FALSE),VLOOKUP(P$1,'40Trips'!$A$3:$I$42,2,FALSE))&lt;'40Trips'!$K$16,$A15&lt;&gt;P$1,gamma!P15=1),SUM(VLOOKUP($A15,'40Trips'!$A$3:$I$42,2,FALSE), VLOOKUP(P$1,'40Trips'!$A$3:$I$42,2,FALSE)),0)</f>
        <v>0</v>
      </c>
      <c r="Q15">
        <f>IF(AND(SUM(VLOOKUP($A15,'40Trips'!$A$3:$I$42,2,FALSE),VLOOKUP(Q$1,'40Trips'!$A$3:$I$42,2,FALSE))&lt;'40Trips'!$K$16,$A15&lt;&gt;Q$1,gamma!Q15=1),SUM(VLOOKUP($A15,'40Trips'!$A$3:$I$42,2,FALSE), VLOOKUP(Q$1,'40Trips'!$A$3:$I$42,2,FALSE)),0)</f>
        <v>270</v>
      </c>
      <c r="R15">
        <f>IF(AND(SUM(VLOOKUP($A15,'40Trips'!$A$3:$I$42,2,FALSE),VLOOKUP(R$1,'40Trips'!$A$3:$I$42,2,FALSE))&lt;'40Trips'!$K$16,$A15&lt;&gt;R$1,gamma!R15=1),SUM(VLOOKUP($A15,'40Trips'!$A$3:$I$42,2,FALSE), VLOOKUP(R$1,'40Trips'!$A$3:$I$42,2,FALSE)),0)</f>
        <v>270</v>
      </c>
      <c r="S15">
        <f>IF(AND(SUM(VLOOKUP($A15,'40Trips'!$A$3:$I$42,2,FALSE),VLOOKUP(S$1,'40Trips'!$A$3:$I$42,2,FALSE))&lt;'40Trips'!$K$16,$A15&lt;&gt;S$1,gamma!S15=1),SUM(VLOOKUP($A15,'40Trips'!$A$3:$I$42,2,FALSE), VLOOKUP(S$1,'40Trips'!$A$3:$I$42,2,FALSE)),0)</f>
        <v>0</v>
      </c>
      <c r="T15">
        <f>IF(AND(SUM(VLOOKUP($A15,'40Trips'!$A$3:$I$42,2,FALSE),VLOOKUP(T$1,'40Trips'!$A$3:$I$42,2,FALSE))&lt;'40Trips'!$K$16,$A15&lt;&gt;T$1,gamma!T15=1),SUM(VLOOKUP($A15,'40Trips'!$A$3:$I$42,2,FALSE), VLOOKUP(T$1,'40Trips'!$A$3:$I$42,2,FALSE)),0)</f>
        <v>0</v>
      </c>
      <c r="U15">
        <f>IF(AND(SUM(VLOOKUP($A15,'40Trips'!$A$3:$I$42,2,FALSE),VLOOKUP(U$1,'40Trips'!$A$3:$I$42,2,FALSE))&lt;'40Trips'!$K$16,$A15&lt;&gt;U$1,gamma!U15=1),SUM(VLOOKUP($A15,'40Trips'!$A$3:$I$42,2,FALSE), VLOOKUP(U$1,'40Trips'!$A$3:$I$42,2,FALSE)),0)</f>
        <v>255</v>
      </c>
      <c r="V15">
        <f>IF(AND(SUM(VLOOKUP($A15,'40Trips'!$A$3:$I$42,2,FALSE),VLOOKUP(V$1,'40Trips'!$A$3:$I$42,2,FALSE))&lt;'40Trips'!$K$16,$A15&lt;&gt;V$1,gamma!V15=1),SUM(VLOOKUP($A15,'40Trips'!$A$3:$I$42,2,FALSE), VLOOKUP(V$1,'40Trips'!$A$3:$I$42,2,FALSE)),0)</f>
        <v>265</v>
      </c>
      <c r="W15">
        <f>IF(AND(SUM(VLOOKUP($A15,'40Trips'!$A$3:$I$42,2,FALSE),VLOOKUP(W$1,'40Trips'!$A$3:$I$42,2,FALSE))&lt;'40Trips'!$K$16,$A15&lt;&gt;W$1,gamma!W15=1),SUM(VLOOKUP($A15,'40Trips'!$A$3:$I$42,2,FALSE), VLOOKUP(W$1,'40Trips'!$A$3:$I$42,2,FALSE)),0)</f>
        <v>0</v>
      </c>
      <c r="X15">
        <f>IF(AND(SUM(VLOOKUP($A15,'40Trips'!$A$3:$I$42,2,FALSE),VLOOKUP(X$1,'40Trips'!$A$3:$I$42,2,FALSE))&lt;'40Trips'!$K$16,$A15&lt;&gt;X$1,gamma!X15=1),SUM(VLOOKUP($A15,'40Trips'!$A$3:$I$42,2,FALSE), VLOOKUP(X$1,'40Trips'!$A$3:$I$42,2,FALSE)),0)</f>
        <v>0</v>
      </c>
      <c r="Y15">
        <f>IF(AND(SUM(VLOOKUP($A15,'40Trips'!$A$3:$I$42,2,FALSE),VLOOKUP(Y$1,'40Trips'!$A$3:$I$42,2,FALSE))&lt;'40Trips'!$K$16,$A15&lt;&gt;Y$1,gamma!Y15=1),SUM(VLOOKUP($A15,'40Trips'!$A$3:$I$42,2,FALSE), VLOOKUP(Y$1,'40Trips'!$A$3:$I$42,2,FALSE)),0)</f>
        <v>275</v>
      </c>
      <c r="Z15">
        <f>IF(AND(SUM(VLOOKUP($A15,'40Trips'!$A$3:$I$42,2,FALSE),VLOOKUP(Z$1,'40Trips'!$A$3:$I$42,2,FALSE))&lt;'40Trips'!$K$16,$A15&lt;&gt;Z$1,gamma!Z15=1),SUM(VLOOKUP($A15,'40Trips'!$A$3:$I$42,2,FALSE), VLOOKUP(Z$1,'40Trips'!$A$3:$I$42,2,FALSE)),0)</f>
        <v>275</v>
      </c>
      <c r="AA15">
        <f>IF(AND(SUM(VLOOKUP($A15,'40Trips'!$A$3:$I$42,2,FALSE),VLOOKUP(AA$1,'40Trips'!$A$3:$I$42,2,FALSE))&lt;'40Trips'!$K$16,$A15&lt;&gt;AA$1,gamma!AA15=1),SUM(VLOOKUP($A15,'40Trips'!$A$3:$I$42,2,FALSE), VLOOKUP(AA$1,'40Trips'!$A$3:$I$42,2,FALSE)),0)</f>
        <v>0</v>
      </c>
      <c r="AB15">
        <f>IF(AND(SUM(VLOOKUP($A15,'40Trips'!$A$3:$I$42,2,FALSE),VLOOKUP(AB$1,'40Trips'!$A$3:$I$42,2,FALSE))&lt;'40Trips'!$K$16,$A15&lt;&gt;AB$1,gamma!AB15=1),SUM(VLOOKUP($A15,'40Trips'!$A$3:$I$42,2,FALSE), VLOOKUP(AB$1,'40Trips'!$A$3:$I$42,2,FALSE)),0)</f>
        <v>0</v>
      </c>
      <c r="AC15">
        <f>IF(AND(SUM(VLOOKUP($A15,'40Trips'!$A$3:$I$42,2,FALSE),VLOOKUP(AC$1,'40Trips'!$A$3:$I$42,2,FALSE))&lt;'40Trips'!$K$16,$A15&lt;&gt;AC$1,gamma!AC15=1),SUM(VLOOKUP($A15,'40Trips'!$A$3:$I$42,2,FALSE), VLOOKUP(AC$1,'40Trips'!$A$3:$I$42,2,FALSE)),0)</f>
        <v>255</v>
      </c>
      <c r="AD15">
        <f>IF(AND(SUM(VLOOKUP($A15,'40Trips'!$A$3:$I$42,2,FALSE),VLOOKUP(AD$1,'40Trips'!$A$3:$I$42,2,FALSE))&lt;'40Trips'!$K$16,$A15&lt;&gt;AD$1,gamma!AD15=1),SUM(VLOOKUP($A15,'40Trips'!$A$3:$I$42,2,FALSE), VLOOKUP(AD$1,'40Trips'!$A$3:$I$42,2,FALSE)),0)</f>
        <v>265</v>
      </c>
      <c r="AE15">
        <f>IF(AND(SUM(VLOOKUP($A15,'40Trips'!$A$3:$I$42,2,FALSE),VLOOKUP(AE$1,'40Trips'!$A$3:$I$42,2,FALSE))&lt;'40Trips'!$K$16,$A15&lt;&gt;AE$1,gamma!AE15=1),SUM(VLOOKUP($A15,'40Trips'!$A$3:$I$42,2,FALSE), VLOOKUP(AE$1,'40Trips'!$A$3:$I$42,2,FALSE)),0)</f>
        <v>0</v>
      </c>
      <c r="AF15">
        <f>IF(AND(SUM(VLOOKUP($A15,'40Trips'!$A$3:$I$42,2,FALSE),VLOOKUP(AF$1,'40Trips'!$A$3:$I$42,2,FALSE))&lt;'40Trips'!$K$16,$A15&lt;&gt;AF$1,gamma!AF15=1),SUM(VLOOKUP($A15,'40Trips'!$A$3:$I$42,2,FALSE), VLOOKUP(AF$1,'40Trips'!$A$3:$I$42,2,FALSE)),0)</f>
        <v>0</v>
      </c>
      <c r="AG15">
        <f>IF(AND(SUM(VLOOKUP($A15,'40Trips'!$A$3:$I$42,2,FALSE),VLOOKUP(AG$1,'40Trips'!$A$3:$I$42,2,FALSE))&lt;'40Trips'!$K$16,$A15&lt;&gt;AG$1,gamma!AG15=1),SUM(VLOOKUP($A15,'40Trips'!$A$3:$I$42,2,FALSE), VLOOKUP(AG$1,'40Trips'!$A$3:$I$42,2,FALSE)),0)</f>
        <v>0</v>
      </c>
      <c r="AH15">
        <f>IF(AND(SUM(VLOOKUP($A15,'40Trips'!$A$3:$I$42,2,FALSE),VLOOKUP(AH$1,'40Trips'!$A$3:$I$42,2,FALSE))&lt;'40Trips'!$K$16,$A15&lt;&gt;AH$1,gamma!AH15=1),SUM(VLOOKUP($A15,'40Trips'!$A$3:$I$42,2,FALSE), VLOOKUP(AH$1,'40Trips'!$A$3:$I$42,2,FALSE)),0)</f>
        <v>0</v>
      </c>
      <c r="AI15">
        <f>IF(AND(SUM(VLOOKUP($A15,'40Trips'!$A$3:$I$42,2,FALSE),VLOOKUP(AI$1,'40Trips'!$A$3:$I$42,2,FALSE))&lt;'40Trips'!$K$16,$A15&lt;&gt;AI$1,gamma!AI15=1),SUM(VLOOKUP($A15,'40Trips'!$A$3:$I$42,2,FALSE), VLOOKUP(AI$1,'40Trips'!$A$3:$I$42,2,FALSE)),0)</f>
        <v>0</v>
      </c>
      <c r="AJ15">
        <f>IF(AND(SUM(VLOOKUP($A15,'40Trips'!$A$3:$I$42,2,FALSE),VLOOKUP(AJ$1,'40Trips'!$A$3:$I$42,2,FALSE))&lt;'40Trips'!$K$16,$A15&lt;&gt;AJ$1,gamma!AJ15=1),SUM(VLOOKUP($A15,'40Trips'!$A$3:$I$42,2,FALSE), VLOOKUP(AJ$1,'40Trips'!$A$3:$I$42,2,FALSE)),0)</f>
        <v>0</v>
      </c>
      <c r="AK15">
        <f>IF(AND(SUM(VLOOKUP($A15,'40Trips'!$A$3:$I$42,2,FALSE),VLOOKUP(AK$1,'40Trips'!$A$3:$I$42,2,FALSE))&lt;'40Trips'!$K$16,$A15&lt;&gt;AK$1,gamma!AK15=1),SUM(VLOOKUP($A15,'40Trips'!$A$3:$I$42,2,FALSE), VLOOKUP(AK$1,'40Trips'!$A$3:$I$42,2,FALSE)),0)</f>
        <v>275</v>
      </c>
      <c r="AL15">
        <f>IF(AND(SUM(VLOOKUP($A15,'40Trips'!$A$3:$I$42,2,FALSE),VLOOKUP(AL$1,'40Trips'!$A$3:$I$42,2,FALSE))&lt;'40Trips'!$K$16,$A15&lt;&gt;AL$1,gamma!AL15=1),SUM(VLOOKUP($A15,'40Trips'!$A$3:$I$42,2,FALSE), VLOOKUP(AL$1,'40Trips'!$A$3:$I$42,2,FALSE)),0)</f>
        <v>275</v>
      </c>
      <c r="AM15">
        <f>IF(AND(SUM(VLOOKUP($A15,'40Trips'!$A$3:$I$42,2,FALSE),VLOOKUP(AM$1,'40Trips'!$A$3:$I$42,2,FALSE))&lt;'40Trips'!$K$16,$A15&lt;&gt;AM$1,gamma!AM15=1),SUM(VLOOKUP($A15,'40Trips'!$A$3:$I$42,2,FALSE), VLOOKUP(AM$1,'40Trips'!$A$3:$I$42,2,FALSE)),0)</f>
        <v>0</v>
      </c>
      <c r="AN15">
        <f>IF(AND(SUM(VLOOKUP($A15,'40Trips'!$A$3:$I$42,2,FALSE),VLOOKUP(AN$1,'40Trips'!$A$3:$I$42,2,FALSE))&lt;'40Trips'!$K$16,$A15&lt;&gt;AN$1,gamma!AN15=1),SUM(VLOOKUP($A15,'40Trips'!$A$3:$I$42,2,FALSE), VLOOKUP(AN$1,'40Trips'!$A$3:$I$42,2,FALSE)),0)</f>
        <v>0</v>
      </c>
      <c r="AO15">
        <f>IF(AND(SUM(VLOOKUP($A15,'40Trips'!$A$3:$I$42,2,FALSE),VLOOKUP(AO$1,'40Trips'!$A$3:$I$42,2,FALSE))&lt;'40Trips'!$K$16,$A15&lt;&gt;AO$1,gamma!AO15=1),SUM(VLOOKUP($A15,'40Trips'!$A$3:$I$42,2,FALSE), VLOOKUP(AO$1,'40Trips'!$A$3:$I$42,2,FALSE)),0)</f>
        <v>255</v>
      </c>
      <c r="AP15">
        <f>IF(AND(SUM(VLOOKUP($A15,'40Trips'!$A$3:$I$42,2,FALSE),VLOOKUP(AP$1,'40Trips'!$A$3:$I$42,2,FALSE))&lt;'40Trips'!$K$16,$A15&lt;&gt;AP$1,gamma!AP15=1),SUM(VLOOKUP($A15,'40Trips'!$A$3:$I$42,2,FALSE), VLOOKUP(AP$1,'40Trips'!$A$3:$I$42,2,FALSE)),0)</f>
        <v>270</v>
      </c>
      <c r="AQ15">
        <v>0</v>
      </c>
      <c r="AR15">
        <v>0</v>
      </c>
      <c r="AS15">
        <v>0</v>
      </c>
      <c r="AT15">
        <v>0</v>
      </c>
    </row>
    <row r="16" spans="1:46" x14ac:dyDescent="0.25">
      <c r="A16" t="s">
        <v>28</v>
      </c>
      <c r="B16">
        <v>0</v>
      </c>
      <c r="C16">
        <f>IF(AND(SUM(VLOOKUP($A16,'40Trips'!$A$3:$I$42,2,FALSE),VLOOKUP(C$1,'40Trips'!$A$3:$I$42,2,FALSE))&lt;'40Trips'!$K$16,$A16&lt;&gt;C$1,gamma!C16=1),SUM(VLOOKUP($A16,'40Trips'!$A$3:$I$42,2,FALSE), VLOOKUP(C$1,'40Trips'!$A$3:$I$42,2,FALSE)),0)</f>
        <v>0</v>
      </c>
      <c r="D16">
        <f>IF(AND(SUM(VLOOKUP($A16,'40Trips'!$A$3:$I$42,2,FALSE),VLOOKUP(D$1,'40Trips'!$A$3:$I$42,2,FALSE))&lt;'40Trips'!$K$16,$A16&lt;&gt;D$1,gamma!D16=1),SUM(VLOOKUP($A16,'40Trips'!$A$3:$I$42,2,FALSE), VLOOKUP(D$1,'40Trips'!$A$3:$I$42,2,FALSE)),0)</f>
        <v>0</v>
      </c>
      <c r="E16">
        <f>IF(AND(SUM(VLOOKUP($A16,'40Trips'!$A$3:$I$42,2,FALSE),VLOOKUP(E$1,'40Trips'!$A$3:$I$42,2,FALSE))&lt;'40Trips'!$K$16,$A16&lt;&gt;E$1,gamma!E16=1),SUM(VLOOKUP($A16,'40Trips'!$A$3:$I$42,2,FALSE), VLOOKUP(E$1,'40Trips'!$A$3:$I$42,2,FALSE)),0)</f>
        <v>0</v>
      </c>
      <c r="F16">
        <f>IF(AND(SUM(VLOOKUP($A16,'40Trips'!$A$3:$I$42,2,FALSE),VLOOKUP(F$1,'40Trips'!$A$3:$I$42,2,FALSE))&lt;'40Trips'!$K$16,$A16&lt;&gt;F$1,gamma!F16=1),SUM(VLOOKUP($A16,'40Trips'!$A$3:$I$42,2,FALSE), VLOOKUP(F$1,'40Trips'!$A$3:$I$42,2,FALSE)),0)</f>
        <v>270</v>
      </c>
      <c r="G16">
        <f>IF(AND(SUM(VLOOKUP($A16,'40Trips'!$A$3:$I$42,2,FALSE),VLOOKUP(G$1,'40Trips'!$A$3:$I$42,2,FALSE))&lt;'40Trips'!$K$16,$A16&lt;&gt;G$1,gamma!G16=1),SUM(VLOOKUP($A16,'40Trips'!$A$3:$I$42,2,FALSE), VLOOKUP(G$1,'40Trips'!$A$3:$I$42,2,FALSE)),0)</f>
        <v>0</v>
      </c>
      <c r="H16">
        <f>IF(AND(SUM(VLOOKUP($A16,'40Trips'!$A$3:$I$42,2,FALSE),VLOOKUP(H$1,'40Trips'!$A$3:$I$42,2,FALSE))&lt;'40Trips'!$K$16,$A16&lt;&gt;H$1,gamma!H16=1),SUM(VLOOKUP($A16,'40Trips'!$A$3:$I$42,2,FALSE), VLOOKUP(H$1,'40Trips'!$A$3:$I$42,2,FALSE)),0)</f>
        <v>0</v>
      </c>
      <c r="I16">
        <f>IF(AND(SUM(VLOOKUP($A16,'40Trips'!$A$3:$I$42,2,FALSE),VLOOKUP(I$1,'40Trips'!$A$3:$I$42,2,FALSE))&lt;'40Trips'!$K$16,$A16&lt;&gt;I$1,gamma!I16=1),SUM(VLOOKUP($A16,'40Trips'!$A$3:$I$42,2,FALSE), VLOOKUP(I$1,'40Trips'!$A$3:$I$42,2,FALSE)),0)</f>
        <v>0</v>
      </c>
      <c r="J16">
        <f>IF(AND(SUM(VLOOKUP($A16,'40Trips'!$A$3:$I$42,2,FALSE),VLOOKUP(J$1,'40Trips'!$A$3:$I$42,2,FALSE))&lt;'40Trips'!$K$16,$A16&lt;&gt;J$1,gamma!J16=1),SUM(VLOOKUP($A16,'40Trips'!$A$3:$I$42,2,FALSE), VLOOKUP(J$1,'40Trips'!$A$3:$I$42,2,FALSE)),0)</f>
        <v>275</v>
      </c>
      <c r="K16">
        <f>IF(AND(SUM(VLOOKUP($A16,'40Trips'!$A$3:$I$42,2,FALSE),VLOOKUP(K$1,'40Trips'!$A$3:$I$42,2,FALSE))&lt;'40Trips'!$K$16,$A16&lt;&gt;K$1,gamma!K16=1),SUM(VLOOKUP($A16,'40Trips'!$A$3:$I$42,2,FALSE), VLOOKUP(K$1,'40Trips'!$A$3:$I$42,2,FALSE)),0)</f>
        <v>0</v>
      </c>
      <c r="L16">
        <f>IF(AND(SUM(VLOOKUP($A16,'40Trips'!$A$3:$I$42,2,FALSE),VLOOKUP(L$1,'40Trips'!$A$3:$I$42,2,FALSE))&lt;'40Trips'!$K$16,$A16&lt;&gt;L$1,gamma!L16=1),SUM(VLOOKUP($A16,'40Trips'!$A$3:$I$42,2,FALSE), VLOOKUP(L$1,'40Trips'!$A$3:$I$42,2,FALSE)),0)</f>
        <v>0</v>
      </c>
      <c r="M16">
        <f>IF(AND(SUM(VLOOKUP($A16,'40Trips'!$A$3:$I$42,2,FALSE),VLOOKUP(M$1,'40Trips'!$A$3:$I$42,2,FALSE))&lt;'40Trips'!$K$16,$A16&lt;&gt;M$1,gamma!M16=1),SUM(VLOOKUP($A16,'40Trips'!$A$3:$I$42,2,FALSE), VLOOKUP(M$1,'40Trips'!$A$3:$I$42,2,FALSE)),0)</f>
        <v>0</v>
      </c>
      <c r="N16">
        <f>IF(AND(SUM(VLOOKUP($A16,'40Trips'!$A$3:$I$42,2,FALSE),VLOOKUP(N$1,'40Trips'!$A$3:$I$42,2,FALSE))&lt;'40Trips'!$K$16,$A16&lt;&gt;N$1,gamma!N16=1),SUM(VLOOKUP($A16,'40Trips'!$A$3:$I$42,2,FALSE), VLOOKUP(N$1,'40Trips'!$A$3:$I$42,2,FALSE)),0)</f>
        <v>0</v>
      </c>
      <c r="O16">
        <f>IF(AND(SUM(VLOOKUP($A16,'40Trips'!$A$3:$I$42,2,FALSE),VLOOKUP(O$1,'40Trips'!$A$3:$I$42,2,FALSE))&lt;'40Trips'!$K$16,$A16&lt;&gt;O$1,gamma!O16=1),SUM(VLOOKUP($A16,'40Trips'!$A$3:$I$42,2,FALSE), VLOOKUP(O$1,'40Trips'!$A$3:$I$42,2,FALSE)),0)</f>
        <v>0</v>
      </c>
      <c r="P16">
        <f>IF(AND(SUM(VLOOKUP($A16,'40Trips'!$A$3:$I$42,2,FALSE),VLOOKUP(P$1,'40Trips'!$A$3:$I$42,2,FALSE))&lt;'40Trips'!$K$16,$A16&lt;&gt;P$1,gamma!P16=1),SUM(VLOOKUP($A16,'40Trips'!$A$3:$I$42,2,FALSE), VLOOKUP(P$1,'40Trips'!$A$3:$I$42,2,FALSE)),0)</f>
        <v>0</v>
      </c>
      <c r="Q16">
        <f>IF(AND(SUM(VLOOKUP($A16,'40Trips'!$A$3:$I$42,2,FALSE),VLOOKUP(Q$1,'40Trips'!$A$3:$I$42,2,FALSE))&lt;'40Trips'!$K$16,$A16&lt;&gt;Q$1,gamma!Q16=1),SUM(VLOOKUP($A16,'40Trips'!$A$3:$I$42,2,FALSE), VLOOKUP(Q$1,'40Trips'!$A$3:$I$42,2,FALSE)),0)</f>
        <v>0</v>
      </c>
      <c r="R16">
        <f>IF(AND(SUM(VLOOKUP($A16,'40Trips'!$A$3:$I$42,2,FALSE),VLOOKUP(R$1,'40Trips'!$A$3:$I$42,2,FALSE))&lt;'40Trips'!$K$16,$A16&lt;&gt;R$1,gamma!R16=1),SUM(VLOOKUP($A16,'40Trips'!$A$3:$I$42,2,FALSE), VLOOKUP(R$1,'40Trips'!$A$3:$I$42,2,FALSE)),0)</f>
        <v>270</v>
      </c>
      <c r="S16">
        <f>IF(AND(SUM(VLOOKUP($A16,'40Trips'!$A$3:$I$42,2,FALSE),VLOOKUP(S$1,'40Trips'!$A$3:$I$42,2,FALSE))&lt;'40Trips'!$K$16,$A16&lt;&gt;S$1,gamma!S16=1),SUM(VLOOKUP($A16,'40Trips'!$A$3:$I$42,2,FALSE), VLOOKUP(S$1,'40Trips'!$A$3:$I$42,2,FALSE)),0)</f>
        <v>0</v>
      </c>
      <c r="T16">
        <f>IF(AND(SUM(VLOOKUP($A16,'40Trips'!$A$3:$I$42,2,FALSE),VLOOKUP(T$1,'40Trips'!$A$3:$I$42,2,FALSE))&lt;'40Trips'!$K$16,$A16&lt;&gt;T$1,gamma!T16=1),SUM(VLOOKUP($A16,'40Trips'!$A$3:$I$42,2,FALSE), VLOOKUP(T$1,'40Trips'!$A$3:$I$42,2,FALSE)),0)</f>
        <v>0</v>
      </c>
      <c r="U16">
        <f>IF(AND(SUM(VLOOKUP($A16,'40Trips'!$A$3:$I$42,2,FALSE),VLOOKUP(U$1,'40Trips'!$A$3:$I$42,2,FALSE))&lt;'40Trips'!$K$16,$A16&lt;&gt;U$1,gamma!U16=1),SUM(VLOOKUP($A16,'40Trips'!$A$3:$I$42,2,FALSE), VLOOKUP(U$1,'40Trips'!$A$3:$I$42,2,FALSE)),0)</f>
        <v>0</v>
      </c>
      <c r="V16">
        <f>IF(AND(SUM(VLOOKUP($A16,'40Trips'!$A$3:$I$42,2,FALSE),VLOOKUP(V$1,'40Trips'!$A$3:$I$42,2,FALSE))&lt;'40Trips'!$K$16,$A16&lt;&gt;V$1,gamma!V16=1),SUM(VLOOKUP($A16,'40Trips'!$A$3:$I$42,2,FALSE), VLOOKUP(V$1,'40Trips'!$A$3:$I$42,2,FALSE)),0)</f>
        <v>265</v>
      </c>
      <c r="W16">
        <f>IF(AND(SUM(VLOOKUP($A16,'40Trips'!$A$3:$I$42,2,FALSE),VLOOKUP(W$1,'40Trips'!$A$3:$I$42,2,FALSE))&lt;'40Trips'!$K$16,$A16&lt;&gt;W$1,gamma!W16=1),SUM(VLOOKUP($A16,'40Trips'!$A$3:$I$42,2,FALSE), VLOOKUP(W$1,'40Trips'!$A$3:$I$42,2,FALSE)),0)</f>
        <v>0</v>
      </c>
      <c r="X16">
        <f>IF(AND(SUM(VLOOKUP($A16,'40Trips'!$A$3:$I$42,2,FALSE),VLOOKUP(X$1,'40Trips'!$A$3:$I$42,2,FALSE))&lt;'40Trips'!$K$16,$A16&lt;&gt;X$1,gamma!X16=1),SUM(VLOOKUP($A16,'40Trips'!$A$3:$I$42,2,FALSE), VLOOKUP(X$1,'40Trips'!$A$3:$I$42,2,FALSE)),0)</f>
        <v>0</v>
      </c>
      <c r="Y16">
        <f>IF(AND(SUM(VLOOKUP($A16,'40Trips'!$A$3:$I$42,2,FALSE),VLOOKUP(Y$1,'40Trips'!$A$3:$I$42,2,FALSE))&lt;'40Trips'!$K$16,$A16&lt;&gt;Y$1,gamma!Y16=1),SUM(VLOOKUP($A16,'40Trips'!$A$3:$I$42,2,FALSE), VLOOKUP(Y$1,'40Trips'!$A$3:$I$42,2,FALSE)),0)</f>
        <v>0</v>
      </c>
      <c r="Z16">
        <f>IF(AND(SUM(VLOOKUP($A16,'40Trips'!$A$3:$I$42,2,FALSE),VLOOKUP(Z$1,'40Trips'!$A$3:$I$42,2,FALSE))&lt;'40Trips'!$K$16,$A16&lt;&gt;Z$1,gamma!Z16=1),SUM(VLOOKUP($A16,'40Trips'!$A$3:$I$42,2,FALSE), VLOOKUP(Z$1,'40Trips'!$A$3:$I$42,2,FALSE)),0)</f>
        <v>275</v>
      </c>
      <c r="AA16">
        <f>IF(AND(SUM(VLOOKUP($A16,'40Trips'!$A$3:$I$42,2,FALSE),VLOOKUP(AA$1,'40Trips'!$A$3:$I$42,2,FALSE))&lt;'40Trips'!$K$16,$A16&lt;&gt;AA$1,gamma!AA16=1),SUM(VLOOKUP($A16,'40Trips'!$A$3:$I$42,2,FALSE), VLOOKUP(AA$1,'40Trips'!$A$3:$I$42,2,FALSE)),0)</f>
        <v>0</v>
      </c>
      <c r="AB16">
        <f>IF(AND(SUM(VLOOKUP($A16,'40Trips'!$A$3:$I$42,2,FALSE),VLOOKUP(AB$1,'40Trips'!$A$3:$I$42,2,FALSE))&lt;'40Trips'!$K$16,$A16&lt;&gt;AB$1,gamma!AB16=1),SUM(VLOOKUP($A16,'40Trips'!$A$3:$I$42,2,FALSE), VLOOKUP(AB$1,'40Trips'!$A$3:$I$42,2,FALSE)),0)</f>
        <v>0</v>
      </c>
      <c r="AC16">
        <f>IF(AND(SUM(VLOOKUP($A16,'40Trips'!$A$3:$I$42,2,FALSE),VLOOKUP(AC$1,'40Trips'!$A$3:$I$42,2,FALSE))&lt;'40Trips'!$K$16,$A16&lt;&gt;AC$1,gamma!AC16=1),SUM(VLOOKUP($A16,'40Trips'!$A$3:$I$42,2,FALSE), VLOOKUP(AC$1,'40Trips'!$A$3:$I$42,2,FALSE)),0)</f>
        <v>255</v>
      </c>
      <c r="AD16">
        <f>IF(AND(SUM(VLOOKUP($A16,'40Trips'!$A$3:$I$42,2,FALSE),VLOOKUP(AD$1,'40Trips'!$A$3:$I$42,2,FALSE))&lt;'40Trips'!$K$16,$A16&lt;&gt;AD$1,gamma!AD16=1),SUM(VLOOKUP($A16,'40Trips'!$A$3:$I$42,2,FALSE), VLOOKUP(AD$1,'40Trips'!$A$3:$I$42,2,FALSE)),0)</f>
        <v>265</v>
      </c>
      <c r="AE16">
        <f>IF(AND(SUM(VLOOKUP($A16,'40Trips'!$A$3:$I$42,2,FALSE),VLOOKUP(AE$1,'40Trips'!$A$3:$I$42,2,FALSE))&lt;'40Trips'!$K$16,$A16&lt;&gt;AE$1,gamma!AE16=1),SUM(VLOOKUP($A16,'40Trips'!$A$3:$I$42,2,FALSE), VLOOKUP(AE$1,'40Trips'!$A$3:$I$42,2,FALSE)),0)</f>
        <v>0</v>
      </c>
      <c r="AF16">
        <f>IF(AND(SUM(VLOOKUP($A16,'40Trips'!$A$3:$I$42,2,FALSE),VLOOKUP(AF$1,'40Trips'!$A$3:$I$42,2,FALSE))&lt;'40Trips'!$K$16,$A16&lt;&gt;AF$1,gamma!AF16=1),SUM(VLOOKUP($A16,'40Trips'!$A$3:$I$42,2,FALSE), VLOOKUP(AF$1,'40Trips'!$A$3:$I$42,2,FALSE)),0)</f>
        <v>0</v>
      </c>
      <c r="AG16">
        <f>IF(AND(SUM(VLOOKUP($A16,'40Trips'!$A$3:$I$42,2,FALSE),VLOOKUP(AG$1,'40Trips'!$A$3:$I$42,2,FALSE))&lt;'40Trips'!$K$16,$A16&lt;&gt;AG$1,gamma!AG16=1),SUM(VLOOKUP($A16,'40Trips'!$A$3:$I$42,2,FALSE), VLOOKUP(AG$1,'40Trips'!$A$3:$I$42,2,FALSE)),0)</f>
        <v>0</v>
      </c>
      <c r="AH16">
        <f>IF(AND(SUM(VLOOKUP($A16,'40Trips'!$A$3:$I$42,2,FALSE),VLOOKUP(AH$1,'40Trips'!$A$3:$I$42,2,FALSE))&lt;'40Trips'!$K$16,$A16&lt;&gt;AH$1,gamma!AH16=1),SUM(VLOOKUP($A16,'40Trips'!$A$3:$I$42,2,FALSE), VLOOKUP(AH$1,'40Trips'!$A$3:$I$42,2,FALSE)),0)</f>
        <v>0</v>
      </c>
      <c r="AI16">
        <f>IF(AND(SUM(VLOOKUP($A16,'40Trips'!$A$3:$I$42,2,FALSE),VLOOKUP(AI$1,'40Trips'!$A$3:$I$42,2,FALSE))&lt;'40Trips'!$K$16,$A16&lt;&gt;AI$1,gamma!AI16=1),SUM(VLOOKUP($A16,'40Trips'!$A$3:$I$42,2,FALSE), VLOOKUP(AI$1,'40Trips'!$A$3:$I$42,2,FALSE)),0)</f>
        <v>0</v>
      </c>
      <c r="AJ16">
        <f>IF(AND(SUM(VLOOKUP($A16,'40Trips'!$A$3:$I$42,2,FALSE),VLOOKUP(AJ$1,'40Trips'!$A$3:$I$42,2,FALSE))&lt;'40Trips'!$K$16,$A16&lt;&gt;AJ$1,gamma!AJ16=1),SUM(VLOOKUP($A16,'40Trips'!$A$3:$I$42,2,FALSE), VLOOKUP(AJ$1,'40Trips'!$A$3:$I$42,2,FALSE)),0)</f>
        <v>0</v>
      </c>
      <c r="AK16">
        <f>IF(AND(SUM(VLOOKUP($A16,'40Trips'!$A$3:$I$42,2,FALSE),VLOOKUP(AK$1,'40Trips'!$A$3:$I$42,2,FALSE))&lt;'40Trips'!$K$16,$A16&lt;&gt;AK$1,gamma!AK16=1),SUM(VLOOKUP($A16,'40Trips'!$A$3:$I$42,2,FALSE), VLOOKUP(AK$1,'40Trips'!$A$3:$I$42,2,FALSE)),0)</f>
        <v>0</v>
      </c>
      <c r="AL16">
        <f>IF(AND(SUM(VLOOKUP($A16,'40Trips'!$A$3:$I$42,2,FALSE),VLOOKUP(AL$1,'40Trips'!$A$3:$I$42,2,FALSE))&lt;'40Trips'!$K$16,$A16&lt;&gt;AL$1,gamma!AL16=1),SUM(VLOOKUP($A16,'40Trips'!$A$3:$I$42,2,FALSE), VLOOKUP(AL$1,'40Trips'!$A$3:$I$42,2,FALSE)),0)</f>
        <v>275</v>
      </c>
      <c r="AM16">
        <f>IF(AND(SUM(VLOOKUP($A16,'40Trips'!$A$3:$I$42,2,FALSE),VLOOKUP(AM$1,'40Trips'!$A$3:$I$42,2,FALSE))&lt;'40Trips'!$K$16,$A16&lt;&gt;AM$1,gamma!AM16=1),SUM(VLOOKUP($A16,'40Trips'!$A$3:$I$42,2,FALSE), VLOOKUP(AM$1,'40Trips'!$A$3:$I$42,2,FALSE)),0)</f>
        <v>0</v>
      </c>
      <c r="AN16">
        <f>IF(AND(SUM(VLOOKUP($A16,'40Trips'!$A$3:$I$42,2,FALSE),VLOOKUP(AN$1,'40Trips'!$A$3:$I$42,2,FALSE))&lt;'40Trips'!$K$16,$A16&lt;&gt;AN$1,gamma!AN16=1),SUM(VLOOKUP($A16,'40Trips'!$A$3:$I$42,2,FALSE), VLOOKUP(AN$1,'40Trips'!$A$3:$I$42,2,FALSE)),0)</f>
        <v>0</v>
      </c>
      <c r="AO16">
        <f>IF(AND(SUM(VLOOKUP($A16,'40Trips'!$A$3:$I$42,2,FALSE),VLOOKUP(AO$1,'40Trips'!$A$3:$I$42,2,FALSE))&lt;'40Trips'!$K$16,$A16&lt;&gt;AO$1,gamma!AO16=1),SUM(VLOOKUP($A16,'40Trips'!$A$3:$I$42,2,FALSE), VLOOKUP(AO$1,'40Trips'!$A$3:$I$42,2,FALSE)),0)</f>
        <v>0</v>
      </c>
      <c r="AP16">
        <f>IF(AND(SUM(VLOOKUP($A16,'40Trips'!$A$3:$I$42,2,FALSE),VLOOKUP(AP$1,'40Trips'!$A$3:$I$42,2,FALSE))&lt;'40Trips'!$K$16,$A16&lt;&gt;AP$1,gamma!AP16=1),SUM(VLOOKUP($A16,'40Trips'!$A$3:$I$42,2,FALSE), VLOOKUP(AP$1,'40Trips'!$A$3:$I$42,2,FALSE)),0)</f>
        <v>270</v>
      </c>
      <c r="AQ16">
        <v>0</v>
      </c>
      <c r="AR16">
        <v>0</v>
      </c>
      <c r="AS16">
        <v>0</v>
      </c>
      <c r="AT16">
        <v>0</v>
      </c>
    </row>
    <row r="17" spans="1:46" x14ac:dyDescent="0.25">
      <c r="A17" t="s">
        <v>29</v>
      </c>
      <c r="B17">
        <v>0</v>
      </c>
      <c r="C17">
        <f>IF(AND(SUM(VLOOKUP($A17,'40Trips'!$A$3:$I$42,2,FALSE),VLOOKUP(C$1,'40Trips'!$A$3:$I$42,2,FALSE))&lt;'40Trips'!$K$16,$A17&lt;&gt;C$1,gamma!C17=1),SUM(VLOOKUP($A17,'40Trips'!$A$3:$I$42,2,FALSE), VLOOKUP(C$1,'40Trips'!$A$3:$I$42,2,FALSE)),0)</f>
        <v>0</v>
      </c>
      <c r="D17">
        <f>IF(AND(SUM(VLOOKUP($A17,'40Trips'!$A$3:$I$42,2,FALSE),VLOOKUP(D$1,'40Trips'!$A$3:$I$42,2,FALSE))&lt;'40Trips'!$K$16,$A17&lt;&gt;D$1,gamma!D17=1),SUM(VLOOKUP($A17,'40Trips'!$A$3:$I$42,2,FALSE), VLOOKUP(D$1,'40Trips'!$A$3:$I$42,2,FALSE)),0)</f>
        <v>0</v>
      </c>
      <c r="E17">
        <f>IF(AND(SUM(VLOOKUP($A17,'40Trips'!$A$3:$I$42,2,FALSE),VLOOKUP(E$1,'40Trips'!$A$3:$I$42,2,FALSE))&lt;'40Trips'!$K$16,$A17&lt;&gt;E$1,gamma!E17=1),SUM(VLOOKUP($A17,'40Trips'!$A$3:$I$42,2,FALSE), VLOOKUP(E$1,'40Trips'!$A$3:$I$42,2,FALSE)),0)</f>
        <v>0</v>
      </c>
      <c r="F17">
        <f>IF(AND(SUM(VLOOKUP($A17,'40Trips'!$A$3:$I$42,2,FALSE),VLOOKUP(F$1,'40Trips'!$A$3:$I$42,2,FALSE))&lt;'40Trips'!$K$16,$A17&lt;&gt;F$1,gamma!F17=1),SUM(VLOOKUP($A17,'40Trips'!$A$3:$I$42,2,FALSE), VLOOKUP(F$1,'40Trips'!$A$3:$I$42,2,FALSE)),0)</f>
        <v>0</v>
      </c>
      <c r="G17">
        <f>IF(AND(SUM(VLOOKUP($A17,'40Trips'!$A$3:$I$42,2,FALSE),VLOOKUP(G$1,'40Trips'!$A$3:$I$42,2,FALSE))&lt;'40Trips'!$K$16,$A17&lt;&gt;G$1,gamma!G17=1),SUM(VLOOKUP($A17,'40Trips'!$A$3:$I$42,2,FALSE), VLOOKUP(G$1,'40Trips'!$A$3:$I$42,2,FALSE)),0)</f>
        <v>0</v>
      </c>
      <c r="H17">
        <f>IF(AND(SUM(VLOOKUP($A17,'40Trips'!$A$3:$I$42,2,FALSE),VLOOKUP(H$1,'40Trips'!$A$3:$I$42,2,FALSE))&lt;'40Trips'!$K$16,$A17&lt;&gt;H$1,gamma!H17=1),SUM(VLOOKUP($A17,'40Trips'!$A$3:$I$42,2,FALSE), VLOOKUP(H$1,'40Trips'!$A$3:$I$42,2,FALSE)),0)</f>
        <v>0</v>
      </c>
      <c r="I17">
        <f>IF(AND(SUM(VLOOKUP($A17,'40Trips'!$A$3:$I$42,2,FALSE),VLOOKUP(I$1,'40Trips'!$A$3:$I$42,2,FALSE))&lt;'40Trips'!$K$16,$A17&lt;&gt;I$1,gamma!I17=1),SUM(VLOOKUP($A17,'40Trips'!$A$3:$I$42,2,FALSE), VLOOKUP(I$1,'40Trips'!$A$3:$I$42,2,FALSE)),0)</f>
        <v>0</v>
      </c>
      <c r="J17">
        <f>IF(AND(SUM(VLOOKUP($A17,'40Trips'!$A$3:$I$42,2,FALSE),VLOOKUP(J$1,'40Trips'!$A$3:$I$42,2,FALSE))&lt;'40Trips'!$K$16,$A17&lt;&gt;J$1,gamma!J17=1),SUM(VLOOKUP($A17,'40Trips'!$A$3:$I$42,2,FALSE), VLOOKUP(J$1,'40Trips'!$A$3:$I$42,2,FALSE)),0)</f>
        <v>275</v>
      </c>
      <c r="K17">
        <f>IF(AND(SUM(VLOOKUP($A17,'40Trips'!$A$3:$I$42,2,FALSE),VLOOKUP(K$1,'40Trips'!$A$3:$I$42,2,FALSE))&lt;'40Trips'!$K$16,$A17&lt;&gt;K$1,gamma!K17=1),SUM(VLOOKUP($A17,'40Trips'!$A$3:$I$42,2,FALSE), VLOOKUP(K$1,'40Trips'!$A$3:$I$42,2,FALSE)),0)</f>
        <v>0</v>
      </c>
      <c r="L17">
        <f>IF(AND(SUM(VLOOKUP($A17,'40Trips'!$A$3:$I$42,2,FALSE),VLOOKUP(L$1,'40Trips'!$A$3:$I$42,2,FALSE))&lt;'40Trips'!$K$16,$A17&lt;&gt;L$1,gamma!L17=1),SUM(VLOOKUP($A17,'40Trips'!$A$3:$I$42,2,FALSE), VLOOKUP(L$1,'40Trips'!$A$3:$I$42,2,FALSE)),0)</f>
        <v>0</v>
      </c>
      <c r="M17">
        <f>IF(AND(SUM(VLOOKUP($A17,'40Trips'!$A$3:$I$42,2,FALSE),VLOOKUP(M$1,'40Trips'!$A$3:$I$42,2,FALSE))&lt;'40Trips'!$K$16,$A17&lt;&gt;M$1,gamma!M17=1),SUM(VLOOKUP($A17,'40Trips'!$A$3:$I$42,2,FALSE), VLOOKUP(M$1,'40Trips'!$A$3:$I$42,2,FALSE)),0)</f>
        <v>0</v>
      </c>
      <c r="N17">
        <f>IF(AND(SUM(VLOOKUP($A17,'40Trips'!$A$3:$I$42,2,FALSE),VLOOKUP(N$1,'40Trips'!$A$3:$I$42,2,FALSE))&lt;'40Trips'!$K$16,$A17&lt;&gt;N$1,gamma!N17=1),SUM(VLOOKUP($A17,'40Trips'!$A$3:$I$42,2,FALSE), VLOOKUP(N$1,'40Trips'!$A$3:$I$42,2,FALSE)),0)</f>
        <v>0</v>
      </c>
      <c r="O17">
        <f>IF(AND(SUM(VLOOKUP($A17,'40Trips'!$A$3:$I$42,2,FALSE),VLOOKUP(O$1,'40Trips'!$A$3:$I$42,2,FALSE))&lt;'40Trips'!$K$16,$A17&lt;&gt;O$1,gamma!O17=1),SUM(VLOOKUP($A17,'40Trips'!$A$3:$I$42,2,FALSE), VLOOKUP(O$1,'40Trips'!$A$3:$I$42,2,FALSE)),0)</f>
        <v>0</v>
      </c>
      <c r="P17">
        <f>IF(AND(SUM(VLOOKUP($A17,'40Trips'!$A$3:$I$42,2,FALSE),VLOOKUP(P$1,'40Trips'!$A$3:$I$42,2,FALSE))&lt;'40Trips'!$K$16,$A17&lt;&gt;P$1,gamma!P17=1),SUM(VLOOKUP($A17,'40Trips'!$A$3:$I$42,2,FALSE), VLOOKUP(P$1,'40Trips'!$A$3:$I$42,2,FALSE)),0)</f>
        <v>0</v>
      </c>
      <c r="Q17">
        <f>IF(AND(SUM(VLOOKUP($A17,'40Trips'!$A$3:$I$42,2,FALSE),VLOOKUP(Q$1,'40Trips'!$A$3:$I$42,2,FALSE))&lt;'40Trips'!$K$16,$A17&lt;&gt;Q$1,gamma!Q17=1),SUM(VLOOKUP($A17,'40Trips'!$A$3:$I$42,2,FALSE), VLOOKUP(Q$1,'40Trips'!$A$3:$I$42,2,FALSE)),0)</f>
        <v>0</v>
      </c>
      <c r="R17">
        <f>IF(AND(SUM(VLOOKUP($A17,'40Trips'!$A$3:$I$42,2,FALSE),VLOOKUP(R$1,'40Trips'!$A$3:$I$42,2,FALSE))&lt;'40Trips'!$K$16,$A17&lt;&gt;R$1,gamma!R17=1),SUM(VLOOKUP($A17,'40Trips'!$A$3:$I$42,2,FALSE), VLOOKUP(R$1,'40Trips'!$A$3:$I$42,2,FALSE)),0)</f>
        <v>0</v>
      </c>
      <c r="S17">
        <f>IF(AND(SUM(VLOOKUP($A17,'40Trips'!$A$3:$I$42,2,FALSE),VLOOKUP(S$1,'40Trips'!$A$3:$I$42,2,FALSE))&lt;'40Trips'!$K$16,$A17&lt;&gt;S$1,gamma!S17=1),SUM(VLOOKUP($A17,'40Trips'!$A$3:$I$42,2,FALSE), VLOOKUP(S$1,'40Trips'!$A$3:$I$42,2,FALSE)),0)</f>
        <v>0</v>
      </c>
      <c r="T17">
        <f>IF(AND(SUM(VLOOKUP($A17,'40Trips'!$A$3:$I$42,2,FALSE),VLOOKUP(T$1,'40Trips'!$A$3:$I$42,2,FALSE))&lt;'40Trips'!$K$16,$A17&lt;&gt;T$1,gamma!T17=1),SUM(VLOOKUP($A17,'40Trips'!$A$3:$I$42,2,FALSE), VLOOKUP(T$1,'40Trips'!$A$3:$I$42,2,FALSE)),0)</f>
        <v>0</v>
      </c>
      <c r="U17">
        <f>IF(AND(SUM(VLOOKUP($A17,'40Trips'!$A$3:$I$42,2,FALSE),VLOOKUP(U$1,'40Trips'!$A$3:$I$42,2,FALSE))&lt;'40Trips'!$K$16,$A17&lt;&gt;U$1,gamma!U17=1),SUM(VLOOKUP($A17,'40Trips'!$A$3:$I$42,2,FALSE), VLOOKUP(U$1,'40Trips'!$A$3:$I$42,2,FALSE)),0)</f>
        <v>0</v>
      </c>
      <c r="V17">
        <f>IF(AND(SUM(VLOOKUP($A17,'40Trips'!$A$3:$I$42,2,FALSE),VLOOKUP(V$1,'40Trips'!$A$3:$I$42,2,FALSE))&lt;'40Trips'!$K$16,$A17&lt;&gt;V$1,gamma!V17=1),SUM(VLOOKUP($A17,'40Trips'!$A$3:$I$42,2,FALSE), VLOOKUP(V$1,'40Trips'!$A$3:$I$42,2,FALSE)),0)</f>
        <v>0</v>
      </c>
      <c r="W17">
        <f>IF(AND(SUM(VLOOKUP($A17,'40Trips'!$A$3:$I$42,2,FALSE),VLOOKUP(W$1,'40Trips'!$A$3:$I$42,2,FALSE))&lt;'40Trips'!$K$16,$A17&lt;&gt;W$1,gamma!W17=1),SUM(VLOOKUP($A17,'40Trips'!$A$3:$I$42,2,FALSE), VLOOKUP(W$1,'40Trips'!$A$3:$I$42,2,FALSE)),0)</f>
        <v>0</v>
      </c>
      <c r="X17">
        <f>IF(AND(SUM(VLOOKUP($A17,'40Trips'!$A$3:$I$42,2,FALSE),VLOOKUP(X$1,'40Trips'!$A$3:$I$42,2,FALSE))&lt;'40Trips'!$K$16,$A17&lt;&gt;X$1,gamma!X17=1),SUM(VLOOKUP($A17,'40Trips'!$A$3:$I$42,2,FALSE), VLOOKUP(X$1,'40Trips'!$A$3:$I$42,2,FALSE)),0)</f>
        <v>0</v>
      </c>
      <c r="Y17">
        <f>IF(AND(SUM(VLOOKUP($A17,'40Trips'!$A$3:$I$42,2,FALSE),VLOOKUP(Y$1,'40Trips'!$A$3:$I$42,2,FALSE))&lt;'40Trips'!$K$16,$A17&lt;&gt;Y$1,gamma!Y17=1),SUM(VLOOKUP($A17,'40Trips'!$A$3:$I$42,2,FALSE), VLOOKUP(Y$1,'40Trips'!$A$3:$I$42,2,FALSE)),0)</f>
        <v>0</v>
      </c>
      <c r="Z17">
        <f>IF(AND(SUM(VLOOKUP($A17,'40Trips'!$A$3:$I$42,2,FALSE),VLOOKUP(Z$1,'40Trips'!$A$3:$I$42,2,FALSE))&lt;'40Trips'!$K$16,$A17&lt;&gt;Z$1,gamma!Z17=1),SUM(VLOOKUP($A17,'40Trips'!$A$3:$I$42,2,FALSE), VLOOKUP(Z$1,'40Trips'!$A$3:$I$42,2,FALSE)),0)</f>
        <v>0</v>
      </c>
      <c r="AA17">
        <f>IF(AND(SUM(VLOOKUP($A17,'40Trips'!$A$3:$I$42,2,FALSE),VLOOKUP(AA$1,'40Trips'!$A$3:$I$42,2,FALSE))&lt;'40Trips'!$K$16,$A17&lt;&gt;AA$1,gamma!AA17=1),SUM(VLOOKUP($A17,'40Trips'!$A$3:$I$42,2,FALSE), VLOOKUP(AA$1,'40Trips'!$A$3:$I$42,2,FALSE)),0)</f>
        <v>0</v>
      </c>
      <c r="AB17">
        <f>IF(AND(SUM(VLOOKUP($A17,'40Trips'!$A$3:$I$42,2,FALSE),VLOOKUP(AB$1,'40Trips'!$A$3:$I$42,2,FALSE))&lt;'40Trips'!$K$16,$A17&lt;&gt;AB$1,gamma!AB17=1),SUM(VLOOKUP($A17,'40Trips'!$A$3:$I$42,2,FALSE), VLOOKUP(AB$1,'40Trips'!$A$3:$I$42,2,FALSE)),0)</f>
        <v>0</v>
      </c>
      <c r="AC17">
        <f>IF(AND(SUM(VLOOKUP($A17,'40Trips'!$A$3:$I$42,2,FALSE),VLOOKUP(AC$1,'40Trips'!$A$3:$I$42,2,FALSE))&lt;'40Trips'!$K$16,$A17&lt;&gt;AC$1,gamma!AC17=1),SUM(VLOOKUP($A17,'40Trips'!$A$3:$I$42,2,FALSE), VLOOKUP(AC$1,'40Trips'!$A$3:$I$42,2,FALSE)),0)</f>
        <v>0</v>
      </c>
      <c r="AD17">
        <f>IF(AND(SUM(VLOOKUP($A17,'40Trips'!$A$3:$I$42,2,FALSE),VLOOKUP(AD$1,'40Trips'!$A$3:$I$42,2,FALSE))&lt;'40Trips'!$K$16,$A17&lt;&gt;AD$1,gamma!AD17=1),SUM(VLOOKUP($A17,'40Trips'!$A$3:$I$42,2,FALSE), VLOOKUP(AD$1,'40Trips'!$A$3:$I$42,2,FALSE)),0)</f>
        <v>0</v>
      </c>
      <c r="AE17">
        <f>IF(AND(SUM(VLOOKUP($A17,'40Trips'!$A$3:$I$42,2,FALSE),VLOOKUP(AE$1,'40Trips'!$A$3:$I$42,2,FALSE))&lt;'40Trips'!$K$16,$A17&lt;&gt;AE$1,gamma!AE17=1),SUM(VLOOKUP($A17,'40Trips'!$A$3:$I$42,2,FALSE), VLOOKUP(AE$1,'40Trips'!$A$3:$I$42,2,FALSE)),0)</f>
        <v>0</v>
      </c>
      <c r="AF17">
        <f>IF(AND(SUM(VLOOKUP($A17,'40Trips'!$A$3:$I$42,2,FALSE),VLOOKUP(AF$1,'40Trips'!$A$3:$I$42,2,FALSE))&lt;'40Trips'!$K$16,$A17&lt;&gt;AF$1,gamma!AF17=1),SUM(VLOOKUP($A17,'40Trips'!$A$3:$I$42,2,FALSE), VLOOKUP(AF$1,'40Trips'!$A$3:$I$42,2,FALSE)),0)</f>
        <v>0</v>
      </c>
      <c r="AG17">
        <f>IF(AND(SUM(VLOOKUP($A17,'40Trips'!$A$3:$I$42,2,FALSE),VLOOKUP(AG$1,'40Trips'!$A$3:$I$42,2,FALSE))&lt;'40Trips'!$K$16,$A17&lt;&gt;AG$1,gamma!AG17=1),SUM(VLOOKUP($A17,'40Trips'!$A$3:$I$42,2,FALSE), VLOOKUP(AG$1,'40Trips'!$A$3:$I$42,2,FALSE)),0)</f>
        <v>0</v>
      </c>
      <c r="AH17">
        <f>IF(AND(SUM(VLOOKUP($A17,'40Trips'!$A$3:$I$42,2,FALSE),VLOOKUP(AH$1,'40Trips'!$A$3:$I$42,2,FALSE))&lt;'40Trips'!$K$16,$A17&lt;&gt;AH$1,gamma!AH17=1),SUM(VLOOKUP($A17,'40Trips'!$A$3:$I$42,2,FALSE), VLOOKUP(AH$1,'40Trips'!$A$3:$I$42,2,FALSE)),0)</f>
        <v>0</v>
      </c>
      <c r="AI17">
        <f>IF(AND(SUM(VLOOKUP($A17,'40Trips'!$A$3:$I$42,2,FALSE),VLOOKUP(AI$1,'40Trips'!$A$3:$I$42,2,FALSE))&lt;'40Trips'!$K$16,$A17&lt;&gt;AI$1,gamma!AI17=1),SUM(VLOOKUP($A17,'40Trips'!$A$3:$I$42,2,FALSE), VLOOKUP(AI$1,'40Trips'!$A$3:$I$42,2,FALSE)),0)</f>
        <v>0</v>
      </c>
      <c r="AJ17">
        <f>IF(AND(SUM(VLOOKUP($A17,'40Trips'!$A$3:$I$42,2,FALSE),VLOOKUP(AJ$1,'40Trips'!$A$3:$I$42,2,FALSE))&lt;'40Trips'!$K$16,$A17&lt;&gt;AJ$1,gamma!AJ17=1),SUM(VLOOKUP($A17,'40Trips'!$A$3:$I$42,2,FALSE), VLOOKUP(AJ$1,'40Trips'!$A$3:$I$42,2,FALSE)),0)</f>
        <v>0</v>
      </c>
      <c r="AK17">
        <f>IF(AND(SUM(VLOOKUP($A17,'40Trips'!$A$3:$I$42,2,FALSE),VLOOKUP(AK$1,'40Trips'!$A$3:$I$42,2,FALSE))&lt;'40Trips'!$K$16,$A17&lt;&gt;AK$1,gamma!AK17=1),SUM(VLOOKUP($A17,'40Trips'!$A$3:$I$42,2,FALSE), VLOOKUP(AK$1,'40Trips'!$A$3:$I$42,2,FALSE)),0)</f>
        <v>0</v>
      </c>
      <c r="AL17">
        <f>IF(AND(SUM(VLOOKUP($A17,'40Trips'!$A$3:$I$42,2,FALSE),VLOOKUP(AL$1,'40Trips'!$A$3:$I$42,2,FALSE))&lt;'40Trips'!$K$16,$A17&lt;&gt;AL$1,gamma!AL17=1),SUM(VLOOKUP($A17,'40Trips'!$A$3:$I$42,2,FALSE), VLOOKUP(AL$1,'40Trips'!$A$3:$I$42,2,FALSE)),0)</f>
        <v>275</v>
      </c>
      <c r="AM17">
        <f>IF(AND(SUM(VLOOKUP($A17,'40Trips'!$A$3:$I$42,2,FALSE),VLOOKUP(AM$1,'40Trips'!$A$3:$I$42,2,FALSE))&lt;'40Trips'!$K$16,$A17&lt;&gt;AM$1,gamma!AM17=1),SUM(VLOOKUP($A17,'40Trips'!$A$3:$I$42,2,FALSE), VLOOKUP(AM$1,'40Trips'!$A$3:$I$42,2,FALSE)),0)</f>
        <v>0</v>
      </c>
      <c r="AN17">
        <f>IF(AND(SUM(VLOOKUP($A17,'40Trips'!$A$3:$I$42,2,FALSE),VLOOKUP(AN$1,'40Trips'!$A$3:$I$42,2,FALSE))&lt;'40Trips'!$K$16,$A17&lt;&gt;AN$1,gamma!AN17=1),SUM(VLOOKUP($A17,'40Trips'!$A$3:$I$42,2,FALSE), VLOOKUP(AN$1,'40Trips'!$A$3:$I$42,2,FALSE)),0)</f>
        <v>0</v>
      </c>
      <c r="AO17">
        <f>IF(AND(SUM(VLOOKUP($A17,'40Trips'!$A$3:$I$42,2,FALSE),VLOOKUP(AO$1,'40Trips'!$A$3:$I$42,2,FALSE))&lt;'40Trips'!$K$16,$A17&lt;&gt;AO$1,gamma!AO17=1),SUM(VLOOKUP($A17,'40Trips'!$A$3:$I$42,2,FALSE), VLOOKUP(AO$1,'40Trips'!$A$3:$I$42,2,FALSE)),0)</f>
        <v>0</v>
      </c>
      <c r="AP17">
        <f>IF(AND(SUM(VLOOKUP($A17,'40Trips'!$A$3:$I$42,2,FALSE),VLOOKUP(AP$1,'40Trips'!$A$3:$I$42,2,FALSE))&lt;'40Trips'!$K$16,$A17&lt;&gt;AP$1,gamma!AP17=1),SUM(VLOOKUP($A17,'40Trips'!$A$3:$I$42,2,FALSE), VLOOKUP(AP$1,'40Trips'!$A$3:$I$42,2,FALSE)),0)</f>
        <v>270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 t="s">
        <v>30</v>
      </c>
      <c r="B18">
        <v>0</v>
      </c>
      <c r="C18">
        <f>IF(AND(SUM(VLOOKUP($A18,'40Trips'!$A$3:$I$42,2,FALSE),VLOOKUP(C$1,'40Trips'!$A$3:$I$42,2,FALSE))&lt;'40Trips'!$K$16,$A18&lt;&gt;C$1,gamma!C18=1),SUM(VLOOKUP($A18,'40Trips'!$A$3:$I$42,2,FALSE), VLOOKUP(C$1,'40Trips'!$A$3:$I$42,2,FALSE)),0)</f>
        <v>0</v>
      </c>
      <c r="D18">
        <f>IF(AND(SUM(VLOOKUP($A18,'40Trips'!$A$3:$I$42,2,FALSE),VLOOKUP(D$1,'40Trips'!$A$3:$I$42,2,FALSE))&lt;'40Trips'!$K$16,$A18&lt;&gt;D$1,gamma!D18=1),SUM(VLOOKUP($A18,'40Trips'!$A$3:$I$42,2,FALSE), VLOOKUP(D$1,'40Trips'!$A$3:$I$42,2,FALSE)),0)</f>
        <v>0</v>
      </c>
      <c r="E18">
        <f>IF(AND(SUM(VLOOKUP($A18,'40Trips'!$A$3:$I$42,2,FALSE),VLOOKUP(E$1,'40Trips'!$A$3:$I$42,2,FALSE))&lt;'40Trips'!$K$16,$A18&lt;&gt;E$1,gamma!E18=1),SUM(VLOOKUP($A18,'40Trips'!$A$3:$I$42,2,FALSE), VLOOKUP(E$1,'40Trips'!$A$3:$I$42,2,FALSE)),0)</f>
        <v>0</v>
      </c>
      <c r="F18">
        <f>IF(AND(SUM(VLOOKUP($A18,'40Trips'!$A$3:$I$42,2,FALSE),VLOOKUP(F$1,'40Trips'!$A$3:$I$42,2,FALSE))&lt;'40Trips'!$K$16,$A18&lt;&gt;F$1,gamma!F18=1),SUM(VLOOKUP($A18,'40Trips'!$A$3:$I$42,2,FALSE), VLOOKUP(F$1,'40Trips'!$A$3:$I$42,2,FALSE)),0)</f>
        <v>0</v>
      </c>
      <c r="G18">
        <f>IF(AND(SUM(VLOOKUP($A18,'40Trips'!$A$3:$I$42,2,FALSE),VLOOKUP(G$1,'40Trips'!$A$3:$I$42,2,FALSE))&lt;'40Trips'!$K$16,$A18&lt;&gt;G$1,gamma!G18=1),SUM(VLOOKUP($A18,'40Trips'!$A$3:$I$42,2,FALSE), VLOOKUP(G$1,'40Trips'!$A$3:$I$42,2,FALSE)),0)</f>
        <v>0</v>
      </c>
      <c r="H18">
        <f>IF(AND(SUM(VLOOKUP($A18,'40Trips'!$A$3:$I$42,2,FALSE),VLOOKUP(H$1,'40Trips'!$A$3:$I$42,2,FALSE))&lt;'40Trips'!$K$16,$A18&lt;&gt;H$1,gamma!H18=1),SUM(VLOOKUP($A18,'40Trips'!$A$3:$I$42,2,FALSE), VLOOKUP(H$1,'40Trips'!$A$3:$I$42,2,FALSE)),0)</f>
        <v>0</v>
      </c>
      <c r="I18">
        <f>IF(AND(SUM(VLOOKUP($A18,'40Trips'!$A$3:$I$42,2,FALSE),VLOOKUP(I$1,'40Trips'!$A$3:$I$42,2,FALSE))&lt;'40Trips'!$K$16,$A18&lt;&gt;I$1,gamma!I18=1),SUM(VLOOKUP($A18,'40Trips'!$A$3:$I$42,2,FALSE), VLOOKUP(I$1,'40Trips'!$A$3:$I$42,2,FALSE)),0)</f>
        <v>0</v>
      </c>
      <c r="J18">
        <f>IF(AND(SUM(VLOOKUP($A18,'40Trips'!$A$3:$I$42,2,FALSE),VLOOKUP(J$1,'40Trips'!$A$3:$I$42,2,FALSE))&lt;'40Trips'!$K$16,$A18&lt;&gt;J$1,gamma!J18=1),SUM(VLOOKUP($A18,'40Trips'!$A$3:$I$42,2,FALSE), VLOOKUP(J$1,'40Trips'!$A$3:$I$42,2,FALSE)),0)</f>
        <v>275</v>
      </c>
      <c r="K18">
        <f>IF(AND(SUM(VLOOKUP($A18,'40Trips'!$A$3:$I$42,2,FALSE),VLOOKUP(K$1,'40Trips'!$A$3:$I$42,2,FALSE))&lt;'40Trips'!$K$16,$A18&lt;&gt;K$1,gamma!K18=1),SUM(VLOOKUP($A18,'40Trips'!$A$3:$I$42,2,FALSE), VLOOKUP(K$1,'40Trips'!$A$3:$I$42,2,FALSE)),0)</f>
        <v>0</v>
      </c>
      <c r="L18">
        <f>IF(AND(SUM(VLOOKUP($A18,'40Trips'!$A$3:$I$42,2,FALSE),VLOOKUP(L$1,'40Trips'!$A$3:$I$42,2,FALSE))&lt;'40Trips'!$K$16,$A18&lt;&gt;L$1,gamma!L18=1),SUM(VLOOKUP($A18,'40Trips'!$A$3:$I$42,2,FALSE), VLOOKUP(L$1,'40Trips'!$A$3:$I$42,2,FALSE)),0)</f>
        <v>0</v>
      </c>
      <c r="M18">
        <f>IF(AND(SUM(VLOOKUP($A18,'40Trips'!$A$3:$I$42,2,FALSE),VLOOKUP(M$1,'40Trips'!$A$3:$I$42,2,FALSE))&lt;'40Trips'!$K$16,$A18&lt;&gt;M$1,gamma!M18=1),SUM(VLOOKUP($A18,'40Trips'!$A$3:$I$42,2,FALSE), VLOOKUP(M$1,'40Trips'!$A$3:$I$42,2,FALSE)),0)</f>
        <v>0</v>
      </c>
      <c r="N18">
        <f>IF(AND(SUM(VLOOKUP($A18,'40Trips'!$A$3:$I$42,2,FALSE),VLOOKUP(N$1,'40Trips'!$A$3:$I$42,2,FALSE))&lt;'40Trips'!$K$16,$A18&lt;&gt;N$1,gamma!N18=1),SUM(VLOOKUP($A18,'40Trips'!$A$3:$I$42,2,FALSE), VLOOKUP(N$1,'40Trips'!$A$3:$I$42,2,FALSE)),0)</f>
        <v>0</v>
      </c>
      <c r="O18">
        <f>IF(AND(SUM(VLOOKUP($A18,'40Trips'!$A$3:$I$42,2,FALSE),VLOOKUP(O$1,'40Trips'!$A$3:$I$42,2,FALSE))&lt;'40Trips'!$K$16,$A18&lt;&gt;O$1,gamma!O18=1),SUM(VLOOKUP($A18,'40Trips'!$A$3:$I$42,2,FALSE), VLOOKUP(O$1,'40Trips'!$A$3:$I$42,2,FALSE)),0)</f>
        <v>0</v>
      </c>
      <c r="P18">
        <f>IF(AND(SUM(VLOOKUP($A18,'40Trips'!$A$3:$I$42,2,FALSE),VLOOKUP(P$1,'40Trips'!$A$3:$I$42,2,FALSE))&lt;'40Trips'!$K$16,$A18&lt;&gt;P$1,gamma!P18=1),SUM(VLOOKUP($A18,'40Trips'!$A$3:$I$42,2,FALSE), VLOOKUP(P$1,'40Trips'!$A$3:$I$42,2,FALSE)),0)</f>
        <v>0</v>
      </c>
      <c r="Q18">
        <f>IF(AND(SUM(VLOOKUP($A18,'40Trips'!$A$3:$I$42,2,FALSE),VLOOKUP(Q$1,'40Trips'!$A$3:$I$42,2,FALSE))&lt;'40Trips'!$K$16,$A18&lt;&gt;Q$1,gamma!Q18=1),SUM(VLOOKUP($A18,'40Trips'!$A$3:$I$42,2,FALSE), VLOOKUP(Q$1,'40Trips'!$A$3:$I$42,2,FALSE)),0)</f>
        <v>0</v>
      </c>
      <c r="R18">
        <f>IF(AND(SUM(VLOOKUP($A18,'40Trips'!$A$3:$I$42,2,FALSE),VLOOKUP(R$1,'40Trips'!$A$3:$I$42,2,FALSE))&lt;'40Trips'!$K$16,$A18&lt;&gt;R$1,gamma!R18=1),SUM(VLOOKUP($A18,'40Trips'!$A$3:$I$42,2,FALSE), VLOOKUP(R$1,'40Trips'!$A$3:$I$42,2,FALSE)),0)</f>
        <v>0</v>
      </c>
      <c r="S18">
        <f>IF(AND(SUM(VLOOKUP($A18,'40Trips'!$A$3:$I$42,2,FALSE),VLOOKUP(S$1,'40Trips'!$A$3:$I$42,2,FALSE))&lt;'40Trips'!$K$16,$A18&lt;&gt;S$1,gamma!S18=1),SUM(VLOOKUP($A18,'40Trips'!$A$3:$I$42,2,FALSE), VLOOKUP(S$1,'40Trips'!$A$3:$I$42,2,FALSE)),0)</f>
        <v>0</v>
      </c>
      <c r="T18">
        <f>IF(AND(SUM(VLOOKUP($A18,'40Trips'!$A$3:$I$42,2,FALSE),VLOOKUP(T$1,'40Trips'!$A$3:$I$42,2,FALSE))&lt;'40Trips'!$K$16,$A18&lt;&gt;T$1,gamma!T18=1),SUM(VLOOKUP($A18,'40Trips'!$A$3:$I$42,2,FALSE), VLOOKUP(T$1,'40Trips'!$A$3:$I$42,2,FALSE)),0)</f>
        <v>0</v>
      </c>
      <c r="U18">
        <f>IF(AND(SUM(VLOOKUP($A18,'40Trips'!$A$3:$I$42,2,FALSE),VLOOKUP(U$1,'40Trips'!$A$3:$I$42,2,FALSE))&lt;'40Trips'!$K$16,$A18&lt;&gt;U$1,gamma!U18=1),SUM(VLOOKUP($A18,'40Trips'!$A$3:$I$42,2,FALSE), VLOOKUP(U$1,'40Trips'!$A$3:$I$42,2,FALSE)),0)</f>
        <v>0</v>
      </c>
      <c r="V18">
        <f>IF(AND(SUM(VLOOKUP($A18,'40Trips'!$A$3:$I$42,2,FALSE),VLOOKUP(V$1,'40Trips'!$A$3:$I$42,2,FALSE))&lt;'40Trips'!$K$16,$A18&lt;&gt;V$1,gamma!V18=1),SUM(VLOOKUP($A18,'40Trips'!$A$3:$I$42,2,FALSE), VLOOKUP(V$1,'40Trips'!$A$3:$I$42,2,FALSE)),0)</f>
        <v>0</v>
      </c>
      <c r="W18">
        <f>IF(AND(SUM(VLOOKUP($A18,'40Trips'!$A$3:$I$42,2,FALSE),VLOOKUP(W$1,'40Trips'!$A$3:$I$42,2,FALSE))&lt;'40Trips'!$K$16,$A18&lt;&gt;W$1,gamma!W18=1),SUM(VLOOKUP($A18,'40Trips'!$A$3:$I$42,2,FALSE), VLOOKUP(W$1,'40Trips'!$A$3:$I$42,2,FALSE)),0)</f>
        <v>0</v>
      </c>
      <c r="X18">
        <f>IF(AND(SUM(VLOOKUP($A18,'40Trips'!$A$3:$I$42,2,FALSE),VLOOKUP(X$1,'40Trips'!$A$3:$I$42,2,FALSE))&lt;'40Trips'!$K$16,$A18&lt;&gt;X$1,gamma!X18=1),SUM(VLOOKUP($A18,'40Trips'!$A$3:$I$42,2,FALSE), VLOOKUP(X$1,'40Trips'!$A$3:$I$42,2,FALSE)),0)</f>
        <v>0</v>
      </c>
      <c r="Y18">
        <f>IF(AND(SUM(VLOOKUP($A18,'40Trips'!$A$3:$I$42,2,FALSE),VLOOKUP(Y$1,'40Trips'!$A$3:$I$42,2,FALSE))&lt;'40Trips'!$K$16,$A18&lt;&gt;Y$1,gamma!Y18=1),SUM(VLOOKUP($A18,'40Trips'!$A$3:$I$42,2,FALSE), VLOOKUP(Y$1,'40Trips'!$A$3:$I$42,2,FALSE)),0)</f>
        <v>0</v>
      </c>
      <c r="Z18">
        <f>IF(AND(SUM(VLOOKUP($A18,'40Trips'!$A$3:$I$42,2,FALSE),VLOOKUP(Z$1,'40Trips'!$A$3:$I$42,2,FALSE))&lt;'40Trips'!$K$16,$A18&lt;&gt;Z$1,gamma!Z18=1),SUM(VLOOKUP($A18,'40Trips'!$A$3:$I$42,2,FALSE), VLOOKUP(Z$1,'40Trips'!$A$3:$I$42,2,FALSE)),0)</f>
        <v>0</v>
      </c>
      <c r="AA18">
        <f>IF(AND(SUM(VLOOKUP($A18,'40Trips'!$A$3:$I$42,2,FALSE),VLOOKUP(AA$1,'40Trips'!$A$3:$I$42,2,FALSE))&lt;'40Trips'!$K$16,$A18&lt;&gt;AA$1,gamma!AA18=1),SUM(VLOOKUP($A18,'40Trips'!$A$3:$I$42,2,FALSE), VLOOKUP(AA$1,'40Trips'!$A$3:$I$42,2,FALSE)),0)</f>
        <v>0</v>
      </c>
      <c r="AB18">
        <f>IF(AND(SUM(VLOOKUP($A18,'40Trips'!$A$3:$I$42,2,FALSE),VLOOKUP(AB$1,'40Trips'!$A$3:$I$42,2,FALSE))&lt;'40Trips'!$K$16,$A18&lt;&gt;AB$1,gamma!AB18=1),SUM(VLOOKUP($A18,'40Trips'!$A$3:$I$42,2,FALSE), VLOOKUP(AB$1,'40Trips'!$A$3:$I$42,2,FALSE)),0)</f>
        <v>0</v>
      </c>
      <c r="AC18">
        <f>IF(AND(SUM(VLOOKUP($A18,'40Trips'!$A$3:$I$42,2,FALSE),VLOOKUP(AC$1,'40Trips'!$A$3:$I$42,2,FALSE))&lt;'40Trips'!$K$16,$A18&lt;&gt;AC$1,gamma!AC18=1),SUM(VLOOKUP($A18,'40Trips'!$A$3:$I$42,2,FALSE), VLOOKUP(AC$1,'40Trips'!$A$3:$I$42,2,FALSE)),0)</f>
        <v>0</v>
      </c>
      <c r="AD18">
        <f>IF(AND(SUM(VLOOKUP($A18,'40Trips'!$A$3:$I$42,2,FALSE),VLOOKUP(AD$1,'40Trips'!$A$3:$I$42,2,FALSE))&lt;'40Trips'!$K$16,$A18&lt;&gt;AD$1,gamma!AD18=1),SUM(VLOOKUP($A18,'40Trips'!$A$3:$I$42,2,FALSE), VLOOKUP(AD$1,'40Trips'!$A$3:$I$42,2,FALSE)),0)</f>
        <v>0</v>
      </c>
      <c r="AE18">
        <f>IF(AND(SUM(VLOOKUP($A18,'40Trips'!$A$3:$I$42,2,FALSE),VLOOKUP(AE$1,'40Trips'!$A$3:$I$42,2,FALSE))&lt;'40Trips'!$K$16,$A18&lt;&gt;AE$1,gamma!AE18=1),SUM(VLOOKUP($A18,'40Trips'!$A$3:$I$42,2,FALSE), VLOOKUP(AE$1,'40Trips'!$A$3:$I$42,2,FALSE)),0)</f>
        <v>0</v>
      </c>
      <c r="AF18">
        <f>IF(AND(SUM(VLOOKUP($A18,'40Trips'!$A$3:$I$42,2,FALSE),VLOOKUP(AF$1,'40Trips'!$A$3:$I$42,2,FALSE))&lt;'40Trips'!$K$16,$A18&lt;&gt;AF$1,gamma!AF18=1),SUM(VLOOKUP($A18,'40Trips'!$A$3:$I$42,2,FALSE), VLOOKUP(AF$1,'40Trips'!$A$3:$I$42,2,FALSE)),0)</f>
        <v>0</v>
      </c>
      <c r="AG18">
        <f>IF(AND(SUM(VLOOKUP($A18,'40Trips'!$A$3:$I$42,2,FALSE),VLOOKUP(AG$1,'40Trips'!$A$3:$I$42,2,FALSE))&lt;'40Trips'!$K$16,$A18&lt;&gt;AG$1,gamma!AG18=1),SUM(VLOOKUP($A18,'40Trips'!$A$3:$I$42,2,FALSE), VLOOKUP(AG$1,'40Trips'!$A$3:$I$42,2,FALSE)),0)</f>
        <v>0</v>
      </c>
      <c r="AH18">
        <f>IF(AND(SUM(VLOOKUP($A18,'40Trips'!$A$3:$I$42,2,FALSE),VLOOKUP(AH$1,'40Trips'!$A$3:$I$42,2,FALSE))&lt;'40Trips'!$K$16,$A18&lt;&gt;AH$1,gamma!AH18=1),SUM(VLOOKUP($A18,'40Trips'!$A$3:$I$42,2,FALSE), VLOOKUP(AH$1,'40Trips'!$A$3:$I$42,2,FALSE)),0)</f>
        <v>0</v>
      </c>
      <c r="AI18">
        <f>IF(AND(SUM(VLOOKUP($A18,'40Trips'!$A$3:$I$42,2,FALSE),VLOOKUP(AI$1,'40Trips'!$A$3:$I$42,2,FALSE))&lt;'40Trips'!$K$16,$A18&lt;&gt;AI$1,gamma!AI18=1),SUM(VLOOKUP($A18,'40Trips'!$A$3:$I$42,2,FALSE), VLOOKUP(AI$1,'40Trips'!$A$3:$I$42,2,FALSE)),0)</f>
        <v>0</v>
      </c>
      <c r="AJ18">
        <f>IF(AND(SUM(VLOOKUP($A18,'40Trips'!$A$3:$I$42,2,FALSE),VLOOKUP(AJ$1,'40Trips'!$A$3:$I$42,2,FALSE))&lt;'40Trips'!$K$16,$A18&lt;&gt;AJ$1,gamma!AJ18=1),SUM(VLOOKUP($A18,'40Trips'!$A$3:$I$42,2,FALSE), VLOOKUP(AJ$1,'40Trips'!$A$3:$I$42,2,FALSE)),0)</f>
        <v>0</v>
      </c>
      <c r="AK18">
        <f>IF(AND(SUM(VLOOKUP($A18,'40Trips'!$A$3:$I$42,2,FALSE),VLOOKUP(AK$1,'40Trips'!$A$3:$I$42,2,FALSE))&lt;'40Trips'!$K$16,$A18&lt;&gt;AK$1,gamma!AK18=1),SUM(VLOOKUP($A18,'40Trips'!$A$3:$I$42,2,FALSE), VLOOKUP(AK$1,'40Trips'!$A$3:$I$42,2,FALSE)),0)</f>
        <v>0</v>
      </c>
      <c r="AL18">
        <f>IF(AND(SUM(VLOOKUP($A18,'40Trips'!$A$3:$I$42,2,FALSE),VLOOKUP(AL$1,'40Trips'!$A$3:$I$42,2,FALSE))&lt;'40Trips'!$K$16,$A18&lt;&gt;AL$1,gamma!AL18=1),SUM(VLOOKUP($A18,'40Trips'!$A$3:$I$42,2,FALSE), VLOOKUP(AL$1,'40Trips'!$A$3:$I$42,2,FALSE)),0)</f>
        <v>0</v>
      </c>
      <c r="AM18">
        <f>IF(AND(SUM(VLOOKUP($A18,'40Trips'!$A$3:$I$42,2,FALSE),VLOOKUP(AM$1,'40Trips'!$A$3:$I$42,2,FALSE))&lt;'40Trips'!$K$16,$A18&lt;&gt;AM$1,gamma!AM18=1),SUM(VLOOKUP($A18,'40Trips'!$A$3:$I$42,2,FALSE), VLOOKUP(AM$1,'40Trips'!$A$3:$I$42,2,FALSE)),0)</f>
        <v>0</v>
      </c>
      <c r="AN18">
        <f>IF(AND(SUM(VLOOKUP($A18,'40Trips'!$A$3:$I$42,2,FALSE),VLOOKUP(AN$1,'40Trips'!$A$3:$I$42,2,FALSE))&lt;'40Trips'!$K$16,$A18&lt;&gt;AN$1,gamma!AN18=1),SUM(VLOOKUP($A18,'40Trips'!$A$3:$I$42,2,FALSE), VLOOKUP(AN$1,'40Trips'!$A$3:$I$42,2,FALSE)),0)</f>
        <v>0</v>
      </c>
      <c r="AO18">
        <f>IF(AND(SUM(VLOOKUP($A18,'40Trips'!$A$3:$I$42,2,FALSE),VLOOKUP(AO$1,'40Trips'!$A$3:$I$42,2,FALSE))&lt;'40Trips'!$K$16,$A18&lt;&gt;AO$1,gamma!AO18=1),SUM(VLOOKUP($A18,'40Trips'!$A$3:$I$42,2,FALSE), VLOOKUP(AO$1,'40Trips'!$A$3:$I$42,2,FALSE)),0)</f>
        <v>0</v>
      </c>
      <c r="AP18">
        <f>IF(AND(SUM(VLOOKUP($A18,'40Trips'!$A$3:$I$42,2,FALSE),VLOOKUP(AP$1,'40Trips'!$A$3:$I$42,2,FALSE))&lt;'40Trips'!$K$16,$A18&lt;&gt;AP$1,gamma!AP18=1),SUM(VLOOKUP($A18,'40Trips'!$A$3:$I$42,2,FALSE), VLOOKUP(AP$1,'40Trips'!$A$3:$I$42,2,FALSE)),0)</f>
        <v>0</v>
      </c>
      <c r="AQ18">
        <v>0</v>
      </c>
      <c r="AR18">
        <v>0</v>
      </c>
      <c r="AS18">
        <v>0</v>
      </c>
      <c r="AT18">
        <v>0</v>
      </c>
    </row>
    <row r="19" spans="1:46" x14ac:dyDescent="0.25">
      <c r="A19" t="s">
        <v>75</v>
      </c>
      <c r="B19">
        <v>0</v>
      </c>
      <c r="C19">
        <f>IF(AND(SUM(VLOOKUP($A19,'40Trips'!$A$3:$I$42,2,FALSE),VLOOKUP(C$1,'40Trips'!$A$3:$I$42,2,FALSE))&lt;'40Trips'!$K$16,$A19&lt;&gt;C$1,gamma!C19=1),SUM(VLOOKUP($A19,'40Trips'!$A$3:$I$42,2,FALSE), VLOOKUP(C$1,'40Trips'!$A$3:$I$42,2,FALSE)),0)</f>
        <v>255</v>
      </c>
      <c r="D19">
        <f>IF(AND(SUM(VLOOKUP($A19,'40Trips'!$A$3:$I$42,2,FALSE),VLOOKUP(D$1,'40Trips'!$A$3:$I$42,2,FALSE))&lt;'40Trips'!$K$16,$A19&lt;&gt;D$1,gamma!D19=1),SUM(VLOOKUP($A19,'40Trips'!$A$3:$I$42,2,FALSE), VLOOKUP(D$1,'40Trips'!$A$3:$I$42,2,FALSE)),0)</f>
        <v>255</v>
      </c>
      <c r="E19">
        <f>IF(AND(SUM(VLOOKUP($A19,'40Trips'!$A$3:$I$42,2,FALSE),VLOOKUP(E$1,'40Trips'!$A$3:$I$42,2,FALSE))&lt;'40Trips'!$K$16,$A19&lt;&gt;E$1,gamma!E19=1),SUM(VLOOKUP($A19,'40Trips'!$A$3:$I$42,2,FALSE), VLOOKUP(E$1,'40Trips'!$A$3:$I$42,2,FALSE)),0)</f>
        <v>255</v>
      </c>
      <c r="F19">
        <f>IF(AND(SUM(VLOOKUP($A19,'40Trips'!$A$3:$I$42,2,FALSE),VLOOKUP(F$1,'40Trips'!$A$3:$I$42,2,FALSE))&lt;'40Trips'!$K$16,$A19&lt;&gt;F$1,gamma!F19=1),SUM(VLOOKUP($A19,'40Trips'!$A$3:$I$42,2,FALSE), VLOOKUP(F$1,'40Trips'!$A$3:$I$42,2,FALSE)),0)</f>
        <v>255</v>
      </c>
      <c r="G19">
        <f>IF(AND(SUM(VLOOKUP($A19,'40Trips'!$A$3:$I$42,2,FALSE),VLOOKUP(G$1,'40Trips'!$A$3:$I$42,2,FALSE))&lt;'40Trips'!$K$16,$A19&lt;&gt;G$1,gamma!G19=1),SUM(VLOOKUP($A19,'40Trips'!$A$3:$I$42,2,FALSE), VLOOKUP(G$1,'40Trips'!$A$3:$I$42,2,FALSE)),0)</f>
        <v>260</v>
      </c>
      <c r="H19">
        <f>IF(AND(SUM(VLOOKUP($A19,'40Trips'!$A$3:$I$42,2,FALSE),VLOOKUP(H$1,'40Trips'!$A$3:$I$42,2,FALSE))&lt;'40Trips'!$K$16,$A19&lt;&gt;H$1,gamma!H19=1),SUM(VLOOKUP($A19,'40Trips'!$A$3:$I$42,2,FALSE), VLOOKUP(H$1,'40Trips'!$A$3:$I$42,2,FALSE)),0)</f>
        <v>260</v>
      </c>
      <c r="I19">
        <f>IF(AND(SUM(VLOOKUP($A19,'40Trips'!$A$3:$I$42,2,FALSE),VLOOKUP(I$1,'40Trips'!$A$3:$I$42,2,FALSE))&lt;'40Trips'!$K$16,$A19&lt;&gt;I$1,gamma!I19=1),SUM(VLOOKUP($A19,'40Trips'!$A$3:$I$42,2,FALSE), VLOOKUP(I$1,'40Trips'!$A$3:$I$42,2,FALSE)),0)</f>
        <v>260</v>
      </c>
      <c r="J19">
        <f>IF(AND(SUM(VLOOKUP($A19,'40Trips'!$A$3:$I$42,2,FALSE),VLOOKUP(J$1,'40Trips'!$A$3:$I$42,2,FALSE))&lt;'40Trips'!$K$16,$A19&lt;&gt;J$1,gamma!J19=1),SUM(VLOOKUP($A19,'40Trips'!$A$3:$I$42,2,FALSE), VLOOKUP(J$1,'40Trips'!$A$3:$I$42,2,FALSE)),0)</f>
        <v>260</v>
      </c>
      <c r="K19">
        <f>IF(AND(SUM(VLOOKUP($A19,'40Trips'!$A$3:$I$42,2,FALSE),VLOOKUP(K$1,'40Trips'!$A$3:$I$42,2,FALSE))&lt;'40Trips'!$K$16,$A19&lt;&gt;K$1,gamma!K19=1),SUM(VLOOKUP($A19,'40Trips'!$A$3:$I$42,2,FALSE), VLOOKUP(K$1,'40Trips'!$A$3:$I$42,2,FALSE)),0)</f>
        <v>260</v>
      </c>
      <c r="L19">
        <f>IF(AND(SUM(VLOOKUP($A19,'40Trips'!$A$3:$I$42,2,FALSE),VLOOKUP(L$1,'40Trips'!$A$3:$I$42,2,FALSE))&lt;'40Trips'!$K$16,$A19&lt;&gt;L$1,gamma!L19=1),SUM(VLOOKUP($A19,'40Trips'!$A$3:$I$42,2,FALSE), VLOOKUP(L$1,'40Trips'!$A$3:$I$42,2,FALSE)),0)</f>
        <v>260</v>
      </c>
      <c r="M19">
        <f>IF(AND(SUM(VLOOKUP($A19,'40Trips'!$A$3:$I$42,2,FALSE),VLOOKUP(M$1,'40Trips'!$A$3:$I$42,2,FALSE))&lt;'40Trips'!$K$16,$A19&lt;&gt;M$1,gamma!M19=1),SUM(VLOOKUP($A19,'40Trips'!$A$3:$I$42,2,FALSE), VLOOKUP(M$1,'40Trips'!$A$3:$I$42,2,FALSE)),0)</f>
        <v>255</v>
      </c>
      <c r="N19">
        <f>IF(AND(SUM(VLOOKUP($A19,'40Trips'!$A$3:$I$42,2,FALSE),VLOOKUP(N$1,'40Trips'!$A$3:$I$42,2,FALSE))&lt;'40Trips'!$K$16,$A19&lt;&gt;N$1,gamma!N19=1),SUM(VLOOKUP($A19,'40Trips'!$A$3:$I$42,2,FALSE), VLOOKUP(N$1,'40Trips'!$A$3:$I$42,2,FALSE)),0)</f>
        <v>255</v>
      </c>
      <c r="O19">
        <f>IF(AND(SUM(VLOOKUP($A19,'40Trips'!$A$3:$I$42,2,FALSE),VLOOKUP(O$1,'40Trips'!$A$3:$I$42,2,FALSE))&lt;'40Trips'!$K$16,$A19&lt;&gt;O$1,gamma!O19=1),SUM(VLOOKUP($A19,'40Trips'!$A$3:$I$42,2,FALSE), VLOOKUP(O$1,'40Trips'!$A$3:$I$42,2,FALSE)),0)</f>
        <v>255</v>
      </c>
      <c r="P19">
        <f>IF(AND(SUM(VLOOKUP($A19,'40Trips'!$A$3:$I$42,2,FALSE),VLOOKUP(P$1,'40Trips'!$A$3:$I$42,2,FALSE))&lt;'40Trips'!$K$16,$A19&lt;&gt;P$1,gamma!P19=1),SUM(VLOOKUP($A19,'40Trips'!$A$3:$I$42,2,FALSE), VLOOKUP(P$1,'40Trips'!$A$3:$I$42,2,FALSE)),0)</f>
        <v>255</v>
      </c>
      <c r="Q19">
        <f>IF(AND(SUM(VLOOKUP($A19,'40Trips'!$A$3:$I$42,2,FALSE),VLOOKUP(Q$1,'40Trips'!$A$3:$I$42,2,FALSE))&lt;'40Trips'!$K$16,$A19&lt;&gt;Q$1,gamma!Q19=1),SUM(VLOOKUP($A19,'40Trips'!$A$3:$I$42,2,FALSE), VLOOKUP(Q$1,'40Trips'!$A$3:$I$42,2,FALSE)),0)</f>
        <v>255</v>
      </c>
      <c r="R19">
        <f>IF(AND(SUM(VLOOKUP($A19,'40Trips'!$A$3:$I$42,2,FALSE),VLOOKUP(R$1,'40Trips'!$A$3:$I$42,2,FALSE))&lt;'40Trips'!$K$16,$A19&lt;&gt;R$1,gamma!R19=1),SUM(VLOOKUP($A19,'40Trips'!$A$3:$I$42,2,FALSE), VLOOKUP(R$1,'40Trips'!$A$3:$I$42,2,FALSE)),0)</f>
        <v>255</v>
      </c>
      <c r="S19">
        <f>IF(AND(SUM(VLOOKUP($A19,'40Trips'!$A$3:$I$42,2,FALSE),VLOOKUP(S$1,'40Trips'!$A$3:$I$42,2,FALSE))&lt;'40Trips'!$K$16,$A19&lt;&gt;S$1,gamma!S19=1),SUM(VLOOKUP($A19,'40Trips'!$A$3:$I$42,2,FALSE), VLOOKUP(S$1,'40Trips'!$A$3:$I$42,2,FALSE)),0)</f>
        <v>0</v>
      </c>
      <c r="T19">
        <f>IF(AND(SUM(VLOOKUP($A19,'40Trips'!$A$3:$I$42,2,FALSE),VLOOKUP(T$1,'40Trips'!$A$3:$I$42,2,FALSE))&lt;'40Trips'!$K$16,$A19&lt;&gt;T$1,gamma!T19=1),SUM(VLOOKUP($A19,'40Trips'!$A$3:$I$42,2,FALSE), VLOOKUP(T$1,'40Trips'!$A$3:$I$42,2,FALSE)),0)</f>
        <v>260</v>
      </c>
      <c r="U19">
        <f>IF(AND(SUM(VLOOKUP($A19,'40Trips'!$A$3:$I$42,2,FALSE),VLOOKUP(U$1,'40Trips'!$A$3:$I$42,2,FALSE))&lt;'40Trips'!$K$16,$A19&lt;&gt;U$1,gamma!U19=1),SUM(VLOOKUP($A19,'40Trips'!$A$3:$I$42,2,FALSE), VLOOKUP(U$1,'40Trips'!$A$3:$I$42,2,FALSE)),0)</f>
        <v>240</v>
      </c>
      <c r="V19">
        <f>IF(AND(SUM(VLOOKUP($A19,'40Trips'!$A$3:$I$42,2,FALSE),VLOOKUP(V$1,'40Trips'!$A$3:$I$42,2,FALSE))&lt;'40Trips'!$K$16,$A19&lt;&gt;V$1,gamma!V19=1),SUM(VLOOKUP($A19,'40Trips'!$A$3:$I$42,2,FALSE), VLOOKUP(V$1,'40Trips'!$A$3:$I$42,2,FALSE)),0)</f>
        <v>250</v>
      </c>
      <c r="W19">
        <f>IF(AND(SUM(VLOOKUP($A19,'40Trips'!$A$3:$I$42,2,FALSE),VLOOKUP(W$1,'40Trips'!$A$3:$I$42,2,FALSE))&lt;'40Trips'!$K$16,$A19&lt;&gt;W$1,gamma!W19=1),SUM(VLOOKUP($A19,'40Trips'!$A$3:$I$42,2,FALSE), VLOOKUP(W$1,'40Trips'!$A$3:$I$42,2,FALSE)),0)</f>
        <v>260</v>
      </c>
      <c r="X19">
        <f>IF(AND(SUM(VLOOKUP($A19,'40Trips'!$A$3:$I$42,2,FALSE),VLOOKUP(X$1,'40Trips'!$A$3:$I$42,2,FALSE))&lt;'40Trips'!$K$16,$A19&lt;&gt;X$1,gamma!X19=1),SUM(VLOOKUP($A19,'40Trips'!$A$3:$I$42,2,FALSE), VLOOKUP(X$1,'40Trips'!$A$3:$I$42,2,FALSE)),0)</f>
        <v>260</v>
      </c>
      <c r="Y19">
        <f>IF(AND(SUM(VLOOKUP($A19,'40Trips'!$A$3:$I$42,2,FALSE),VLOOKUP(Y$1,'40Trips'!$A$3:$I$42,2,FALSE))&lt;'40Trips'!$K$16,$A19&lt;&gt;Y$1,gamma!Y19=1),SUM(VLOOKUP($A19,'40Trips'!$A$3:$I$42,2,FALSE), VLOOKUP(Y$1,'40Trips'!$A$3:$I$42,2,FALSE)),0)</f>
        <v>260</v>
      </c>
      <c r="Z19">
        <f>IF(AND(SUM(VLOOKUP($A19,'40Trips'!$A$3:$I$42,2,FALSE),VLOOKUP(Z$1,'40Trips'!$A$3:$I$42,2,FALSE))&lt;'40Trips'!$K$16,$A19&lt;&gt;Z$1,gamma!Z19=1),SUM(VLOOKUP($A19,'40Trips'!$A$3:$I$42,2,FALSE), VLOOKUP(Z$1,'40Trips'!$A$3:$I$42,2,FALSE)),0)</f>
        <v>260</v>
      </c>
      <c r="AA19">
        <f>IF(AND(SUM(VLOOKUP($A19,'40Trips'!$A$3:$I$42,2,FALSE),VLOOKUP(AA$1,'40Trips'!$A$3:$I$42,2,FALSE))&lt;'40Trips'!$K$16,$A19&lt;&gt;AA$1,gamma!AA19=1),SUM(VLOOKUP($A19,'40Trips'!$A$3:$I$42,2,FALSE), VLOOKUP(AA$1,'40Trips'!$A$3:$I$42,2,FALSE)),0)</f>
        <v>260</v>
      </c>
      <c r="AB19">
        <f>IF(AND(SUM(VLOOKUP($A19,'40Trips'!$A$3:$I$42,2,FALSE),VLOOKUP(AB$1,'40Trips'!$A$3:$I$42,2,FALSE))&lt;'40Trips'!$K$16,$A19&lt;&gt;AB$1,gamma!AB19=1),SUM(VLOOKUP($A19,'40Trips'!$A$3:$I$42,2,FALSE), VLOOKUP(AB$1,'40Trips'!$A$3:$I$42,2,FALSE)),0)</f>
        <v>260</v>
      </c>
      <c r="AC19">
        <f>IF(AND(SUM(VLOOKUP($A19,'40Trips'!$A$3:$I$42,2,FALSE),VLOOKUP(AC$1,'40Trips'!$A$3:$I$42,2,FALSE))&lt;'40Trips'!$K$16,$A19&lt;&gt;AC$1,gamma!AC19=1),SUM(VLOOKUP($A19,'40Trips'!$A$3:$I$42,2,FALSE), VLOOKUP(AC$1,'40Trips'!$A$3:$I$42,2,FALSE)),0)</f>
        <v>240</v>
      </c>
      <c r="AD19">
        <f>IF(AND(SUM(VLOOKUP($A19,'40Trips'!$A$3:$I$42,2,FALSE),VLOOKUP(AD$1,'40Trips'!$A$3:$I$42,2,FALSE))&lt;'40Trips'!$K$16,$A19&lt;&gt;AD$1,gamma!AD19=1),SUM(VLOOKUP($A19,'40Trips'!$A$3:$I$42,2,FALSE), VLOOKUP(AD$1,'40Trips'!$A$3:$I$42,2,FALSE)),0)</f>
        <v>250</v>
      </c>
      <c r="AE19">
        <f>IF(AND(SUM(VLOOKUP($A19,'40Trips'!$A$3:$I$42,2,FALSE),VLOOKUP(AE$1,'40Trips'!$A$3:$I$42,2,FALSE))&lt;'40Trips'!$K$16,$A19&lt;&gt;AE$1,gamma!AE19=1),SUM(VLOOKUP($A19,'40Trips'!$A$3:$I$42,2,FALSE), VLOOKUP(AE$1,'40Trips'!$A$3:$I$42,2,FALSE)),0)</f>
        <v>260</v>
      </c>
      <c r="AF19">
        <f>IF(AND(SUM(VLOOKUP($A19,'40Trips'!$A$3:$I$42,2,FALSE),VLOOKUP(AF$1,'40Trips'!$A$3:$I$42,2,FALSE))&lt;'40Trips'!$K$16,$A19&lt;&gt;AF$1,gamma!AF19=1),SUM(VLOOKUP($A19,'40Trips'!$A$3:$I$42,2,FALSE), VLOOKUP(AF$1,'40Trips'!$A$3:$I$42,2,FALSE)),0)</f>
        <v>255</v>
      </c>
      <c r="AG19">
        <f>IF(AND(SUM(VLOOKUP($A19,'40Trips'!$A$3:$I$42,2,FALSE),VLOOKUP(AG$1,'40Trips'!$A$3:$I$42,2,FALSE))&lt;'40Trips'!$K$16,$A19&lt;&gt;AG$1,gamma!AG19=1),SUM(VLOOKUP($A19,'40Trips'!$A$3:$I$42,2,FALSE), VLOOKUP(AG$1,'40Trips'!$A$3:$I$42,2,FALSE)),0)</f>
        <v>255</v>
      </c>
      <c r="AH19">
        <f>IF(AND(SUM(VLOOKUP($A19,'40Trips'!$A$3:$I$42,2,FALSE),VLOOKUP(AH$1,'40Trips'!$A$3:$I$42,2,FALSE))&lt;'40Trips'!$K$16,$A19&lt;&gt;AH$1,gamma!AH19=1),SUM(VLOOKUP($A19,'40Trips'!$A$3:$I$42,2,FALSE), VLOOKUP(AH$1,'40Trips'!$A$3:$I$42,2,FALSE)),0)</f>
        <v>255</v>
      </c>
      <c r="AI19">
        <f>IF(AND(SUM(VLOOKUP($A19,'40Trips'!$A$3:$I$42,2,FALSE),VLOOKUP(AI$1,'40Trips'!$A$3:$I$42,2,FALSE))&lt;'40Trips'!$K$16,$A19&lt;&gt;AI$1,gamma!AI19=1),SUM(VLOOKUP($A19,'40Trips'!$A$3:$I$42,2,FALSE), VLOOKUP(AI$1,'40Trips'!$A$3:$I$42,2,FALSE)),0)</f>
        <v>260</v>
      </c>
      <c r="AJ19">
        <f>IF(AND(SUM(VLOOKUP($A19,'40Trips'!$A$3:$I$42,2,FALSE),VLOOKUP(AJ$1,'40Trips'!$A$3:$I$42,2,FALSE))&lt;'40Trips'!$K$16,$A19&lt;&gt;AJ$1,gamma!AJ19=1),SUM(VLOOKUP($A19,'40Trips'!$A$3:$I$42,2,FALSE), VLOOKUP(AJ$1,'40Trips'!$A$3:$I$42,2,FALSE)),0)</f>
        <v>255</v>
      </c>
      <c r="AK19">
        <f>IF(AND(SUM(VLOOKUP($A19,'40Trips'!$A$3:$I$42,2,FALSE),VLOOKUP(AK$1,'40Trips'!$A$3:$I$42,2,FALSE))&lt;'40Trips'!$K$16,$A19&lt;&gt;AK$1,gamma!AK19=1),SUM(VLOOKUP($A19,'40Trips'!$A$3:$I$42,2,FALSE), VLOOKUP(AK$1,'40Trips'!$A$3:$I$42,2,FALSE)),0)</f>
        <v>260</v>
      </c>
      <c r="AL19">
        <f>IF(AND(SUM(VLOOKUP($A19,'40Trips'!$A$3:$I$42,2,FALSE),VLOOKUP(AL$1,'40Trips'!$A$3:$I$42,2,FALSE))&lt;'40Trips'!$K$16,$A19&lt;&gt;AL$1,gamma!AL19=1),SUM(VLOOKUP($A19,'40Trips'!$A$3:$I$42,2,FALSE), VLOOKUP(AL$1,'40Trips'!$A$3:$I$42,2,FALSE)),0)</f>
        <v>260</v>
      </c>
      <c r="AM19">
        <f>IF(AND(SUM(VLOOKUP($A19,'40Trips'!$A$3:$I$42,2,FALSE),VLOOKUP(AM$1,'40Trips'!$A$3:$I$42,2,FALSE))&lt;'40Trips'!$K$16,$A19&lt;&gt;AM$1,gamma!AM19=1),SUM(VLOOKUP($A19,'40Trips'!$A$3:$I$42,2,FALSE), VLOOKUP(AM$1,'40Trips'!$A$3:$I$42,2,FALSE)),0)</f>
        <v>260</v>
      </c>
      <c r="AN19">
        <f>IF(AND(SUM(VLOOKUP($A19,'40Trips'!$A$3:$I$42,2,FALSE),VLOOKUP(AN$1,'40Trips'!$A$3:$I$42,2,FALSE))&lt;'40Trips'!$K$16,$A19&lt;&gt;AN$1,gamma!AN19=1),SUM(VLOOKUP($A19,'40Trips'!$A$3:$I$42,2,FALSE), VLOOKUP(AN$1,'40Trips'!$A$3:$I$42,2,FALSE)),0)</f>
        <v>240</v>
      </c>
      <c r="AO19">
        <f>IF(AND(SUM(VLOOKUP($A19,'40Trips'!$A$3:$I$42,2,FALSE),VLOOKUP(AO$1,'40Trips'!$A$3:$I$42,2,FALSE))&lt;'40Trips'!$K$16,$A19&lt;&gt;AO$1,gamma!AO19=1),SUM(VLOOKUP($A19,'40Trips'!$A$3:$I$42,2,FALSE), VLOOKUP(AO$1,'40Trips'!$A$3:$I$42,2,FALSE)),0)</f>
        <v>240</v>
      </c>
      <c r="AP19">
        <f>IF(AND(SUM(VLOOKUP($A19,'40Trips'!$A$3:$I$42,2,FALSE),VLOOKUP(AP$1,'40Trips'!$A$3:$I$42,2,FALSE))&lt;'40Trips'!$K$16,$A19&lt;&gt;AP$1,gamma!AP19=1),SUM(VLOOKUP($A19,'40Trips'!$A$3:$I$42,2,FALSE), VLOOKUP(AP$1,'40Trips'!$A$3:$I$42,2,FALSE)),0)</f>
        <v>255</v>
      </c>
      <c r="AQ19">
        <v>0</v>
      </c>
      <c r="AR19">
        <v>0</v>
      </c>
      <c r="AS19">
        <v>0</v>
      </c>
      <c r="AT19">
        <v>0</v>
      </c>
    </row>
    <row r="20" spans="1:46" x14ac:dyDescent="0.25">
      <c r="A20" t="s">
        <v>76</v>
      </c>
      <c r="B20">
        <v>0</v>
      </c>
      <c r="C20">
        <f>IF(AND(SUM(VLOOKUP($A20,'40Trips'!$A$3:$I$42,2,FALSE),VLOOKUP(C$1,'40Trips'!$A$3:$I$42,2,FALSE))&lt;'40Trips'!$K$16,$A20&lt;&gt;C$1,gamma!C20=1),SUM(VLOOKUP($A20,'40Trips'!$A$3:$I$42,2,FALSE), VLOOKUP(C$1,'40Trips'!$A$3:$I$42,2,FALSE)),0)</f>
        <v>0</v>
      </c>
      <c r="D20">
        <f>IF(AND(SUM(VLOOKUP($A20,'40Trips'!$A$3:$I$42,2,FALSE),VLOOKUP(D$1,'40Trips'!$A$3:$I$42,2,FALSE))&lt;'40Trips'!$K$16,$A20&lt;&gt;D$1,gamma!D20=1),SUM(VLOOKUP($A20,'40Trips'!$A$3:$I$42,2,FALSE), VLOOKUP(D$1,'40Trips'!$A$3:$I$42,2,FALSE)),0)</f>
        <v>0</v>
      </c>
      <c r="E20">
        <f>IF(AND(SUM(VLOOKUP($A20,'40Trips'!$A$3:$I$42,2,FALSE),VLOOKUP(E$1,'40Trips'!$A$3:$I$42,2,FALSE))&lt;'40Trips'!$K$16,$A20&lt;&gt;E$1,gamma!E20=1),SUM(VLOOKUP($A20,'40Trips'!$A$3:$I$42,2,FALSE), VLOOKUP(E$1,'40Trips'!$A$3:$I$42,2,FALSE)),0)</f>
        <v>275</v>
      </c>
      <c r="F20">
        <f>IF(AND(SUM(VLOOKUP($A20,'40Trips'!$A$3:$I$42,2,FALSE),VLOOKUP(F$1,'40Trips'!$A$3:$I$42,2,FALSE))&lt;'40Trips'!$K$16,$A20&lt;&gt;F$1,gamma!F20=1),SUM(VLOOKUP($A20,'40Trips'!$A$3:$I$42,2,FALSE), VLOOKUP(F$1,'40Trips'!$A$3:$I$42,2,FALSE)),0)</f>
        <v>275</v>
      </c>
      <c r="G20">
        <f>IF(AND(SUM(VLOOKUP($A20,'40Trips'!$A$3:$I$42,2,FALSE),VLOOKUP(G$1,'40Trips'!$A$3:$I$42,2,FALSE))&lt;'40Trips'!$K$16,$A20&lt;&gt;G$1,gamma!G20=1),SUM(VLOOKUP($A20,'40Trips'!$A$3:$I$42,2,FALSE), VLOOKUP(G$1,'40Trips'!$A$3:$I$42,2,FALSE)),0)</f>
        <v>0</v>
      </c>
      <c r="H20">
        <f>IF(AND(SUM(VLOOKUP($A20,'40Trips'!$A$3:$I$42,2,FALSE),VLOOKUP(H$1,'40Trips'!$A$3:$I$42,2,FALSE))&lt;'40Trips'!$K$16,$A20&lt;&gt;H$1,gamma!H20=1),SUM(VLOOKUP($A20,'40Trips'!$A$3:$I$42,2,FALSE), VLOOKUP(H$1,'40Trips'!$A$3:$I$42,2,FALSE)),0)</f>
        <v>0</v>
      </c>
      <c r="I20">
        <f>IF(AND(SUM(VLOOKUP($A20,'40Trips'!$A$3:$I$42,2,FALSE),VLOOKUP(I$1,'40Trips'!$A$3:$I$42,2,FALSE))&lt;'40Trips'!$K$16,$A20&lt;&gt;I$1,gamma!I20=1),SUM(VLOOKUP($A20,'40Trips'!$A$3:$I$42,2,FALSE), VLOOKUP(I$1,'40Trips'!$A$3:$I$42,2,FALSE)),0)</f>
        <v>280</v>
      </c>
      <c r="J20">
        <f>IF(AND(SUM(VLOOKUP($A20,'40Trips'!$A$3:$I$42,2,FALSE),VLOOKUP(J$1,'40Trips'!$A$3:$I$42,2,FALSE))&lt;'40Trips'!$K$16,$A20&lt;&gt;J$1,gamma!J20=1),SUM(VLOOKUP($A20,'40Trips'!$A$3:$I$42,2,FALSE), VLOOKUP(J$1,'40Trips'!$A$3:$I$42,2,FALSE)),0)</f>
        <v>280</v>
      </c>
      <c r="K20">
        <f>IF(AND(SUM(VLOOKUP($A20,'40Trips'!$A$3:$I$42,2,FALSE),VLOOKUP(K$1,'40Trips'!$A$3:$I$42,2,FALSE))&lt;'40Trips'!$K$16,$A20&lt;&gt;K$1,gamma!K20=1),SUM(VLOOKUP($A20,'40Trips'!$A$3:$I$42,2,FALSE), VLOOKUP(K$1,'40Trips'!$A$3:$I$42,2,FALSE)),0)</f>
        <v>0</v>
      </c>
      <c r="L20">
        <f>IF(AND(SUM(VLOOKUP($A20,'40Trips'!$A$3:$I$42,2,FALSE),VLOOKUP(L$1,'40Trips'!$A$3:$I$42,2,FALSE))&lt;'40Trips'!$K$16,$A20&lt;&gt;L$1,gamma!L20=1),SUM(VLOOKUP($A20,'40Trips'!$A$3:$I$42,2,FALSE), VLOOKUP(L$1,'40Trips'!$A$3:$I$42,2,FALSE)),0)</f>
        <v>0</v>
      </c>
      <c r="M20">
        <f>IF(AND(SUM(VLOOKUP($A20,'40Trips'!$A$3:$I$42,2,FALSE),VLOOKUP(M$1,'40Trips'!$A$3:$I$42,2,FALSE))&lt;'40Trips'!$K$16,$A20&lt;&gt;M$1,gamma!M20=1),SUM(VLOOKUP($A20,'40Trips'!$A$3:$I$42,2,FALSE), VLOOKUP(M$1,'40Trips'!$A$3:$I$42,2,FALSE)),0)</f>
        <v>275</v>
      </c>
      <c r="N20">
        <f>IF(AND(SUM(VLOOKUP($A20,'40Trips'!$A$3:$I$42,2,FALSE),VLOOKUP(N$1,'40Trips'!$A$3:$I$42,2,FALSE))&lt;'40Trips'!$K$16,$A20&lt;&gt;N$1,gamma!N20=1),SUM(VLOOKUP($A20,'40Trips'!$A$3:$I$42,2,FALSE), VLOOKUP(N$1,'40Trips'!$A$3:$I$42,2,FALSE)),0)</f>
        <v>0</v>
      </c>
      <c r="O20">
        <f>IF(AND(SUM(VLOOKUP($A20,'40Trips'!$A$3:$I$42,2,FALSE),VLOOKUP(O$1,'40Trips'!$A$3:$I$42,2,FALSE))&lt;'40Trips'!$K$16,$A20&lt;&gt;O$1,gamma!O20=1),SUM(VLOOKUP($A20,'40Trips'!$A$3:$I$42,2,FALSE), VLOOKUP(O$1,'40Trips'!$A$3:$I$42,2,FALSE)),0)</f>
        <v>0</v>
      </c>
      <c r="P20">
        <f>IF(AND(SUM(VLOOKUP($A20,'40Trips'!$A$3:$I$42,2,FALSE),VLOOKUP(P$1,'40Trips'!$A$3:$I$42,2,FALSE))&lt;'40Trips'!$K$16,$A20&lt;&gt;P$1,gamma!P20=1),SUM(VLOOKUP($A20,'40Trips'!$A$3:$I$42,2,FALSE), VLOOKUP(P$1,'40Trips'!$A$3:$I$42,2,FALSE)),0)</f>
        <v>0</v>
      </c>
      <c r="Q20">
        <f>IF(AND(SUM(VLOOKUP($A20,'40Trips'!$A$3:$I$42,2,FALSE),VLOOKUP(Q$1,'40Trips'!$A$3:$I$42,2,FALSE))&lt;'40Trips'!$K$16,$A20&lt;&gt;Q$1,gamma!Q20=1),SUM(VLOOKUP($A20,'40Trips'!$A$3:$I$42,2,FALSE), VLOOKUP(Q$1,'40Trips'!$A$3:$I$42,2,FALSE)),0)</f>
        <v>275</v>
      </c>
      <c r="R20">
        <f>IF(AND(SUM(VLOOKUP($A20,'40Trips'!$A$3:$I$42,2,FALSE),VLOOKUP(R$1,'40Trips'!$A$3:$I$42,2,FALSE))&lt;'40Trips'!$K$16,$A20&lt;&gt;R$1,gamma!R20=1),SUM(VLOOKUP($A20,'40Trips'!$A$3:$I$42,2,FALSE), VLOOKUP(R$1,'40Trips'!$A$3:$I$42,2,FALSE)),0)</f>
        <v>275</v>
      </c>
      <c r="S20">
        <f>IF(AND(SUM(VLOOKUP($A20,'40Trips'!$A$3:$I$42,2,FALSE),VLOOKUP(S$1,'40Trips'!$A$3:$I$42,2,FALSE))&lt;'40Trips'!$K$16,$A20&lt;&gt;S$1,gamma!S20=1),SUM(VLOOKUP($A20,'40Trips'!$A$3:$I$42,2,FALSE), VLOOKUP(S$1,'40Trips'!$A$3:$I$42,2,FALSE)),0)</f>
        <v>0</v>
      </c>
      <c r="T20">
        <f>IF(AND(SUM(VLOOKUP($A20,'40Trips'!$A$3:$I$42,2,FALSE),VLOOKUP(T$1,'40Trips'!$A$3:$I$42,2,FALSE))&lt;'40Trips'!$K$16,$A20&lt;&gt;T$1,gamma!T20=1),SUM(VLOOKUP($A20,'40Trips'!$A$3:$I$42,2,FALSE), VLOOKUP(T$1,'40Trips'!$A$3:$I$42,2,FALSE)),0)</f>
        <v>0</v>
      </c>
      <c r="U20">
        <f>IF(AND(SUM(VLOOKUP($A20,'40Trips'!$A$3:$I$42,2,FALSE),VLOOKUP(U$1,'40Trips'!$A$3:$I$42,2,FALSE))&lt;'40Trips'!$K$16,$A20&lt;&gt;U$1,gamma!U20=1),SUM(VLOOKUP($A20,'40Trips'!$A$3:$I$42,2,FALSE), VLOOKUP(U$1,'40Trips'!$A$3:$I$42,2,FALSE)),0)</f>
        <v>260</v>
      </c>
      <c r="V20">
        <f>IF(AND(SUM(VLOOKUP($A20,'40Trips'!$A$3:$I$42,2,FALSE),VLOOKUP(V$1,'40Trips'!$A$3:$I$42,2,FALSE))&lt;'40Trips'!$K$16,$A20&lt;&gt;V$1,gamma!V20=1),SUM(VLOOKUP($A20,'40Trips'!$A$3:$I$42,2,FALSE), VLOOKUP(V$1,'40Trips'!$A$3:$I$42,2,FALSE)),0)</f>
        <v>270</v>
      </c>
      <c r="W20">
        <f>IF(AND(SUM(VLOOKUP($A20,'40Trips'!$A$3:$I$42,2,FALSE),VLOOKUP(W$1,'40Trips'!$A$3:$I$42,2,FALSE))&lt;'40Trips'!$K$16,$A20&lt;&gt;W$1,gamma!W20=1),SUM(VLOOKUP($A20,'40Trips'!$A$3:$I$42,2,FALSE), VLOOKUP(W$1,'40Trips'!$A$3:$I$42,2,FALSE)),0)</f>
        <v>0</v>
      </c>
      <c r="X20">
        <f>IF(AND(SUM(VLOOKUP($A20,'40Trips'!$A$3:$I$42,2,FALSE),VLOOKUP(X$1,'40Trips'!$A$3:$I$42,2,FALSE))&lt;'40Trips'!$K$16,$A20&lt;&gt;X$1,gamma!X20=1),SUM(VLOOKUP($A20,'40Trips'!$A$3:$I$42,2,FALSE), VLOOKUP(X$1,'40Trips'!$A$3:$I$42,2,FALSE)),0)</f>
        <v>0</v>
      </c>
      <c r="Y20">
        <f>IF(AND(SUM(VLOOKUP($A20,'40Trips'!$A$3:$I$42,2,FALSE),VLOOKUP(Y$1,'40Trips'!$A$3:$I$42,2,FALSE))&lt;'40Trips'!$K$16,$A20&lt;&gt;Y$1,gamma!Y20=1),SUM(VLOOKUP($A20,'40Trips'!$A$3:$I$42,2,FALSE), VLOOKUP(Y$1,'40Trips'!$A$3:$I$42,2,FALSE)),0)</f>
        <v>280</v>
      </c>
      <c r="Z20">
        <f>IF(AND(SUM(VLOOKUP($A20,'40Trips'!$A$3:$I$42,2,FALSE),VLOOKUP(Z$1,'40Trips'!$A$3:$I$42,2,FALSE))&lt;'40Trips'!$K$16,$A20&lt;&gt;Z$1,gamma!Z20=1),SUM(VLOOKUP($A20,'40Trips'!$A$3:$I$42,2,FALSE), VLOOKUP(Z$1,'40Trips'!$A$3:$I$42,2,FALSE)),0)</f>
        <v>280</v>
      </c>
      <c r="AA20">
        <f>IF(AND(SUM(VLOOKUP($A20,'40Trips'!$A$3:$I$42,2,FALSE),VLOOKUP(AA$1,'40Trips'!$A$3:$I$42,2,FALSE))&lt;'40Trips'!$K$16,$A20&lt;&gt;AA$1,gamma!AA20=1),SUM(VLOOKUP($A20,'40Trips'!$A$3:$I$42,2,FALSE), VLOOKUP(AA$1,'40Trips'!$A$3:$I$42,2,FALSE)),0)</f>
        <v>0</v>
      </c>
      <c r="AB20">
        <f>IF(AND(SUM(VLOOKUP($A20,'40Trips'!$A$3:$I$42,2,FALSE),VLOOKUP(AB$1,'40Trips'!$A$3:$I$42,2,FALSE))&lt;'40Trips'!$K$16,$A20&lt;&gt;AB$1,gamma!AB20=1),SUM(VLOOKUP($A20,'40Trips'!$A$3:$I$42,2,FALSE), VLOOKUP(AB$1,'40Trips'!$A$3:$I$42,2,FALSE)),0)</f>
        <v>0</v>
      </c>
      <c r="AC20">
        <f>IF(AND(SUM(VLOOKUP($A20,'40Trips'!$A$3:$I$42,2,FALSE),VLOOKUP(AC$1,'40Trips'!$A$3:$I$42,2,FALSE))&lt;'40Trips'!$K$16,$A20&lt;&gt;AC$1,gamma!AC20=1),SUM(VLOOKUP($A20,'40Trips'!$A$3:$I$42,2,FALSE), VLOOKUP(AC$1,'40Trips'!$A$3:$I$42,2,FALSE)),0)</f>
        <v>260</v>
      </c>
      <c r="AD20">
        <f>IF(AND(SUM(VLOOKUP($A20,'40Trips'!$A$3:$I$42,2,FALSE),VLOOKUP(AD$1,'40Trips'!$A$3:$I$42,2,FALSE))&lt;'40Trips'!$K$16,$A20&lt;&gt;AD$1,gamma!AD20=1),SUM(VLOOKUP($A20,'40Trips'!$A$3:$I$42,2,FALSE), VLOOKUP(AD$1,'40Trips'!$A$3:$I$42,2,FALSE)),0)</f>
        <v>270</v>
      </c>
      <c r="AE20">
        <f>IF(AND(SUM(VLOOKUP($A20,'40Trips'!$A$3:$I$42,2,FALSE),VLOOKUP(AE$1,'40Trips'!$A$3:$I$42,2,FALSE))&lt;'40Trips'!$K$16,$A20&lt;&gt;AE$1,gamma!AE20=1),SUM(VLOOKUP($A20,'40Trips'!$A$3:$I$42,2,FALSE), VLOOKUP(AE$1,'40Trips'!$A$3:$I$42,2,FALSE)),0)</f>
        <v>0</v>
      </c>
      <c r="AF20">
        <f>IF(AND(SUM(VLOOKUP($A20,'40Trips'!$A$3:$I$42,2,FALSE),VLOOKUP(AF$1,'40Trips'!$A$3:$I$42,2,FALSE))&lt;'40Trips'!$K$16,$A20&lt;&gt;AF$1,gamma!AF20=1),SUM(VLOOKUP($A20,'40Trips'!$A$3:$I$42,2,FALSE), VLOOKUP(AF$1,'40Trips'!$A$3:$I$42,2,FALSE)),0)</f>
        <v>0</v>
      </c>
      <c r="AG20">
        <f>IF(AND(SUM(VLOOKUP($A20,'40Trips'!$A$3:$I$42,2,FALSE),VLOOKUP(AG$1,'40Trips'!$A$3:$I$42,2,FALSE))&lt;'40Trips'!$K$16,$A20&lt;&gt;AG$1,gamma!AG20=1),SUM(VLOOKUP($A20,'40Trips'!$A$3:$I$42,2,FALSE), VLOOKUP(AG$1,'40Trips'!$A$3:$I$42,2,FALSE)),0)</f>
        <v>0</v>
      </c>
      <c r="AH20">
        <f>IF(AND(SUM(VLOOKUP($A20,'40Trips'!$A$3:$I$42,2,FALSE),VLOOKUP(AH$1,'40Trips'!$A$3:$I$42,2,FALSE))&lt;'40Trips'!$K$16,$A20&lt;&gt;AH$1,gamma!AH20=1),SUM(VLOOKUP($A20,'40Trips'!$A$3:$I$42,2,FALSE), VLOOKUP(AH$1,'40Trips'!$A$3:$I$42,2,FALSE)),0)</f>
        <v>275</v>
      </c>
      <c r="AI20">
        <f>IF(AND(SUM(VLOOKUP($A20,'40Trips'!$A$3:$I$42,2,FALSE),VLOOKUP(AI$1,'40Trips'!$A$3:$I$42,2,FALSE))&lt;'40Trips'!$K$16,$A20&lt;&gt;AI$1,gamma!AI20=1),SUM(VLOOKUP($A20,'40Trips'!$A$3:$I$42,2,FALSE), VLOOKUP(AI$1,'40Trips'!$A$3:$I$42,2,FALSE)),0)</f>
        <v>0</v>
      </c>
      <c r="AJ20">
        <f>IF(AND(SUM(VLOOKUP($A20,'40Trips'!$A$3:$I$42,2,FALSE),VLOOKUP(AJ$1,'40Trips'!$A$3:$I$42,2,FALSE))&lt;'40Trips'!$K$16,$A20&lt;&gt;AJ$1,gamma!AJ20=1),SUM(VLOOKUP($A20,'40Trips'!$A$3:$I$42,2,FALSE), VLOOKUP(AJ$1,'40Trips'!$A$3:$I$42,2,FALSE)),0)</f>
        <v>275</v>
      </c>
      <c r="AK20">
        <f>IF(AND(SUM(VLOOKUP($A20,'40Trips'!$A$3:$I$42,2,FALSE),VLOOKUP(AK$1,'40Trips'!$A$3:$I$42,2,FALSE))&lt;'40Trips'!$K$16,$A20&lt;&gt;AK$1,gamma!AK20=1),SUM(VLOOKUP($A20,'40Trips'!$A$3:$I$42,2,FALSE), VLOOKUP(AK$1,'40Trips'!$A$3:$I$42,2,FALSE)),0)</f>
        <v>280</v>
      </c>
      <c r="AL20">
        <f>IF(AND(SUM(VLOOKUP($A20,'40Trips'!$A$3:$I$42,2,FALSE),VLOOKUP(AL$1,'40Trips'!$A$3:$I$42,2,FALSE))&lt;'40Trips'!$K$16,$A20&lt;&gt;AL$1,gamma!AL20=1),SUM(VLOOKUP($A20,'40Trips'!$A$3:$I$42,2,FALSE), VLOOKUP(AL$1,'40Trips'!$A$3:$I$42,2,FALSE)),0)</f>
        <v>280</v>
      </c>
      <c r="AM20">
        <f>IF(AND(SUM(VLOOKUP($A20,'40Trips'!$A$3:$I$42,2,FALSE),VLOOKUP(AM$1,'40Trips'!$A$3:$I$42,2,FALSE))&lt;'40Trips'!$K$16,$A20&lt;&gt;AM$1,gamma!AM20=1),SUM(VLOOKUP($A20,'40Trips'!$A$3:$I$42,2,FALSE), VLOOKUP(AM$1,'40Trips'!$A$3:$I$42,2,FALSE)),0)</f>
        <v>0</v>
      </c>
      <c r="AN20">
        <f>IF(AND(SUM(VLOOKUP($A20,'40Trips'!$A$3:$I$42,2,FALSE),VLOOKUP(AN$1,'40Trips'!$A$3:$I$42,2,FALSE))&lt;'40Trips'!$K$16,$A20&lt;&gt;AN$1,gamma!AN20=1),SUM(VLOOKUP($A20,'40Trips'!$A$3:$I$42,2,FALSE), VLOOKUP(AN$1,'40Trips'!$A$3:$I$42,2,FALSE)),0)</f>
        <v>260</v>
      </c>
      <c r="AO20">
        <f>IF(AND(SUM(VLOOKUP($A20,'40Trips'!$A$3:$I$42,2,FALSE),VLOOKUP(AO$1,'40Trips'!$A$3:$I$42,2,FALSE))&lt;'40Trips'!$K$16,$A20&lt;&gt;AO$1,gamma!AO20=1),SUM(VLOOKUP($A20,'40Trips'!$A$3:$I$42,2,FALSE), VLOOKUP(AO$1,'40Trips'!$A$3:$I$42,2,FALSE)),0)</f>
        <v>260</v>
      </c>
      <c r="AP20">
        <f>IF(AND(SUM(VLOOKUP($A20,'40Trips'!$A$3:$I$42,2,FALSE),VLOOKUP(AP$1,'40Trips'!$A$3:$I$42,2,FALSE))&lt;'40Trips'!$K$16,$A20&lt;&gt;AP$1,gamma!AP20=1),SUM(VLOOKUP($A20,'40Trips'!$A$3:$I$42,2,FALSE), VLOOKUP(AP$1,'40Trips'!$A$3:$I$42,2,FALSE)),0)</f>
        <v>275</v>
      </c>
      <c r="AQ20">
        <v>0</v>
      </c>
      <c r="AR20">
        <v>0</v>
      </c>
      <c r="AS20">
        <v>0</v>
      </c>
      <c r="AT20">
        <v>0</v>
      </c>
    </row>
    <row r="21" spans="1:46" x14ac:dyDescent="0.25">
      <c r="A21" t="s">
        <v>77</v>
      </c>
      <c r="B21">
        <v>0</v>
      </c>
      <c r="C21">
        <f>IF(AND(SUM(VLOOKUP($A21,'40Trips'!$A$3:$I$42,2,FALSE),VLOOKUP(C$1,'40Trips'!$A$3:$I$42,2,FALSE))&lt;'40Trips'!$K$16,$A21&lt;&gt;C$1,gamma!C21=1),SUM(VLOOKUP($A21,'40Trips'!$A$3:$I$42,2,FALSE), VLOOKUP(C$1,'40Trips'!$A$3:$I$42,2,FALSE)),0)</f>
        <v>0</v>
      </c>
      <c r="D21">
        <f>IF(AND(SUM(VLOOKUP($A21,'40Trips'!$A$3:$I$42,2,FALSE),VLOOKUP(D$1,'40Trips'!$A$3:$I$42,2,FALSE))&lt;'40Trips'!$K$16,$A21&lt;&gt;D$1,gamma!D21=1),SUM(VLOOKUP($A21,'40Trips'!$A$3:$I$42,2,FALSE), VLOOKUP(D$1,'40Trips'!$A$3:$I$42,2,FALSE)),0)</f>
        <v>0</v>
      </c>
      <c r="E21">
        <f>IF(AND(SUM(VLOOKUP($A21,'40Trips'!$A$3:$I$42,2,FALSE),VLOOKUP(E$1,'40Trips'!$A$3:$I$42,2,FALSE))&lt;'40Trips'!$K$16,$A21&lt;&gt;E$1,gamma!E21=1),SUM(VLOOKUP($A21,'40Trips'!$A$3:$I$42,2,FALSE), VLOOKUP(E$1,'40Trips'!$A$3:$I$42,2,FALSE)),0)</f>
        <v>0</v>
      </c>
      <c r="F21">
        <f>IF(AND(SUM(VLOOKUP($A21,'40Trips'!$A$3:$I$42,2,FALSE),VLOOKUP(F$1,'40Trips'!$A$3:$I$42,2,FALSE))&lt;'40Trips'!$K$16,$A21&lt;&gt;F$1,gamma!F21=1),SUM(VLOOKUP($A21,'40Trips'!$A$3:$I$42,2,FALSE), VLOOKUP(F$1,'40Trips'!$A$3:$I$42,2,FALSE)),0)</f>
        <v>0</v>
      </c>
      <c r="G21">
        <f>IF(AND(SUM(VLOOKUP($A21,'40Trips'!$A$3:$I$42,2,FALSE),VLOOKUP(G$1,'40Trips'!$A$3:$I$42,2,FALSE))&lt;'40Trips'!$K$16,$A21&lt;&gt;G$1,gamma!G21=1),SUM(VLOOKUP($A21,'40Trips'!$A$3:$I$42,2,FALSE), VLOOKUP(G$1,'40Trips'!$A$3:$I$42,2,FALSE)),0)</f>
        <v>0</v>
      </c>
      <c r="H21">
        <f>IF(AND(SUM(VLOOKUP($A21,'40Trips'!$A$3:$I$42,2,FALSE),VLOOKUP(H$1,'40Trips'!$A$3:$I$42,2,FALSE))&lt;'40Trips'!$K$16,$A21&lt;&gt;H$1,gamma!H21=1),SUM(VLOOKUP($A21,'40Trips'!$A$3:$I$42,2,FALSE), VLOOKUP(H$1,'40Trips'!$A$3:$I$42,2,FALSE)),0)</f>
        <v>0</v>
      </c>
      <c r="I21">
        <f>IF(AND(SUM(VLOOKUP($A21,'40Trips'!$A$3:$I$42,2,FALSE),VLOOKUP(I$1,'40Trips'!$A$3:$I$42,2,FALSE))&lt;'40Trips'!$K$16,$A21&lt;&gt;I$1,gamma!I21=1),SUM(VLOOKUP($A21,'40Trips'!$A$3:$I$42,2,FALSE), VLOOKUP(I$1,'40Trips'!$A$3:$I$42,2,FALSE)),0)</f>
        <v>0</v>
      </c>
      <c r="J21">
        <f>IF(AND(SUM(VLOOKUP($A21,'40Trips'!$A$3:$I$42,2,FALSE),VLOOKUP(J$1,'40Trips'!$A$3:$I$42,2,FALSE))&lt;'40Trips'!$K$16,$A21&lt;&gt;J$1,gamma!J21=1),SUM(VLOOKUP($A21,'40Trips'!$A$3:$I$42,2,FALSE), VLOOKUP(J$1,'40Trips'!$A$3:$I$42,2,FALSE)),0)</f>
        <v>260</v>
      </c>
      <c r="K21">
        <f>IF(AND(SUM(VLOOKUP($A21,'40Trips'!$A$3:$I$42,2,FALSE),VLOOKUP(K$1,'40Trips'!$A$3:$I$42,2,FALSE))&lt;'40Trips'!$K$16,$A21&lt;&gt;K$1,gamma!K21=1),SUM(VLOOKUP($A21,'40Trips'!$A$3:$I$42,2,FALSE), VLOOKUP(K$1,'40Trips'!$A$3:$I$42,2,FALSE)),0)</f>
        <v>0</v>
      </c>
      <c r="L21">
        <f>IF(AND(SUM(VLOOKUP($A21,'40Trips'!$A$3:$I$42,2,FALSE),VLOOKUP(L$1,'40Trips'!$A$3:$I$42,2,FALSE))&lt;'40Trips'!$K$16,$A21&lt;&gt;L$1,gamma!L21=1),SUM(VLOOKUP($A21,'40Trips'!$A$3:$I$42,2,FALSE), VLOOKUP(L$1,'40Trips'!$A$3:$I$42,2,FALSE)),0)</f>
        <v>0</v>
      </c>
      <c r="M21">
        <f>IF(AND(SUM(VLOOKUP($A21,'40Trips'!$A$3:$I$42,2,FALSE),VLOOKUP(M$1,'40Trips'!$A$3:$I$42,2,FALSE))&lt;'40Trips'!$K$16,$A21&lt;&gt;M$1,gamma!M21=1),SUM(VLOOKUP($A21,'40Trips'!$A$3:$I$42,2,FALSE), VLOOKUP(M$1,'40Trips'!$A$3:$I$42,2,FALSE)),0)</f>
        <v>0</v>
      </c>
      <c r="N21">
        <f>IF(AND(SUM(VLOOKUP($A21,'40Trips'!$A$3:$I$42,2,FALSE),VLOOKUP(N$1,'40Trips'!$A$3:$I$42,2,FALSE))&lt;'40Trips'!$K$16,$A21&lt;&gt;N$1,gamma!N21=1),SUM(VLOOKUP($A21,'40Trips'!$A$3:$I$42,2,FALSE), VLOOKUP(N$1,'40Trips'!$A$3:$I$42,2,FALSE)),0)</f>
        <v>0</v>
      </c>
      <c r="O21">
        <f>IF(AND(SUM(VLOOKUP($A21,'40Trips'!$A$3:$I$42,2,FALSE),VLOOKUP(O$1,'40Trips'!$A$3:$I$42,2,FALSE))&lt;'40Trips'!$K$16,$A21&lt;&gt;O$1,gamma!O21=1),SUM(VLOOKUP($A21,'40Trips'!$A$3:$I$42,2,FALSE), VLOOKUP(O$1,'40Trips'!$A$3:$I$42,2,FALSE)),0)</f>
        <v>0</v>
      </c>
      <c r="P21">
        <f>IF(AND(SUM(VLOOKUP($A21,'40Trips'!$A$3:$I$42,2,FALSE),VLOOKUP(P$1,'40Trips'!$A$3:$I$42,2,FALSE))&lt;'40Trips'!$K$16,$A21&lt;&gt;P$1,gamma!P21=1),SUM(VLOOKUP($A21,'40Trips'!$A$3:$I$42,2,FALSE), VLOOKUP(P$1,'40Trips'!$A$3:$I$42,2,FALSE)),0)</f>
        <v>0</v>
      </c>
      <c r="Q21">
        <f>IF(AND(SUM(VLOOKUP($A21,'40Trips'!$A$3:$I$42,2,FALSE),VLOOKUP(Q$1,'40Trips'!$A$3:$I$42,2,FALSE))&lt;'40Trips'!$K$16,$A21&lt;&gt;Q$1,gamma!Q21=1),SUM(VLOOKUP($A21,'40Trips'!$A$3:$I$42,2,FALSE), VLOOKUP(Q$1,'40Trips'!$A$3:$I$42,2,FALSE)),0)</f>
        <v>0</v>
      </c>
      <c r="R21">
        <f>IF(AND(SUM(VLOOKUP($A21,'40Trips'!$A$3:$I$42,2,FALSE),VLOOKUP(R$1,'40Trips'!$A$3:$I$42,2,FALSE))&lt;'40Trips'!$K$16,$A21&lt;&gt;R$1,gamma!R21=1),SUM(VLOOKUP($A21,'40Trips'!$A$3:$I$42,2,FALSE), VLOOKUP(R$1,'40Trips'!$A$3:$I$42,2,FALSE)),0)</f>
        <v>0</v>
      </c>
      <c r="S21">
        <f>IF(AND(SUM(VLOOKUP($A21,'40Trips'!$A$3:$I$42,2,FALSE),VLOOKUP(S$1,'40Trips'!$A$3:$I$42,2,FALSE))&lt;'40Trips'!$K$16,$A21&lt;&gt;S$1,gamma!S21=1),SUM(VLOOKUP($A21,'40Trips'!$A$3:$I$42,2,FALSE), VLOOKUP(S$1,'40Trips'!$A$3:$I$42,2,FALSE)),0)</f>
        <v>0</v>
      </c>
      <c r="T21">
        <f>IF(AND(SUM(VLOOKUP($A21,'40Trips'!$A$3:$I$42,2,FALSE),VLOOKUP(T$1,'40Trips'!$A$3:$I$42,2,FALSE))&lt;'40Trips'!$K$16,$A21&lt;&gt;T$1,gamma!T21=1),SUM(VLOOKUP($A21,'40Trips'!$A$3:$I$42,2,FALSE), VLOOKUP(T$1,'40Trips'!$A$3:$I$42,2,FALSE)),0)</f>
        <v>0</v>
      </c>
      <c r="U21">
        <f>IF(AND(SUM(VLOOKUP($A21,'40Trips'!$A$3:$I$42,2,FALSE),VLOOKUP(U$1,'40Trips'!$A$3:$I$42,2,FALSE))&lt;'40Trips'!$K$16,$A21&lt;&gt;U$1,gamma!U21=1),SUM(VLOOKUP($A21,'40Trips'!$A$3:$I$42,2,FALSE), VLOOKUP(U$1,'40Trips'!$A$3:$I$42,2,FALSE)),0)</f>
        <v>0</v>
      </c>
      <c r="V21">
        <f>IF(AND(SUM(VLOOKUP($A21,'40Trips'!$A$3:$I$42,2,FALSE),VLOOKUP(V$1,'40Trips'!$A$3:$I$42,2,FALSE))&lt;'40Trips'!$K$16,$A21&lt;&gt;V$1,gamma!V21=1),SUM(VLOOKUP($A21,'40Trips'!$A$3:$I$42,2,FALSE), VLOOKUP(V$1,'40Trips'!$A$3:$I$42,2,FALSE)),0)</f>
        <v>250</v>
      </c>
      <c r="W21">
        <f>IF(AND(SUM(VLOOKUP($A21,'40Trips'!$A$3:$I$42,2,FALSE),VLOOKUP(W$1,'40Trips'!$A$3:$I$42,2,FALSE))&lt;'40Trips'!$K$16,$A21&lt;&gt;W$1,gamma!W21=1),SUM(VLOOKUP($A21,'40Trips'!$A$3:$I$42,2,FALSE), VLOOKUP(W$1,'40Trips'!$A$3:$I$42,2,FALSE)),0)</f>
        <v>0</v>
      </c>
      <c r="X21">
        <f>IF(AND(SUM(VLOOKUP($A21,'40Trips'!$A$3:$I$42,2,FALSE),VLOOKUP(X$1,'40Trips'!$A$3:$I$42,2,FALSE))&lt;'40Trips'!$K$16,$A21&lt;&gt;X$1,gamma!X21=1),SUM(VLOOKUP($A21,'40Trips'!$A$3:$I$42,2,FALSE), VLOOKUP(X$1,'40Trips'!$A$3:$I$42,2,FALSE)),0)</f>
        <v>0</v>
      </c>
      <c r="Y21">
        <f>IF(AND(SUM(VLOOKUP($A21,'40Trips'!$A$3:$I$42,2,FALSE),VLOOKUP(Y$1,'40Trips'!$A$3:$I$42,2,FALSE))&lt;'40Trips'!$K$16,$A21&lt;&gt;Y$1,gamma!Y21=1),SUM(VLOOKUP($A21,'40Trips'!$A$3:$I$42,2,FALSE), VLOOKUP(Y$1,'40Trips'!$A$3:$I$42,2,FALSE)),0)</f>
        <v>0</v>
      </c>
      <c r="Z21">
        <f>IF(AND(SUM(VLOOKUP($A21,'40Trips'!$A$3:$I$42,2,FALSE),VLOOKUP(Z$1,'40Trips'!$A$3:$I$42,2,FALSE))&lt;'40Trips'!$K$16,$A21&lt;&gt;Z$1,gamma!Z21=1),SUM(VLOOKUP($A21,'40Trips'!$A$3:$I$42,2,FALSE), VLOOKUP(Z$1,'40Trips'!$A$3:$I$42,2,FALSE)),0)</f>
        <v>0</v>
      </c>
      <c r="AA21">
        <f>IF(AND(SUM(VLOOKUP($A21,'40Trips'!$A$3:$I$42,2,FALSE),VLOOKUP(AA$1,'40Trips'!$A$3:$I$42,2,FALSE))&lt;'40Trips'!$K$16,$A21&lt;&gt;AA$1,gamma!AA21=1),SUM(VLOOKUP($A21,'40Trips'!$A$3:$I$42,2,FALSE), VLOOKUP(AA$1,'40Trips'!$A$3:$I$42,2,FALSE)),0)</f>
        <v>0</v>
      </c>
      <c r="AB21">
        <f>IF(AND(SUM(VLOOKUP($A21,'40Trips'!$A$3:$I$42,2,FALSE),VLOOKUP(AB$1,'40Trips'!$A$3:$I$42,2,FALSE))&lt;'40Trips'!$K$16,$A21&lt;&gt;AB$1,gamma!AB21=1),SUM(VLOOKUP($A21,'40Trips'!$A$3:$I$42,2,FALSE), VLOOKUP(AB$1,'40Trips'!$A$3:$I$42,2,FALSE)),0)</f>
        <v>0</v>
      </c>
      <c r="AC21">
        <f>IF(AND(SUM(VLOOKUP($A21,'40Trips'!$A$3:$I$42,2,FALSE),VLOOKUP(AC$1,'40Trips'!$A$3:$I$42,2,FALSE))&lt;'40Trips'!$K$16,$A21&lt;&gt;AC$1,gamma!AC21=1),SUM(VLOOKUP($A21,'40Trips'!$A$3:$I$42,2,FALSE), VLOOKUP(AC$1,'40Trips'!$A$3:$I$42,2,FALSE)),0)</f>
        <v>0</v>
      </c>
      <c r="AD21">
        <f>IF(AND(SUM(VLOOKUP($A21,'40Trips'!$A$3:$I$42,2,FALSE),VLOOKUP(AD$1,'40Trips'!$A$3:$I$42,2,FALSE))&lt;'40Trips'!$K$16,$A21&lt;&gt;AD$1,gamma!AD21=1),SUM(VLOOKUP($A21,'40Trips'!$A$3:$I$42,2,FALSE), VLOOKUP(AD$1,'40Trips'!$A$3:$I$42,2,FALSE)),0)</f>
        <v>250</v>
      </c>
      <c r="AE21">
        <f>IF(AND(SUM(VLOOKUP($A21,'40Trips'!$A$3:$I$42,2,FALSE),VLOOKUP(AE$1,'40Trips'!$A$3:$I$42,2,FALSE))&lt;'40Trips'!$K$16,$A21&lt;&gt;AE$1,gamma!AE21=1),SUM(VLOOKUP($A21,'40Trips'!$A$3:$I$42,2,FALSE), VLOOKUP(AE$1,'40Trips'!$A$3:$I$42,2,FALSE)),0)</f>
        <v>0</v>
      </c>
      <c r="AF21">
        <f>IF(AND(SUM(VLOOKUP($A21,'40Trips'!$A$3:$I$42,2,FALSE),VLOOKUP(AF$1,'40Trips'!$A$3:$I$42,2,FALSE))&lt;'40Trips'!$K$16,$A21&lt;&gt;AF$1,gamma!AF21=1),SUM(VLOOKUP($A21,'40Trips'!$A$3:$I$42,2,FALSE), VLOOKUP(AF$1,'40Trips'!$A$3:$I$42,2,FALSE)),0)</f>
        <v>0</v>
      </c>
      <c r="AG21">
        <f>IF(AND(SUM(VLOOKUP($A21,'40Trips'!$A$3:$I$42,2,FALSE),VLOOKUP(AG$1,'40Trips'!$A$3:$I$42,2,FALSE))&lt;'40Trips'!$K$16,$A21&lt;&gt;AG$1,gamma!AG21=1),SUM(VLOOKUP($A21,'40Trips'!$A$3:$I$42,2,FALSE), VLOOKUP(AG$1,'40Trips'!$A$3:$I$42,2,FALSE)),0)</f>
        <v>0</v>
      </c>
      <c r="AH21">
        <f>IF(AND(SUM(VLOOKUP($A21,'40Trips'!$A$3:$I$42,2,FALSE),VLOOKUP(AH$1,'40Trips'!$A$3:$I$42,2,FALSE))&lt;'40Trips'!$K$16,$A21&lt;&gt;AH$1,gamma!AH21=1),SUM(VLOOKUP($A21,'40Trips'!$A$3:$I$42,2,FALSE), VLOOKUP(AH$1,'40Trips'!$A$3:$I$42,2,FALSE)),0)</f>
        <v>0</v>
      </c>
      <c r="AI21">
        <f>IF(AND(SUM(VLOOKUP($A21,'40Trips'!$A$3:$I$42,2,FALSE),VLOOKUP(AI$1,'40Trips'!$A$3:$I$42,2,FALSE))&lt;'40Trips'!$K$16,$A21&lt;&gt;AI$1,gamma!AI21=1),SUM(VLOOKUP($A21,'40Trips'!$A$3:$I$42,2,FALSE), VLOOKUP(AI$1,'40Trips'!$A$3:$I$42,2,FALSE)),0)</f>
        <v>0</v>
      </c>
      <c r="AJ21">
        <f>IF(AND(SUM(VLOOKUP($A21,'40Trips'!$A$3:$I$42,2,FALSE),VLOOKUP(AJ$1,'40Trips'!$A$3:$I$42,2,FALSE))&lt;'40Trips'!$K$16,$A21&lt;&gt;AJ$1,gamma!AJ21=1),SUM(VLOOKUP($A21,'40Trips'!$A$3:$I$42,2,FALSE), VLOOKUP(AJ$1,'40Trips'!$A$3:$I$42,2,FALSE)),0)</f>
        <v>0</v>
      </c>
      <c r="AK21">
        <f>IF(AND(SUM(VLOOKUP($A21,'40Trips'!$A$3:$I$42,2,FALSE),VLOOKUP(AK$1,'40Trips'!$A$3:$I$42,2,FALSE))&lt;'40Trips'!$K$16,$A21&lt;&gt;AK$1,gamma!AK21=1),SUM(VLOOKUP($A21,'40Trips'!$A$3:$I$42,2,FALSE), VLOOKUP(AK$1,'40Trips'!$A$3:$I$42,2,FALSE)),0)</f>
        <v>0</v>
      </c>
      <c r="AL21">
        <f>IF(AND(SUM(VLOOKUP($A21,'40Trips'!$A$3:$I$42,2,FALSE),VLOOKUP(AL$1,'40Trips'!$A$3:$I$42,2,FALSE))&lt;'40Trips'!$K$16,$A21&lt;&gt;AL$1,gamma!AL21=1),SUM(VLOOKUP($A21,'40Trips'!$A$3:$I$42,2,FALSE), VLOOKUP(AL$1,'40Trips'!$A$3:$I$42,2,FALSE)),0)</f>
        <v>260</v>
      </c>
      <c r="AM21">
        <f>IF(AND(SUM(VLOOKUP($A21,'40Trips'!$A$3:$I$42,2,FALSE),VLOOKUP(AM$1,'40Trips'!$A$3:$I$42,2,FALSE))&lt;'40Trips'!$K$16,$A21&lt;&gt;AM$1,gamma!AM21=1),SUM(VLOOKUP($A21,'40Trips'!$A$3:$I$42,2,FALSE), VLOOKUP(AM$1,'40Trips'!$A$3:$I$42,2,FALSE)),0)</f>
        <v>0</v>
      </c>
      <c r="AN21">
        <f>IF(AND(SUM(VLOOKUP($A21,'40Trips'!$A$3:$I$42,2,FALSE),VLOOKUP(AN$1,'40Trips'!$A$3:$I$42,2,FALSE))&lt;'40Trips'!$K$16,$A21&lt;&gt;AN$1,gamma!AN21=1),SUM(VLOOKUP($A21,'40Trips'!$A$3:$I$42,2,FALSE), VLOOKUP(AN$1,'40Trips'!$A$3:$I$42,2,FALSE)),0)</f>
        <v>0</v>
      </c>
      <c r="AO21">
        <f>IF(AND(SUM(VLOOKUP($A21,'40Trips'!$A$3:$I$42,2,FALSE),VLOOKUP(AO$1,'40Trips'!$A$3:$I$42,2,FALSE))&lt;'40Trips'!$K$16,$A21&lt;&gt;AO$1,gamma!AO21=1),SUM(VLOOKUP($A21,'40Trips'!$A$3:$I$42,2,FALSE), VLOOKUP(AO$1,'40Trips'!$A$3:$I$42,2,FALSE)),0)</f>
        <v>0</v>
      </c>
      <c r="AP21">
        <f>IF(AND(SUM(VLOOKUP($A21,'40Trips'!$A$3:$I$42,2,FALSE),VLOOKUP(AP$1,'40Trips'!$A$3:$I$42,2,FALSE))&lt;'40Trips'!$K$16,$A21&lt;&gt;AP$1,gamma!AP21=1),SUM(VLOOKUP($A21,'40Trips'!$A$3:$I$42,2,FALSE), VLOOKUP(AP$1,'40Trips'!$A$3:$I$42,2,FALSE)),0)</f>
        <v>255</v>
      </c>
      <c r="AQ21">
        <v>0</v>
      </c>
      <c r="AR21">
        <v>0</v>
      </c>
      <c r="AS21">
        <v>0</v>
      </c>
      <c r="AT21">
        <v>0</v>
      </c>
    </row>
    <row r="22" spans="1:46" x14ac:dyDescent="0.25">
      <c r="A22" t="s">
        <v>78</v>
      </c>
      <c r="B22">
        <v>0</v>
      </c>
      <c r="C22">
        <f>IF(AND(SUM(VLOOKUP($A22,'40Trips'!$A$3:$I$42,2,FALSE),VLOOKUP(C$1,'40Trips'!$A$3:$I$42,2,FALSE))&lt;'40Trips'!$K$16,$A22&lt;&gt;C$1,gamma!C22=1),SUM(VLOOKUP($A22,'40Trips'!$A$3:$I$42,2,FALSE), VLOOKUP(C$1,'40Trips'!$A$3:$I$42,2,FALSE)),0)</f>
        <v>0</v>
      </c>
      <c r="D22">
        <f>IF(AND(SUM(VLOOKUP($A22,'40Trips'!$A$3:$I$42,2,FALSE),VLOOKUP(D$1,'40Trips'!$A$3:$I$42,2,FALSE))&lt;'40Trips'!$K$16,$A22&lt;&gt;D$1,gamma!D22=1),SUM(VLOOKUP($A22,'40Trips'!$A$3:$I$42,2,FALSE), VLOOKUP(D$1,'40Trips'!$A$3:$I$42,2,FALSE)),0)</f>
        <v>0</v>
      </c>
      <c r="E22">
        <f>IF(AND(SUM(VLOOKUP($A22,'40Trips'!$A$3:$I$42,2,FALSE),VLOOKUP(E$1,'40Trips'!$A$3:$I$42,2,FALSE))&lt;'40Trips'!$K$16,$A22&lt;&gt;E$1,gamma!E22=1),SUM(VLOOKUP($A22,'40Trips'!$A$3:$I$42,2,FALSE), VLOOKUP(E$1,'40Trips'!$A$3:$I$42,2,FALSE)),0)</f>
        <v>0</v>
      </c>
      <c r="F22">
        <f>IF(AND(SUM(VLOOKUP($A22,'40Trips'!$A$3:$I$42,2,FALSE),VLOOKUP(F$1,'40Trips'!$A$3:$I$42,2,FALSE))&lt;'40Trips'!$K$16,$A22&lt;&gt;F$1,gamma!F22=1),SUM(VLOOKUP($A22,'40Trips'!$A$3:$I$42,2,FALSE), VLOOKUP(F$1,'40Trips'!$A$3:$I$42,2,FALSE)),0)</f>
        <v>0</v>
      </c>
      <c r="G22">
        <f>IF(AND(SUM(VLOOKUP($A22,'40Trips'!$A$3:$I$42,2,FALSE),VLOOKUP(G$1,'40Trips'!$A$3:$I$42,2,FALSE))&lt;'40Trips'!$K$16,$A22&lt;&gt;G$1,gamma!G22=1),SUM(VLOOKUP($A22,'40Trips'!$A$3:$I$42,2,FALSE), VLOOKUP(G$1,'40Trips'!$A$3:$I$42,2,FALSE)),0)</f>
        <v>0</v>
      </c>
      <c r="H22">
        <f>IF(AND(SUM(VLOOKUP($A22,'40Trips'!$A$3:$I$42,2,FALSE),VLOOKUP(H$1,'40Trips'!$A$3:$I$42,2,FALSE))&lt;'40Trips'!$K$16,$A22&lt;&gt;H$1,gamma!H22=1),SUM(VLOOKUP($A22,'40Trips'!$A$3:$I$42,2,FALSE), VLOOKUP(H$1,'40Trips'!$A$3:$I$42,2,FALSE)),0)</f>
        <v>0</v>
      </c>
      <c r="I22">
        <f>IF(AND(SUM(VLOOKUP($A22,'40Trips'!$A$3:$I$42,2,FALSE),VLOOKUP(I$1,'40Trips'!$A$3:$I$42,2,FALSE))&lt;'40Trips'!$K$16,$A22&lt;&gt;I$1,gamma!I22=1),SUM(VLOOKUP($A22,'40Trips'!$A$3:$I$42,2,FALSE), VLOOKUP(I$1,'40Trips'!$A$3:$I$42,2,FALSE)),0)</f>
        <v>0</v>
      </c>
      <c r="J22">
        <f>IF(AND(SUM(VLOOKUP($A22,'40Trips'!$A$3:$I$42,2,FALSE),VLOOKUP(J$1,'40Trips'!$A$3:$I$42,2,FALSE))&lt;'40Trips'!$K$16,$A22&lt;&gt;J$1,gamma!J22=1),SUM(VLOOKUP($A22,'40Trips'!$A$3:$I$42,2,FALSE), VLOOKUP(J$1,'40Trips'!$A$3:$I$42,2,FALSE)),0)</f>
        <v>270</v>
      </c>
      <c r="K22">
        <f>IF(AND(SUM(VLOOKUP($A22,'40Trips'!$A$3:$I$42,2,FALSE),VLOOKUP(K$1,'40Trips'!$A$3:$I$42,2,FALSE))&lt;'40Trips'!$K$16,$A22&lt;&gt;K$1,gamma!K22=1),SUM(VLOOKUP($A22,'40Trips'!$A$3:$I$42,2,FALSE), VLOOKUP(K$1,'40Trips'!$A$3:$I$42,2,FALSE)),0)</f>
        <v>0</v>
      </c>
      <c r="L22">
        <f>IF(AND(SUM(VLOOKUP($A22,'40Trips'!$A$3:$I$42,2,FALSE),VLOOKUP(L$1,'40Trips'!$A$3:$I$42,2,FALSE))&lt;'40Trips'!$K$16,$A22&lt;&gt;L$1,gamma!L22=1),SUM(VLOOKUP($A22,'40Trips'!$A$3:$I$42,2,FALSE), VLOOKUP(L$1,'40Trips'!$A$3:$I$42,2,FALSE)),0)</f>
        <v>0</v>
      </c>
      <c r="M22">
        <f>IF(AND(SUM(VLOOKUP($A22,'40Trips'!$A$3:$I$42,2,FALSE),VLOOKUP(M$1,'40Trips'!$A$3:$I$42,2,FALSE))&lt;'40Trips'!$K$16,$A22&lt;&gt;M$1,gamma!M22=1),SUM(VLOOKUP($A22,'40Trips'!$A$3:$I$42,2,FALSE), VLOOKUP(M$1,'40Trips'!$A$3:$I$42,2,FALSE)),0)</f>
        <v>0</v>
      </c>
      <c r="N22">
        <f>IF(AND(SUM(VLOOKUP($A22,'40Trips'!$A$3:$I$42,2,FALSE),VLOOKUP(N$1,'40Trips'!$A$3:$I$42,2,FALSE))&lt;'40Trips'!$K$16,$A22&lt;&gt;N$1,gamma!N22=1),SUM(VLOOKUP($A22,'40Trips'!$A$3:$I$42,2,FALSE), VLOOKUP(N$1,'40Trips'!$A$3:$I$42,2,FALSE)),0)</f>
        <v>0</v>
      </c>
      <c r="O22">
        <f>IF(AND(SUM(VLOOKUP($A22,'40Trips'!$A$3:$I$42,2,FALSE),VLOOKUP(O$1,'40Trips'!$A$3:$I$42,2,FALSE))&lt;'40Trips'!$K$16,$A22&lt;&gt;O$1,gamma!O22=1),SUM(VLOOKUP($A22,'40Trips'!$A$3:$I$42,2,FALSE), VLOOKUP(O$1,'40Trips'!$A$3:$I$42,2,FALSE)),0)</f>
        <v>0</v>
      </c>
      <c r="P22">
        <f>IF(AND(SUM(VLOOKUP($A22,'40Trips'!$A$3:$I$42,2,FALSE),VLOOKUP(P$1,'40Trips'!$A$3:$I$42,2,FALSE))&lt;'40Trips'!$K$16,$A22&lt;&gt;P$1,gamma!P22=1),SUM(VLOOKUP($A22,'40Trips'!$A$3:$I$42,2,FALSE), VLOOKUP(P$1,'40Trips'!$A$3:$I$42,2,FALSE)),0)</f>
        <v>0</v>
      </c>
      <c r="Q22">
        <f>IF(AND(SUM(VLOOKUP($A22,'40Trips'!$A$3:$I$42,2,FALSE),VLOOKUP(Q$1,'40Trips'!$A$3:$I$42,2,FALSE))&lt;'40Trips'!$K$16,$A22&lt;&gt;Q$1,gamma!Q22=1),SUM(VLOOKUP($A22,'40Trips'!$A$3:$I$42,2,FALSE), VLOOKUP(Q$1,'40Trips'!$A$3:$I$42,2,FALSE)),0)</f>
        <v>0</v>
      </c>
      <c r="R22">
        <f>IF(AND(SUM(VLOOKUP($A22,'40Trips'!$A$3:$I$42,2,FALSE),VLOOKUP(R$1,'40Trips'!$A$3:$I$42,2,FALSE))&lt;'40Trips'!$K$16,$A22&lt;&gt;R$1,gamma!R22=1),SUM(VLOOKUP($A22,'40Trips'!$A$3:$I$42,2,FALSE), VLOOKUP(R$1,'40Trips'!$A$3:$I$42,2,FALSE)),0)</f>
        <v>0</v>
      </c>
      <c r="S22">
        <f>IF(AND(SUM(VLOOKUP($A22,'40Trips'!$A$3:$I$42,2,FALSE),VLOOKUP(S$1,'40Trips'!$A$3:$I$42,2,FALSE))&lt;'40Trips'!$K$16,$A22&lt;&gt;S$1,gamma!S22=1),SUM(VLOOKUP($A22,'40Trips'!$A$3:$I$42,2,FALSE), VLOOKUP(S$1,'40Trips'!$A$3:$I$42,2,FALSE)),0)</f>
        <v>0</v>
      </c>
      <c r="T22">
        <f>IF(AND(SUM(VLOOKUP($A22,'40Trips'!$A$3:$I$42,2,FALSE),VLOOKUP(T$1,'40Trips'!$A$3:$I$42,2,FALSE))&lt;'40Trips'!$K$16,$A22&lt;&gt;T$1,gamma!T22=1),SUM(VLOOKUP($A22,'40Trips'!$A$3:$I$42,2,FALSE), VLOOKUP(T$1,'40Trips'!$A$3:$I$42,2,FALSE)),0)</f>
        <v>0</v>
      </c>
      <c r="U22">
        <f>IF(AND(SUM(VLOOKUP($A22,'40Trips'!$A$3:$I$42,2,FALSE),VLOOKUP(U$1,'40Trips'!$A$3:$I$42,2,FALSE))&lt;'40Trips'!$K$16,$A22&lt;&gt;U$1,gamma!U22=1),SUM(VLOOKUP($A22,'40Trips'!$A$3:$I$42,2,FALSE), VLOOKUP(U$1,'40Trips'!$A$3:$I$42,2,FALSE)),0)</f>
        <v>0</v>
      </c>
      <c r="V22">
        <f>IF(AND(SUM(VLOOKUP($A22,'40Trips'!$A$3:$I$42,2,FALSE),VLOOKUP(V$1,'40Trips'!$A$3:$I$42,2,FALSE))&lt;'40Trips'!$K$16,$A22&lt;&gt;V$1,gamma!V22=1),SUM(VLOOKUP($A22,'40Trips'!$A$3:$I$42,2,FALSE), VLOOKUP(V$1,'40Trips'!$A$3:$I$42,2,FALSE)),0)</f>
        <v>0</v>
      </c>
      <c r="W22">
        <f>IF(AND(SUM(VLOOKUP($A22,'40Trips'!$A$3:$I$42,2,FALSE),VLOOKUP(W$1,'40Trips'!$A$3:$I$42,2,FALSE))&lt;'40Trips'!$K$16,$A22&lt;&gt;W$1,gamma!W22=1),SUM(VLOOKUP($A22,'40Trips'!$A$3:$I$42,2,FALSE), VLOOKUP(W$1,'40Trips'!$A$3:$I$42,2,FALSE)),0)</f>
        <v>0</v>
      </c>
      <c r="X22">
        <f>IF(AND(SUM(VLOOKUP($A22,'40Trips'!$A$3:$I$42,2,FALSE),VLOOKUP(X$1,'40Trips'!$A$3:$I$42,2,FALSE))&lt;'40Trips'!$K$16,$A22&lt;&gt;X$1,gamma!X22=1),SUM(VLOOKUP($A22,'40Trips'!$A$3:$I$42,2,FALSE), VLOOKUP(X$1,'40Trips'!$A$3:$I$42,2,FALSE)),0)</f>
        <v>0</v>
      </c>
      <c r="Y22">
        <f>IF(AND(SUM(VLOOKUP($A22,'40Trips'!$A$3:$I$42,2,FALSE),VLOOKUP(Y$1,'40Trips'!$A$3:$I$42,2,FALSE))&lt;'40Trips'!$K$16,$A22&lt;&gt;Y$1,gamma!Y22=1),SUM(VLOOKUP($A22,'40Trips'!$A$3:$I$42,2,FALSE), VLOOKUP(Y$1,'40Trips'!$A$3:$I$42,2,FALSE)),0)</f>
        <v>0</v>
      </c>
      <c r="Z22">
        <f>IF(AND(SUM(VLOOKUP($A22,'40Trips'!$A$3:$I$42,2,FALSE),VLOOKUP(Z$1,'40Trips'!$A$3:$I$42,2,FALSE))&lt;'40Trips'!$K$16,$A22&lt;&gt;Z$1,gamma!Z22=1),SUM(VLOOKUP($A22,'40Trips'!$A$3:$I$42,2,FALSE), VLOOKUP(Z$1,'40Trips'!$A$3:$I$42,2,FALSE)),0)</f>
        <v>0</v>
      </c>
      <c r="AA22">
        <f>IF(AND(SUM(VLOOKUP($A22,'40Trips'!$A$3:$I$42,2,FALSE),VLOOKUP(AA$1,'40Trips'!$A$3:$I$42,2,FALSE))&lt;'40Trips'!$K$16,$A22&lt;&gt;AA$1,gamma!AA22=1),SUM(VLOOKUP($A22,'40Trips'!$A$3:$I$42,2,FALSE), VLOOKUP(AA$1,'40Trips'!$A$3:$I$42,2,FALSE)),0)</f>
        <v>0</v>
      </c>
      <c r="AB22">
        <f>IF(AND(SUM(VLOOKUP($A22,'40Trips'!$A$3:$I$42,2,FALSE),VLOOKUP(AB$1,'40Trips'!$A$3:$I$42,2,FALSE))&lt;'40Trips'!$K$16,$A22&lt;&gt;AB$1,gamma!AB22=1),SUM(VLOOKUP($A22,'40Trips'!$A$3:$I$42,2,FALSE), VLOOKUP(AB$1,'40Trips'!$A$3:$I$42,2,FALSE)),0)</f>
        <v>0</v>
      </c>
      <c r="AC22">
        <f>IF(AND(SUM(VLOOKUP($A22,'40Trips'!$A$3:$I$42,2,FALSE),VLOOKUP(AC$1,'40Trips'!$A$3:$I$42,2,FALSE))&lt;'40Trips'!$K$16,$A22&lt;&gt;AC$1,gamma!AC22=1),SUM(VLOOKUP($A22,'40Trips'!$A$3:$I$42,2,FALSE), VLOOKUP(AC$1,'40Trips'!$A$3:$I$42,2,FALSE)),0)</f>
        <v>0</v>
      </c>
      <c r="AD22">
        <f>IF(AND(SUM(VLOOKUP($A22,'40Trips'!$A$3:$I$42,2,FALSE),VLOOKUP(AD$1,'40Trips'!$A$3:$I$42,2,FALSE))&lt;'40Trips'!$K$16,$A22&lt;&gt;AD$1,gamma!AD22=1),SUM(VLOOKUP($A22,'40Trips'!$A$3:$I$42,2,FALSE), VLOOKUP(AD$1,'40Trips'!$A$3:$I$42,2,FALSE)),0)</f>
        <v>0</v>
      </c>
      <c r="AE22">
        <f>IF(AND(SUM(VLOOKUP($A22,'40Trips'!$A$3:$I$42,2,FALSE),VLOOKUP(AE$1,'40Trips'!$A$3:$I$42,2,FALSE))&lt;'40Trips'!$K$16,$A22&lt;&gt;AE$1,gamma!AE22=1),SUM(VLOOKUP($A22,'40Trips'!$A$3:$I$42,2,FALSE), VLOOKUP(AE$1,'40Trips'!$A$3:$I$42,2,FALSE)),0)</f>
        <v>0</v>
      </c>
      <c r="AF22">
        <f>IF(AND(SUM(VLOOKUP($A22,'40Trips'!$A$3:$I$42,2,FALSE),VLOOKUP(AF$1,'40Trips'!$A$3:$I$42,2,FALSE))&lt;'40Trips'!$K$16,$A22&lt;&gt;AF$1,gamma!AF22=1),SUM(VLOOKUP($A22,'40Trips'!$A$3:$I$42,2,FALSE), VLOOKUP(AF$1,'40Trips'!$A$3:$I$42,2,FALSE)),0)</f>
        <v>0</v>
      </c>
      <c r="AG22">
        <f>IF(AND(SUM(VLOOKUP($A22,'40Trips'!$A$3:$I$42,2,FALSE),VLOOKUP(AG$1,'40Trips'!$A$3:$I$42,2,FALSE))&lt;'40Trips'!$K$16,$A22&lt;&gt;AG$1,gamma!AG22=1),SUM(VLOOKUP($A22,'40Trips'!$A$3:$I$42,2,FALSE), VLOOKUP(AG$1,'40Trips'!$A$3:$I$42,2,FALSE)),0)</f>
        <v>0</v>
      </c>
      <c r="AH22">
        <f>IF(AND(SUM(VLOOKUP($A22,'40Trips'!$A$3:$I$42,2,FALSE),VLOOKUP(AH$1,'40Trips'!$A$3:$I$42,2,FALSE))&lt;'40Trips'!$K$16,$A22&lt;&gt;AH$1,gamma!AH22=1),SUM(VLOOKUP($A22,'40Trips'!$A$3:$I$42,2,FALSE), VLOOKUP(AH$1,'40Trips'!$A$3:$I$42,2,FALSE)),0)</f>
        <v>0</v>
      </c>
      <c r="AI22">
        <f>IF(AND(SUM(VLOOKUP($A22,'40Trips'!$A$3:$I$42,2,FALSE),VLOOKUP(AI$1,'40Trips'!$A$3:$I$42,2,FALSE))&lt;'40Trips'!$K$16,$A22&lt;&gt;AI$1,gamma!AI22=1),SUM(VLOOKUP($A22,'40Trips'!$A$3:$I$42,2,FALSE), VLOOKUP(AI$1,'40Trips'!$A$3:$I$42,2,FALSE)),0)</f>
        <v>0</v>
      </c>
      <c r="AJ22">
        <f>IF(AND(SUM(VLOOKUP($A22,'40Trips'!$A$3:$I$42,2,FALSE),VLOOKUP(AJ$1,'40Trips'!$A$3:$I$42,2,FALSE))&lt;'40Trips'!$K$16,$A22&lt;&gt;AJ$1,gamma!AJ22=1),SUM(VLOOKUP($A22,'40Trips'!$A$3:$I$42,2,FALSE), VLOOKUP(AJ$1,'40Trips'!$A$3:$I$42,2,FALSE)),0)</f>
        <v>0</v>
      </c>
      <c r="AK22">
        <f>IF(AND(SUM(VLOOKUP($A22,'40Trips'!$A$3:$I$42,2,FALSE),VLOOKUP(AK$1,'40Trips'!$A$3:$I$42,2,FALSE))&lt;'40Trips'!$K$16,$A22&lt;&gt;AK$1,gamma!AK22=1),SUM(VLOOKUP($A22,'40Trips'!$A$3:$I$42,2,FALSE), VLOOKUP(AK$1,'40Trips'!$A$3:$I$42,2,FALSE)),0)</f>
        <v>0</v>
      </c>
      <c r="AL22">
        <f>IF(AND(SUM(VLOOKUP($A22,'40Trips'!$A$3:$I$42,2,FALSE),VLOOKUP(AL$1,'40Trips'!$A$3:$I$42,2,FALSE))&lt;'40Trips'!$K$16,$A22&lt;&gt;AL$1,gamma!AL22=1),SUM(VLOOKUP($A22,'40Trips'!$A$3:$I$42,2,FALSE), VLOOKUP(AL$1,'40Trips'!$A$3:$I$42,2,FALSE)),0)</f>
        <v>0</v>
      </c>
      <c r="AM22">
        <f>IF(AND(SUM(VLOOKUP($A22,'40Trips'!$A$3:$I$42,2,FALSE),VLOOKUP(AM$1,'40Trips'!$A$3:$I$42,2,FALSE))&lt;'40Trips'!$K$16,$A22&lt;&gt;AM$1,gamma!AM22=1),SUM(VLOOKUP($A22,'40Trips'!$A$3:$I$42,2,FALSE), VLOOKUP(AM$1,'40Trips'!$A$3:$I$42,2,FALSE)),0)</f>
        <v>0</v>
      </c>
      <c r="AN22">
        <f>IF(AND(SUM(VLOOKUP($A22,'40Trips'!$A$3:$I$42,2,FALSE),VLOOKUP(AN$1,'40Trips'!$A$3:$I$42,2,FALSE))&lt;'40Trips'!$K$16,$A22&lt;&gt;AN$1,gamma!AN22=1),SUM(VLOOKUP($A22,'40Trips'!$A$3:$I$42,2,FALSE), VLOOKUP(AN$1,'40Trips'!$A$3:$I$42,2,FALSE)),0)</f>
        <v>0</v>
      </c>
      <c r="AO22">
        <f>IF(AND(SUM(VLOOKUP($A22,'40Trips'!$A$3:$I$42,2,FALSE),VLOOKUP(AO$1,'40Trips'!$A$3:$I$42,2,FALSE))&lt;'40Trips'!$K$16,$A22&lt;&gt;AO$1,gamma!AO22=1),SUM(VLOOKUP($A22,'40Trips'!$A$3:$I$42,2,FALSE), VLOOKUP(AO$1,'40Trips'!$A$3:$I$42,2,FALSE)),0)</f>
        <v>0</v>
      </c>
      <c r="AP22">
        <f>IF(AND(SUM(VLOOKUP($A22,'40Trips'!$A$3:$I$42,2,FALSE),VLOOKUP(AP$1,'40Trips'!$A$3:$I$42,2,FALSE))&lt;'40Trips'!$K$16,$A22&lt;&gt;AP$1,gamma!AP22=1),SUM(VLOOKUP($A22,'40Trips'!$A$3:$I$42,2,FALSE), VLOOKUP(AP$1,'40Trips'!$A$3:$I$42,2,FALSE)),0)</f>
        <v>0</v>
      </c>
      <c r="AQ22">
        <v>0</v>
      </c>
      <c r="AR22">
        <v>0</v>
      </c>
      <c r="AS22">
        <v>0</v>
      </c>
      <c r="AT22">
        <v>0</v>
      </c>
    </row>
    <row r="23" spans="1:46" x14ac:dyDescent="0.25">
      <c r="A23" t="s">
        <v>34</v>
      </c>
      <c r="B23">
        <v>0</v>
      </c>
      <c r="C23">
        <f>IF(AND(SUM(VLOOKUP($A23,'40Trips'!$A$3:$I$42,2,FALSE),VLOOKUP(C$1,'40Trips'!$A$3:$I$42,2,FALSE))&lt;'40Trips'!$K$16,$A23&lt;&gt;C$1,gamma!C23=1),SUM(VLOOKUP($A23,'40Trips'!$A$3:$I$42,2,FALSE), VLOOKUP(C$1,'40Trips'!$A$3:$I$42,2,FALSE)),0)</f>
        <v>0</v>
      </c>
      <c r="D23">
        <f>IF(AND(SUM(VLOOKUP($A23,'40Trips'!$A$3:$I$42,2,FALSE),VLOOKUP(D$1,'40Trips'!$A$3:$I$42,2,FALSE))&lt;'40Trips'!$K$16,$A23&lt;&gt;D$1,gamma!D23=1),SUM(VLOOKUP($A23,'40Trips'!$A$3:$I$42,2,FALSE), VLOOKUP(D$1,'40Trips'!$A$3:$I$42,2,FALSE)),0)</f>
        <v>275</v>
      </c>
      <c r="E23">
        <f>IF(AND(SUM(VLOOKUP($A23,'40Trips'!$A$3:$I$42,2,FALSE),VLOOKUP(E$1,'40Trips'!$A$3:$I$42,2,FALSE))&lt;'40Trips'!$K$16,$A23&lt;&gt;E$1,gamma!E23=1),SUM(VLOOKUP($A23,'40Trips'!$A$3:$I$42,2,FALSE), VLOOKUP(E$1,'40Trips'!$A$3:$I$42,2,FALSE)),0)</f>
        <v>275</v>
      </c>
      <c r="F23">
        <f>IF(AND(SUM(VLOOKUP($A23,'40Trips'!$A$3:$I$42,2,FALSE),VLOOKUP(F$1,'40Trips'!$A$3:$I$42,2,FALSE))&lt;'40Trips'!$K$16,$A23&lt;&gt;F$1,gamma!F23=1),SUM(VLOOKUP($A23,'40Trips'!$A$3:$I$42,2,FALSE), VLOOKUP(F$1,'40Trips'!$A$3:$I$42,2,FALSE)),0)</f>
        <v>275</v>
      </c>
      <c r="G23">
        <f>IF(AND(SUM(VLOOKUP($A23,'40Trips'!$A$3:$I$42,2,FALSE),VLOOKUP(G$1,'40Trips'!$A$3:$I$42,2,FALSE))&lt;'40Trips'!$K$16,$A23&lt;&gt;G$1,gamma!G23=1),SUM(VLOOKUP($A23,'40Trips'!$A$3:$I$42,2,FALSE), VLOOKUP(G$1,'40Trips'!$A$3:$I$42,2,FALSE)),0)</f>
        <v>0</v>
      </c>
      <c r="H23">
        <f>IF(AND(SUM(VLOOKUP($A23,'40Trips'!$A$3:$I$42,2,FALSE),VLOOKUP(H$1,'40Trips'!$A$3:$I$42,2,FALSE))&lt;'40Trips'!$K$16,$A23&lt;&gt;H$1,gamma!H23=1),SUM(VLOOKUP($A23,'40Trips'!$A$3:$I$42,2,FALSE), VLOOKUP(H$1,'40Trips'!$A$3:$I$42,2,FALSE)),0)</f>
        <v>0</v>
      </c>
      <c r="I23">
        <f>IF(AND(SUM(VLOOKUP($A23,'40Trips'!$A$3:$I$42,2,FALSE),VLOOKUP(I$1,'40Trips'!$A$3:$I$42,2,FALSE))&lt;'40Trips'!$K$16,$A23&lt;&gt;I$1,gamma!I23=1),SUM(VLOOKUP($A23,'40Trips'!$A$3:$I$42,2,FALSE), VLOOKUP(I$1,'40Trips'!$A$3:$I$42,2,FALSE)),0)</f>
        <v>280</v>
      </c>
      <c r="J23">
        <f>IF(AND(SUM(VLOOKUP($A23,'40Trips'!$A$3:$I$42,2,FALSE),VLOOKUP(J$1,'40Trips'!$A$3:$I$42,2,FALSE))&lt;'40Trips'!$K$16,$A23&lt;&gt;J$1,gamma!J23=1),SUM(VLOOKUP($A23,'40Trips'!$A$3:$I$42,2,FALSE), VLOOKUP(J$1,'40Trips'!$A$3:$I$42,2,FALSE)),0)</f>
        <v>280</v>
      </c>
      <c r="K23">
        <f>IF(AND(SUM(VLOOKUP($A23,'40Trips'!$A$3:$I$42,2,FALSE),VLOOKUP(K$1,'40Trips'!$A$3:$I$42,2,FALSE))&lt;'40Trips'!$K$16,$A23&lt;&gt;K$1,gamma!K23=1),SUM(VLOOKUP($A23,'40Trips'!$A$3:$I$42,2,FALSE), VLOOKUP(K$1,'40Trips'!$A$3:$I$42,2,FALSE)),0)</f>
        <v>0</v>
      </c>
      <c r="L23">
        <f>IF(AND(SUM(VLOOKUP($A23,'40Trips'!$A$3:$I$42,2,FALSE),VLOOKUP(L$1,'40Trips'!$A$3:$I$42,2,FALSE))&lt;'40Trips'!$K$16,$A23&lt;&gt;L$1,gamma!L23=1),SUM(VLOOKUP($A23,'40Trips'!$A$3:$I$42,2,FALSE), VLOOKUP(L$1,'40Trips'!$A$3:$I$42,2,FALSE)),0)</f>
        <v>0</v>
      </c>
      <c r="M23">
        <f>IF(AND(SUM(VLOOKUP($A23,'40Trips'!$A$3:$I$42,2,FALSE),VLOOKUP(M$1,'40Trips'!$A$3:$I$42,2,FALSE))&lt;'40Trips'!$K$16,$A23&lt;&gt;M$1,gamma!M23=1),SUM(VLOOKUP($A23,'40Trips'!$A$3:$I$42,2,FALSE), VLOOKUP(M$1,'40Trips'!$A$3:$I$42,2,FALSE)),0)</f>
        <v>275</v>
      </c>
      <c r="N23">
        <f>IF(AND(SUM(VLOOKUP($A23,'40Trips'!$A$3:$I$42,2,FALSE),VLOOKUP(N$1,'40Trips'!$A$3:$I$42,2,FALSE))&lt;'40Trips'!$K$16,$A23&lt;&gt;N$1,gamma!N23=1),SUM(VLOOKUP($A23,'40Trips'!$A$3:$I$42,2,FALSE), VLOOKUP(N$1,'40Trips'!$A$3:$I$42,2,FALSE)),0)</f>
        <v>0</v>
      </c>
      <c r="O23">
        <f>IF(AND(SUM(VLOOKUP($A23,'40Trips'!$A$3:$I$42,2,FALSE),VLOOKUP(O$1,'40Trips'!$A$3:$I$42,2,FALSE))&lt;'40Trips'!$K$16,$A23&lt;&gt;O$1,gamma!O23=1),SUM(VLOOKUP($A23,'40Trips'!$A$3:$I$42,2,FALSE), VLOOKUP(O$1,'40Trips'!$A$3:$I$42,2,FALSE)),0)</f>
        <v>0</v>
      </c>
      <c r="P23">
        <f>IF(AND(SUM(VLOOKUP($A23,'40Trips'!$A$3:$I$42,2,FALSE),VLOOKUP(P$1,'40Trips'!$A$3:$I$42,2,FALSE))&lt;'40Trips'!$K$16,$A23&lt;&gt;P$1,gamma!P23=1),SUM(VLOOKUP($A23,'40Trips'!$A$3:$I$42,2,FALSE), VLOOKUP(P$1,'40Trips'!$A$3:$I$42,2,FALSE)),0)</f>
        <v>0</v>
      </c>
      <c r="Q23">
        <f>IF(AND(SUM(VLOOKUP($A23,'40Trips'!$A$3:$I$42,2,FALSE),VLOOKUP(Q$1,'40Trips'!$A$3:$I$42,2,FALSE))&lt;'40Trips'!$K$16,$A23&lt;&gt;Q$1,gamma!Q23=1),SUM(VLOOKUP($A23,'40Trips'!$A$3:$I$42,2,FALSE), VLOOKUP(Q$1,'40Trips'!$A$3:$I$42,2,FALSE)),0)</f>
        <v>275</v>
      </c>
      <c r="R23">
        <f>IF(AND(SUM(VLOOKUP($A23,'40Trips'!$A$3:$I$42,2,FALSE),VLOOKUP(R$1,'40Trips'!$A$3:$I$42,2,FALSE))&lt;'40Trips'!$K$16,$A23&lt;&gt;R$1,gamma!R23=1),SUM(VLOOKUP($A23,'40Trips'!$A$3:$I$42,2,FALSE), VLOOKUP(R$1,'40Trips'!$A$3:$I$42,2,FALSE)),0)</f>
        <v>275</v>
      </c>
      <c r="S23">
        <f>IF(AND(SUM(VLOOKUP($A23,'40Trips'!$A$3:$I$42,2,FALSE),VLOOKUP(S$1,'40Trips'!$A$3:$I$42,2,FALSE))&lt;'40Trips'!$K$16,$A23&lt;&gt;S$1,gamma!S23=1),SUM(VLOOKUP($A23,'40Trips'!$A$3:$I$42,2,FALSE), VLOOKUP(S$1,'40Trips'!$A$3:$I$42,2,FALSE)),0)</f>
        <v>0</v>
      </c>
      <c r="T23">
        <f>IF(AND(SUM(VLOOKUP($A23,'40Trips'!$A$3:$I$42,2,FALSE),VLOOKUP(T$1,'40Trips'!$A$3:$I$42,2,FALSE))&lt;'40Trips'!$K$16,$A23&lt;&gt;T$1,gamma!T23=1),SUM(VLOOKUP($A23,'40Trips'!$A$3:$I$42,2,FALSE), VLOOKUP(T$1,'40Trips'!$A$3:$I$42,2,FALSE)),0)</f>
        <v>0</v>
      </c>
      <c r="U23">
        <f>IF(AND(SUM(VLOOKUP($A23,'40Trips'!$A$3:$I$42,2,FALSE),VLOOKUP(U$1,'40Trips'!$A$3:$I$42,2,FALSE))&lt;'40Trips'!$K$16,$A23&lt;&gt;U$1,gamma!U23=1),SUM(VLOOKUP($A23,'40Trips'!$A$3:$I$42,2,FALSE), VLOOKUP(U$1,'40Trips'!$A$3:$I$42,2,FALSE)),0)</f>
        <v>260</v>
      </c>
      <c r="V23">
        <f>IF(AND(SUM(VLOOKUP($A23,'40Trips'!$A$3:$I$42,2,FALSE),VLOOKUP(V$1,'40Trips'!$A$3:$I$42,2,FALSE))&lt;'40Trips'!$K$16,$A23&lt;&gt;V$1,gamma!V23=1),SUM(VLOOKUP($A23,'40Trips'!$A$3:$I$42,2,FALSE), VLOOKUP(V$1,'40Trips'!$A$3:$I$42,2,FALSE)),0)</f>
        <v>270</v>
      </c>
      <c r="W23">
        <f>IF(AND(SUM(VLOOKUP($A23,'40Trips'!$A$3:$I$42,2,FALSE),VLOOKUP(W$1,'40Trips'!$A$3:$I$42,2,FALSE))&lt;'40Trips'!$K$16,$A23&lt;&gt;W$1,gamma!W23=1),SUM(VLOOKUP($A23,'40Trips'!$A$3:$I$42,2,FALSE), VLOOKUP(W$1,'40Trips'!$A$3:$I$42,2,FALSE)),0)</f>
        <v>0</v>
      </c>
      <c r="X23">
        <f>IF(AND(SUM(VLOOKUP($A23,'40Trips'!$A$3:$I$42,2,FALSE),VLOOKUP(X$1,'40Trips'!$A$3:$I$42,2,FALSE))&lt;'40Trips'!$K$16,$A23&lt;&gt;X$1,gamma!X23=1),SUM(VLOOKUP($A23,'40Trips'!$A$3:$I$42,2,FALSE), VLOOKUP(X$1,'40Trips'!$A$3:$I$42,2,FALSE)),0)</f>
        <v>280</v>
      </c>
      <c r="Y23">
        <f>IF(AND(SUM(VLOOKUP($A23,'40Trips'!$A$3:$I$42,2,FALSE),VLOOKUP(Y$1,'40Trips'!$A$3:$I$42,2,FALSE))&lt;'40Trips'!$K$16,$A23&lt;&gt;Y$1,gamma!Y23=1),SUM(VLOOKUP($A23,'40Trips'!$A$3:$I$42,2,FALSE), VLOOKUP(Y$1,'40Trips'!$A$3:$I$42,2,FALSE)),0)</f>
        <v>280</v>
      </c>
      <c r="Z23">
        <f>IF(AND(SUM(VLOOKUP($A23,'40Trips'!$A$3:$I$42,2,FALSE),VLOOKUP(Z$1,'40Trips'!$A$3:$I$42,2,FALSE))&lt;'40Trips'!$K$16,$A23&lt;&gt;Z$1,gamma!Z23=1),SUM(VLOOKUP($A23,'40Trips'!$A$3:$I$42,2,FALSE), VLOOKUP(Z$1,'40Trips'!$A$3:$I$42,2,FALSE)),0)</f>
        <v>280</v>
      </c>
      <c r="AA23">
        <f>IF(AND(SUM(VLOOKUP($A23,'40Trips'!$A$3:$I$42,2,FALSE),VLOOKUP(AA$1,'40Trips'!$A$3:$I$42,2,FALSE))&lt;'40Trips'!$K$16,$A23&lt;&gt;AA$1,gamma!AA23=1),SUM(VLOOKUP($A23,'40Trips'!$A$3:$I$42,2,FALSE), VLOOKUP(AA$1,'40Trips'!$A$3:$I$42,2,FALSE)),0)</f>
        <v>0</v>
      </c>
      <c r="AB23">
        <f>IF(AND(SUM(VLOOKUP($A23,'40Trips'!$A$3:$I$42,2,FALSE),VLOOKUP(AB$1,'40Trips'!$A$3:$I$42,2,FALSE))&lt;'40Trips'!$K$16,$A23&lt;&gt;AB$1,gamma!AB23=1),SUM(VLOOKUP($A23,'40Trips'!$A$3:$I$42,2,FALSE), VLOOKUP(AB$1,'40Trips'!$A$3:$I$42,2,FALSE)),0)</f>
        <v>0</v>
      </c>
      <c r="AC23">
        <f>IF(AND(SUM(VLOOKUP($A23,'40Trips'!$A$3:$I$42,2,FALSE),VLOOKUP(AC$1,'40Trips'!$A$3:$I$42,2,FALSE))&lt;'40Trips'!$K$16,$A23&lt;&gt;AC$1,gamma!AC23=1),SUM(VLOOKUP($A23,'40Trips'!$A$3:$I$42,2,FALSE), VLOOKUP(AC$1,'40Trips'!$A$3:$I$42,2,FALSE)),0)</f>
        <v>260</v>
      </c>
      <c r="AD23">
        <f>IF(AND(SUM(VLOOKUP($A23,'40Trips'!$A$3:$I$42,2,FALSE),VLOOKUP(AD$1,'40Trips'!$A$3:$I$42,2,FALSE))&lt;'40Trips'!$K$16,$A23&lt;&gt;AD$1,gamma!AD23=1),SUM(VLOOKUP($A23,'40Trips'!$A$3:$I$42,2,FALSE), VLOOKUP(AD$1,'40Trips'!$A$3:$I$42,2,FALSE)),0)</f>
        <v>270</v>
      </c>
      <c r="AE23">
        <f>IF(AND(SUM(VLOOKUP($A23,'40Trips'!$A$3:$I$42,2,FALSE),VLOOKUP(AE$1,'40Trips'!$A$3:$I$42,2,FALSE))&lt;'40Trips'!$K$16,$A23&lt;&gt;AE$1,gamma!AE23=1),SUM(VLOOKUP($A23,'40Trips'!$A$3:$I$42,2,FALSE), VLOOKUP(AE$1,'40Trips'!$A$3:$I$42,2,FALSE)),0)</f>
        <v>0</v>
      </c>
      <c r="AF23">
        <f>IF(AND(SUM(VLOOKUP($A23,'40Trips'!$A$3:$I$42,2,FALSE),VLOOKUP(AF$1,'40Trips'!$A$3:$I$42,2,FALSE))&lt;'40Trips'!$K$16,$A23&lt;&gt;AF$1,gamma!AF23=1),SUM(VLOOKUP($A23,'40Trips'!$A$3:$I$42,2,FALSE), VLOOKUP(AF$1,'40Trips'!$A$3:$I$42,2,FALSE)),0)</f>
        <v>0</v>
      </c>
      <c r="AG23">
        <f>IF(AND(SUM(VLOOKUP($A23,'40Trips'!$A$3:$I$42,2,FALSE),VLOOKUP(AG$1,'40Trips'!$A$3:$I$42,2,FALSE))&lt;'40Trips'!$K$16,$A23&lt;&gt;AG$1,gamma!AG23=1),SUM(VLOOKUP($A23,'40Trips'!$A$3:$I$42,2,FALSE), VLOOKUP(AG$1,'40Trips'!$A$3:$I$42,2,FALSE)),0)</f>
        <v>0</v>
      </c>
      <c r="AH23">
        <f>IF(AND(SUM(VLOOKUP($A23,'40Trips'!$A$3:$I$42,2,FALSE),VLOOKUP(AH$1,'40Trips'!$A$3:$I$42,2,FALSE))&lt;'40Trips'!$K$16,$A23&lt;&gt;AH$1,gamma!AH23=1),SUM(VLOOKUP($A23,'40Trips'!$A$3:$I$42,2,FALSE), VLOOKUP(AH$1,'40Trips'!$A$3:$I$42,2,FALSE)),0)</f>
        <v>275</v>
      </c>
      <c r="AI23">
        <f>IF(AND(SUM(VLOOKUP($A23,'40Trips'!$A$3:$I$42,2,FALSE),VLOOKUP(AI$1,'40Trips'!$A$3:$I$42,2,FALSE))&lt;'40Trips'!$K$16,$A23&lt;&gt;AI$1,gamma!AI23=1),SUM(VLOOKUP($A23,'40Trips'!$A$3:$I$42,2,FALSE), VLOOKUP(AI$1,'40Trips'!$A$3:$I$42,2,FALSE)),0)</f>
        <v>0</v>
      </c>
      <c r="AJ23">
        <f>IF(AND(SUM(VLOOKUP($A23,'40Trips'!$A$3:$I$42,2,FALSE),VLOOKUP(AJ$1,'40Trips'!$A$3:$I$42,2,FALSE))&lt;'40Trips'!$K$16,$A23&lt;&gt;AJ$1,gamma!AJ23=1),SUM(VLOOKUP($A23,'40Trips'!$A$3:$I$42,2,FALSE), VLOOKUP(AJ$1,'40Trips'!$A$3:$I$42,2,FALSE)),0)</f>
        <v>275</v>
      </c>
      <c r="AK23">
        <f>IF(AND(SUM(VLOOKUP($A23,'40Trips'!$A$3:$I$42,2,FALSE),VLOOKUP(AK$1,'40Trips'!$A$3:$I$42,2,FALSE))&lt;'40Trips'!$K$16,$A23&lt;&gt;AK$1,gamma!AK23=1),SUM(VLOOKUP($A23,'40Trips'!$A$3:$I$42,2,FALSE), VLOOKUP(AK$1,'40Trips'!$A$3:$I$42,2,FALSE)),0)</f>
        <v>280</v>
      </c>
      <c r="AL23">
        <f>IF(AND(SUM(VLOOKUP($A23,'40Trips'!$A$3:$I$42,2,FALSE),VLOOKUP(AL$1,'40Trips'!$A$3:$I$42,2,FALSE))&lt;'40Trips'!$K$16,$A23&lt;&gt;AL$1,gamma!AL23=1),SUM(VLOOKUP($A23,'40Trips'!$A$3:$I$42,2,FALSE), VLOOKUP(AL$1,'40Trips'!$A$3:$I$42,2,FALSE)),0)</f>
        <v>280</v>
      </c>
      <c r="AM23">
        <f>IF(AND(SUM(VLOOKUP($A23,'40Trips'!$A$3:$I$42,2,FALSE),VLOOKUP(AM$1,'40Trips'!$A$3:$I$42,2,FALSE))&lt;'40Trips'!$K$16,$A23&lt;&gt;AM$1,gamma!AM23=1),SUM(VLOOKUP($A23,'40Trips'!$A$3:$I$42,2,FALSE), VLOOKUP(AM$1,'40Trips'!$A$3:$I$42,2,FALSE)),0)</f>
        <v>0</v>
      </c>
      <c r="AN23">
        <f>IF(AND(SUM(VLOOKUP($A23,'40Trips'!$A$3:$I$42,2,FALSE),VLOOKUP(AN$1,'40Trips'!$A$3:$I$42,2,FALSE))&lt;'40Trips'!$K$16,$A23&lt;&gt;AN$1,gamma!AN23=1),SUM(VLOOKUP($A23,'40Trips'!$A$3:$I$42,2,FALSE), VLOOKUP(AN$1,'40Trips'!$A$3:$I$42,2,FALSE)),0)</f>
        <v>260</v>
      </c>
      <c r="AO23">
        <f>IF(AND(SUM(VLOOKUP($A23,'40Trips'!$A$3:$I$42,2,FALSE),VLOOKUP(AO$1,'40Trips'!$A$3:$I$42,2,FALSE))&lt;'40Trips'!$K$16,$A23&lt;&gt;AO$1,gamma!AO23=1),SUM(VLOOKUP($A23,'40Trips'!$A$3:$I$42,2,FALSE), VLOOKUP(AO$1,'40Trips'!$A$3:$I$42,2,FALSE)),0)</f>
        <v>260</v>
      </c>
      <c r="AP23">
        <f>IF(AND(SUM(VLOOKUP($A23,'40Trips'!$A$3:$I$42,2,FALSE),VLOOKUP(AP$1,'40Trips'!$A$3:$I$42,2,FALSE))&lt;'40Trips'!$K$16,$A23&lt;&gt;AP$1,gamma!AP23=1),SUM(VLOOKUP($A23,'40Trips'!$A$3:$I$42,2,FALSE), VLOOKUP(AP$1,'40Trips'!$A$3:$I$42,2,FALSE)),0)</f>
        <v>275</v>
      </c>
      <c r="AQ23">
        <v>0</v>
      </c>
      <c r="AR23">
        <v>0</v>
      </c>
      <c r="AS23">
        <v>0</v>
      </c>
      <c r="AT23">
        <v>0</v>
      </c>
    </row>
    <row r="24" spans="1:46" x14ac:dyDescent="0.25">
      <c r="A24" t="s">
        <v>35</v>
      </c>
      <c r="B24">
        <v>0</v>
      </c>
      <c r="C24">
        <f>IF(AND(SUM(VLOOKUP($A24,'40Trips'!$A$3:$I$42,2,FALSE),VLOOKUP(C$1,'40Trips'!$A$3:$I$42,2,FALSE))&lt;'40Trips'!$K$16,$A24&lt;&gt;C$1,gamma!C24=1),SUM(VLOOKUP($A24,'40Trips'!$A$3:$I$42,2,FALSE), VLOOKUP(C$1,'40Trips'!$A$3:$I$42,2,FALSE)),0)</f>
        <v>0</v>
      </c>
      <c r="D24">
        <f>IF(AND(SUM(VLOOKUP($A24,'40Trips'!$A$3:$I$42,2,FALSE),VLOOKUP(D$1,'40Trips'!$A$3:$I$42,2,FALSE))&lt;'40Trips'!$K$16,$A24&lt;&gt;D$1,gamma!D24=1),SUM(VLOOKUP($A24,'40Trips'!$A$3:$I$42,2,FALSE), VLOOKUP(D$1,'40Trips'!$A$3:$I$42,2,FALSE)),0)</f>
        <v>0</v>
      </c>
      <c r="E24">
        <f>IF(AND(SUM(VLOOKUP($A24,'40Trips'!$A$3:$I$42,2,FALSE),VLOOKUP(E$1,'40Trips'!$A$3:$I$42,2,FALSE))&lt;'40Trips'!$K$16,$A24&lt;&gt;E$1,gamma!E24=1),SUM(VLOOKUP($A24,'40Trips'!$A$3:$I$42,2,FALSE), VLOOKUP(E$1,'40Trips'!$A$3:$I$42,2,FALSE)),0)</f>
        <v>0</v>
      </c>
      <c r="F24">
        <f>IF(AND(SUM(VLOOKUP($A24,'40Trips'!$A$3:$I$42,2,FALSE),VLOOKUP(F$1,'40Trips'!$A$3:$I$42,2,FALSE))&lt;'40Trips'!$K$16,$A24&lt;&gt;F$1,gamma!F24=1),SUM(VLOOKUP($A24,'40Trips'!$A$3:$I$42,2,FALSE), VLOOKUP(F$1,'40Trips'!$A$3:$I$42,2,FALSE)),0)</f>
        <v>275</v>
      </c>
      <c r="G24">
        <f>IF(AND(SUM(VLOOKUP($A24,'40Trips'!$A$3:$I$42,2,FALSE),VLOOKUP(G$1,'40Trips'!$A$3:$I$42,2,FALSE))&lt;'40Trips'!$K$16,$A24&lt;&gt;G$1,gamma!G24=1),SUM(VLOOKUP($A24,'40Trips'!$A$3:$I$42,2,FALSE), VLOOKUP(G$1,'40Trips'!$A$3:$I$42,2,FALSE)),0)</f>
        <v>0</v>
      </c>
      <c r="H24">
        <f>IF(AND(SUM(VLOOKUP($A24,'40Trips'!$A$3:$I$42,2,FALSE),VLOOKUP(H$1,'40Trips'!$A$3:$I$42,2,FALSE))&lt;'40Trips'!$K$16,$A24&lt;&gt;H$1,gamma!H24=1),SUM(VLOOKUP($A24,'40Trips'!$A$3:$I$42,2,FALSE), VLOOKUP(H$1,'40Trips'!$A$3:$I$42,2,FALSE)),0)</f>
        <v>0</v>
      </c>
      <c r="I24">
        <f>IF(AND(SUM(VLOOKUP($A24,'40Trips'!$A$3:$I$42,2,FALSE),VLOOKUP(I$1,'40Trips'!$A$3:$I$42,2,FALSE))&lt;'40Trips'!$K$16,$A24&lt;&gt;I$1,gamma!I24=1),SUM(VLOOKUP($A24,'40Trips'!$A$3:$I$42,2,FALSE), VLOOKUP(I$1,'40Trips'!$A$3:$I$42,2,FALSE)),0)</f>
        <v>0</v>
      </c>
      <c r="J24">
        <f>IF(AND(SUM(VLOOKUP($A24,'40Trips'!$A$3:$I$42,2,FALSE),VLOOKUP(J$1,'40Trips'!$A$3:$I$42,2,FALSE))&lt;'40Trips'!$K$16,$A24&lt;&gt;J$1,gamma!J24=1),SUM(VLOOKUP($A24,'40Trips'!$A$3:$I$42,2,FALSE), VLOOKUP(J$1,'40Trips'!$A$3:$I$42,2,FALSE)),0)</f>
        <v>280</v>
      </c>
      <c r="K24">
        <f>IF(AND(SUM(VLOOKUP($A24,'40Trips'!$A$3:$I$42,2,FALSE),VLOOKUP(K$1,'40Trips'!$A$3:$I$42,2,FALSE))&lt;'40Trips'!$K$16,$A24&lt;&gt;K$1,gamma!K24=1),SUM(VLOOKUP($A24,'40Trips'!$A$3:$I$42,2,FALSE), VLOOKUP(K$1,'40Trips'!$A$3:$I$42,2,FALSE)),0)</f>
        <v>0</v>
      </c>
      <c r="L24">
        <f>IF(AND(SUM(VLOOKUP($A24,'40Trips'!$A$3:$I$42,2,FALSE),VLOOKUP(L$1,'40Trips'!$A$3:$I$42,2,FALSE))&lt;'40Trips'!$K$16,$A24&lt;&gt;L$1,gamma!L24=1),SUM(VLOOKUP($A24,'40Trips'!$A$3:$I$42,2,FALSE), VLOOKUP(L$1,'40Trips'!$A$3:$I$42,2,FALSE)),0)</f>
        <v>0</v>
      </c>
      <c r="M24">
        <f>IF(AND(SUM(VLOOKUP($A24,'40Trips'!$A$3:$I$42,2,FALSE),VLOOKUP(M$1,'40Trips'!$A$3:$I$42,2,FALSE))&lt;'40Trips'!$K$16,$A24&lt;&gt;M$1,gamma!M24=1),SUM(VLOOKUP($A24,'40Trips'!$A$3:$I$42,2,FALSE), VLOOKUP(M$1,'40Trips'!$A$3:$I$42,2,FALSE)),0)</f>
        <v>0</v>
      </c>
      <c r="N24">
        <f>IF(AND(SUM(VLOOKUP($A24,'40Trips'!$A$3:$I$42,2,FALSE),VLOOKUP(N$1,'40Trips'!$A$3:$I$42,2,FALSE))&lt;'40Trips'!$K$16,$A24&lt;&gt;N$1,gamma!N24=1),SUM(VLOOKUP($A24,'40Trips'!$A$3:$I$42,2,FALSE), VLOOKUP(N$1,'40Trips'!$A$3:$I$42,2,FALSE)),0)</f>
        <v>0</v>
      </c>
      <c r="O24">
        <f>IF(AND(SUM(VLOOKUP($A24,'40Trips'!$A$3:$I$42,2,FALSE),VLOOKUP(O$1,'40Trips'!$A$3:$I$42,2,FALSE))&lt;'40Trips'!$K$16,$A24&lt;&gt;O$1,gamma!O24=1),SUM(VLOOKUP($A24,'40Trips'!$A$3:$I$42,2,FALSE), VLOOKUP(O$1,'40Trips'!$A$3:$I$42,2,FALSE)),0)</f>
        <v>0</v>
      </c>
      <c r="P24">
        <f>IF(AND(SUM(VLOOKUP($A24,'40Trips'!$A$3:$I$42,2,FALSE),VLOOKUP(P$1,'40Trips'!$A$3:$I$42,2,FALSE))&lt;'40Trips'!$K$16,$A24&lt;&gt;P$1,gamma!P24=1),SUM(VLOOKUP($A24,'40Trips'!$A$3:$I$42,2,FALSE), VLOOKUP(P$1,'40Trips'!$A$3:$I$42,2,FALSE)),0)</f>
        <v>0</v>
      </c>
      <c r="Q24">
        <f>IF(AND(SUM(VLOOKUP($A24,'40Trips'!$A$3:$I$42,2,FALSE),VLOOKUP(Q$1,'40Trips'!$A$3:$I$42,2,FALSE))&lt;'40Trips'!$K$16,$A24&lt;&gt;Q$1,gamma!Q24=1),SUM(VLOOKUP($A24,'40Trips'!$A$3:$I$42,2,FALSE), VLOOKUP(Q$1,'40Trips'!$A$3:$I$42,2,FALSE)),0)</f>
        <v>0</v>
      </c>
      <c r="R24">
        <f>IF(AND(SUM(VLOOKUP($A24,'40Trips'!$A$3:$I$42,2,FALSE),VLOOKUP(R$1,'40Trips'!$A$3:$I$42,2,FALSE))&lt;'40Trips'!$K$16,$A24&lt;&gt;R$1,gamma!R24=1),SUM(VLOOKUP($A24,'40Trips'!$A$3:$I$42,2,FALSE), VLOOKUP(R$1,'40Trips'!$A$3:$I$42,2,FALSE)),0)</f>
        <v>275</v>
      </c>
      <c r="S24">
        <f>IF(AND(SUM(VLOOKUP($A24,'40Trips'!$A$3:$I$42,2,FALSE),VLOOKUP(S$1,'40Trips'!$A$3:$I$42,2,FALSE))&lt;'40Trips'!$K$16,$A24&lt;&gt;S$1,gamma!S24=1),SUM(VLOOKUP($A24,'40Trips'!$A$3:$I$42,2,FALSE), VLOOKUP(S$1,'40Trips'!$A$3:$I$42,2,FALSE)),0)</f>
        <v>0</v>
      </c>
      <c r="T24">
        <f>IF(AND(SUM(VLOOKUP($A24,'40Trips'!$A$3:$I$42,2,FALSE),VLOOKUP(T$1,'40Trips'!$A$3:$I$42,2,FALSE))&lt;'40Trips'!$K$16,$A24&lt;&gt;T$1,gamma!T24=1),SUM(VLOOKUP($A24,'40Trips'!$A$3:$I$42,2,FALSE), VLOOKUP(T$1,'40Trips'!$A$3:$I$42,2,FALSE)),0)</f>
        <v>0</v>
      </c>
      <c r="U24">
        <f>IF(AND(SUM(VLOOKUP($A24,'40Trips'!$A$3:$I$42,2,FALSE),VLOOKUP(U$1,'40Trips'!$A$3:$I$42,2,FALSE))&lt;'40Trips'!$K$16,$A24&lt;&gt;U$1,gamma!U24=1),SUM(VLOOKUP($A24,'40Trips'!$A$3:$I$42,2,FALSE), VLOOKUP(U$1,'40Trips'!$A$3:$I$42,2,FALSE)),0)</f>
        <v>0</v>
      </c>
      <c r="V24">
        <f>IF(AND(SUM(VLOOKUP($A24,'40Trips'!$A$3:$I$42,2,FALSE),VLOOKUP(V$1,'40Trips'!$A$3:$I$42,2,FALSE))&lt;'40Trips'!$K$16,$A24&lt;&gt;V$1,gamma!V24=1),SUM(VLOOKUP($A24,'40Trips'!$A$3:$I$42,2,FALSE), VLOOKUP(V$1,'40Trips'!$A$3:$I$42,2,FALSE)),0)</f>
        <v>270</v>
      </c>
      <c r="W24">
        <f>IF(AND(SUM(VLOOKUP($A24,'40Trips'!$A$3:$I$42,2,FALSE),VLOOKUP(W$1,'40Trips'!$A$3:$I$42,2,FALSE))&lt;'40Trips'!$K$16,$A24&lt;&gt;W$1,gamma!W24=1),SUM(VLOOKUP($A24,'40Trips'!$A$3:$I$42,2,FALSE), VLOOKUP(W$1,'40Trips'!$A$3:$I$42,2,FALSE)),0)</f>
        <v>0</v>
      </c>
      <c r="X24">
        <f>IF(AND(SUM(VLOOKUP($A24,'40Trips'!$A$3:$I$42,2,FALSE),VLOOKUP(X$1,'40Trips'!$A$3:$I$42,2,FALSE))&lt;'40Trips'!$K$16,$A24&lt;&gt;X$1,gamma!X24=1),SUM(VLOOKUP($A24,'40Trips'!$A$3:$I$42,2,FALSE), VLOOKUP(X$1,'40Trips'!$A$3:$I$42,2,FALSE)),0)</f>
        <v>0</v>
      </c>
      <c r="Y24">
        <f>IF(AND(SUM(VLOOKUP($A24,'40Trips'!$A$3:$I$42,2,FALSE),VLOOKUP(Y$1,'40Trips'!$A$3:$I$42,2,FALSE))&lt;'40Trips'!$K$16,$A24&lt;&gt;Y$1,gamma!Y24=1),SUM(VLOOKUP($A24,'40Trips'!$A$3:$I$42,2,FALSE), VLOOKUP(Y$1,'40Trips'!$A$3:$I$42,2,FALSE)),0)</f>
        <v>0</v>
      </c>
      <c r="Z24">
        <f>IF(AND(SUM(VLOOKUP($A24,'40Trips'!$A$3:$I$42,2,FALSE),VLOOKUP(Z$1,'40Trips'!$A$3:$I$42,2,FALSE))&lt;'40Trips'!$K$16,$A24&lt;&gt;Z$1,gamma!Z24=1),SUM(VLOOKUP($A24,'40Trips'!$A$3:$I$42,2,FALSE), VLOOKUP(Z$1,'40Trips'!$A$3:$I$42,2,FALSE)),0)</f>
        <v>280</v>
      </c>
      <c r="AA24">
        <f>IF(AND(SUM(VLOOKUP($A24,'40Trips'!$A$3:$I$42,2,FALSE),VLOOKUP(AA$1,'40Trips'!$A$3:$I$42,2,FALSE))&lt;'40Trips'!$K$16,$A24&lt;&gt;AA$1,gamma!AA24=1),SUM(VLOOKUP($A24,'40Trips'!$A$3:$I$42,2,FALSE), VLOOKUP(AA$1,'40Trips'!$A$3:$I$42,2,FALSE)),0)</f>
        <v>0</v>
      </c>
      <c r="AB24">
        <f>IF(AND(SUM(VLOOKUP($A24,'40Trips'!$A$3:$I$42,2,FALSE),VLOOKUP(AB$1,'40Trips'!$A$3:$I$42,2,FALSE))&lt;'40Trips'!$K$16,$A24&lt;&gt;AB$1,gamma!AB24=1),SUM(VLOOKUP($A24,'40Trips'!$A$3:$I$42,2,FALSE), VLOOKUP(AB$1,'40Trips'!$A$3:$I$42,2,FALSE)),0)</f>
        <v>0</v>
      </c>
      <c r="AC24">
        <f>IF(AND(SUM(VLOOKUP($A24,'40Trips'!$A$3:$I$42,2,FALSE),VLOOKUP(AC$1,'40Trips'!$A$3:$I$42,2,FALSE))&lt;'40Trips'!$K$16,$A24&lt;&gt;AC$1,gamma!AC24=1),SUM(VLOOKUP($A24,'40Trips'!$A$3:$I$42,2,FALSE), VLOOKUP(AC$1,'40Trips'!$A$3:$I$42,2,FALSE)),0)</f>
        <v>260</v>
      </c>
      <c r="AD24">
        <f>IF(AND(SUM(VLOOKUP($A24,'40Trips'!$A$3:$I$42,2,FALSE),VLOOKUP(AD$1,'40Trips'!$A$3:$I$42,2,FALSE))&lt;'40Trips'!$K$16,$A24&lt;&gt;AD$1,gamma!AD24=1),SUM(VLOOKUP($A24,'40Trips'!$A$3:$I$42,2,FALSE), VLOOKUP(AD$1,'40Trips'!$A$3:$I$42,2,FALSE)),0)</f>
        <v>270</v>
      </c>
      <c r="AE24">
        <f>IF(AND(SUM(VLOOKUP($A24,'40Trips'!$A$3:$I$42,2,FALSE),VLOOKUP(AE$1,'40Trips'!$A$3:$I$42,2,FALSE))&lt;'40Trips'!$K$16,$A24&lt;&gt;AE$1,gamma!AE24=1),SUM(VLOOKUP($A24,'40Trips'!$A$3:$I$42,2,FALSE), VLOOKUP(AE$1,'40Trips'!$A$3:$I$42,2,FALSE)),0)</f>
        <v>0</v>
      </c>
      <c r="AF24">
        <f>IF(AND(SUM(VLOOKUP($A24,'40Trips'!$A$3:$I$42,2,FALSE),VLOOKUP(AF$1,'40Trips'!$A$3:$I$42,2,FALSE))&lt;'40Trips'!$K$16,$A24&lt;&gt;AF$1,gamma!AF24=1),SUM(VLOOKUP($A24,'40Trips'!$A$3:$I$42,2,FALSE), VLOOKUP(AF$1,'40Trips'!$A$3:$I$42,2,FALSE)),0)</f>
        <v>0</v>
      </c>
      <c r="AG24">
        <f>IF(AND(SUM(VLOOKUP($A24,'40Trips'!$A$3:$I$42,2,FALSE),VLOOKUP(AG$1,'40Trips'!$A$3:$I$42,2,FALSE))&lt;'40Trips'!$K$16,$A24&lt;&gt;AG$1,gamma!AG24=1),SUM(VLOOKUP($A24,'40Trips'!$A$3:$I$42,2,FALSE), VLOOKUP(AG$1,'40Trips'!$A$3:$I$42,2,FALSE)),0)</f>
        <v>0</v>
      </c>
      <c r="AH24">
        <f>IF(AND(SUM(VLOOKUP($A24,'40Trips'!$A$3:$I$42,2,FALSE),VLOOKUP(AH$1,'40Trips'!$A$3:$I$42,2,FALSE))&lt;'40Trips'!$K$16,$A24&lt;&gt;AH$1,gamma!AH24=1),SUM(VLOOKUP($A24,'40Trips'!$A$3:$I$42,2,FALSE), VLOOKUP(AH$1,'40Trips'!$A$3:$I$42,2,FALSE)),0)</f>
        <v>0</v>
      </c>
      <c r="AI24">
        <f>IF(AND(SUM(VLOOKUP($A24,'40Trips'!$A$3:$I$42,2,FALSE),VLOOKUP(AI$1,'40Trips'!$A$3:$I$42,2,FALSE))&lt;'40Trips'!$K$16,$A24&lt;&gt;AI$1,gamma!AI24=1),SUM(VLOOKUP($A24,'40Trips'!$A$3:$I$42,2,FALSE), VLOOKUP(AI$1,'40Trips'!$A$3:$I$42,2,FALSE)),0)</f>
        <v>0</v>
      </c>
      <c r="AJ24">
        <f>IF(AND(SUM(VLOOKUP($A24,'40Trips'!$A$3:$I$42,2,FALSE),VLOOKUP(AJ$1,'40Trips'!$A$3:$I$42,2,FALSE))&lt;'40Trips'!$K$16,$A24&lt;&gt;AJ$1,gamma!AJ24=1),SUM(VLOOKUP($A24,'40Trips'!$A$3:$I$42,2,FALSE), VLOOKUP(AJ$1,'40Trips'!$A$3:$I$42,2,FALSE)),0)</f>
        <v>0</v>
      </c>
      <c r="AK24">
        <f>IF(AND(SUM(VLOOKUP($A24,'40Trips'!$A$3:$I$42,2,FALSE),VLOOKUP(AK$1,'40Trips'!$A$3:$I$42,2,FALSE))&lt;'40Trips'!$K$16,$A24&lt;&gt;AK$1,gamma!AK24=1),SUM(VLOOKUP($A24,'40Trips'!$A$3:$I$42,2,FALSE), VLOOKUP(AK$1,'40Trips'!$A$3:$I$42,2,FALSE)),0)</f>
        <v>0</v>
      </c>
      <c r="AL24">
        <f>IF(AND(SUM(VLOOKUP($A24,'40Trips'!$A$3:$I$42,2,FALSE),VLOOKUP(AL$1,'40Trips'!$A$3:$I$42,2,FALSE))&lt;'40Trips'!$K$16,$A24&lt;&gt;AL$1,gamma!AL24=1),SUM(VLOOKUP($A24,'40Trips'!$A$3:$I$42,2,FALSE), VLOOKUP(AL$1,'40Trips'!$A$3:$I$42,2,FALSE)),0)</f>
        <v>280</v>
      </c>
      <c r="AM24">
        <f>IF(AND(SUM(VLOOKUP($A24,'40Trips'!$A$3:$I$42,2,FALSE),VLOOKUP(AM$1,'40Trips'!$A$3:$I$42,2,FALSE))&lt;'40Trips'!$K$16,$A24&lt;&gt;AM$1,gamma!AM24=1),SUM(VLOOKUP($A24,'40Trips'!$A$3:$I$42,2,FALSE), VLOOKUP(AM$1,'40Trips'!$A$3:$I$42,2,FALSE)),0)</f>
        <v>0</v>
      </c>
      <c r="AN24">
        <f>IF(AND(SUM(VLOOKUP($A24,'40Trips'!$A$3:$I$42,2,FALSE),VLOOKUP(AN$1,'40Trips'!$A$3:$I$42,2,FALSE))&lt;'40Trips'!$K$16,$A24&lt;&gt;AN$1,gamma!AN24=1),SUM(VLOOKUP($A24,'40Trips'!$A$3:$I$42,2,FALSE), VLOOKUP(AN$1,'40Trips'!$A$3:$I$42,2,FALSE)),0)</f>
        <v>0</v>
      </c>
      <c r="AO24">
        <f>IF(AND(SUM(VLOOKUP($A24,'40Trips'!$A$3:$I$42,2,FALSE),VLOOKUP(AO$1,'40Trips'!$A$3:$I$42,2,FALSE))&lt;'40Trips'!$K$16,$A24&lt;&gt;AO$1,gamma!AO24=1),SUM(VLOOKUP($A24,'40Trips'!$A$3:$I$42,2,FALSE), VLOOKUP(AO$1,'40Trips'!$A$3:$I$42,2,FALSE)),0)</f>
        <v>0</v>
      </c>
      <c r="AP24">
        <f>IF(AND(SUM(VLOOKUP($A24,'40Trips'!$A$3:$I$42,2,FALSE),VLOOKUP(AP$1,'40Trips'!$A$3:$I$42,2,FALSE))&lt;'40Trips'!$K$16,$A24&lt;&gt;AP$1,gamma!AP24=1),SUM(VLOOKUP($A24,'40Trips'!$A$3:$I$42,2,FALSE), VLOOKUP(AP$1,'40Trips'!$A$3:$I$42,2,FALSE)),0)</f>
        <v>275</v>
      </c>
      <c r="AQ24">
        <v>0</v>
      </c>
      <c r="AR24">
        <v>0</v>
      </c>
      <c r="AS24">
        <v>0</v>
      </c>
      <c r="AT24">
        <v>0</v>
      </c>
    </row>
    <row r="25" spans="1:46" x14ac:dyDescent="0.25">
      <c r="A25" t="s">
        <v>36</v>
      </c>
      <c r="B25">
        <v>0</v>
      </c>
      <c r="C25">
        <f>IF(AND(SUM(VLOOKUP($A25,'40Trips'!$A$3:$I$42,2,FALSE),VLOOKUP(C$1,'40Trips'!$A$3:$I$42,2,FALSE))&lt;'40Trips'!$K$16,$A25&lt;&gt;C$1,gamma!C25=1),SUM(VLOOKUP($A25,'40Trips'!$A$3:$I$42,2,FALSE), VLOOKUP(C$1,'40Trips'!$A$3:$I$42,2,FALSE)),0)</f>
        <v>0</v>
      </c>
      <c r="D25">
        <f>IF(AND(SUM(VLOOKUP($A25,'40Trips'!$A$3:$I$42,2,FALSE),VLOOKUP(D$1,'40Trips'!$A$3:$I$42,2,FALSE))&lt;'40Trips'!$K$16,$A25&lt;&gt;D$1,gamma!D25=1),SUM(VLOOKUP($A25,'40Trips'!$A$3:$I$42,2,FALSE), VLOOKUP(D$1,'40Trips'!$A$3:$I$42,2,FALSE)),0)</f>
        <v>0</v>
      </c>
      <c r="E25">
        <f>IF(AND(SUM(VLOOKUP($A25,'40Trips'!$A$3:$I$42,2,FALSE),VLOOKUP(E$1,'40Trips'!$A$3:$I$42,2,FALSE))&lt;'40Trips'!$K$16,$A25&lt;&gt;E$1,gamma!E25=1),SUM(VLOOKUP($A25,'40Trips'!$A$3:$I$42,2,FALSE), VLOOKUP(E$1,'40Trips'!$A$3:$I$42,2,FALSE)),0)</f>
        <v>0</v>
      </c>
      <c r="F25">
        <f>IF(AND(SUM(VLOOKUP($A25,'40Trips'!$A$3:$I$42,2,FALSE),VLOOKUP(F$1,'40Trips'!$A$3:$I$42,2,FALSE))&lt;'40Trips'!$K$16,$A25&lt;&gt;F$1,gamma!F25=1),SUM(VLOOKUP($A25,'40Trips'!$A$3:$I$42,2,FALSE), VLOOKUP(F$1,'40Trips'!$A$3:$I$42,2,FALSE)),0)</f>
        <v>0</v>
      </c>
      <c r="G25">
        <f>IF(AND(SUM(VLOOKUP($A25,'40Trips'!$A$3:$I$42,2,FALSE),VLOOKUP(G$1,'40Trips'!$A$3:$I$42,2,FALSE))&lt;'40Trips'!$K$16,$A25&lt;&gt;G$1,gamma!G25=1),SUM(VLOOKUP($A25,'40Trips'!$A$3:$I$42,2,FALSE), VLOOKUP(G$1,'40Trips'!$A$3:$I$42,2,FALSE)),0)</f>
        <v>0</v>
      </c>
      <c r="H25">
        <f>IF(AND(SUM(VLOOKUP($A25,'40Trips'!$A$3:$I$42,2,FALSE),VLOOKUP(H$1,'40Trips'!$A$3:$I$42,2,FALSE))&lt;'40Trips'!$K$16,$A25&lt;&gt;H$1,gamma!H25=1),SUM(VLOOKUP($A25,'40Trips'!$A$3:$I$42,2,FALSE), VLOOKUP(H$1,'40Trips'!$A$3:$I$42,2,FALSE)),0)</f>
        <v>0</v>
      </c>
      <c r="I25">
        <f>IF(AND(SUM(VLOOKUP($A25,'40Trips'!$A$3:$I$42,2,FALSE),VLOOKUP(I$1,'40Trips'!$A$3:$I$42,2,FALSE))&lt;'40Trips'!$K$16,$A25&lt;&gt;I$1,gamma!I25=1),SUM(VLOOKUP($A25,'40Trips'!$A$3:$I$42,2,FALSE), VLOOKUP(I$1,'40Trips'!$A$3:$I$42,2,FALSE)),0)</f>
        <v>0</v>
      </c>
      <c r="J25">
        <f>IF(AND(SUM(VLOOKUP($A25,'40Trips'!$A$3:$I$42,2,FALSE),VLOOKUP(J$1,'40Trips'!$A$3:$I$42,2,FALSE))&lt;'40Trips'!$K$16,$A25&lt;&gt;J$1,gamma!J25=1),SUM(VLOOKUP($A25,'40Trips'!$A$3:$I$42,2,FALSE), VLOOKUP(J$1,'40Trips'!$A$3:$I$42,2,FALSE)),0)</f>
        <v>280</v>
      </c>
      <c r="K25">
        <f>IF(AND(SUM(VLOOKUP($A25,'40Trips'!$A$3:$I$42,2,FALSE),VLOOKUP(K$1,'40Trips'!$A$3:$I$42,2,FALSE))&lt;'40Trips'!$K$16,$A25&lt;&gt;K$1,gamma!K25=1),SUM(VLOOKUP($A25,'40Trips'!$A$3:$I$42,2,FALSE), VLOOKUP(K$1,'40Trips'!$A$3:$I$42,2,FALSE)),0)</f>
        <v>0</v>
      </c>
      <c r="L25">
        <f>IF(AND(SUM(VLOOKUP($A25,'40Trips'!$A$3:$I$42,2,FALSE),VLOOKUP(L$1,'40Trips'!$A$3:$I$42,2,FALSE))&lt;'40Trips'!$K$16,$A25&lt;&gt;L$1,gamma!L25=1),SUM(VLOOKUP($A25,'40Trips'!$A$3:$I$42,2,FALSE), VLOOKUP(L$1,'40Trips'!$A$3:$I$42,2,FALSE)),0)</f>
        <v>0</v>
      </c>
      <c r="M25">
        <f>IF(AND(SUM(VLOOKUP($A25,'40Trips'!$A$3:$I$42,2,FALSE),VLOOKUP(M$1,'40Trips'!$A$3:$I$42,2,FALSE))&lt;'40Trips'!$K$16,$A25&lt;&gt;M$1,gamma!M25=1),SUM(VLOOKUP($A25,'40Trips'!$A$3:$I$42,2,FALSE), VLOOKUP(M$1,'40Trips'!$A$3:$I$42,2,FALSE)),0)</f>
        <v>0</v>
      </c>
      <c r="N25">
        <f>IF(AND(SUM(VLOOKUP($A25,'40Trips'!$A$3:$I$42,2,FALSE),VLOOKUP(N$1,'40Trips'!$A$3:$I$42,2,FALSE))&lt;'40Trips'!$K$16,$A25&lt;&gt;N$1,gamma!N25=1),SUM(VLOOKUP($A25,'40Trips'!$A$3:$I$42,2,FALSE), VLOOKUP(N$1,'40Trips'!$A$3:$I$42,2,FALSE)),0)</f>
        <v>0</v>
      </c>
      <c r="O25">
        <f>IF(AND(SUM(VLOOKUP($A25,'40Trips'!$A$3:$I$42,2,FALSE),VLOOKUP(O$1,'40Trips'!$A$3:$I$42,2,FALSE))&lt;'40Trips'!$K$16,$A25&lt;&gt;O$1,gamma!O25=1),SUM(VLOOKUP($A25,'40Trips'!$A$3:$I$42,2,FALSE), VLOOKUP(O$1,'40Trips'!$A$3:$I$42,2,FALSE)),0)</f>
        <v>0</v>
      </c>
      <c r="P25">
        <f>IF(AND(SUM(VLOOKUP($A25,'40Trips'!$A$3:$I$42,2,FALSE),VLOOKUP(P$1,'40Trips'!$A$3:$I$42,2,FALSE))&lt;'40Trips'!$K$16,$A25&lt;&gt;P$1,gamma!P25=1),SUM(VLOOKUP($A25,'40Trips'!$A$3:$I$42,2,FALSE), VLOOKUP(P$1,'40Trips'!$A$3:$I$42,2,FALSE)),0)</f>
        <v>0</v>
      </c>
      <c r="Q25">
        <f>IF(AND(SUM(VLOOKUP($A25,'40Trips'!$A$3:$I$42,2,FALSE),VLOOKUP(Q$1,'40Trips'!$A$3:$I$42,2,FALSE))&lt;'40Trips'!$K$16,$A25&lt;&gt;Q$1,gamma!Q25=1),SUM(VLOOKUP($A25,'40Trips'!$A$3:$I$42,2,FALSE), VLOOKUP(Q$1,'40Trips'!$A$3:$I$42,2,FALSE)),0)</f>
        <v>0</v>
      </c>
      <c r="R25">
        <f>IF(AND(SUM(VLOOKUP($A25,'40Trips'!$A$3:$I$42,2,FALSE),VLOOKUP(R$1,'40Trips'!$A$3:$I$42,2,FALSE))&lt;'40Trips'!$K$16,$A25&lt;&gt;R$1,gamma!R25=1),SUM(VLOOKUP($A25,'40Trips'!$A$3:$I$42,2,FALSE), VLOOKUP(R$1,'40Trips'!$A$3:$I$42,2,FALSE)),0)</f>
        <v>0</v>
      </c>
      <c r="S25">
        <f>IF(AND(SUM(VLOOKUP($A25,'40Trips'!$A$3:$I$42,2,FALSE),VLOOKUP(S$1,'40Trips'!$A$3:$I$42,2,FALSE))&lt;'40Trips'!$K$16,$A25&lt;&gt;S$1,gamma!S25=1),SUM(VLOOKUP($A25,'40Trips'!$A$3:$I$42,2,FALSE), VLOOKUP(S$1,'40Trips'!$A$3:$I$42,2,FALSE)),0)</f>
        <v>0</v>
      </c>
      <c r="T25">
        <f>IF(AND(SUM(VLOOKUP($A25,'40Trips'!$A$3:$I$42,2,FALSE),VLOOKUP(T$1,'40Trips'!$A$3:$I$42,2,FALSE))&lt;'40Trips'!$K$16,$A25&lt;&gt;T$1,gamma!T25=1),SUM(VLOOKUP($A25,'40Trips'!$A$3:$I$42,2,FALSE), VLOOKUP(T$1,'40Trips'!$A$3:$I$42,2,FALSE)),0)</f>
        <v>0</v>
      </c>
      <c r="U25">
        <f>IF(AND(SUM(VLOOKUP($A25,'40Trips'!$A$3:$I$42,2,FALSE),VLOOKUP(U$1,'40Trips'!$A$3:$I$42,2,FALSE))&lt;'40Trips'!$K$16,$A25&lt;&gt;U$1,gamma!U25=1),SUM(VLOOKUP($A25,'40Trips'!$A$3:$I$42,2,FALSE), VLOOKUP(U$1,'40Trips'!$A$3:$I$42,2,FALSE)),0)</f>
        <v>0</v>
      </c>
      <c r="V25">
        <f>IF(AND(SUM(VLOOKUP($A25,'40Trips'!$A$3:$I$42,2,FALSE),VLOOKUP(V$1,'40Trips'!$A$3:$I$42,2,FALSE))&lt;'40Trips'!$K$16,$A25&lt;&gt;V$1,gamma!V25=1),SUM(VLOOKUP($A25,'40Trips'!$A$3:$I$42,2,FALSE), VLOOKUP(V$1,'40Trips'!$A$3:$I$42,2,FALSE)),0)</f>
        <v>0</v>
      </c>
      <c r="W25">
        <f>IF(AND(SUM(VLOOKUP($A25,'40Trips'!$A$3:$I$42,2,FALSE),VLOOKUP(W$1,'40Trips'!$A$3:$I$42,2,FALSE))&lt;'40Trips'!$K$16,$A25&lt;&gt;W$1,gamma!W25=1),SUM(VLOOKUP($A25,'40Trips'!$A$3:$I$42,2,FALSE), VLOOKUP(W$1,'40Trips'!$A$3:$I$42,2,FALSE)),0)</f>
        <v>0</v>
      </c>
      <c r="X25">
        <f>IF(AND(SUM(VLOOKUP($A25,'40Trips'!$A$3:$I$42,2,FALSE),VLOOKUP(X$1,'40Trips'!$A$3:$I$42,2,FALSE))&lt;'40Trips'!$K$16,$A25&lt;&gt;X$1,gamma!X25=1),SUM(VLOOKUP($A25,'40Trips'!$A$3:$I$42,2,FALSE), VLOOKUP(X$1,'40Trips'!$A$3:$I$42,2,FALSE)),0)</f>
        <v>0</v>
      </c>
      <c r="Y25">
        <f>IF(AND(SUM(VLOOKUP($A25,'40Trips'!$A$3:$I$42,2,FALSE),VLOOKUP(Y$1,'40Trips'!$A$3:$I$42,2,FALSE))&lt;'40Trips'!$K$16,$A25&lt;&gt;Y$1,gamma!Y25=1),SUM(VLOOKUP($A25,'40Trips'!$A$3:$I$42,2,FALSE), VLOOKUP(Y$1,'40Trips'!$A$3:$I$42,2,FALSE)),0)</f>
        <v>0</v>
      </c>
      <c r="Z25">
        <f>IF(AND(SUM(VLOOKUP($A25,'40Trips'!$A$3:$I$42,2,FALSE),VLOOKUP(Z$1,'40Trips'!$A$3:$I$42,2,FALSE))&lt;'40Trips'!$K$16,$A25&lt;&gt;Z$1,gamma!Z25=1),SUM(VLOOKUP($A25,'40Trips'!$A$3:$I$42,2,FALSE), VLOOKUP(Z$1,'40Trips'!$A$3:$I$42,2,FALSE)),0)</f>
        <v>0</v>
      </c>
      <c r="AA25">
        <f>IF(AND(SUM(VLOOKUP($A25,'40Trips'!$A$3:$I$42,2,FALSE),VLOOKUP(AA$1,'40Trips'!$A$3:$I$42,2,FALSE))&lt;'40Trips'!$K$16,$A25&lt;&gt;AA$1,gamma!AA25=1),SUM(VLOOKUP($A25,'40Trips'!$A$3:$I$42,2,FALSE), VLOOKUP(AA$1,'40Trips'!$A$3:$I$42,2,FALSE)),0)</f>
        <v>0</v>
      </c>
      <c r="AB25">
        <f>IF(AND(SUM(VLOOKUP($A25,'40Trips'!$A$3:$I$42,2,FALSE),VLOOKUP(AB$1,'40Trips'!$A$3:$I$42,2,FALSE))&lt;'40Trips'!$K$16,$A25&lt;&gt;AB$1,gamma!AB25=1),SUM(VLOOKUP($A25,'40Trips'!$A$3:$I$42,2,FALSE), VLOOKUP(AB$1,'40Trips'!$A$3:$I$42,2,FALSE)),0)</f>
        <v>0</v>
      </c>
      <c r="AC25">
        <f>IF(AND(SUM(VLOOKUP($A25,'40Trips'!$A$3:$I$42,2,FALSE),VLOOKUP(AC$1,'40Trips'!$A$3:$I$42,2,FALSE))&lt;'40Trips'!$K$16,$A25&lt;&gt;AC$1,gamma!AC25=1),SUM(VLOOKUP($A25,'40Trips'!$A$3:$I$42,2,FALSE), VLOOKUP(AC$1,'40Trips'!$A$3:$I$42,2,FALSE)),0)</f>
        <v>0</v>
      </c>
      <c r="AD25">
        <f>IF(AND(SUM(VLOOKUP($A25,'40Trips'!$A$3:$I$42,2,FALSE),VLOOKUP(AD$1,'40Trips'!$A$3:$I$42,2,FALSE))&lt;'40Trips'!$K$16,$A25&lt;&gt;AD$1,gamma!AD25=1),SUM(VLOOKUP($A25,'40Trips'!$A$3:$I$42,2,FALSE), VLOOKUP(AD$1,'40Trips'!$A$3:$I$42,2,FALSE)),0)</f>
        <v>0</v>
      </c>
      <c r="AE25">
        <f>IF(AND(SUM(VLOOKUP($A25,'40Trips'!$A$3:$I$42,2,FALSE),VLOOKUP(AE$1,'40Trips'!$A$3:$I$42,2,FALSE))&lt;'40Trips'!$K$16,$A25&lt;&gt;AE$1,gamma!AE25=1),SUM(VLOOKUP($A25,'40Trips'!$A$3:$I$42,2,FALSE), VLOOKUP(AE$1,'40Trips'!$A$3:$I$42,2,FALSE)),0)</f>
        <v>0</v>
      </c>
      <c r="AF25">
        <f>IF(AND(SUM(VLOOKUP($A25,'40Trips'!$A$3:$I$42,2,FALSE),VLOOKUP(AF$1,'40Trips'!$A$3:$I$42,2,FALSE))&lt;'40Trips'!$K$16,$A25&lt;&gt;AF$1,gamma!AF25=1),SUM(VLOOKUP($A25,'40Trips'!$A$3:$I$42,2,FALSE), VLOOKUP(AF$1,'40Trips'!$A$3:$I$42,2,FALSE)),0)</f>
        <v>0</v>
      </c>
      <c r="AG25">
        <f>IF(AND(SUM(VLOOKUP($A25,'40Trips'!$A$3:$I$42,2,FALSE),VLOOKUP(AG$1,'40Trips'!$A$3:$I$42,2,FALSE))&lt;'40Trips'!$K$16,$A25&lt;&gt;AG$1,gamma!AG25=1),SUM(VLOOKUP($A25,'40Trips'!$A$3:$I$42,2,FALSE), VLOOKUP(AG$1,'40Trips'!$A$3:$I$42,2,FALSE)),0)</f>
        <v>0</v>
      </c>
      <c r="AH25">
        <f>IF(AND(SUM(VLOOKUP($A25,'40Trips'!$A$3:$I$42,2,FALSE),VLOOKUP(AH$1,'40Trips'!$A$3:$I$42,2,FALSE))&lt;'40Trips'!$K$16,$A25&lt;&gt;AH$1,gamma!AH25=1),SUM(VLOOKUP($A25,'40Trips'!$A$3:$I$42,2,FALSE), VLOOKUP(AH$1,'40Trips'!$A$3:$I$42,2,FALSE)),0)</f>
        <v>0</v>
      </c>
      <c r="AI25">
        <f>IF(AND(SUM(VLOOKUP($A25,'40Trips'!$A$3:$I$42,2,FALSE),VLOOKUP(AI$1,'40Trips'!$A$3:$I$42,2,FALSE))&lt;'40Trips'!$K$16,$A25&lt;&gt;AI$1,gamma!AI25=1),SUM(VLOOKUP($A25,'40Trips'!$A$3:$I$42,2,FALSE), VLOOKUP(AI$1,'40Trips'!$A$3:$I$42,2,FALSE)),0)</f>
        <v>0</v>
      </c>
      <c r="AJ25">
        <f>IF(AND(SUM(VLOOKUP($A25,'40Trips'!$A$3:$I$42,2,FALSE),VLOOKUP(AJ$1,'40Trips'!$A$3:$I$42,2,FALSE))&lt;'40Trips'!$K$16,$A25&lt;&gt;AJ$1,gamma!AJ25=1),SUM(VLOOKUP($A25,'40Trips'!$A$3:$I$42,2,FALSE), VLOOKUP(AJ$1,'40Trips'!$A$3:$I$42,2,FALSE)),0)</f>
        <v>0</v>
      </c>
      <c r="AK25">
        <f>IF(AND(SUM(VLOOKUP($A25,'40Trips'!$A$3:$I$42,2,FALSE),VLOOKUP(AK$1,'40Trips'!$A$3:$I$42,2,FALSE))&lt;'40Trips'!$K$16,$A25&lt;&gt;AK$1,gamma!AK25=1),SUM(VLOOKUP($A25,'40Trips'!$A$3:$I$42,2,FALSE), VLOOKUP(AK$1,'40Trips'!$A$3:$I$42,2,FALSE)),0)</f>
        <v>0</v>
      </c>
      <c r="AL25">
        <f>IF(AND(SUM(VLOOKUP($A25,'40Trips'!$A$3:$I$42,2,FALSE),VLOOKUP(AL$1,'40Trips'!$A$3:$I$42,2,FALSE))&lt;'40Trips'!$K$16,$A25&lt;&gt;AL$1,gamma!AL25=1),SUM(VLOOKUP($A25,'40Trips'!$A$3:$I$42,2,FALSE), VLOOKUP(AL$1,'40Trips'!$A$3:$I$42,2,FALSE)),0)</f>
        <v>0</v>
      </c>
      <c r="AM25">
        <f>IF(AND(SUM(VLOOKUP($A25,'40Trips'!$A$3:$I$42,2,FALSE),VLOOKUP(AM$1,'40Trips'!$A$3:$I$42,2,FALSE))&lt;'40Trips'!$K$16,$A25&lt;&gt;AM$1,gamma!AM25=1),SUM(VLOOKUP($A25,'40Trips'!$A$3:$I$42,2,FALSE), VLOOKUP(AM$1,'40Trips'!$A$3:$I$42,2,FALSE)),0)</f>
        <v>0</v>
      </c>
      <c r="AN25">
        <f>IF(AND(SUM(VLOOKUP($A25,'40Trips'!$A$3:$I$42,2,FALSE),VLOOKUP(AN$1,'40Trips'!$A$3:$I$42,2,FALSE))&lt;'40Trips'!$K$16,$A25&lt;&gt;AN$1,gamma!AN25=1),SUM(VLOOKUP($A25,'40Trips'!$A$3:$I$42,2,FALSE), VLOOKUP(AN$1,'40Trips'!$A$3:$I$42,2,FALSE)),0)</f>
        <v>0</v>
      </c>
      <c r="AO25">
        <f>IF(AND(SUM(VLOOKUP($A25,'40Trips'!$A$3:$I$42,2,FALSE),VLOOKUP(AO$1,'40Trips'!$A$3:$I$42,2,FALSE))&lt;'40Trips'!$K$16,$A25&lt;&gt;AO$1,gamma!AO25=1),SUM(VLOOKUP($A25,'40Trips'!$A$3:$I$42,2,FALSE), VLOOKUP(AO$1,'40Trips'!$A$3:$I$42,2,FALSE)),0)</f>
        <v>0</v>
      </c>
      <c r="AP25">
        <f>IF(AND(SUM(VLOOKUP($A25,'40Trips'!$A$3:$I$42,2,FALSE),VLOOKUP(AP$1,'40Trips'!$A$3:$I$42,2,FALSE))&lt;'40Trips'!$K$16,$A25&lt;&gt;AP$1,gamma!AP25=1),SUM(VLOOKUP($A25,'40Trips'!$A$3:$I$42,2,FALSE), VLOOKUP(AP$1,'40Trips'!$A$3:$I$42,2,FALSE)),0)</f>
        <v>0</v>
      </c>
      <c r="AQ25">
        <v>0</v>
      </c>
      <c r="AR25">
        <v>0</v>
      </c>
      <c r="AS25">
        <v>0</v>
      </c>
      <c r="AT25">
        <v>0</v>
      </c>
    </row>
    <row r="26" spans="1:46" x14ac:dyDescent="0.25">
      <c r="A26" t="s">
        <v>37</v>
      </c>
      <c r="B26">
        <v>0</v>
      </c>
      <c r="C26">
        <f>IF(AND(SUM(VLOOKUP($A26,'40Trips'!$A$3:$I$42,2,FALSE),VLOOKUP(C$1,'40Trips'!$A$3:$I$42,2,FALSE))&lt;'40Trips'!$K$16,$A26&lt;&gt;C$1,gamma!C26=1),SUM(VLOOKUP($A26,'40Trips'!$A$3:$I$42,2,FALSE), VLOOKUP(C$1,'40Trips'!$A$3:$I$42,2,FALSE)),0)</f>
        <v>0</v>
      </c>
      <c r="D26">
        <f>IF(AND(SUM(VLOOKUP($A26,'40Trips'!$A$3:$I$42,2,FALSE),VLOOKUP(D$1,'40Trips'!$A$3:$I$42,2,FALSE))&lt;'40Trips'!$K$16,$A26&lt;&gt;D$1,gamma!D26=1),SUM(VLOOKUP($A26,'40Trips'!$A$3:$I$42,2,FALSE), VLOOKUP(D$1,'40Trips'!$A$3:$I$42,2,FALSE)),0)</f>
        <v>0</v>
      </c>
      <c r="E26">
        <f>IF(AND(SUM(VLOOKUP($A26,'40Trips'!$A$3:$I$42,2,FALSE),VLOOKUP(E$1,'40Trips'!$A$3:$I$42,2,FALSE))&lt;'40Trips'!$K$16,$A26&lt;&gt;E$1,gamma!E26=1),SUM(VLOOKUP($A26,'40Trips'!$A$3:$I$42,2,FALSE), VLOOKUP(E$1,'40Trips'!$A$3:$I$42,2,FALSE)),0)</f>
        <v>0</v>
      </c>
      <c r="F26">
        <f>IF(AND(SUM(VLOOKUP($A26,'40Trips'!$A$3:$I$42,2,FALSE),VLOOKUP(F$1,'40Trips'!$A$3:$I$42,2,FALSE))&lt;'40Trips'!$K$16,$A26&lt;&gt;F$1,gamma!F26=1),SUM(VLOOKUP($A26,'40Trips'!$A$3:$I$42,2,FALSE), VLOOKUP(F$1,'40Trips'!$A$3:$I$42,2,FALSE)),0)</f>
        <v>0</v>
      </c>
      <c r="G26">
        <f>IF(AND(SUM(VLOOKUP($A26,'40Trips'!$A$3:$I$42,2,FALSE),VLOOKUP(G$1,'40Trips'!$A$3:$I$42,2,FALSE))&lt;'40Trips'!$K$16,$A26&lt;&gt;G$1,gamma!G26=1),SUM(VLOOKUP($A26,'40Trips'!$A$3:$I$42,2,FALSE), VLOOKUP(G$1,'40Trips'!$A$3:$I$42,2,FALSE)),0)</f>
        <v>0</v>
      </c>
      <c r="H26">
        <f>IF(AND(SUM(VLOOKUP($A26,'40Trips'!$A$3:$I$42,2,FALSE),VLOOKUP(H$1,'40Trips'!$A$3:$I$42,2,FALSE))&lt;'40Trips'!$K$16,$A26&lt;&gt;H$1,gamma!H26=1),SUM(VLOOKUP($A26,'40Trips'!$A$3:$I$42,2,FALSE), VLOOKUP(H$1,'40Trips'!$A$3:$I$42,2,FALSE)),0)</f>
        <v>0</v>
      </c>
      <c r="I26">
        <f>IF(AND(SUM(VLOOKUP($A26,'40Trips'!$A$3:$I$42,2,FALSE),VLOOKUP(I$1,'40Trips'!$A$3:$I$42,2,FALSE))&lt;'40Trips'!$K$16,$A26&lt;&gt;I$1,gamma!I26=1),SUM(VLOOKUP($A26,'40Trips'!$A$3:$I$42,2,FALSE), VLOOKUP(I$1,'40Trips'!$A$3:$I$42,2,FALSE)),0)</f>
        <v>0</v>
      </c>
      <c r="J26">
        <f>IF(AND(SUM(VLOOKUP($A26,'40Trips'!$A$3:$I$42,2,FALSE),VLOOKUP(J$1,'40Trips'!$A$3:$I$42,2,FALSE))&lt;'40Trips'!$K$16,$A26&lt;&gt;J$1,gamma!J26=1),SUM(VLOOKUP($A26,'40Trips'!$A$3:$I$42,2,FALSE), VLOOKUP(J$1,'40Trips'!$A$3:$I$42,2,FALSE)),0)</f>
        <v>280</v>
      </c>
      <c r="K26">
        <f>IF(AND(SUM(VLOOKUP($A26,'40Trips'!$A$3:$I$42,2,FALSE),VLOOKUP(K$1,'40Trips'!$A$3:$I$42,2,FALSE))&lt;'40Trips'!$K$16,$A26&lt;&gt;K$1,gamma!K26=1),SUM(VLOOKUP($A26,'40Trips'!$A$3:$I$42,2,FALSE), VLOOKUP(K$1,'40Trips'!$A$3:$I$42,2,FALSE)),0)</f>
        <v>0</v>
      </c>
      <c r="L26">
        <f>IF(AND(SUM(VLOOKUP($A26,'40Trips'!$A$3:$I$42,2,FALSE),VLOOKUP(L$1,'40Trips'!$A$3:$I$42,2,FALSE))&lt;'40Trips'!$K$16,$A26&lt;&gt;L$1,gamma!L26=1),SUM(VLOOKUP($A26,'40Trips'!$A$3:$I$42,2,FALSE), VLOOKUP(L$1,'40Trips'!$A$3:$I$42,2,FALSE)),0)</f>
        <v>0</v>
      </c>
      <c r="M26">
        <f>IF(AND(SUM(VLOOKUP($A26,'40Trips'!$A$3:$I$42,2,FALSE),VLOOKUP(M$1,'40Trips'!$A$3:$I$42,2,FALSE))&lt;'40Trips'!$K$16,$A26&lt;&gt;M$1,gamma!M26=1),SUM(VLOOKUP($A26,'40Trips'!$A$3:$I$42,2,FALSE), VLOOKUP(M$1,'40Trips'!$A$3:$I$42,2,FALSE)),0)</f>
        <v>0</v>
      </c>
      <c r="N26">
        <f>IF(AND(SUM(VLOOKUP($A26,'40Trips'!$A$3:$I$42,2,FALSE),VLOOKUP(N$1,'40Trips'!$A$3:$I$42,2,FALSE))&lt;'40Trips'!$K$16,$A26&lt;&gt;N$1,gamma!N26=1),SUM(VLOOKUP($A26,'40Trips'!$A$3:$I$42,2,FALSE), VLOOKUP(N$1,'40Trips'!$A$3:$I$42,2,FALSE)),0)</f>
        <v>0</v>
      </c>
      <c r="O26">
        <f>IF(AND(SUM(VLOOKUP($A26,'40Trips'!$A$3:$I$42,2,FALSE),VLOOKUP(O$1,'40Trips'!$A$3:$I$42,2,FALSE))&lt;'40Trips'!$K$16,$A26&lt;&gt;O$1,gamma!O26=1),SUM(VLOOKUP($A26,'40Trips'!$A$3:$I$42,2,FALSE), VLOOKUP(O$1,'40Trips'!$A$3:$I$42,2,FALSE)),0)</f>
        <v>0</v>
      </c>
      <c r="P26">
        <f>IF(AND(SUM(VLOOKUP($A26,'40Trips'!$A$3:$I$42,2,FALSE),VLOOKUP(P$1,'40Trips'!$A$3:$I$42,2,FALSE))&lt;'40Trips'!$K$16,$A26&lt;&gt;P$1,gamma!P26=1),SUM(VLOOKUP($A26,'40Trips'!$A$3:$I$42,2,FALSE), VLOOKUP(P$1,'40Trips'!$A$3:$I$42,2,FALSE)),0)</f>
        <v>0</v>
      </c>
      <c r="Q26">
        <f>IF(AND(SUM(VLOOKUP($A26,'40Trips'!$A$3:$I$42,2,FALSE),VLOOKUP(Q$1,'40Trips'!$A$3:$I$42,2,FALSE))&lt;'40Trips'!$K$16,$A26&lt;&gt;Q$1,gamma!Q26=1),SUM(VLOOKUP($A26,'40Trips'!$A$3:$I$42,2,FALSE), VLOOKUP(Q$1,'40Trips'!$A$3:$I$42,2,FALSE)),0)</f>
        <v>0</v>
      </c>
      <c r="R26">
        <f>IF(AND(SUM(VLOOKUP($A26,'40Trips'!$A$3:$I$42,2,FALSE),VLOOKUP(R$1,'40Trips'!$A$3:$I$42,2,FALSE))&lt;'40Trips'!$K$16,$A26&lt;&gt;R$1,gamma!R26=1),SUM(VLOOKUP($A26,'40Trips'!$A$3:$I$42,2,FALSE), VLOOKUP(R$1,'40Trips'!$A$3:$I$42,2,FALSE)),0)</f>
        <v>0</v>
      </c>
      <c r="S26">
        <f>IF(AND(SUM(VLOOKUP($A26,'40Trips'!$A$3:$I$42,2,FALSE),VLOOKUP(S$1,'40Trips'!$A$3:$I$42,2,FALSE))&lt;'40Trips'!$K$16,$A26&lt;&gt;S$1,gamma!S26=1),SUM(VLOOKUP($A26,'40Trips'!$A$3:$I$42,2,FALSE), VLOOKUP(S$1,'40Trips'!$A$3:$I$42,2,FALSE)),0)</f>
        <v>0</v>
      </c>
      <c r="T26">
        <f>IF(AND(SUM(VLOOKUP($A26,'40Trips'!$A$3:$I$42,2,FALSE),VLOOKUP(T$1,'40Trips'!$A$3:$I$42,2,FALSE))&lt;'40Trips'!$K$16,$A26&lt;&gt;T$1,gamma!T26=1),SUM(VLOOKUP($A26,'40Trips'!$A$3:$I$42,2,FALSE), VLOOKUP(T$1,'40Trips'!$A$3:$I$42,2,FALSE)),0)</f>
        <v>0</v>
      </c>
      <c r="U26">
        <f>IF(AND(SUM(VLOOKUP($A26,'40Trips'!$A$3:$I$42,2,FALSE),VLOOKUP(U$1,'40Trips'!$A$3:$I$42,2,FALSE))&lt;'40Trips'!$K$16,$A26&lt;&gt;U$1,gamma!U26=1),SUM(VLOOKUP($A26,'40Trips'!$A$3:$I$42,2,FALSE), VLOOKUP(U$1,'40Trips'!$A$3:$I$42,2,FALSE)),0)</f>
        <v>0</v>
      </c>
      <c r="V26">
        <f>IF(AND(SUM(VLOOKUP($A26,'40Trips'!$A$3:$I$42,2,FALSE),VLOOKUP(V$1,'40Trips'!$A$3:$I$42,2,FALSE))&lt;'40Trips'!$K$16,$A26&lt;&gt;V$1,gamma!V26=1),SUM(VLOOKUP($A26,'40Trips'!$A$3:$I$42,2,FALSE), VLOOKUP(V$1,'40Trips'!$A$3:$I$42,2,FALSE)),0)</f>
        <v>0</v>
      </c>
      <c r="W26">
        <f>IF(AND(SUM(VLOOKUP($A26,'40Trips'!$A$3:$I$42,2,FALSE),VLOOKUP(W$1,'40Trips'!$A$3:$I$42,2,FALSE))&lt;'40Trips'!$K$16,$A26&lt;&gt;W$1,gamma!W26=1),SUM(VLOOKUP($A26,'40Trips'!$A$3:$I$42,2,FALSE), VLOOKUP(W$1,'40Trips'!$A$3:$I$42,2,FALSE)),0)</f>
        <v>0</v>
      </c>
      <c r="X26">
        <f>IF(AND(SUM(VLOOKUP($A26,'40Trips'!$A$3:$I$42,2,FALSE),VLOOKUP(X$1,'40Trips'!$A$3:$I$42,2,FALSE))&lt;'40Trips'!$K$16,$A26&lt;&gt;X$1,gamma!X26=1),SUM(VLOOKUP($A26,'40Trips'!$A$3:$I$42,2,FALSE), VLOOKUP(X$1,'40Trips'!$A$3:$I$42,2,FALSE)),0)</f>
        <v>0</v>
      </c>
      <c r="Y26">
        <f>IF(AND(SUM(VLOOKUP($A26,'40Trips'!$A$3:$I$42,2,FALSE),VLOOKUP(Y$1,'40Trips'!$A$3:$I$42,2,FALSE))&lt;'40Trips'!$K$16,$A26&lt;&gt;Y$1,gamma!Y26=1),SUM(VLOOKUP($A26,'40Trips'!$A$3:$I$42,2,FALSE), VLOOKUP(Y$1,'40Trips'!$A$3:$I$42,2,FALSE)),0)</f>
        <v>0</v>
      </c>
      <c r="Z26">
        <f>IF(AND(SUM(VLOOKUP($A26,'40Trips'!$A$3:$I$42,2,FALSE),VLOOKUP(Z$1,'40Trips'!$A$3:$I$42,2,FALSE))&lt;'40Trips'!$K$16,$A26&lt;&gt;Z$1,gamma!Z26=1),SUM(VLOOKUP($A26,'40Trips'!$A$3:$I$42,2,FALSE), VLOOKUP(Z$1,'40Trips'!$A$3:$I$42,2,FALSE)),0)</f>
        <v>0</v>
      </c>
      <c r="AA26">
        <f>IF(AND(SUM(VLOOKUP($A26,'40Trips'!$A$3:$I$42,2,FALSE),VLOOKUP(AA$1,'40Trips'!$A$3:$I$42,2,FALSE))&lt;'40Trips'!$K$16,$A26&lt;&gt;AA$1,gamma!AA26=1),SUM(VLOOKUP($A26,'40Trips'!$A$3:$I$42,2,FALSE), VLOOKUP(AA$1,'40Trips'!$A$3:$I$42,2,FALSE)),0)</f>
        <v>0</v>
      </c>
      <c r="AB26">
        <f>IF(AND(SUM(VLOOKUP($A26,'40Trips'!$A$3:$I$42,2,FALSE),VLOOKUP(AB$1,'40Trips'!$A$3:$I$42,2,FALSE))&lt;'40Trips'!$K$16,$A26&lt;&gt;AB$1,gamma!AB26=1),SUM(VLOOKUP($A26,'40Trips'!$A$3:$I$42,2,FALSE), VLOOKUP(AB$1,'40Trips'!$A$3:$I$42,2,FALSE)),0)</f>
        <v>0</v>
      </c>
      <c r="AC26">
        <f>IF(AND(SUM(VLOOKUP($A26,'40Trips'!$A$3:$I$42,2,FALSE),VLOOKUP(AC$1,'40Trips'!$A$3:$I$42,2,FALSE))&lt;'40Trips'!$K$16,$A26&lt;&gt;AC$1,gamma!AC26=1),SUM(VLOOKUP($A26,'40Trips'!$A$3:$I$42,2,FALSE), VLOOKUP(AC$1,'40Trips'!$A$3:$I$42,2,FALSE)),0)</f>
        <v>0</v>
      </c>
      <c r="AD26">
        <f>IF(AND(SUM(VLOOKUP($A26,'40Trips'!$A$3:$I$42,2,FALSE),VLOOKUP(AD$1,'40Trips'!$A$3:$I$42,2,FALSE))&lt;'40Trips'!$K$16,$A26&lt;&gt;AD$1,gamma!AD26=1),SUM(VLOOKUP($A26,'40Trips'!$A$3:$I$42,2,FALSE), VLOOKUP(AD$1,'40Trips'!$A$3:$I$42,2,FALSE)),0)</f>
        <v>0</v>
      </c>
      <c r="AE26">
        <f>IF(AND(SUM(VLOOKUP($A26,'40Trips'!$A$3:$I$42,2,FALSE),VLOOKUP(AE$1,'40Trips'!$A$3:$I$42,2,FALSE))&lt;'40Trips'!$K$16,$A26&lt;&gt;AE$1,gamma!AE26=1),SUM(VLOOKUP($A26,'40Trips'!$A$3:$I$42,2,FALSE), VLOOKUP(AE$1,'40Trips'!$A$3:$I$42,2,FALSE)),0)</f>
        <v>0</v>
      </c>
      <c r="AF26">
        <f>IF(AND(SUM(VLOOKUP($A26,'40Trips'!$A$3:$I$42,2,FALSE),VLOOKUP(AF$1,'40Trips'!$A$3:$I$42,2,FALSE))&lt;'40Trips'!$K$16,$A26&lt;&gt;AF$1,gamma!AF26=1),SUM(VLOOKUP($A26,'40Trips'!$A$3:$I$42,2,FALSE), VLOOKUP(AF$1,'40Trips'!$A$3:$I$42,2,FALSE)),0)</f>
        <v>0</v>
      </c>
      <c r="AG26">
        <f>IF(AND(SUM(VLOOKUP($A26,'40Trips'!$A$3:$I$42,2,FALSE),VLOOKUP(AG$1,'40Trips'!$A$3:$I$42,2,FALSE))&lt;'40Trips'!$K$16,$A26&lt;&gt;AG$1,gamma!AG26=1),SUM(VLOOKUP($A26,'40Trips'!$A$3:$I$42,2,FALSE), VLOOKUP(AG$1,'40Trips'!$A$3:$I$42,2,FALSE)),0)</f>
        <v>0</v>
      </c>
      <c r="AH26">
        <f>IF(AND(SUM(VLOOKUP($A26,'40Trips'!$A$3:$I$42,2,FALSE),VLOOKUP(AH$1,'40Trips'!$A$3:$I$42,2,FALSE))&lt;'40Trips'!$K$16,$A26&lt;&gt;AH$1,gamma!AH26=1),SUM(VLOOKUP($A26,'40Trips'!$A$3:$I$42,2,FALSE), VLOOKUP(AH$1,'40Trips'!$A$3:$I$42,2,FALSE)),0)</f>
        <v>0</v>
      </c>
      <c r="AI26">
        <f>IF(AND(SUM(VLOOKUP($A26,'40Trips'!$A$3:$I$42,2,FALSE),VLOOKUP(AI$1,'40Trips'!$A$3:$I$42,2,FALSE))&lt;'40Trips'!$K$16,$A26&lt;&gt;AI$1,gamma!AI26=1),SUM(VLOOKUP($A26,'40Trips'!$A$3:$I$42,2,FALSE), VLOOKUP(AI$1,'40Trips'!$A$3:$I$42,2,FALSE)),0)</f>
        <v>0</v>
      </c>
      <c r="AJ26">
        <f>IF(AND(SUM(VLOOKUP($A26,'40Trips'!$A$3:$I$42,2,FALSE),VLOOKUP(AJ$1,'40Trips'!$A$3:$I$42,2,FALSE))&lt;'40Trips'!$K$16,$A26&lt;&gt;AJ$1,gamma!AJ26=1),SUM(VLOOKUP($A26,'40Trips'!$A$3:$I$42,2,FALSE), VLOOKUP(AJ$1,'40Trips'!$A$3:$I$42,2,FALSE)),0)</f>
        <v>0</v>
      </c>
      <c r="AK26">
        <f>IF(AND(SUM(VLOOKUP($A26,'40Trips'!$A$3:$I$42,2,FALSE),VLOOKUP(AK$1,'40Trips'!$A$3:$I$42,2,FALSE))&lt;'40Trips'!$K$16,$A26&lt;&gt;AK$1,gamma!AK26=1),SUM(VLOOKUP($A26,'40Trips'!$A$3:$I$42,2,FALSE), VLOOKUP(AK$1,'40Trips'!$A$3:$I$42,2,FALSE)),0)</f>
        <v>0</v>
      </c>
      <c r="AL26">
        <f>IF(AND(SUM(VLOOKUP($A26,'40Trips'!$A$3:$I$42,2,FALSE),VLOOKUP(AL$1,'40Trips'!$A$3:$I$42,2,FALSE))&lt;'40Trips'!$K$16,$A26&lt;&gt;AL$1,gamma!AL26=1),SUM(VLOOKUP($A26,'40Trips'!$A$3:$I$42,2,FALSE), VLOOKUP(AL$1,'40Trips'!$A$3:$I$42,2,FALSE)),0)</f>
        <v>0</v>
      </c>
      <c r="AM26">
        <f>IF(AND(SUM(VLOOKUP($A26,'40Trips'!$A$3:$I$42,2,FALSE),VLOOKUP(AM$1,'40Trips'!$A$3:$I$42,2,FALSE))&lt;'40Trips'!$K$16,$A26&lt;&gt;AM$1,gamma!AM26=1),SUM(VLOOKUP($A26,'40Trips'!$A$3:$I$42,2,FALSE), VLOOKUP(AM$1,'40Trips'!$A$3:$I$42,2,FALSE)),0)</f>
        <v>0</v>
      </c>
      <c r="AN26">
        <f>IF(AND(SUM(VLOOKUP($A26,'40Trips'!$A$3:$I$42,2,FALSE),VLOOKUP(AN$1,'40Trips'!$A$3:$I$42,2,FALSE))&lt;'40Trips'!$K$16,$A26&lt;&gt;AN$1,gamma!AN26=1),SUM(VLOOKUP($A26,'40Trips'!$A$3:$I$42,2,FALSE), VLOOKUP(AN$1,'40Trips'!$A$3:$I$42,2,FALSE)),0)</f>
        <v>0</v>
      </c>
      <c r="AO26">
        <f>IF(AND(SUM(VLOOKUP($A26,'40Trips'!$A$3:$I$42,2,FALSE),VLOOKUP(AO$1,'40Trips'!$A$3:$I$42,2,FALSE))&lt;'40Trips'!$K$16,$A26&lt;&gt;AO$1,gamma!AO26=1),SUM(VLOOKUP($A26,'40Trips'!$A$3:$I$42,2,FALSE), VLOOKUP(AO$1,'40Trips'!$A$3:$I$42,2,FALSE)),0)</f>
        <v>0</v>
      </c>
      <c r="AP26">
        <f>IF(AND(SUM(VLOOKUP($A26,'40Trips'!$A$3:$I$42,2,FALSE),VLOOKUP(AP$1,'40Trips'!$A$3:$I$42,2,FALSE))&lt;'40Trips'!$K$16,$A26&lt;&gt;AP$1,gamma!AP26=1),SUM(VLOOKUP($A26,'40Trips'!$A$3:$I$42,2,FALSE), VLOOKUP(AP$1,'40Trips'!$A$3:$I$42,2,FALSE)),0)</f>
        <v>0</v>
      </c>
      <c r="AQ26">
        <v>0</v>
      </c>
      <c r="AR26">
        <v>0</v>
      </c>
      <c r="AS26">
        <v>0</v>
      </c>
      <c r="AT26">
        <v>0</v>
      </c>
    </row>
    <row r="27" spans="1:46" x14ac:dyDescent="0.25">
      <c r="A27" t="s">
        <v>79</v>
      </c>
      <c r="B27">
        <v>0</v>
      </c>
      <c r="C27">
        <f>IF(AND(SUM(VLOOKUP($A27,'40Trips'!$A$3:$I$42,2,FALSE),VLOOKUP(C$1,'40Trips'!$A$3:$I$42,2,FALSE))&lt;'40Trips'!$K$16,$A27&lt;&gt;C$1,gamma!C27=1),SUM(VLOOKUP($A27,'40Trips'!$A$3:$I$42,2,FALSE), VLOOKUP(C$1,'40Trips'!$A$3:$I$42,2,FALSE)),0)</f>
        <v>0</v>
      </c>
      <c r="D27">
        <f>IF(AND(SUM(VLOOKUP($A27,'40Trips'!$A$3:$I$42,2,FALSE),VLOOKUP(D$1,'40Trips'!$A$3:$I$42,2,FALSE))&lt;'40Trips'!$K$16,$A27&lt;&gt;D$1,gamma!D27=1),SUM(VLOOKUP($A27,'40Trips'!$A$3:$I$42,2,FALSE), VLOOKUP(D$1,'40Trips'!$A$3:$I$42,2,FALSE)),0)</f>
        <v>275</v>
      </c>
      <c r="E27">
        <f>IF(AND(SUM(VLOOKUP($A27,'40Trips'!$A$3:$I$42,2,FALSE),VLOOKUP(E$1,'40Trips'!$A$3:$I$42,2,FALSE))&lt;'40Trips'!$K$16,$A27&lt;&gt;E$1,gamma!E27=1),SUM(VLOOKUP($A27,'40Trips'!$A$3:$I$42,2,FALSE), VLOOKUP(E$1,'40Trips'!$A$3:$I$42,2,FALSE)),0)</f>
        <v>275</v>
      </c>
      <c r="F27">
        <f>IF(AND(SUM(VLOOKUP($A27,'40Trips'!$A$3:$I$42,2,FALSE),VLOOKUP(F$1,'40Trips'!$A$3:$I$42,2,FALSE))&lt;'40Trips'!$K$16,$A27&lt;&gt;F$1,gamma!F27=1),SUM(VLOOKUP($A27,'40Trips'!$A$3:$I$42,2,FALSE), VLOOKUP(F$1,'40Trips'!$A$3:$I$42,2,FALSE)),0)</f>
        <v>275</v>
      </c>
      <c r="G27">
        <f>IF(AND(SUM(VLOOKUP($A27,'40Trips'!$A$3:$I$42,2,FALSE),VLOOKUP(G$1,'40Trips'!$A$3:$I$42,2,FALSE))&lt;'40Trips'!$K$16,$A27&lt;&gt;G$1,gamma!G27=1),SUM(VLOOKUP($A27,'40Trips'!$A$3:$I$42,2,FALSE), VLOOKUP(G$1,'40Trips'!$A$3:$I$42,2,FALSE)),0)</f>
        <v>0</v>
      </c>
      <c r="H27">
        <f>IF(AND(SUM(VLOOKUP($A27,'40Trips'!$A$3:$I$42,2,FALSE),VLOOKUP(H$1,'40Trips'!$A$3:$I$42,2,FALSE))&lt;'40Trips'!$K$16,$A27&lt;&gt;H$1,gamma!H27=1),SUM(VLOOKUP($A27,'40Trips'!$A$3:$I$42,2,FALSE), VLOOKUP(H$1,'40Trips'!$A$3:$I$42,2,FALSE)),0)</f>
        <v>0</v>
      </c>
      <c r="I27">
        <f>IF(AND(SUM(VLOOKUP($A27,'40Trips'!$A$3:$I$42,2,FALSE),VLOOKUP(I$1,'40Trips'!$A$3:$I$42,2,FALSE))&lt;'40Trips'!$K$16,$A27&lt;&gt;I$1,gamma!I27=1),SUM(VLOOKUP($A27,'40Trips'!$A$3:$I$42,2,FALSE), VLOOKUP(I$1,'40Trips'!$A$3:$I$42,2,FALSE)),0)</f>
        <v>280</v>
      </c>
      <c r="J27">
        <f>IF(AND(SUM(VLOOKUP($A27,'40Trips'!$A$3:$I$42,2,FALSE),VLOOKUP(J$1,'40Trips'!$A$3:$I$42,2,FALSE))&lt;'40Trips'!$K$16,$A27&lt;&gt;J$1,gamma!J27=1),SUM(VLOOKUP($A27,'40Trips'!$A$3:$I$42,2,FALSE), VLOOKUP(J$1,'40Trips'!$A$3:$I$42,2,FALSE)),0)</f>
        <v>280</v>
      </c>
      <c r="K27">
        <f>IF(AND(SUM(VLOOKUP($A27,'40Trips'!$A$3:$I$42,2,FALSE),VLOOKUP(K$1,'40Trips'!$A$3:$I$42,2,FALSE))&lt;'40Trips'!$K$16,$A27&lt;&gt;K$1,gamma!K27=1),SUM(VLOOKUP($A27,'40Trips'!$A$3:$I$42,2,FALSE), VLOOKUP(K$1,'40Trips'!$A$3:$I$42,2,FALSE)),0)</f>
        <v>0</v>
      </c>
      <c r="L27">
        <f>IF(AND(SUM(VLOOKUP($A27,'40Trips'!$A$3:$I$42,2,FALSE),VLOOKUP(L$1,'40Trips'!$A$3:$I$42,2,FALSE))&lt;'40Trips'!$K$16,$A27&lt;&gt;L$1,gamma!L27=1),SUM(VLOOKUP($A27,'40Trips'!$A$3:$I$42,2,FALSE), VLOOKUP(L$1,'40Trips'!$A$3:$I$42,2,FALSE)),0)</f>
        <v>0</v>
      </c>
      <c r="M27">
        <f>IF(AND(SUM(VLOOKUP($A27,'40Trips'!$A$3:$I$42,2,FALSE),VLOOKUP(M$1,'40Trips'!$A$3:$I$42,2,FALSE))&lt;'40Trips'!$K$16,$A27&lt;&gt;M$1,gamma!M27=1),SUM(VLOOKUP($A27,'40Trips'!$A$3:$I$42,2,FALSE), VLOOKUP(M$1,'40Trips'!$A$3:$I$42,2,FALSE)),0)</f>
        <v>275</v>
      </c>
      <c r="N27">
        <f>IF(AND(SUM(VLOOKUP($A27,'40Trips'!$A$3:$I$42,2,FALSE),VLOOKUP(N$1,'40Trips'!$A$3:$I$42,2,FALSE))&lt;'40Trips'!$K$16,$A27&lt;&gt;N$1,gamma!N27=1),SUM(VLOOKUP($A27,'40Trips'!$A$3:$I$42,2,FALSE), VLOOKUP(N$1,'40Trips'!$A$3:$I$42,2,FALSE)),0)</f>
        <v>0</v>
      </c>
      <c r="O27">
        <f>IF(AND(SUM(VLOOKUP($A27,'40Trips'!$A$3:$I$42,2,FALSE),VLOOKUP(O$1,'40Trips'!$A$3:$I$42,2,FALSE))&lt;'40Trips'!$K$16,$A27&lt;&gt;O$1,gamma!O27=1),SUM(VLOOKUP($A27,'40Trips'!$A$3:$I$42,2,FALSE), VLOOKUP(O$1,'40Trips'!$A$3:$I$42,2,FALSE)),0)</f>
        <v>0</v>
      </c>
      <c r="P27">
        <f>IF(AND(SUM(VLOOKUP($A27,'40Trips'!$A$3:$I$42,2,FALSE),VLOOKUP(P$1,'40Trips'!$A$3:$I$42,2,FALSE))&lt;'40Trips'!$K$16,$A27&lt;&gt;P$1,gamma!P27=1),SUM(VLOOKUP($A27,'40Trips'!$A$3:$I$42,2,FALSE), VLOOKUP(P$1,'40Trips'!$A$3:$I$42,2,FALSE)),0)</f>
        <v>275</v>
      </c>
      <c r="Q27">
        <f>IF(AND(SUM(VLOOKUP($A27,'40Trips'!$A$3:$I$42,2,FALSE),VLOOKUP(Q$1,'40Trips'!$A$3:$I$42,2,FALSE))&lt;'40Trips'!$K$16,$A27&lt;&gt;Q$1,gamma!Q27=1),SUM(VLOOKUP($A27,'40Trips'!$A$3:$I$42,2,FALSE), VLOOKUP(Q$1,'40Trips'!$A$3:$I$42,2,FALSE)),0)</f>
        <v>275</v>
      </c>
      <c r="R27">
        <f>IF(AND(SUM(VLOOKUP($A27,'40Trips'!$A$3:$I$42,2,FALSE),VLOOKUP(R$1,'40Trips'!$A$3:$I$42,2,FALSE))&lt;'40Trips'!$K$16,$A27&lt;&gt;R$1,gamma!R27=1),SUM(VLOOKUP($A27,'40Trips'!$A$3:$I$42,2,FALSE), VLOOKUP(R$1,'40Trips'!$A$3:$I$42,2,FALSE)),0)</f>
        <v>275</v>
      </c>
      <c r="S27">
        <f>IF(AND(SUM(VLOOKUP($A27,'40Trips'!$A$3:$I$42,2,FALSE),VLOOKUP(S$1,'40Trips'!$A$3:$I$42,2,FALSE))&lt;'40Trips'!$K$16,$A27&lt;&gt;S$1,gamma!S27=1),SUM(VLOOKUP($A27,'40Trips'!$A$3:$I$42,2,FALSE), VLOOKUP(S$1,'40Trips'!$A$3:$I$42,2,FALSE)),0)</f>
        <v>0</v>
      </c>
      <c r="T27">
        <f>IF(AND(SUM(VLOOKUP($A27,'40Trips'!$A$3:$I$42,2,FALSE),VLOOKUP(T$1,'40Trips'!$A$3:$I$42,2,FALSE))&lt;'40Trips'!$K$16,$A27&lt;&gt;T$1,gamma!T27=1),SUM(VLOOKUP($A27,'40Trips'!$A$3:$I$42,2,FALSE), VLOOKUP(T$1,'40Trips'!$A$3:$I$42,2,FALSE)),0)</f>
        <v>0</v>
      </c>
      <c r="U27">
        <f>IF(AND(SUM(VLOOKUP($A27,'40Trips'!$A$3:$I$42,2,FALSE),VLOOKUP(U$1,'40Trips'!$A$3:$I$42,2,FALSE))&lt;'40Trips'!$K$16,$A27&lt;&gt;U$1,gamma!U27=1),SUM(VLOOKUP($A27,'40Trips'!$A$3:$I$42,2,FALSE), VLOOKUP(U$1,'40Trips'!$A$3:$I$42,2,FALSE)),0)</f>
        <v>260</v>
      </c>
      <c r="V27">
        <f>IF(AND(SUM(VLOOKUP($A27,'40Trips'!$A$3:$I$42,2,FALSE),VLOOKUP(V$1,'40Trips'!$A$3:$I$42,2,FALSE))&lt;'40Trips'!$K$16,$A27&lt;&gt;V$1,gamma!V27=1),SUM(VLOOKUP($A27,'40Trips'!$A$3:$I$42,2,FALSE), VLOOKUP(V$1,'40Trips'!$A$3:$I$42,2,FALSE)),0)</f>
        <v>270</v>
      </c>
      <c r="W27">
        <f>IF(AND(SUM(VLOOKUP($A27,'40Trips'!$A$3:$I$42,2,FALSE),VLOOKUP(W$1,'40Trips'!$A$3:$I$42,2,FALSE))&lt;'40Trips'!$K$16,$A27&lt;&gt;W$1,gamma!W27=1),SUM(VLOOKUP($A27,'40Trips'!$A$3:$I$42,2,FALSE), VLOOKUP(W$1,'40Trips'!$A$3:$I$42,2,FALSE)),0)</f>
        <v>0</v>
      </c>
      <c r="X27">
        <f>IF(AND(SUM(VLOOKUP($A27,'40Trips'!$A$3:$I$42,2,FALSE),VLOOKUP(X$1,'40Trips'!$A$3:$I$42,2,FALSE))&lt;'40Trips'!$K$16,$A27&lt;&gt;X$1,gamma!X27=1),SUM(VLOOKUP($A27,'40Trips'!$A$3:$I$42,2,FALSE), VLOOKUP(X$1,'40Trips'!$A$3:$I$42,2,FALSE)),0)</f>
        <v>280</v>
      </c>
      <c r="Y27">
        <f>IF(AND(SUM(VLOOKUP($A27,'40Trips'!$A$3:$I$42,2,FALSE),VLOOKUP(Y$1,'40Trips'!$A$3:$I$42,2,FALSE))&lt;'40Trips'!$K$16,$A27&lt;&gt;Y$1,gamma!Y27=1),SUM(VLOOKUP($A27,'40Trips'!$A$3:$I$42,2,FALSE), VLOOKUP(Y$1,'40Trips'!$A$3:$I$42,2,FALSE)),0)</f>
        <v>280</v>
      </c>
      <c r="Z27">
        <f>IF(AND(SUM(VLOOKUP($A27,'40Trips'!$A$3:$I$42,2,FALSE),VLOOKUP(Z$1,'40Trips'!$A$3:$I$42,2,FALSE))&lt;'40Trips'!$K$16,$A27&lt;&gt;Z$1,gamma!Z27=1),SUM(VLOOKUP($A27,'40Trips'!$A$3:$I$42,2,FALSE), VLOOKUP(Z$1,'40Trips'!$A$3:$I$42,2,FALSE)),0)</f>
        <v>280</v>
      </c>
      <c r="AA27">
        <f>IF(AND(SUM(VLOOKUP($A27,'40Trips'!$A$3:$I$42,2,FALSE),VLOOKUP(AA$1,'40Trips'!$A$3:$I$42,2,FALSE))&lt;'40Trips'!$K$16,$A27&lt;&gt;AA$1,gamma!AA27=1),SUM(VLOOKUP($A27,'40Trips'!$A$3:$I$42,2,FALSE), VLOOKUP(AA$1,'40Trips'!$A$3:$I$42,2,FALSE)),0)</f>
        <v>0</v>
      </c>
      <c r="AB27">
        <f>IF(AND(SUM(VLOOKUP($A27,'40Trips'!$A$3:$I$42,2,FALSE),VLOOKUP(AB$1,'40Trips'!$A$3:$I$42,2,FALSE))&lt;'40Trips'!$K$16,$A27&lt;&gt;AB$1,gamma!AB27=1),SUM(VLOOKUP($A27,'40Trips'!$A$3:$I$42,2,FALSE), VLOOKUP(AB$1,'40Trips'!$A$3:$I$42,2,FALSE)),0)</f>
        <v>0</v>
      </c>
      <c r="AC27">
        <f>IF(AND(SUM(VLOOKUP($A27,'40Trips'!$A$3:$I$42,2,FALSE),VLOOKUP(AC$1,'40Trips'!$A$3:$I$42,2,FALSE))&lt;'40Trips'!$K$16,$A27&lt;&gt;AC$1,gamma!AC27=1),SUM(VLOOKUP($A27,'40Trips'!$A$3:$I$42,2,FALSE), VLOOKUP(AC$1,'40Trips'!$A$3:$I$42,2,FALSE)),0)</f>
        <v>260</v>
      </c>
      <c r="AD27">
        <f>IF(AND(SUM(VLOOKUP($A27,'40Trips'!$A$3:$I$42,2,FALSE),VLOOKUP(AD$1,'40Trips'!$A$3:$I$42,2,FALSE))&lt;'40Trips'!$K$16,$A27&lt;&gt;AD$1,gamma!AD27=1),SUM(VLOOKUP($A27,'40Trips'!$A$3:$I$42,2,FALSE), VLOOKUP(AD$1,'40Trips'!$A$3:$I$42,2,FALSE)),0)</f>
        <v>270</v>
      </c>
      <c r="AE27">
        <f>IF(AND(SUM(VLOOKUP($A27,'40Trips'!$A$3:$I$42,2,FALSE),VLOOKUP(AE$1,'40Trips'!$A$3:$I$42,2,FALSE))&lt;'40Trips'!$K$16,$A27&lt;&gt;AE$1,gamma!AE27=1),SUM(VLOOKUP($A27,'40Trips'!$A$3:$I$42,2,FALSE), VLOOKUP(AE$1,'40Trips'!$A$3:$I$42,2,FALSE)),0)</f>
        <v>0</v>
      </c>
      <c r="AF27">
        <f>IF(AND(SUM(VLOOKUP($A27,'40Trips'!$A$3:$I$42,2,FALSE),VLOOKUP(AF$1,'40Trips'!$A$3:$I$42,2,FALSE))&lt;'40Trips'!$K$16,$A27&lt;&gt;AF$1,gamma!AF27=1),SUM(VLOOKUP($A27,'40Trips'!$A$3:$I$42,2,FALSE), VLOOKUP(AF$1,'40Trips'!$A$3:$I$42,2,FALSE)),0)</f>
        <v>0</v>
      </c>
      <c r="AG27">
        <f>IF(AND(SUM(VLOOKUP($A27,'40Trips'!$A$3:$I$42,2,FALSE),VLOOKUP(AG$1,'40Trips'!$A$3:$I$42,2,FALSE))&lt;'40Trips'!$K$16,$A27&lt;&gt;AG$1,gamma!AG27=1),SUM(VLOOKUP($A27,'40Trips'!$A$3:$I$42,2,FALSE), VLOOKUP(AG$1,'40Trips'!$A$3:$I$42,2,FALSE)),0)</f>
        <v>0</v>
      </c>
      <c r="AH27">
        <f>IF(AND(SUM(VLOOKUP($A27,'40Trips'!$A$3:$I$42,2,FALSE),VLOOKUP(AH$1,'40Trips'!$A$3:$I$42,2,FALSE))&lt;'40Trips'!$K$16,$A27&lt;&gt;AH$1,gamma!AH27=1),SUM(VLOOKUP($A27,'40Trips'!$A$3:$I$42,2,FALSE), VLOOKUP(AH$1,'40Trips'!$A$3:$I$42,2,FALSE)),0)</f>
        <v>275</v>
      </c>
      <c r="AI27">
        <f>IF(AND(SUM(VLOOKUP($A27,'40Trips'!$A$3:$I$42,2,FALSE),VLOOKUP(AI$1,'40Trips'!$A$3:$I$42,2,FALSE))&lt;'40Trips'!$K$16,$A27&lt;&gt;AI$1,gamma!AI27=1),SUM(VLOOKUP($A27,'40Trips'!$A$3:$I$42,2,FALSE), VLOOKUP(AI$1,'40Trips'!$A$3:$I$42,2,FALSE)),0)</f>
        <v>280</v>
      </c>
      <c r="AJ27">
        <f>IF(AND(SUM(VLOOKUP($A27,'40Trips'!$A$3:$I$42,2,FALSE),VLOOKUP(AJ$1,'40Trips'!$A$3:$I$42,2,FALSE))&lt;'40Trips'!$K$16,$A27&lt;&gt;AJ$1,gamma!AJ27=1),SUM(VLOOKUP($A27,'40Trips'!$A$3:$I$42,2,FALSE), VLOOKUP(AJ$1,'40Trips'!$A$3:$I$42,2,FALSE)),0)</f>
        <v>275</v>
      </c>
      <c r="AK27">
        <f>IF(AND(SUM(VLOOKUP($A27,'40Trips'!$A$3:$I$42,2,FALSE),VLOOKUP(AK$1,'40Trips'!$A$3:$I$42,2,FALSE))&lt;'40Trips'!$K$16,$A27&lt;&gt;AK$1,gamma!AK27=1),SUM(VLOOKUP($A27,'40Trips'!$A$3:$I$42,2,FALSE), VLOOKUP(AK$1,'40Trips'!$A$3:$I$42,2,FALSE)),0)</f>
        <v>280</v>
      </c>
      <c r="AL27">
        <f>IF(AND(SUM(VLOOKUP($A27,'40Trips'!$A$3:$I$42,2,FALSE),VLOOKUP(AL$1,'40Trips'!$A$3:$I$42,2,FALSE))&lt;'40Trips'!$K$16,$A27&lt;&gt;AL$1,gamma!AL27=1),SUM(VLOOKUP($A27,'40Trips'!$A$3:$I$42,2,FALSE), VLOOKUP(AL$1,'40Trips'!$A$3:$I$42,2,FALSE)),0)</f>
        <v>280</v>
      </c>
      <c r="AM27">
        <f>IF(AND(SUM(VLOOKUP($A27,'40Trips'!$A$3:$I$42,2,FALSE),VLOOKUP(AM$1,'40Trips'!$A$3:$I$42,2,FALSE))&lt;'40Trips'!$K$16,$A27&lt;&gt;AM$1,gamma!AM27=1),SUM(VLOOKUP($A27,'40Trips'!$A$3:$I$42,2,FALSE), VLOOKUP(AM$1,'40Trips'!$A$3:$I$42,2,FALSE)),0)</f>
        <v>0</v>
      </c>
      <c r="AN27">
        <f>IF(AND(SUM(VLOOKUP($A27,'40Trips'!$A$3:$I$42,2,FALSE),VLOOKUP(AN$1,'40Trips'!$A$3:$I$42,2,FALSE))&lt;'40Trips'!$K$16,$A27&lt;&gt;AN$1,gamma!AN27=1),SUM(VLOOKUP($A27,'40Trips'!$A$3:$I$42,2,FALSE), VLOOKUP(AN$1,'40Trips'!$A$3:$I$42,2,FALSE)),0)</f>
        <v>260</v>
      </c>
      <c r="AO27">
        <f>IF(AND(SUM(VLOOKUP($A27,'40Trips'!$A$3:$I$42,2,FALSE),VLOOKUP(AO$1,'40Trips'!$A$3:$I$42,2,FALSE))&lt;'40Trips'!$K$16,$A27&lt;&gt;AO$1,gamma!AO27=1),SUM(VLOOKUP($A27,'40Trips'!$A$3:$I$42,2,FALSE), VLOOKUP(AO$1,'40Trips'!$A$3:$I$42,2,FALSE)),0)</f>
        <v>260</v>
      </c>
      <c r="AP27">
        <f>IF(AND(SUM(VLOOKUP($A27,'40Trips'!$A$3:$I$42,2,FALSE),VLOOKUP(AP$1,'40Trips'!$A$3:$I$42,2,FALSE))&lt;'40Trips'!$K$16,$A27&lt;&gt;AP$1,gamma!AP27=1),SUM(VLOOKUP($A27,'40Trips'!$A$3:$I$42,2,FALSE), VLOOKUP(AP$1,'40Trips'!$A$3:$I$42,2,FALSE)),0)</f>
        <v>275</v>
      </c>
      <c r="AQ27">
        <v>0</v>
      </c>
      <c r="AR27">
        <v>0</v>
      </c>
      <c r="AS27">
        <v>0</v>
      </c>
      <c r="AT27">
        <v>0</v>
      </c>
    </row>
    <row r="28" spans="1:46" x14ac:dyDescent="0.25">
      <c r="A28" t="s">
        <v>80</v>
      </c>
      <c r="B28">
        <v>0</v>
      </c>
      <c r="C28">
        <f>IF(AND(SUM(VLOOKUP($A28,'40Trips'!$A$3:$I$42,2,FALSE),VLOOKUP(C$1,'40Trips'!$A$3:$I$42,2,FALSE))&lt;'40Trips'!$K$16,$A28&lt;&gt;C$1,gamma!C28=1),SUM(VLOOKUP($A28,'40Trips'!$A$3:$I$42,2,FALSE), VLOOKUP(C$1,'40Trips'!$A$3:$I$42,2,FALSE)),0)</f>
        <v>0</v>
      </c>
      <c r="D28">
        <f>IF(AND(SUM(VLOOKUP($A28,'40Trips'!$A$3:$I$42,2,FALSE),VLOOKUP(D$1,'40Trips'!$A$3:$I$42,2,FALSE))&lt;'40Trips'!$K$16,$A28&lt;&gt;D$1,gamma!D28=1),SUM(VLOOKUP($A28,'40Trips'!$A$3:$I$42,2,FALSE), VLOOKUP(D$1,'40Trips'!$A$3:$I$42,2,FALSE)),0)</f>
        <v>0</v>
      </c>
      <c r="E28">
        <f>IF(AND(SUM(VLOOKUP($A28,'40Trips'!$A$3:$I$42,2,FALSE),VLOOKUP(E$1,'40Trips'!$A$3:$I$42,2,FALSE))&lt;'40Trips'!$K$16,$A28&lt;&gt;E$1,gamma!E28=1),SUM(VLOOKUP($A28,'40Trips'!$A$3:$I$42,2,FALSE), VLOOKUP(E$1,'40Trips'!$A$3:$I$42,2,FALSE)),0)</f>
        <v>275</v>
      </c>
      <c r="F28">
        <f>IF(AND(SUM(VLOOKUP($A28,'40Trips'!$A$3:$I$42,2,FALSE),VLOOKUP(F$1,'40Trips'!$A$3:$I$42,2,FALSE))&lt;'40Trips'!$K$16,$A28&lt;&gt;F$1,gamma!F28=1),SUM(VLOOKUP($A28,'40Trips'!$A$3:$I$42,2,FALSE), VLOOKUP(F$1,'40Trips'!$A$3:$I$42,2,FALSE)),0)</f>
        <v>275</v>
      </c>
      <c r="G28">
        <f>IF(AND(SUM(VLOOKUP($A28,'40Trips'!$A$3:$I$42,2,FALSE),VLOOKUP(G$1,'40Trips'!$A$3:$I$42,2,FALSE))&lt;'40Trips'!$K$16,$A28&lt;&gt;G$1,gamma!G28=1),SUM(VLOOKUP($A28,'40Trips'!$A$3:$I$42,2,FALSE), VLOOKUP(G$1,'40Trips'!$A$3:$I$42,2,FALSE)),0)</f>
        <v>0</v>
      </c>
      <c r="H28">
        <f>IF(AND(SUM(VLOOKUP($A28,'40Trips'!$A$3:$I$42,2,FALSE),VLOOKUP(H$1,'40Trips'!$A$3:$I$42,2,FALSE))&lt;'40Trips'!$K$16,$A28&lt;&gt;H$1,gamma!H28=1),SUM(VLOOKUP($A28,'40Trips'!$A$3:$I$42,2,FALSE), VLOOKUP(H$1,'40Trips'!$A$3:$I$42,2,FALSE)),0)</f>
        <v>0</v>
      </c>
      <c r="I28">
        <f>IF(AND(SUM(VLOOKUP($A28,'40Trips'!$A$3:$I$42,2,FALSE),VLOOKUP(I$1,'40Trips'!$A$3:$I$42,2,FALSE))&lt;'40Trips'!$K$16,$A28&lt;&gt;I$1,gamma!I28=1),SUM(VLOOKUP($A28,'40Trips'!$A$3:$I$42,2,FALSE), VLOOKUP(I$1,'40Trips'!$A$3:$I$42,2,FALSE)),0)</f>
        <v>0</v>
      </c>
      <c r="J28">
        <f>IF(AND(SUM(VLOOKUP($A28,'40Trips'!$A$3:$I$42,2,FALSE),VLOOKUP(J$1,'40Trips'!$A$3:$I$42,2,FALSE))&lt;'40Trips'!$K$16,$A28&lt;&gt;J$1,gamma!J28=1),SUM(VLOOKUP($A28,'40Trips'!$A$3:$I$42,2,FALSE), VLOOKUP(J$1,'40Trips'!$A$3:$I$42,2,FALSE)),0)</f>
        <v>280</v>
      </c>
      <c r="K28">
        <f>IF(AND(SUM(VLOOKUP($A28,'40Trips'!$A$3:$I$42,2,FALSE),VLOOKUP(K$1,'40Trips'!$A$3:$I$42,2,FALSE))&lt;'40Trips'!$K$16,$A28&lt;&gt;K$1,gamma!K28=1),SUM(VLOOKUP($A28,'40Trips'!$A$3:$I$42,2,FALSE), VLOOKUP(K$1,'40Trips'!$A$3:$I$42,2,FALSE)),0)</f>
        <v>0</v>
      </c>
      <c r="L28">
        <f>IF(AND(SUM(VLOOKUP($A28,'40Trips'!$A$3:$I$42,2,FALSE),VLOOKUP(L$1,'40Trips'!$A$3:$I$42,2,FALSE))&lt;'40Trips'!$K$16,$A28&lt;&gt;L$1,gamma!L28=1),SUM(VLOOKUP($A28,'40Trips'!$A$3:$I$42,2,FALSE), VLOOKUP(L$1,'40Trips'!$A$3:$I$42,2,FALSE)),0)</f>
        <v>0</v>
      </c>
      <c r="M28">
        <f>IF(AND(SUM(VLOOKUP($A28,'40Trips'!$A$3:$I$42,2,FALSE),VLOOKUP(M$1,'40Trips'!$A$3:$I$42,2,FALSE))&lt;'40Trips'!$K$16,$A28&lt;&gt;M$1,gamma!M28=1),SUM(VLOOKUP($A28,'40Trips'!$A$3:$I$42,2,FALSE), VLOOKUP(M$1,'40Trips'!$A$3:$I$42,2,FALSE)),0)</f>
        <v>0</v>
      </c>
      <c r="N28">
        <f>IF(AND(SUM(VLOOKUP($A28,'40Trips'!$A$3:$I$42,2,FALSE),VLOOKUP(N$1,'40Trips'!$A$3:$I$42,2,FALSE))&lt;'40Trips'!$K$16,$A28&lt;&gt;N$1,gamma!N28=1),SUM(VLOOKUP($A28,'40Trips'!$A$3:$I$42,2,FALSE), VLOOKUP(N$1,'40Trips'!$A$3:$I$42,2,FALSE)),0)</f>
        <v>0</v>
      </c>
      <c r="O28">
        <f>IF(AND(SUM(VLOOKUP($A28,'40Trips'!$A$3:$I$42,2,FALSE),VLOOKUP(O$1,'40Trips'!$A$3:$I$42,2,FALSE))&lt;'40Trips'!$K$16,$A28&lt;&gt;O$1,gamma!O28=1),SUM(VLOOKUP($A28,'40Trips'!$A$3:$I$42,2,FALSE), VLOOKUP(O$1,'40Trips'!$A$3:$I$42,2,FALSE)),0)</f>
        <v>0</v>
      </c>
      <c r="P28">
        <f>IF(AND(SUM(VLOOKUP($A28,'40Trips'!$A$3:$I$42,2,FALSE),VLOOKUP(P$1,'40Trips'!$A$3:$I$42,2,FALSE))&lt;'40Trips'!$K$16,$A28&lt;&gt;P$1,gamma!P28=1),SUM(VLOOKUP($A28,'40Trips'!$A$3:$I$42,2,FALSE), VLOOKUP(P$1,'40Trips'!$A$3:$I$42,2,FALSE)),0)</f>
        <v>0</v>
      </c>
      <c r="Q28">
        <f>IF(AND(SUM(VLOOKUP($A28,'40Trips'!$A$3:$I$42,2,FALSE),VLOOKUP(Q$1,'40Trips'!$A$3:$I$42,2,FALSE))&lt;'40Trips'!$K$16,$A28&lt;&gt;Q$1,gamma!Q28=1),SUM(VLOOKUP($A28,'40Trips'!$A$3:$I$42,2,FALSE), VLOOKUP(Q$1,'40Trips'!$A$3:$I$42,2,FALSE)),0)</f>
        <v>275</v>
      </c>
      <c r="R28">
        <f>IF(AND(SUM(VLOOKUP($A28,'40Trips'!$A$3:$I$42,2,FALSE),VLOOKUP(R$1,'40Trips'!$A$3:$I$42,2,FALSE))&lt;'40Trips'!$K$16,$A28&lt;&gt;R$1,gamma!R28=1),SUM(VLOOKUP($A28,'40Trips'!$A$3:$I$42,2,FALSE), VLOOKUP(R$1,'40Trips'!$A$3:$I$42,2,FALSE)),0)</f>
        <v>275</v>
      </c>
      <c r="S28">
        <f>IF(AND(SUM(VLOOKUP($A28,'40Trips'!$A$3:$I$42,2,FALSE),VLOOKUP(S$1,'40Trips'!$A$3:$I$42,2,FALSE))&lt;'40Trips'!$K$16,$A28&lt;&gt;S$1,gamma!S28=1),SUM(VLOOKUP($A28,'40Trips'!$A$3:$I$42,2,FALSE), VLOOKUP(S$1,'40Trips'!$A$3:$I$42,2,FALSE)),0)</f>
        <v>0</v>
      </c>
      <c r="T28">
        <f>IF(AND(SUM(VLOOKUP($A28,'40Trips'!$A$3:$I$42,2,FALSE),VLOOKUP(T$1,'40Trips'!$A$3:$I$42,2,FALSE))&lt;'40Trips'!$K$16,$A28&lt;&gt;T$1,gamma!T28=1),SUM(VLOOKUP($A28,'40Trips'!$A$3:$I$42,2,FALSE), VLOOKUP(T$1,'40Trips'!$A$3:$I$42,2,FALSE)),0)</f>
        <v>0</v>
      </c>
      <c r="U28">
        <f>IF(AND(SUM(VLOOKUP($A28,'40Trips'!$A$3:$I$42,2,FALSE),VLOOKUP(U$1,'40Trips'!$A$3:$I$42,2,FALSE))&lt;'40Trips'!$K$16,$A28&lt;&gt;U$1,gamma!U28=1),SUM(VLOOKUP($A28,'40Trips'!$A$3:$I$42,2,FALSE), VLOOKUP(U$1,'40Trips'!$A$3:$I$42,2,FALSE)),0)</f>
        <v>260</v>
      </c>
      <c r="V28">
        <f>IF(AND(SUM(VLOOKUP($A28,'40Trips'!$A$3:$I$42,2,FALSE),VLOOKUP(V$1,'40Trips'!$A$3:$I$42,2,FALSE))&lt;'40Trips'!$K$16,$A28&lt;&gt;V$1,gamma!V28=1),SUM(VLOOKUP($A28,'40Trips'!$A$3:$I$42,2,FALSE), VLOOKUP(V$1,'40Trips'!$A$3:$I$42,2,FALSE)),0)</f>
        <v>270</v>
      </c>
      <c r="W28">
        <f>IF(AND(SUM(VLOOKUP($A28,'40Trips'!$A$3:$I$42,2,FALSE),VLOOKUP(W$1,'40Trips'!$A$3:$I$42,2,FALSE))&lt;'40Trips'!$K$16,$A28&lt;&gt;W$1,gamma!W28=1),SUM(VLOOKUP($A28,'40Trips'!$A$3:$I$42,2,FALSE), VLOOKUP(W$1,'40Trips'!$A$3:$I$42,2,FALSE)),0)</f>
        <v>0</v>
      </c>
      <c r="X28">
        <f>IF(AND(SUM(VLOOKUP($A28,'40Trips'!$A$3:$I$42,2,FALSE),VLOOKUP(X$1,'40Trips'!$A$3:$I$42,2,FALSE))&lt;'40Trips'!$K$16,$A28&lt;&gt;X$1,gamma!X28=1),SUM(VLOOKUP($A28,'40Trips'!$A$3:$I$42,2,FALSE), VLOOKUP(X$1,'40Trips'!$A$3:$I$42,2,FALSE)),0)</f>
        <v>0</v>
      </c>
      <c r="Y28">
        <f>IF(AND(SUM(VLOOKUP($A28,'40Trips'!$A$3:$I$42,2,FALSE),VLOOKUP(Y$1,'40Trips'!$A$3:$I$42,2,FALSE))&lt;'40Trips'!$K$16,$A28&lt;&gt;Y$1,gamma!Y28=1),SUM(VLOOKUP($A28,'40Trips'!$A$3:$I$42,2,FALSE), VLOOKUP(Y$1,'40Trips'!$A$3:$I$42,2,FALSE)),0)</f>
        <v>280</v>
      </c>
      <c r="Z28">
        <f>IF(AND(SUM(VLOOKUP($A28,'40Trips'!$A$3:$I$42,2,FALSE),VLOOKUP(Z$1,'40Trips'!$A$3:$I$42,2,FALSE))&lt;'40Trips'!$K$16,$A28&lt;&gt;Z$1,gamma!Z28=1),SUM(VLOOKUP($A28,'40Trips'!$A$3:$I$42,2,FALSE), VLOOKUP(Z$1,'40Trips'!$A$3:$I$42,2,FALSE)),0)</f>
        <v>280</v>
      </c>
      <c r="AA28">
        <f>IF(AND(SUM(VLOOKUP($A28,'40Trips'!$A$3:$I$42,2,FALSE),VLOOKUP(AA$1,'40Trips'!$A$3:$I$42,2,FALSE))&lt;'40Trips'!$K$16,$A28&lt;&gt;AA$1,gamma!AA28=1),SUM(VLOOKUP($A28,'40Trips'!$A$3:$I$42,2,FALSE), VLOOKUP(AA$1,'40Trips'!$A$3:$I$42,2,FALSE)),0)</f>
        <v>0</v>
      </c>
      <c r="AB28">
        <f>IF(AND(SUM(VLOOKUP($A28,'40Trips'!$A$3:$I$42,2,FALSE),VLOOKUP(AB$1,'40Trips'!$A$3:$I$42,2,FALSE))&lt;'40Trips'!$K$16,$A28&lt;&gt;AB$1,gamma!AB28=1),SUM(VLOOKUP($A28,'40Trips'!$A$3:$I$42,2,FALSE), VLOOKUP(AB$1,'40Trips'!$A$3:$I$42,2,FALSE)),0)</f>
        <v>0</v>
      </c>
      <c r="AC28">
        <f>IF(AND(SUM(VLOOKUP($A28,'40Trips'!$A$3:$I$42,2,FALSE),VLOOKUP(AC$1,'40Trips'!$A$3:$I$42,2,FALSE))&lt;'40Trips'!$K$16,$A28&lt;&gt;AC$1,gamma!AC28=1),SUM(VLOOKUP($A28,'40Trips'!$A$3:$I$42,2,FALSE), VLOOKUP(AC$1,'40Trips'!$A$3:$I$42,2,FALSE)),0)</f>
        <v>260</v>
      </c>
      <c r="AD28">
        <f>IF(AND(SUM(VLOOKUP($A28,'40Trips'!$A$3:$I$42,2,FALSE),VLOOKUP(AD$1,'40Trips'!$A$3:$I$42,2,FALSE))&lt;'40Trips'!$K$16,$A28&lt;&gt;AD$1,gamma!AD28=1),SUM(VLOOKUP($A28,'40Trips'!$A$3:$I$42,2,FALSE), VLOOKUP(AD$1,'40Trips'!$A$3:$I$42,2,FALSE)),0)</f>
        <v>270</v>
      </c>
      <c r="AE28">
        <f>IF(AND(SUM(VLOOKUP($A28,'40Trips'!$A$3:$I$42,2,FALSE),VLOOKUP(AE$1,'40Trips'!$A$3:$I$42,2,FALSE))&lt;'40Trips'!$K$16,$A28&lt;&gt;AE$1,gamma!AE28=1),SUM(VLOOKUP($A28,'40Trips'!$A$3:$I$42,2,FALSE), VLOOKUP(AE$1,'40Trips'!$A$3:$I$42,2,FALSE)),0)</f>
        <v>0</v>
      </c>
      <c r="AF28">
        <f>IF(AND(SUM(VLOOKUP($A28,'40Trips'!$A$3:$I$42,2,FALSE),VLOOKUP(AF$1,'40Trips'!$A$3:$I$42,2,FALSE))&lt;'40Trips'!$K$16,$A28&lt;&gt;AF$1,gamma!AF28=1),SUM(VLOOKUP($A28,'40Trips'!$A$3:$I$42,2,FALSE), VLOOKUP(AF$1,'40Trips'!$A$3:$I$42,2,FALSE)),0)</f>
        <v>0</v>
      </c>
      <c r="AG28">
        <f>IF(AND(SUM(VLOOKUP($A28,'40Trips'!$A$3:$I$42,2,FALSE),VLOOKUP(AG$1,'40Trips'!$A$3:$I$42,2,FALSE))&lt;'40Trips'!$K$16,$A28&lt;&gt;AG$1,gamma!AG28=1),SUM(VLOOKUP($A28,'40Trips'!$A$3:$I$42,2,FALSE), VLOOKUP(AG$1,'40Trips'!$A$3:$I$42,2,FALSE)),0)</f>
        <v>0</v>
      </c>
      <c r="AH28">
        <f>IF(AND(SUM(VLOOKUP($A28,'40Trips'!$A$3:$I$42,2,FALSE),VLOOKUP(AH$1,'40Trips'!$A$3:$I$42,2,FALSE))&lt;'40Trips'!$K$16,$A28&lt;&gt;AH$1,gamma!AH28=1),SUM(VLOOKUP($A28,'40Trips'!$A$3:$I$42,2,FALSE), VLOOKUP(AH$1,'40Trips'!$A$3:$I$42,2,FALSE)),0)</f>
        <v>0</v>
      </c>
      <c r="AI28">
        <f>IF(AND(SUM(VLOOKUP($A28,'40Trips'!$A$3:$I$42,2,FALSE),VLOOKUP(AI$1,'40Trips'!$A$3:$I$42,2,FALSE))&lt;'40Trips'!$K$16,$A28&lt;&gt;AI$1,gamma!AI28=1),SUM(VLOOKUP($A28,'40Trips'!$A$3:$I$42,2,FALSE), VLOOKUP(AI$1,'40Trips'!$A$3:$I$42,2,FALSE)),0)</f>
        <v>0</v>
      </c>
      <c r="AJ28">
        <f>IF(AND(SUM(VLOOKUP($A28,'40Trips'!$A$3:$I$42,2,FALSE),VLOOKUP(AJ$1,'40Trips'!$A$3:$I$42,2,FALSE))&lt;'40Trips'!$K$16,$A28&lt;&gt;AJ$1,gamma!AJ28=1),SUM(VLOOKUP($A28,'40Trips'!$A$3:$I$42,2,FALSE), VLOOKUP(AJ$1,'40Trips'!$A$3:$I$42,2,FALSE)),0)</f>
        <v>0</v>
      </c>
      <c r="AK28">
        <f>IF(AND(SUM(VLOOKUP($A28,'40Trips'!$A$3:$I$42,2,FALSE),VLOOKUP(AK$1,'40Trips'!$A$3:$I$42,2,FALSE))&lt;'40Trips'!$K$16,$A28&lt;&gt;AK$1,gamma!AK28=1),SUM(VLOOKUP($A28,'40Trips'!$A$3:$I$42,2,FALSE), VLOOKUP(AK$1,'40Trips'!$A$3:$I$42,2,FALSE)),0)</f>
        <v>280</v>
      </c>
      <c r="AL28">
        <f>IF(AND(SUM(VLOOKUP($A28,'40Trips'!$A$3:$I$42,2,FALSE),VLOOKUP(AL$1,'40Trips'!$A$3:$I$42,2,FALSE))&lt;'40Trips'!$K$16,$A28&lt;&gt;AL$1,gamma!AL28=1),SUM(VLOOKUP($A28,'40Trips'!$A$3:$I$42,2,FALSE), VLOOKUP(AL$1,'40Trips'!$A$3:$I$42,2,FALSE)),0)</f>
        <v>280</v>
      </c>
      <c r="AM28">
        <f>IF(AND(SUM(VLOOKUP($A28,'40Trips'!$A$3:$I$42,2,FALSE),VLOOKUP(AM$1,'40Trips'!$A$3:$I$42,2,FALSE))&lt;'40Trips'!$K$16,$A28&lt;&gt;AM$1,gamma!AM28=1),SUM(VLOOKUP($A28,'40Trips'!$A$3:$I$42,2,FALSE), VLOOKUP(AM$1,'40Trips'!$A$3:$I$42,2,FALSE)),0)</f>
        <v>0</v>
      </c>
      <c r="AN28">
        <f>IF(AND(SUM(VLOOKUP($A28,'40Trips'!$A$3:$I$42,2,FALSE),VLOOKUP(AN$1,'40Trips'!$A$3:$I$42,2,FALSE))&lt;'40Trips'!$K$16,$A28&lt;&gt;AN$1,gamma!AN28=1),SUM(VLOOKUP($A28,'40Trips'!$A$3:$I$42,2,FALSE), VLOOKUP(AN$1,'40Trips'!$A$3:$I$42,2,FALSE)),0)</f>
        <v>0</v>
      </c>
      <c r="AO28">
        <f>IF(AND(SUM(VLOOKUP($A28,'40Trips'!$A$3:$I$42,2,FALSE),VLOOKUP(AO$1,'40Trips'!$A$3:$I$42,2,FALSE))&lt;'40Trips'!$K$16,$A28&lt;&gt;AO$1,gamma!AO28=1),SUM(VLOOKUP($A28,'40Trips'!$A$3:$I$42,2,FALSE), VLOOKUP(AO$1,'40Trips'!$A$3:$I$42,2,FALSE)),0)</f>
        <v>0</v>
      </c>
      <c r="AP28">
        <f>IF(AND(SUM(VLOOKUP($A28,'40Trips'!$A$3:$I$42,2,FALSE),VLOOKUP(AP$1,'40Trips'!$A$3:$I$42,2,FALSE))&lt;'40Trips'!$K$16,$A28&lt;&gt;AP$1,gamma!AP28=1),SUM(VLOOKUP($A28,'40Trips'!$A$3:$I$42,2,FALSE), VLOOKUP(AP$1,'40Trips'!$A$3:$I$42,2,FALSE)),0)</f>
        <v>275</v>
      </c>
      <c r="AQ28">
        <v>0</v>
      </c>
      <c r="AR28">
        <v>0</v>
      </c>
      <c r="AS28">
        <v>0</v>
      </c>
      <c r="AT28">
        <v>0</v>
      </c>
    </row>
    <row r="29" spans="1:46" x14ac:dyDescent="0.25">
      <c r="A29" t="s">
        <v>81</v>
      </c>
      <c r="B29">
        <v>0</v>
      </c>
      <c r="C29">
        <f>IF(AND(SUM(VLOOKUP($A29,'40Trips'!$A$3:$I$42,2,FALSE),VLOOKUP(C$1,'40Trips'!$A$3:$I$42,2,FALSE))&lt;'40Trips'!$K$16,$A29&lt;&gt;C$1,gamma!C29=1),SUM(VLOOKUP($A29,'40Trips'!$A$3:$I$42,2,FALSE), VLOOKUP(C$1,'40Trips'!$A$3:$I$42,2,FALSE)),0)</f>
        <v>0</v>
      </c>
      <c r="D29">
        <f>IF(AND(SUM(VLOOKUP($A29,'40Trips'!$A$3:$I$42,2,FALSE),VLOOKUP(D$1,'40Trips'!$A$3:$I$42,2,FALSE))&lt;'40Trips'!$K$16,$A29&lt;&gt;D$1,gamma!D29=1),SUM(VLOOKUP($A29,'40Trips'!$A$3:$I$42,2,FALSE), VLOOKUP(D$1,'40Trips'!$A$3:$I$42,2,FALSE)),0)</f>
        <v>0</v>
      </c>
      <c r="E29">
        <f>IF(AND(SUM(VLOOKUP($A29,'40Trips'!$A$3:$I$42,2,FALSE),VLOOKUP(E$1,'40Trips'!$A$3:$I$42,2,FALSE))&lt;'40Trips'!$K$16,$A29&lt;&gt;E$1,gamma!E29=1),SUM(VLOOKUP($A29,'40Trips'!$A$3:$I$42,2,FALSE), VLOOKUP(E$1,'40Trips'!$A$3:$I$42,2,FALSE)),0)</f>
        <v>0</v>
      </c>
      <c r="F29">
        <f>IF(AND(SUM(VLOOKUP($A29,'40Trips'!$A$3:$I$42,2,FALSE),VLOOKUP(F$1,'40Trips'!$A$3:$I$42,2,FALSE))&lt;'40Trips'!$K$16,$A29&lt;&gt;F$1,gamma!F29=1),SUM(VLOOKUP($A29,'40Trips'!$A$3:$I$42,2,FALSE), VLOOKUP(F$1,'40Trips'!$A$3:$I$42,2,FALSE)),0)</f>
        <v>0</v>
      </c>
      <c r="G29">
        <f>IF(AND(SUM(VLOOKUP($A29,'40Trips'!$A$3:$I$42,2,FALSE),VLOOKUP(G$1,'40Trips'!$A$3:$I$42,2,FALSE))&lt;'40Trips'!$K$16,$A29&lt;&gt;G$1,gamma!G29=1),SUM(VLOOKUP($A29,'40Trips'!$A$3:$I$42,2,FALSE), VLOOKUP(G$1,'40Trips'!$A$3:$I$42,2,FALSE)),0)</f>
        <v>0</v>
      </c>
      <c r="H29">
        <f>IF(AND(SUM(VLOOKUP($A29,'40Trips'!$A$3:$I$42,2,FALSE),VLOOKUP(H$1,'40Trips'!$A$3:$I$42,2,FALSE))&lt;'40Trips'!$K$16,$A29&lt;&gt;H$1,gamma!H29=1),SUM(VLOOKUP($A29,'40Trips'!$A$3:$I$42,2,FALSE), VLOOKUP(H$1,'40Trips'!$A$3:$I$42,2,FALSE)),0)</f>
        <v>0</v>
      </c>
      <c r="I29">
        <f>IF(AND(SUM(VLOOKUP($A29,'40Trips'!$A$3:$I$42,2,FALSE),VLOOKUP(I$1,'40Trips'!$A$3:$I$42,2,FALSE))&lt;'40Trips'!$K$16,$A29&lt;&gt;I$1,gamma!I29=1),SUM(VLOOKUP($A29,'40Trips'!$A$3:$I$42,2,FALSE), VLOOKUP(I$1,'40Trips'!$A$3:$I$42,2,FALSE)),0)</f>
        <v>0</v>
      </c>
      <c r="J29">
        <f>IF(AND(SUM(VLOOKUP($A29,'40Trips'!$A$3:$I$42,2,FALSE),VLOOKUP(J$1,'40Trips'!$A$3:$I$42,2,FALSE))&lt;'40Trips'!$K$16,$A29&lt;&gt;J$1,gamma!J29=1),SUM(VLOOKUP($A29,'40Trips'!$A$3:$I$42,2,FALSE), VLOOKUP(J$1,'40Trips'!$A$3:$I$42,2,FALSE)),0)</f>
        <v>260</v>
      </c>
      <c r="K29">
        <f>IF(AND(SUM(VLOOKUP($A29,'40Trips'!$A$3:$I$42,2,FALSE),VLOOKUP(K$1,'40Trips'!$A$3:$I$42,2,FALSE))&lt;'40Trips'!$K$16,$A29&lt;&gt;K$1,gamma!K29=1),SUM(VLOOKUP($A29,'40Trips'!$A$3:$I$42,2,FALSE), VLOOKUP(K$1,'40Trips'!$A$3:$I$42,2,FALSE)),0)</f>
        <v>0</v>
      </c>
      <c r="L29">
        <f>IF(AND(SUM(VLOOKUP($A29,'40Trips'!$A$3:$I$42,2,FALSE),VLOOKUP(L$1,'40Trips'!$A$3:$I$42,2,FALSE))&lt;'40Trips'!$K$16,$A29&lt;&gt;L$1,gamma!L29=1),SUM(VLOOKUP($A29,'40Trips'!$A$3:$I$42,2,FALSE), VLOOKUP(L$1,'40Trips'!$A$3:$I$42,2,FALSE)),0)</f>
        <v>0</v>
      </c>
      <c r="M29">
        <f>IF(AND(SUM(VLOOKUP($A29,'40Trips'!$A$3:$I$42,2,FALSE),VLOOKUP(M$1,'40Trips'!$A$3:$I$42,2,FALSE))&lt;'40Trips'!$K$16,$A29&lt;&gt;M$1,gamma!M29=1),SUM(VLOOKUP($A29,'40Trips'!$A$3:$I$42,2,FALSE), VLOOKUP(M$1,'40Trips'!$A$3:$I$42,2,FALSE)),0)</f>
        <v>0</v>
      </c>
      <c r="N29">
        <f>IF(AND(SUM(VLOOKUP($A29,'40Trips'!$A$3:$I$42,2,FALSE),VLOOKUP(N$1,'40Trips'!$A$3:$I$42,2,FALSE))&lt;'40Trips'!$K$16,$A29&lt;&gt;N$1,gamma!N29=1),SUM(VLOOKUP($A29,'40Trips'!$A$3:$I$42,2,FALSE), VLOOKUP(N$1,'40Trips'!$A$3:$I$42,2,FALSE)),0)</f>
        <v>0</v>
      </c>
      <c r="O29">
        <f>IF(AND(SUM(VLOOKUP($A29,'40Trips'!$A$3:$I$42,2,FALSE),VLOOKUP(O$1,'40Trips'!$A$3:$I$42,2,FALSE))&lt;'40Trips'!$K$16,$A29&lt;&gt;O$1,gamma!O29=1),SUM(VLOOKUP($A29,'40Trips'!$A$3:$I$42,2,FALSE), VLOOKUP(O$1,'40Trips'!$A$3:$I$42,2,FALSE)),0)</f>
        <v>0</v>
      </c>
      <c r="P29">
        <f>IF(AND(SUM(VLOOKUP($A29,'40Trips'!$A$3:$I$42,2,FALSE),VLOOKUP(P$1,'40Trips'!$A$3:$I$42,2,FALSE))&lt;'40Trips'!$K$16,$A29&lt;&gt;P$1,gamma!P29=1),SUM(VLOOKUP($A29,'40Trips'!$A$3:$I$42,2,FALSE), VLOOKUP(P$1,'40Trips'!$A$3:$I$42,2,FALSE)),0)</f>
        <v>0</v>
      </c>
      <c r="Q29">
        <f>IF(AND(SUM(VLOOKUP($A29,'40Trips'!$A$3:$I$42,2,FALSE),VLOOKUP(Q$1,'40Trips'!$A$3:$I$42,2,FALSE))&lt;'40Trips'!$K$16,$A29&lt;&gt;Q$1,gamma!Q29=1),SUM(VLOOKUP($A29,'40Trips'!$A$3:$I$42,2,FALSE), VLOOKUP(Q$1,'40Trips'!$A$3:$I$42,2,FALSE)),0)</f>
        <v>0</v>
      </c>
      <c r="R29">
        <f>IF(AND(SUM(VLOOKUP($A29,'40Trips'!$A$3:$I$42,2,FALSE),VLOOKUP(R$1,'40Trips'!$A$3:$I$42,2,FALSE))&lt;'40Trips'!$K$16,$A29&lt;&gt;R$1,gamma!R29=1),SUM(VLOOKUP($A29,'40Trips'!$A$3:$I$42,2,FALSE), VLOOKUP(R$1,'40Trips'!$A$3:$I$42,2,FALSE)),0)</f>
        <v>0</v>
      </c>
      <c r="S29">
        <f>IF(AND(SUM(VLOOKUP($A29,'40Trips'!$A$3:$I$42,2,FALSE),VLOOKUP(S$1,'40Trips'!$A$3:$I$42,2,FALSE))&lt;'40Trips'!$K$16,$A29&lt;&gt;S$1,gamma!S29=1),SUM(VLOOKUP($A29,'40Trips'!$A$3:$I$42,2,FALSE), VLOOKUP(S$1,'40Trips'!$A$3:$I$42,2,FALSE)),0)</f>
        <v>0</v>
      </c>
      <c r="T29">
        <f>IF(AND(SUM(VLOOKUP($A29,'40Trips'!$A$3:$I$42,2,FALSE),VLOOKUP(T$1,'40Trips'!$A$3:$I$42,2,FALSE))&lt;'40Trips'!$K$16,$A29&lt;&gt;T$1,gamma!T29=1),SUM(VLOOKUP($A29,'40Trips'!$A$3:$I$42,2,FALSE), VLOOKUP(T$1,'40Trips'!$A$3:$I$42,2,FALSE)),0)</f>
        <v>0</v>
      </c>
      <c r="U29">
        <f>IF(AND(SUM(VLOOKUP($A29,'40Trips'!$A$3:$I$42,2,FALSE),VLOOKUP(U$1,'40Trips'!$A$3:$I$42,2,FALSE))&lt;'40Trips'!$K$16,$A29&lt;&gt;U$1,gamma!U29=1),SUM(VLOOKUP($A29,'40Trips'!$A$3:$I$42,2,FALSE), VLOOKUP(U$1,'40Trips'!$A$3:$I$42,2,FALSE)),0)</f>
        <v>0</v>
      </c>
      <c r="V29">
        <f>IF(AND(SUM(VLOOKUP($A29,'40Trips'!$A$3:$I$42,2,FALSE),VLOOKUP(V$1,'40Trips'!$A$3:$I$42,2,FALSE))&lt;'40Trips'!$K$16,$A29&lt;&gt;V$1,gamma!V29=1),SUM(VLOOKUP($A29,'40Trips'!$A$3:$I$42,2,FALSE), VLOOKUP(V$1,'40Trips'!$A$3:$I$42,2,FALSE)),0)</f>
        <v>0</v>
      </c>
      <c r="W29">
        <f>IF(AND(SUM(VLOOKUP($A29,'40Trips'!$A$3:$I$42,2,FALSE),VLOOKUP(W$1,'40Trips'!$A$3:$I$42,2,FALSE))&lt;'40Trips'!$K$16,$A29&lt;&gt;W$1,gamma!W29=1),SUM(VLOOKUP($A29,'40Trips'!$A$3:$I$42,2,FALSE), VLOOKUP(W$1,'40Trips'!$A$3:$I$42,2,FALSE)),0)</f>
        <v>0</v>
      </c>
      <c r="X29">
        <f>IF(AND(SUM(VLOOKUP($A29,'40Trips'!$A$3:$I$42,2,FALSE),VLOOKUP(X$1,'40Trips'!$A$3:$I$42,2,FALSE))&lt;'40Trips'!$K$16,$A29&lt;&gt;X$1,gamma!X29=1),SUM(VLOOKUP($A29,'40Trips'!$A$3:$I$42,2,FALSE), VLOOKUP(X$1,'40Trips'!$A$3:$I$42,2,FALSE)),0)</f>
        <v>0</v>
      </c>
      <c r="Y29">
        <f>IF(AND(SUM(VLOOKUP($A29,'40Trips'!$A$3:$I$42,2,FALSE),VLOOKUP(Y$1,'40Trips'!$A$3:$I$42,2,FALSE))&lt;'40Trips'!$K$16,$A29&lt;&gt;Y$1,gamma!Y29=1),SUM(VLOOKUP($A29,'40Trips'!$A$3:$I$42,2,FALSE), VLOOKUP(Y$1,'40Trips'!$A$3:$I$42,2,FALSE)),0)</f>
        <v>0</v>
      </c>
      <c r="Z29">
        <f>IF(AND(SUM(VLOOKUP($A29,'40Trips'!$A$3:$I$42,2,FALSE),VLOOKUP(Z$1,'40Trips'!$A$3:$I$42,2,FALSE))&lt;'40Trips'!$K$16,$A29&lt;&gt;Z$1,gamma!Z29=1),SUM(VLOOKUP($A29,'40Trips'!$A$3:$I$42,2,FALSE), VLOOKUP(Z$1,'40Trips'!$A$3:$I$42,2,FALSE)),0)</f>
        <v>0</v>
      </c>
      <c r="AA29">
        <f>IF(AND(SUM(VLOOKUP($A29,'40Trips'!$A$3:$I$42,2,FALSE),VLOOKUP(AA$1,'40Trips'!$A$3:$I$42,2,FALSE))&lt;'40Trips'!$K$16,$A29&lt;&gt;AA$1,gamma!AA29=1),SUM(VLOOKUP($A29,'40Trips'!$A$3:$I$42,2,FALSE), VLOOKUP(AA$1,'40Trips'!$A$3:$I$42,2,FALSE)),0)</f>
        <v>0</v>
      </c>
      <c r="AB29">
        <f>IF(AND(SUM(VLOOKUP($A29,'40Trips'!$A$3:$I$42,2,FALSE),VLOOKUP(AB$1,'40Trips'!$A$3:$I$42,2,FALSE))&lt;'40Trips'!$K$16,$A29&lt;&gt;AB$1,gamma!AB29=1),SUM(VLOOKUP($A29,'40Trips'!$A$3:$I$42,2,FALSE), VLOOKUP(AB$1,'40Trips'!$A$3:$I$42,2,FALSE)),0)</f>
        <v>0</v>
      </c>
      <c r="AC29">
        <f>IF(AND(SUM(VLOOKUP($A29,'40Trips'!$A$3:$I$42,2,FALSE),VLOOKUP(AC$1,'40Trips'!$A$3:$I$42,2,FALSE))&lt;'40Trips'!$K$16,$A29&lt;&gt;AC$1,gamma!AC29=1),SUM(VLOOKUP($A29,'40Trips'!$A$3:$I$42,2,FALSE), VLOOKUP(AC$1,'40Trips'!$A$3:$I$42,2,FALSE)),0)</f>
        <v>0</v>
      </c>
      <c r="AD29">
        <f>IF(AND(SUM(VLOOKUP($A29,'40Trips'!$A$3:$I$42,2,FALSE),VLOOKUP(AD$1,'40Trips'!$A$3:$I$42,2,FALSE))&lt;'40Trips'!$K$16,$A29&lt;&gt;AD$1,gamma!AD29=1),SUM(VLOOKUP($A29,'40Trips'!$A$3:$I$42,2,FALSE), VLOOKUP(AD$1,'40Trips'!$A$3:$I$42,2,FALSE)),0)</f>
        <v>0</v>
      </c>
      <c r="AE29">
        <f>IF(AND(SUM(VLOOKUP($A29,'40Trips'!$A$3:$I$42,2,FALSE),VLOOKUP(AE$1,'40Trips'!$A$3:$I$42,2,FALSE))&lt;'40Trips'!$K$16,$A29&lt;&gt;AE$1,gamma!AE29=1),SUM(VLOOKUP($A29,'40Trips'!$A$3:$I$42,2,FALSE), VLOOKUP(AE$1,'40Trips'!$A$3:$I$42,2,FALSE)),0)</f>
        <v>0</v>
      </c>
      <c r="AF29">
        <f>IF(AND(SUM(VLOOKUP($A29,'40Trips'!$A$3:$I$42,2,FALSE),VLOOKUP(AF$1,'40Trips'!$A$3:$I$42,2,FALSE))&lt;'40Trips'!$K$16,$A29&lt;&gt;AF$1,gamma!AF29=1),SUM(VLOOKUP($A29,'40Trips'!$A$3:$I$42,2,FALSE), VLOOKUP(AF$1,'40Trips'!$A$3:$I$42,2,FALSE)),0)</f>
        <v>0</v>
      </c>
      <c r="AG29">
        <f>IF(AND(SUM(VLOOKUP($A29,'40Trips'!$A$3:$I$42,2,FALSE),VLOOKUP(AG$1,'40Trips'!$A$3:$I$42,2,FALSE))&lt;'40Trips'!$K$16,$A29&lt;&gt;AG$1,gamma!AG29=1),SUM(VLOOKUP($A29,'40Trips'!$A$3:$I$42,2,FALSE), VLOOKUP(AG$1,'40Trips'!$A$3:$I$42,2,FALSE)),0)</f>
        <v>0</v>
      </c>
      <c r="AH29">
        <f>IF(AND(SUM(VLOOKUP($A29,'40Trips'!$A$3:$I$42,2,FALSE),VLOOKUP(AH$1,'40Trips'!$A$3:$I$42,2,FALSE))&lt;'40Trips'!$K$16,$A29&lt;&gt;AH$1,gamma!AH29=1),SUM(VLOOKUP($A29,'40Trips'!$A$3:$I$42,2,FALSE), VLOOKUP(AH$1,'40Trips'!$A$3:$I$42,2,FALSE)),0)</f>
        <v>0</v>
      </c>
      <c r="AI29">
        <f>IF(AND(SUM(VLOOKUP($A29,'40Trips'!$A$3:$I$42,2,FALSE),VLOOKUP(AI$1,'40Trips'!$A$3:$I$42,2,FALSE))&lt;'40Trips'!$K$16,$A29&lt;&gt;AI$1,gamma!AI29=1),SUM(VLOOKUP($A29,'40Trips'!$A$3:$I$42,2,FALSE), VLOOKUP(AI$1,'40Trips'!$A$3:$I$42,2,FALSE)),0)</f>
        <v>0</v>
      </c>
      <c r="AJ29">
        <f>IF(AND(SUM(VLOOKUP($A29,'40Trips'!$A$3:$I$42,2,FALSE),VLOOKUP(AJ$1,'40Trips'!$A$3:$I$42,2,FALSE))&lt;'40Trips'!$K$16,$A29&lt;&gt;AJ$1,gamma!AJ29=1),SUM(VLOOKUP($A29,'40Trips'!$A$3:$I$42,2,FALSE), VLOOKUP(AJ$1,'40Trips'!$A$3:$I$42,2,FALSE)),0)</f>
        <v>0</v>
      </c>
      <c r="AK29">
        <f>IF(AND(SUM(VLOOKUP($A29,'40Trips'!$A$3:$I$42,2,FALSE),VLOOKUP(AK$1,'40Trips'!$A$3:$I$42,2,FALSE))&lt;'40Trips'!$K$16,$A29&lt;&gt;AK$1,gamma!AK29=1),SUM(VLOOKUP($A29,'40Trips'!$A$3:$I$42,2,FALSE), VLOOKUP(AK$1,'40Trips'!$A$3:$I$42,2,FALSE)),0)</f>
        <v>0</v>
      </c>
      <c r="AL29">
        <f>IF(AND(SUM(VLOOKUP($A29,'40Trips'!$A$3:$I$42,2,FALSE),VLOOKUP(AL$1,'40Trips'!$A$3:$I$42,2,FALSE))&lt;'40Trips'!$K$16,$A29&lt;&gt;AL$1,gamma!AL29=1),SUM(VLOOKUP($A29,'40Trips'!$A$3:$I$42,2,FALSE), VLOOKUP(AL$1,'40Trips'!$A$3:$I$42,2,FALSE)),0)</f>
        <v>0</v>
      </c>
      <c r="AM29">
        <f>IF(AND(SUM(VLOOKUP($A29,'40Trips'!$A$3:$I$42,2,FALSE),VLOOKUP(AM$1,'40Trips'!$A$3:$I$42,2,FALSE))&lt;'40Trips'!$K$16,$A29&lt;&gt;AM$1,gamma!AM29=1),SUM(VLOOKUP($A29,'40Trips'!$A$3:$I$42,2,FALSE), VLOOKUP(AM$1,'40Trips'!$A$3:$I$42,2,FALSE)),0)</f>
        <v>0</v>
      </c>
      <c r="AN29">
        <f>IF(AND(SUM(VLOOKUP($A29,'40Trips'!$A$3:$I$42,2,FALSE),VLOOKUP(AN$1,'40Trips'!$A$3:$I$42,2,FALSE))&lt;'40Trips'!$K$16,$A29&lt;&gt;AN$1,gamma!AN29=1),SUM(VLOOKUP($A29,'40Trips'!$A$3:$I$42,2,FALSE), VLOOKUP(AN$1,'40Trips'!$A$3:$I$42,2,FALSE)),0)</f>
        <v>0</v>
      </c>
      <c r="AO29">
        <f>IF(AND(SUM(VLOOKUP($A29,'40Trips'!$A$3:$I$42,2,FALSE),VLOOKUP(AO$1,'40Trips'!$A$3:$I$42,2,FALSE))&lt;'40Trips'!$K$16,$A29&lt;&gt;AO$1,gamma!AO29=1),SUM(VLOOKUP($A29,'40Trips'!$A$3:$I$42,2,FALSE), VLOOKUP(AO$1,'40Trips'!$A$3:$I$42,2,FALSE)),0)</f>
        <v>0</v>
      </c>
      <c r="AP29">
        <f>IF(AND(SUM(VLOOKUP($A29,'40Trips'!$A$3:$I$42,2,FALSE),VLOOKUP(AP$1,'40Trips'!$A$3:$I$42,2,FALSE))&lt;'40Trips'!$K$16,$A29&lt;&gt;AP$1,gamma!AP29=1),SUM(VLOOKUP($A29,'40Trips'!$A$3:$I$42,2,FALSE), VLOOKUP(AP$1,'40Trips'!$A$3:$I$42,2,FALSE)),0)</f>
        <v>0</v>
      </c>
      <c r="AQ29">
        <v>0</v>
      </c>
      <c r="AR29">
        <v>0</v>
      </c>
      <c r="AS29">
        <v>0</v>
      </c>
      <c r="AT29">
        <v>0</v>
      </c>
    </row>
    <row r="30" spans="1:46" x14ac:dyDescent="0.25">
      <c r="A30" t="s">
        <v>82</v>
      </c>
      <c r="B30">
        <v>0</v>
      </c>
      <c r="C30">
        <f>IF(AND(SUM(VLOOKUP($A30,'40Trips'!$A$3:$I$42,2,FALSE),VLOOKUP(C$1,'40Trips'!$A$3:$I$42,2,FALSE))&lt;'40Trips'!$K$16,$A30&lt;&gt;C$1,gamma!C30=1),SUM(VLOOKUP($A30,'40Trips'!$A$3:$I$42,2,FALSE), VLOOKUP(C$1,'40Trips'!$A$3:$I$42,2,FALSE)),0)</f>
        <v>0</v>
      </c>
      <c r="D30">
        <f>IF(AND(SUM(VLOOKUP($A30,'40Trips'!$A$3:$I$42,2,FALSE),VLOOKUP(D$1,'40Trips'!$A$3:$I$42,2,FALSE))&lt;'40Trips'!$K$16,$A30&lt;&gt;D$1,gamma!D30=1),SUM(VLOOKUP($A30,'40Trips'!$A$3:$I$42,2,FALSE), VLOOKUP(D$1,'40Trips'!$A$3:$I$42,2,FALSE)),0)</f>
        <v>0</v>
      </c>
      <c r="E30">
        <f>IF(AND(SUM(VLOOKUP($A30,'40Trips'!$A$3:$I$42,2,FALSE),VLOOKUP(E$1,'40Trips'!$A$3:$I$42,2,FALSE))&lt;'40Trips'!$K$16,$A30&lt;&gt;E$1,gamma!E30=1),SUM(VLOOKUP($A30,'40Trips'!$A$3:$I$42,2,FALSE), VLOOKUP(E$1,'40Trips'!$A$3:$I$42,2,FALSE)),0)</f>
        <v>0</v>
      </c>
      <c r="F30">
        <f>IF(AND(SUM(VLOOKUP($A30,'40Trips'!$A$3:$I$42,2,FALSE),VLOOKUP(F$1,'40Trips'!$A$3:$I$42,2,FALSE))&lt;'40Trips'!$K$16,$A30&lt;&gt;F$1,gamma!F30=1),SUM(VLOOKUP($A30,'40Trips'!$A$3:$I$42,2,FALSE), VLOOKUP(F$1,'40Trips'!$A$3:$I$42,2,FALSE)),0)</f>
        <v>0</v>
      </c>
      <c r="G30">
        <f>IF(AND(SUM(VLOOKUP($A30,'40Trips'!$A$3:$I$42,2,FALSE),VLOOKUP(G$1,'40Trips'!$A$3:$I$42,2,FALSE))&lt;'40Trips'!$K$16,$A30&lt;&gt;G$1,gamma!G30=1),SUM(VLOOKUP($A30,'40Trips'!$A$3:$I$42,2,FALSE), VLOOKUP(G$1,'40Trips'!$A$3:$I$42,2,FALSE)),0)</f>
        <v>0</v>
      </c>
      <c r="H30">
        <f>IF(AND(SUM(VLOOKUP($A30,'40Trips'!$A$3:$I$42,2,FALSE),VLOOKUP(H$1,'40Trips'!$A$3:$I$42,2,FALSE))&lt;'40Trips'!$K$16,$A30&lt;&gt;H$1,gamma!H30=1),SUM(VLOOKUP($A30,'40Trips'!$A$3:$I$42,2,FALSE), VLOOKUP(H$1,'40Trips'!$A$3:$I$42,2,FALSE)),0)</f>
        <v>0</v>
      </c>
      <c r="I30">
        <f>IF(AND(SUM(VLOOKUP($A30,'40Trips'!$A$3:$I$42,2,FALSE),VLOOKUP(I$1,'40Trips'!$A$3:$I$42,2,FALSE))&lt;'40Trips'!$K$16,$A30&lt;&gt;I$1,gamma!I30=1),SUM(VLOOKUP($A30,'40Trips'!$A$3:$I$42,2,FALSE), VLOOKUP(I$1,'40Trips'!$A$3:$I$42,2,FALSE)),0)</f>
        <v>0</v>
      </c>
      <c r="J30">
        <f>IF(AND(SUM(VLOOKUP($A30,'40Trips'!$A$3:$I$42,2,FALSE),VLOOKUP(J$1,'40Trips'!$A$3:$I$42,2,FALSE))&lt;'40Trips'!$K$16,$A30&lt;&gt;J$1,gamma!J30=1),SUM(VLOOKUP($A30,'40Trips'!$A$3:$I$42,2,FALSE), VLOOKUP(J$1,'40Trips'!$A$3:$I$42,2,FALSE)),0)</f>
        <v>270</v>
      </c>
      <c r="K30">
        <f>IF(AND(SUM(VLOOKUP($A30,'40Trips'!$A$3:$I$42,2,FALSE),VLOOKUP(K$1,'40Trips'!$A$3:$I$42,2,FALSE))&lt;'40Trips'!$K$16,$A30&lt;&gt;K$1,gamma!K30=1),SUM(VLOOKUP($A30,'40Trips'!$A$3:$I$42,2,FALSE), VLOOKUP(K$1,'40Trips'!$A$3:$I$42,2,FALSE)),0)</f>
        <v>0</v>
      </c>
      <c r="L30">
        <f>IF(AND(SUM(VLOOKUP($A30,'40Trips'!$A$3:$I$42,2,FALSE),VLOOKUP(L$1,'40Trips'!$A$3:$I$42,2,FALSE))&lt;'40Trips'!$K$16,$A30&lt;&gt;L$1,gamma!L30=1),SUM(VLOOKUP($A30,'40Trips'!$A$3:$I$42,2,FALSE), VLOOKUP(L$1,'40Trips'!$A$3:$I$42,2,FALSE)),0)</f>
        <v>0</v>
      </c>
      <c r="M30">
        <f>IF(AND(SUM(VLOOKUP($A30,'40Trips'!$A$3:$I$42,2,FALSE),VLOOKUP(M$1,'40Trips'!$A$3:$I$42,2,FALSE))&lt;'40Trips'!$K$16,$A30&lt;&gt;M$1,gamma!M30=1),SUM(VLOOKUP($A30,'40Trips'!$A$3:$I$42,2,FALSE), VLOOKUP(M$1,'40Trips'!$A$3:$I$42,2,FALSE)),0)</f>
        <v>0</v>
      </c>
      <c r="N30">
        <f>IF(AND(SUM(VLOOKUP($A30,'40Trips'!$A$3:$I$42,2,FALSE),VLOOKUP(N$1,'40Trips'!$A$3:$I$42,2,FALSE))&lt;'40Trips'!$K$16,$A30&lt;&gt;N$1,gamma!N30=1),SUM(VLOOKUP($A30,'40Trips'!$A$3:$I$42,2,FALSE), VLOOKUP(N$1,'40Trips'!$A$3:$I$42,2,FALSE)),0)</f>
        <v>0</v>
      </c>
      <c r="O30">
        <f>IF(AND(SUM(VLOOKUP($A30,'40Trips'!$A$3:$I$42,2,FALSE),VLOOKUP(O$1,'40Trips'!$A$3:$I$42,2,FALSE))&lt;'40Trips'!$K$16,$A30&lt;&gt;O$1,gamma!O30=1),SUM(VLOOKUP($A30,'40Trips'!$A$3:$I$42,2,FALSE), VLOOKUP(O$1,'40Trips'!$A$3:$I$42,2,FALSE)),0)</f>
        <v>0</v>
      </c>
      <c r="P30">
        <f>IF(AND(SUM(VLOOKUP($A30,'40Trips'!$A$3:$I$42,2,FALSE),VLOOKUP(P$1,'40Trips'!$A$3:$I$42,2,FALSE))&lt;'40Trips'!$K$16,$A30&lt;&gt;P$1,gamma!P30=1),SUM(VLOOKUP($A30,'40Trips'!$A$3:$I$42,2,FALSE), VLOOKUP(P$1,'40Trips'!$A$3:$I$42,2,FALSE)),0)</f>
        <v>0</v>
      </c>
      <c r="Q30">
        <f>IF(AND(SUM(VLOOKUP($A30,'40Trips'!$A$3:$I$42,2,FALSE),VLOOKUP(Q$1,'40Trips'!$A$3:$I$42,2,FALSE))&lt;'40Trips'!$K$16,$A30&lt;&gt;Q$1,gamma!Q30=1),SUM(VLOOKUP($A30,'40Trips'!$A$3:$I$42,2,FALSE), VLOOKUP(Q$1,'40Trips'!$A$3:$I$42,2,FALSE)),0)</f>
        <v>0</v>
      </c>
      <c r="R30">
        <f>IF(AND(SUM(VLOOKUP($A30,'40Trips'!$A$3:$I$42,2,FALSE),VLOOKUP(R$1,'40Trips'!$A$3:$I$42,2,FALSE))&lt;'40Trips'!$K$16,$A30&lt;&gt;R$1,gamma!R30=1),SUM(VLOOKUP($A30,'40Trips'!$A$3:$I$42,2,FALSE), VLOOKUP(R$1,'40Trips'!$A$3:$I$42,2,FALSE)),0)</f>
        <v>0</v>
      </c>
      <c r="S30">
        <f>IF(AND(SUM(VLOOKUP($A30,'40Trips'!$A$3:$I$42,2,FALSE),VLOOKUP(S$1,'40Trips'!$A$3:$I$42,2,FALSE))&lt;'40Trips'!$K$16,$A30&lt;&gt;S$1,gamma!S30=1),SUM(VLOOKUP($A30,'40Trips'!$A$3:$I$42,2,FALSE), VLOOKUP(S$1,'40Trips'!$A$3:$I$42,2,FALSE)),0)</f>
        <v>0</v>
      </c>
      <c r="T30">
        <f>IF(AND(SUM(VLOOKUP($A30,'40Trips'!$A$3:$I$42,2,FALSE),VLOOKUP(T$1,'40Trips'!$A$3:$I$42,2,FALSE))&lt;'40Trips'!$K$16,$A30&lt;&gt;T$1,gamma!T30=1),SUM(VLOOKUP($A30,'40Trips'!$A$3:$I$42,2,FALSE), VLOOKUP(T$1,'40Trips'!$A$3:$I$42,2,FALSE)),0)</f>
        <v>0</v>
      </c>
      <c r="U30">
        <f>IF(AND(SUM(VLOOKUP($A30,'40Trips'!$A$3:$I$42,2,FALSE),VLOOKUP(U$1,'40Trips'!$A$3:$I$42,2,FALSE))&lt;'40Trips'!$K$16,$A30&lt;&gt;U$1,gamma!U30=1),SUM(VLOOKUP($A30,'40Trips'!$A$3:$I$42,2,FALSE), VLOOKUP(U$1,'40Trips'!$A$3:$I$42,2,FALSE)),0)</f>
        <v>0</v>
      </c>
      <c r="V30">
        <f>IF(AND(SUM(VLOOKUP($A30,'40Trips'!$A$3:$I$42,2,FALSE),VLOOKUP(V$1,'40Trips'!$A$3:$I$42,2,FALSE))&lt;'40Trips'!$K$16,$A30&lt;&gt;V$1,gamma!V30=1),SUM(VLOOKUP($A30,'40Trips'!$A$3:$I$42,2,FALSE), VLOOKUP(V$1,'40Trips'!$A$3:$I$42,2,FALSE)),0)</f>
        <v>0</v>
      </c>
      <c r="W30">
        <f>IF(AND(SUM(VLOOKUP($A30,'40Trips'!$A$3:$I$42,2,FALSE),VLOOKUP(W$1,'40Trips'!$A$3:$I$42,2,FALSE))&lt;'40Trips'!$K$16,$A30&lt;&gt;W$1,gamma!W30=1),SUM(VLOOKUP($A30,'40Trips'!$A$3:$I$42,2,FALSE), VLOOKUP(W$1,'40Trips'!$A$3:$I$42,2,FALSE)),0)</f>
        <v>0</v>
      </c>
      <c r="X30">
        <f>IF(AND(SUM(VLOOKUP($A30,'40Trips'!$A$3:$I$42,2,FALSE),VLOOKUP(X$1,'40Trips'!$A$3:$I$42,2,FALSE))&lt;'40Trips'!$K$16,$A30&lt;&gt;X$1,gamma!X30=1),SUM(VLOOKUP($A30,'40Trips'!$A$3:$I$42,2,FALSE), VLOOKUP(X$1,'40Trips'!$A$3:$I$42,2,FALSE)),0)</f>
        <v>0</v>
      </c>
      <c r="Y30">
        <f>IF(AND(SUM(VLOOKUP($A30,'40Trips'!$A$3:$I$42,2,FALSE),VLOOKUP(Y$1,'40Trips'!$A$3:$I$42,2,FALSE))&lt;'40Trips'!$K$16,$A30&lt;&gt;Y$1,gamma!Y30=1),SUM(VLOOKUP($A30,'40Trips'!$A$3:$I$42,2,FALSE), VLOOKUP(Y$1,'40Trips'!$A$3:$I$42,2,FALSE)),0)</f>
        <v>0</v>
      </c>
      <c r="Z30">
        <f>IF(AND(SUM(VLOOKUP($A30,'40Trips'!$A$3:$I$42,2,FALSE),VLOOKUP(Z$1,'40Trips'!$A$3:$I$42,2,FALSE))&lt;'40Trips'!$K$16,$A30&lt;&gt;Z$1,gamma!Z30=1),SUM(VLOOKUP($A30,'40Trips'!$A$3:$I$42,2,FALSE), VLOOKUP(Z$1,'40Trips'!$A$3:$I$42,2,FALSE)),0)</f>
        <v>0</v>
      </c>
      <c r="AA30">
        <f>IF(AND(SUM(VLOOKUP($A30,'40Trips'!$A$3:$I$42,2,FALSE),VLOOKUP(AA$1,'40Trips'!$A$3:$I$42,2,FALSE))&lt;'40Trips'!$K$16,$A30&lt;&gt;AA$1,gamma!AA30=1),SUM(VLOOKUP($A30,'40Trips'!$A$3:$I$42,2,FALSE), VLOOKUP(AA$1,'40Trips'!$A$3:$I$42,2,FALSE)),0)</f>
        <v>0</v>
      </c>
      <c r="AB30">
        <f>IF(AND(SUM(VLOOKUP($A30,'40Trips'!$A$3:$I$42,2,FALSE),VLOOKUP(AB$1,'40Trips'!$A$3:$I$42,2,FALSE))&lt;'40Trips'!$K$16,$A30&lt;&gt;AB$1,gamma!AB30=1),SUM(VLOOKUP($A30,'40Trips'!$A$3:$I$42,2,FALSE), VLOOKUP(AB$1,'40Trips'!$A$3:$I$42,2,FALSE)),0)</f>
        <v>0</v>
      </c>
      <c r="AC30">
        <f>IF(AND(SUM(VLOOKUP($A30,'40Trips'!$A$3:$I$42,2,FALSE),VLOOKUP(AC$1,'40Trips'!$A$3:$I$42,2,FALSE))&lt;'40Trips'!$K$16,$A30&lt;&gt;AC$1,gamma!AC30=1),SUM(VLOOKUP($A30,'40Trips'!$A$3:$I$42,2,FALSE), VLOOKUP(AC$1,'40Trips'!$A$3:$I$42,2,FALSE)),0)</f>
        <v>0</v>
      </c>
      <c r="AD30">
        <f>IF(AND(SUM(VLOOKUP($A30,'40Trips'!$A$3:$I$42,2,FALSE),VLOOKUP(AD$1,'40Trips'!$A$3:$I$42,2,FALSE))&lt;'40Trips'!$K$16,$A30&lt;&gt;AD$1,gamma!AD30=1),SUM(VLOOKUP($A30,'40Trips'!$A$3:$I$42,2,FALSE), VLOOKUP(AD$1,'40Trips'!$A$3:$I$42,2,FALSE)),0)</f>
        <v>0</v>
      </c>
      <c r="AE30">
        <f>IF(AND(SUM(VLOOKUP($A30,'40Trips'!$A$3:$I$42,2,FALSE),VLOOKUP(AE$1,'40Trips'!$A$3:$I$42,2,FALSE))&lt;'40Trips'!$K$16,$A30&lt;&gt;AE$1,gamma!AE30=1),SUM(VLOOKUP($A30,'40Trips'!$A$3:$I$42,2,FALSE), VLOOKUP(AE$1,'40Trips'!$A$3:$I$42,2,FALSE)),0)</f>
        <v>0</v>
      </c>
      <c r="AF30">
        <f>IF(AND(SUM(VLOOKUP($A30,'40Trips'!$A$3:$I$42,2,FALSE),VLOOKUP(AF$1,'40Trips'!$A$3:$I$42,2,FALSE))&lt;'40Trips'!$K$16,$A30&lt;&gt;AF$1,gamma!AF30=1),SUM(VLOOKUP($A30,'40Trips'!$A$3:$I$42,2,FALSE), VLOOKUP(AF$1,'40Trips'!$A$3:$I$42,2,FALSE)),0)</f>
        <v>0</v>
      </c>
      <c r="AG30">
        <f>IF(AND(SUM(VLOOKUP($A30,'40Trips'!$A$3:$I$42,2,FALSE),VLOOKUP(AG$1,'40Trips'!$A$3:$I$42,2,FALSE))&lt;'40Trips'!$K$16,$A30&lt;&gt;AG$1,gamma!AG30=1),SUM(VLOOKUP($A30,'40Trips'!$A$3:$I$42,2,FALSE), VLOOKUP(AG$1,'40Trips'!$A$3:$I$42,2,FALSE)),0)</f>
        <v>0</v>
      </c>
      <c r="AH30">
        <f>IF(AND(SUM(VLOOKUP($A30,'40Trips'!$A$3:$I$42,2,FALSE),VLOOKUP(AH$1,'40Trips'!$A$3:$I$42,2,FALSE))&lt;'40Trips'!$K$16,$A30&lt;&gt;AH$1,gamma!AH30=1),SUM(VLOOKUP($A30,'40Trips'!$A$3:$I$42,2,FALSE), VLOOKUP(AH$1,'40Trips'!$A$3:$I$42,2,FALSE)),0)</f>
        <v>0</v>
      </c>
      <c r="AI30">
        <f>IF(AND(SUM(VLOOKUP($A30,'40Trips'!$A$3:$I$42,2,FALSE),VLOOKUP(AI$1,'40Trips'!$A$3:$I$42,2,FALSE))&lt;'40Trips'!$K$16,$A30&lt;&gt;AI$1,gamma!AI30=1),SUM(VLOOKUP($A30,'40Trips'!$A$3:$I$42,2,FALSE), VLOOKUP(AI$1,'40Trips'!$A$3:$I$42,2,FALSE)),0)</f>
        <v>0</v>
      </c>
      <c r="AJ30">
        <f>IF(AND(SUM(VLOOKUP($A30,'40Trips'!$A$3:$I$42,2,FALSE),VLOOKUP(AJ$1,'40Trips'!$A$3:$I$42,2,FALSE))&lt;'40Trips'!$K$16,$A30&lt;&gt;AJ$1,gamma!AJ30=1),SUM(VLOOKUP($A30,'40Trips'!$A$3:$I$42,2,FALSE), VLOOKUP(AJ$1,'40Trips'!$A$3:$I$42,2,FALSE)),0)</f>
        <v>0</v>
      </c>
      <c r="AK30">
        <f>IF(AND(SUM(VLOOKUP($A30,'40Trips'!$A$3:$I$42,2,FALSE),VLOOKUP(AK$1,'40Trips'!$A$3:$I$42,2,FALSE))&lt;'40Trips'!$K$16,$A30&lt;&gt;AK$1,gamma!AK30=1),SUM(VLOOKUP($A30,'40Trips'!$A$3:$I$42,2,FALSE), VLOOKUP(AK$1,'40Trips'!$A$3:$I$42,2,FALSE)),0)</f>
        <v>0</v>
      </c>
      <c r="AL30">
        <f>IF(AND(SUM(VLOOKUP($A30,'40Trips'!$A$3:$I$42,2,FALSE),VLOOKUP(AL$1,'40Trips'!$A$3:$I$42,2,FALSE))&lt;'40Trips'!$K$16,$A30&lt;&gt;AL$1,gamma!AL30=1),SUM(VLOOKUP($A30,'40Trips'!$A$3:$I$42,2,FALSE), VLOOKUP(AL$1,'40Trips'!$A$3:$I$42,2,FALSE)),0)</f>
        <v>0</v>
      </c>
      <c r="AM30">
        <f>IF(AND(SUM(VLOOKUP($A30,'40Trips'!$A$3:$I$42,2,FALSE),VLOOKUP(AM$1,'40Trips'!$A$3:$I$42,2,FALSE))&lt;'40Trips'!$K$16,$A30&lt;&gt;AM$1,gamma!AM30=1),SUM(VLOOKUP($A30,'40Trips'!$A$3:$I$42,2,FALSE), VLOOKUP(AM$1,'40Trips'!$A$3:$I$42,2,FALSE)),0)</f>
        <v>0</v>
      </c>
      <c r="AN30">
        <f>IF(AND(SUM(VLOOKUP($A30,'40Trips'!$A$3:$I$42,2,FALSE),VLOOKUP(AN$1,'40Trips'!$A$3:$I$42,2,FALSE))&lt;'40Trips'!$K$16,$A30&lt;&gt;AN$1,gamma!AN30=1),SUM(VLOOKUP($A30,'40Trips'!$A$3:$I$42,2,FALSE), VLOOKUP(AN$1,'40Trips'!$A$3:$I$42,2,FALSE)),0)</f>
        <v>0</v>
      </c>
      <c r="AO30">
        <f>IF(AND(SUM(VLOOKUP($A30,'40Trips'!$A$3:$I$42,2,FALSE),VLOOKUP(AO$1,'40Trips'!$A$3:$I$42,2,FALSE))&lt;'40Trips'!$K$16,$A30&lt;&gt;AO$1,gamma!AO30=1),SUM(VLOOKUP($A30,'40Trips'!$A$3:$I$42,2,FALSE), VLOOKUP(AO$1,'40Trips'!$A$3:$I$42,2,FALSE)),0)</f>
        <v>0</v>
      </c>
      <c r="AP30">
        <f>IF(AND(SUM(VLOOKUP($A30,'40Trips'!$A$3:$I$42,2,FALSE),VLOOKUP(AP$1,'40Trips'!$A$3:$I$42,2,FALSE))&lt;'40Trips'!$K$16,$A30&lt;&gt;AP$1,gamma!AP30=1),SUM(VLOOKUP($A30,'40Trips'!$A$3:$I$42,2,FALSE), VLOOKUP(AP$1,'40Trips'!$A$3:$I$42,2,FALSE)),0)</f>
        <v>0</v>
      </c>
      <c r="AQ30">
        <v>0</v>
      </c>
      <c r="AR30">
        <v>0</v>
      </c>
      <c r="AS30">
        <v>0</v>
      </c>
      <c r="AT30">
        <v>0</v>
      </c>
    </row>
    <row r="31" spans="1:46" x14ac:dyDescent="0.25">
      <c r="A31" t="s">
        <v>39</v>
      </c>
      <c r="B31">
        <v>0</v>
      </c>
      <c r="C31">
        <f>IF(AND(SUM(VLOOKUP($A31,'40Trips'!$A$3:$I$42,2,FALSE),VLOOKUP(C$1,'40Trips'!$A$3:$I$42,2,FALSE))&lt;'40Trips'!$K$16,$A31&lt;&gt;C$1,gamma!C31=1),SUM(VLOOKUP($A31,'40Trips'!$A$3:$I$42,2,FALSE), VLOOKUP(C$1,'40Trips'!$A$3:$I$42,2,FALSE)),0)</f>
        <v>0</v>
      </c>
      <c r="D31">
        <f>IF(AND(SUM(VLOOKUP($A31,'40Trips'!$A$3:$I$42,2,FALSE),VLOOKUP(D$1,'40Trips'!$A$3:$I$42,2,FALSE))&lt;'40Trips'!$K$16,$A31&lt;&gt;D$1,gamma!D31=1),SUM(VLOOKUP($A31,'40Trips'!$A$3:$I$42,2,FALSE), VLOOKUP(D$1,'40Trips'!$A$3:$I$42,2,FALSE)),0)</f>
        <v>275</v>
      </c>
      <c r="E31">
        <f>IF(AND(SUM(VLOOKUP($A31,'40Trips'!$A$3:$I$42,2,FALSE),VLOOKUP(E$1,'40Trips'!$A$3:$I$42,2,FALSE))&lt;'40Trips'!$K$16,$A31&lt;&gt;E$1,gamma!E31=1),SUM(VLOOKUP($A31,'40Trips'!$A$3:$I$42,2,FALSE), VLOOKUP(E$1,'40Trips'!$A$3:$I$42,2,FALSE)),0)</f>
        <v>275</v>
      </c>
      <c r="F31">
        <f>IF(AND(SUM(VLOOKUP($A31,'40Trips'!$A$3:$I$42,2,FALSE),VLOOKUP(F$1,'40Trips'!$A$3:$I$42,2,FALSE))&lt;'40Trips'!$K$16,$A31&lt;&gt;F$1,gamma!F31=1),SUM(VLOOKUP($A31,'40Trips'!$A$3:$I$42,2,FALSE), VLOOKUP(F$1,'40Trips'!$A$3:$I$42,2,FALSE)),0)</f>
        <v>275</v>
      </c>
      <c r="G31">
        <f>IF(AND(SUM(VLOOKUP($A31,'40Trips'!$A$3:$I$42,2,FALSE),VLOOKUP(G$1,'40Trips'!$A$3:$I$42,2,FALSE))&lt;'40Trips'!$K$16,$A31&lt;&gt;G$1,gamma!G31=1),SUM(VLOOKUP($A31,'40Trips'!$A$3:$I$42,2,FALSE), VLOOKUP(G$1,'40Trips'!$A$3:$I$42,2,FALSE)),0)</f>
        <v>0</v>
      </c>
      <c r="H31">
        <f>IF(AND(SUM(VLOOKUP($A31,'40Trips'!$A$3:$I$42,2,FALSE),VLOOKUP(H$1,'40Trips'!$A$3:$I$42,2,FALSE))&lt;'40Trips'!$K$16,$A31&lt;&gt;H$1,gamma!H31=1),SUM(VLOOKUP($A31,'40Trips'!$A$3:$I$42,2,FALSE), VLOOKUP(H$1,'40Trips'!$A$3:$I$42,2,FALSE)),0)</f>
        <v>280</v>
      </c>
      <c r="I31">
        <f>IF(AND(SUM(VLOOKUP($A31,'40Trips'!$A$3:$I$42,2,FALSE),VLOOKUP(I$1,'40Trips'!$A$3:$I$42,2,FALSE))&lt;'40Trips'!$K$16,$A31&lt;&gt;I$1,gamma!I31=1),SUM(VLOOKUP($A31,'40Trips'!$A$3:$I$42,2,FALSE), VLOOKUP(I$1,'40Trips'!$A$3:$I$42,2,FALSE)),0)</f>
        <v>280</v>
      </c>
      <c r="J31">
        <f>IF(AND(SUM(VLOOKUP($A31,'40Trips'!$A$3:$I$42,2,FALSE),VLOOKUP(J$1,'40Trips'!$A$3:$I$42,2,FALSE))&lt;'40Trips'!$K$16,$A31&lt;&gt;J$1,gamma!J31=1),SUM(VLOOKUP($A31,'40Trips'!$A$3:$I$42,2,FALSE), VLOOKUP(J$1,'40Trips'!$A$3:$I$42,2,FALSE)),0)</f>
        <v>280</v>
      </c>
      <c r="K31">
        <f>IF(AND(SUM(VLOOKUP($A31,'40Trips'!$A$3:$I$42,2,FALSE),VLOOKUP(K$1,'40Trips'!$A$3:$I$42,2,FALSE))&lt;'40Trips'!$K$16,$A31&lt;&gt;K$1,gamma!K31=1),SUM(VLOOKUP($A31,'40Trips'!$A$3:$I$42,2,FALSE), VLOOKUP(K$1,'40Trips'!$A$3:$I$42,2,FALSE)),0)</f>
        <v>0</v>
      </c>
      <c r="L31">
        <f>IF(AND(SUM(VLOOKUP($A31,'40Trips'!$A$3:$I$42,2,FALSE),VLOOKUP(L$1,'40Trips'!$A$3:$I$42,2,FALSE))&lt;'40Trips'!$K$16,$A31&lt;&gt;L$1,gamma!L31=1),SUM(VLOOKUP($A31,'40Trips'!$A$3:$I$42,2,FALSE), VLOOKUP(L$1,'40Trips'!$A$3:$I$42,2,FALSE)),0)</f>
        <v>280</v>
      </c>
      <c r="M31">
        <f>IF(AND(SUM(VLOOKUP($A31,'40Trips'!$A$3:$I$42,2,FALSE),VLOOKUP(M$1,'40Trips'!$A$3:$I$42,2,FALSE))&lt;'40Trips'!$K$16,$A31&lt;&gt;M$1,gamma!M31=1),SUM(VLOOKUP($A31,'40Trips'!$A$3:$I$42,2,FALSE), VLOOKUP(M$1,'40Trips'!$A$3:$I$42,2,FALSE)),0)</f>
        <v>275</v>
      </c>
      <c r="N31">
        <f>IF(AND(SUM(VLOOKUP($A31,'40Trips'!$A$3:$I$42,2,FALSE),VLOOKUP(N$1,'40Trips'!$A$3:$I$42,2,FALSE))&lt;'40Trips'!$K$16,$A31&lt;&gt;N$1,gamma!N31=1),SUM(VLOOKUP($A31,'40Trips'!$A$3:$I$42,2,FALSE), VLOOKUP(N$1,'40Trips'!$A$3:$I$42,2,FALSE)),0)</f>
        <v>0</v>
      </c>
      <c r="O31">
        <f>IF(AND(SUM(VLOOKUP($A31,'40Trips'!$A$3:$I$42,2,FALSE),VLOOKUP(O$1,'40Trips'!$A$3:$I$42,2,FALSE))&lt;'40Trips'!$K$16,$A31&lt;&gt;O$1,gamma!O31=1),SUM(VLOOKUP($A31,'40Trips'!$A$3:$I$42,2,FALSE), VLOOKUP(O$1,'40Trips'!$A$3:$I$42,2,FALSE)),0)</f>
        <v>275</v>
      </c>
      <c r="P31">
        <f>IF(AND(SUM(VLOOKUP($A31,'40Trips'!$A$3:$I$42,2,FALSE),VLOOKUP(P$1,'40Trips'!$A$3:$I$42,2,FALSE))&lt;'40Trips'!$K$16,$A31&lt;&gt;P$1,gamma!P31=1),SUM(VLOOKUP($A31,'40Trips'!$A$3:$I$42,2,FALSE), VLOOKUP(P$1,'40Trips'!$A$3:$I$42,2,FALSE)),0)</f>
        <v>275</v>
      </c>
      <c r="Q31">
        <f>IF(AND(SUM(VLOOKUP($A31,'40Trips'!$A$3:$I$42,2,FALSE),VLOOKUP(Q$1,'40Trips'!$A$3:$I$42,2,FALSE))&lt;'40Trips'!$K$16,$A31&lt;&gt;Q$1,gamma!Q31=1),SUM(VLOOKUP($A31,'40Trips'!$A$3:$I$42,2,FALSE), VLOOKUP(Q$1,'40Trips'!$A$3:$I$42,2,FALSE)),0)</f>
        <v>275</v>
      </c>
      <c r="R31">
        <f>IF(AND(SUM(VLOOKUP($A31,'40Trips'!$A$3:$I$42,2,FALSE),VLOOKUP(R$1,'40Trips'!$A$3:$I$42,2,FALSE))&lt;'40Trips'!$K$16,$A31&lt;&gt;R$1,gamma!R31=1),SUM(VLOOKUP($A31,'40Trips'!$A$3:$I$42,2,FALSE), VLOOKUP(R$1,'40Trips'!$A$3:$I$42,2,FALSE)),0)</f>
        <v>275</v>
      </c>
      <c r="S31">
        <f>IF(AND(SUM(VLOOKUP($A31,'40Trips'!$A$3:$I$42,2,FALSE),VLOOKUP(S$1,'40Trips'!$A$3:$I$42,2,FALSE))&lt;'40Trips'!$K$16,$A31&lt;&gt;S$1,gamma!S31=1),SUM(VLOOKUP($A31,'40Trips'!$A$3:$I$42,2,FALSE), VLOOKUP(S$1,'40Trips'!$A$3:$I$42,2,FALSE)),0)</f>
        <v>0</v>
      </c>
      <c r="T31">
        <f>IF(AND(SUM(VLOOKUP($A31,'40Trips'!$A$3:$I$42,2,FALSE),VLOOKUP(T$1,'40Trips'!$A$3:$I$42,2,FALSE))&lt;'40Trips'!$K$16,$A31&lt;&gt;T$1,gamma!T31=1),SUM(VLOOKUP($A31,'40Trips'!$A$3:$I$42,2,FALSE), VLOOKUP(T$1,'40Trips'!$A$3:$I$42,2,FALSE)),0)</f>
        <v>0</v>
      </c>
      <c r="U31">
        <f>IF(AND(SUM(VLOOKUP($A31,'40Trips'!$A$3:$I$42,2,FALSE),VLOOKUP(U$1,'40Trips'!$A$3:$I$42,2,FALSE))&lt;'40Trips'!$K$16,$A31&lt;&gt;U$1,gamma!U31=1),SUM(VLOOKUP($A31,'40Trips'!$A$3:$I$42,2,FALSE), VLOOKUP(U$1,'40Trips'!$A$3:$I$42,2,FALSE)),0)</f>
        <v>260</v>
      </c>
      <c r="V31">
        <f>IF(AND(SUM(VLOOKUP($A31,'40Trips'!$A$3:$I$42,2,FALSE),VLOOKUP(V$1,'40Trips'!$A$3:$I$42,2,FALSE))&lt;'40Trips'!$K$16,$A31&lt;&gt;V$1,gamma!V31=1),SUM(VLOOKUP($A31,'40Trips'!$A$3:$I$42,2,FALSE), VLOOKUP(V$1,'40Trips'!$A$3:$I$42,2,FALSE)),0)</f>
        <v>270</v>
      </c>
      <c r="W31">
        <f>IF(AND(SUM(VLOOKUP($A31,'40Trips'!$A$3:$I$42,2,FALSE),VLOOKUP(W$1,'40Trips'!$A$3:$I$42,2,FALSE))&lt;'40Trips'!$K$16,$A31&lt;&gt;W$1,gamma!W31=1),SUM(VLOOKUP($A31,'40Trips'!$A$3:$I$42,2,FALSE), VLOOKUP(W$1,'40Trips'!$A$3:$I$42,2,FALSE)),0)</f>
        <v>0</v>
      </c>
      <c r="X31">
        <f>IF(AND(SUM(VLOOKUP($A31,'40Trips'!$A$3:$I$42,2,FALSE),VLOOKUP(X$1,'40Trips'!$A$3:$I$42,2,FALSE))&lt;'40Trips'!$K$16,$A31&lt;&gt;X$1,gamma!X31=1),SUM(VLOOKUP($A31,'40Trips'!$A$3:$I$42,2,FALSE), VLOOKUP(X$1,'40Trips'!$A$3:$I$42,2,FALSE)),0)</f>
        <v>280</v>
      </c>
      <c r="Y31">
        <f>IF(AND(SUM(VLOOKUP($A31,'40Trips'!$A$3:$I$42,2,FALSE),VLOOKUP(Y$1,'40Trips'!$A$3:$I$42,2,FALSE))&lt;'40Trips'!$K$16,$A31&lt;&gt;Y$1,gamma!Y31=1),SUM(VLOOKUP($A31,'40Trips'!$A$3:$I$42,2,FALSE), VLOOKUP(Y$1,'40Trips'!$A$3:$I$42,2,FALSE)),0)</f>
        <v>280</v>
      </c>
      <c r="Z31">
        <f>IF(AND(SUM(VLOOKUP($A31,'40Trips'!$A$3:$I$42,2,FALSE),VLOOKUP(Z$1,'40Trips'!$A$3:$I$42,2,FALSE))&lt;'40Trips'!$K$16,$A31&lt;&gt;Z$1,gamma!Z31=1),SUM(VLOOKUP($A31,'40Trips'!$A$3:$I$42,2,FALSE), VLOOKUP(Z$1,'40Trips'!$A$3:$I$42,2,FALSE)),0)</f>
        <v>280</v>
      </c>
      <c r="AA31">
        <f>IF(AND(SUM(VLOOKUP($A31,'40Trips'!$A$3:$I$42,2,FALSE),VLOOKUP(AA$1,'40Trips'!$A$3:$I$42,2,FALSE))&lt;'40Trips'!$K$16,$A31&lt;&gt;AA$1,gamma!AA31=1),SUM(VLOOKUP($A31,'40Trips'!$A$3:$I$42,2,FALSE), VLOOKUP(AA$1,'40Trips'!$A$3:$I$42,2,FALSE)),0)</f>
        <v>0</v>
      </c>
      <c r="AB31">
        <f>IF(AND(SUM(VLOOKUP($A31,'40Trips'!$A$3:$I$42,2,FALSE),VLOOKUP(AB$1,'40Trips'!$A$3:$I$42,2,FALSE))&lt;'40Trips'!$K$16,$A31&lt;&gt;AB$1,gamma!AB31=1),SUM(VLOOKUP($A31,'40Trips'!$A$3:$I$42,2,FALSE), VLOOKUP(AB$1,'40Trips'!$A$3:$I$42,2,FALSE)),0)</f>
        <v>280</v>
      </c>
      <c r="AC31">
        <f>IF(AND(SUM(VLOOKUP($A31,'40Trips'!$A$3:$I$42,2,FALSE),VLOOKUP(AC$1,'40Trips'!$A$3:$I$42,2,FALSE))&lt;'40Trips'!$K$16,$A31&lt;&gt;AC$1,gamma!AC31=1),SUM(VLOOKUP($A31,'40Trips'!$A$3:$I$42,2,FALSE), VLOOKUP(AC$1,'40Trips'!$A$3:$I$42,2,FALSE)),0)</f>
        <v>260</v>
      </c>
      <c r="AD31">
        <f>IF(AND(SUM(VLOOKUP($A31,'40Trips'!$A$3:$I$42,2,FALSE),VLOOKUP(AD$1,'40Trips'!$A$3:$I$42,2,FALSE))&lt;'40Trips'!$K$16,$A31&lt;&gt;AD$1,gamma!AD31=1),SUM(VLOOKUP($A31,'40Trips'!$A$3:$I$42,2,FALSE), VLOOKUP(AD$1,'40Trips'!$A$3:$I$42,2,FALSE)),0)</f>
        <v>270</v>
      </c>
      <c r="AE31">
        <f>IF(AND(SUM(VLOOKUP($A31,'40Trips'!$A$3:$I$42,2,FALSE),VLOOKUP(AE$1,'40Trips'!$A$3:$I$42,2,FALSE))&lt;'40Trips'!$K$16,$A31&lt;&gt;AE$1,gamma!AE31=1),SUM(VLOOKUP($A31,'40Trips'!$A$3:$I$42,2,FALSE), VLOOKUP(AE$1,'40Trips'!$A$3:$I$42,2,FALSE)),0)</f>
        <v>0</v>
      </c>
      <c r="AF31">
        <f>IF(AND(SUM(VLOOKUP($A31,'40Trips'!$A$3:$I$42,2,FALSE),VLOOKUP(AF$1,'40Trips'!$A$3:$I$42,2,FALSE))&lt;'40Trips'!$K$16,$A31&lt;&gt;AF$1,gamma!AF31=1),SUM(VLOOKUP($A31,'40Trips'!$A$3:$I$42,2,FALSE), VLOOKUP(AF$1,'40Trips'!$A$3:$I$42,2,FALSE)),0)</f>
        <v>0</v>
      </c>
      <c r="AG31">
        <f>IF(AND(SUM(VLOOKUP($A31,'40Trips'!$A$3:$I$42,2,FALSE),VLOOKUP(AG$1,'40Trips'!$A$3:$I$42,2,FALSE))&lt;'40Trips'!$K$16,$A31&lt;&gt;AG$1,gamma!AG31=1),SUM(VLOOKUP($A31,'40Trips'!$A$3:$I$42,2,FALSE), VLOOKUP(AG$1,'40Trips'!$A$3:$I$42,2,FALSE)),0)</f>
        <v>275</v>
      </c>
      <c r="AH31">
        <f>IF(AND(SUM(VLOOKUP($A31,'40Trips'!$A$3:$I$42,2,FALSE),VLOOKUP(AH$1,'40Trips'!$A$3:$I$42,2,FALSE))&lt;'40Trips'!$K$16,$A31&lt;&gt;AH$1,gamma!AH31=1),SUM(VLOOKUP($A31,'40Trips'!$A$3:$I$42,2,FALSE), VLOOKUP(AH$1,'40Trips'!$A$3:$I$42,2,FALSE)),0)</f>
        <v>275</v>
      </c>
      <c r="AI31">
        <f>IF(AND(SUM(VLOOKUP($A31,'40Trips'!$A$3:$I$42,2,FALSE),VLOOKUP(AI$1,'40Trips'!$A$3:$I$42,2,FALSE))&lt;'40Trips'!$K$16,$A31&lt;&gt;AI$1,gamma!AI31=1),SUM(VLOOKUP($A31,'40Trips'!$A$3:$I$42,2,FALSE), VLOOKUP(AI$1,'40Trips'!$A$3:$I$42,2,FALSE)),0)</f>
        <v>280</v>
      </c>
      <c r="AJ31">
        <f>IF(AND(SUM(VLOOKUP($A31,'40Trips'!$A$3:$I$42,2,FALSE),VLOOKUP(AJ$1,'40Trips'!$A$3:$I$42,2,FALSE))&lt;'40Trips'!$K$16,$A31&lt;&gt;AJ$1,gamma!AJ31=1),SUM(VLOOKUP($A31,'40Trips'!$A$3:$I$42,2,FALSE), VLOOKUP(AJ$1,'40Trips'!$A$3:$I$42,2,FALSE)),0)</f>
        <v>275</v>
      </c>
      <c r="AK31">
        <f>IF(AND(SUM(VLOOKUP($A31,'40Trips'!$A$3:$I$42,2,FALSE),VLOOKUP(AK$1,'40Trips'!$A$3:$I$42,2,FALSE))&lt;'40Trips'!$K$16,$A31&lt;&gt;AK$1,gamma!AK31=1),SUM(VLOOKUP($A31,'40Trips'!$A$3:$I$42,2,FALSE), VLOOKUP(AK$1,'40Trips'!$A$3:$I$42,2,FALSE)),0)</f>
        <v>280</v>
      </c>
      <c r="AL31">
        <f>IF(AND(SUM(VLOOKUP($A31,'40Trips'!$A$3:$I$42,2,FALSE),VLOOKUP(AL$1,'40Trips'!$A$3:$I$42,2,FALSE))&lt;'40Trips'!$K$16,$A31&lt;&gt;AL$1,gamma!AL31=1),SUM(VLOOKUP($A31,'40Trips'!$A$3:$I$42,2,FALSE), VLOOKUP(AL$1,'40Trips'!$A$3:$I$42,2,FALSE)),0)</f>
        <v>280</v>
      </c>
      <c r="AM31">
        <f>IF(AND(SUM(VLOOKUP($A31,'40Trips'!$A$3:$I$42,2,FALSE),VLOOKUP(AM$1,'40Trips'!$A$3:$I$42,2,FALSE))&lt;'40Trips'!$K$16,$A31&lt;&gt;AM$1,gamma!AM31=1),SUM(VLOOKUP($A31,'40Trips'!$A$3:$I$42,2,FALSE), VLOOKUP(AM$1,'40Trips'!$A$3:$I$42,2,FALSE)),0)</f>
        <v>280</v>
      </c>
      <c r="AN31">
        <f>IF(AND(SUM(VLOOKUP($A31,'40Trips'!$A$3:$I$42,2,FALSE),VLOOKUP(AN$1,'40Trips'!$A$3:$I$42,2,FALSE))&lt;'40Trips'!$K$16,$A31&lt;&gt;AN$1,gamma!AN31=1),SUM(VLOOKUP($A31,'40Trips'!$A$3:$I$42,2,FALSE), VLOOKUP(AN$1,'40Trips'!$A$3:$I$42,2,FALSE)),0)</f>
        <v>260</v>
      </c>
      <c r="AO31">
        <f>IF(AND(SUM(VLOOKUP($A31,'40Trips'!$A$3:$I$42,2,FALSE),VLOOKUP(AO$1,'40Trips'!$A$3:$I$42,2,FALSE))&lt;'40Trips'!$K$16,$A31&lt;&gt;AO$1,gamma!AO31=1),SUM(VLOOKUP($A31,'40Trips'!$A$3:$I$42,2,FALSE), VLOOKUP(AO$1,'40Trips'!$A$3:$I$42,2,FALSE)),0)</f>
        <v>260</v>
      </c>
      <c r="AP31">
        <f>IF(AND(SUM(VLOOKUP($A31,'40Trips'!$A$3:$I$42,2,FALSE),VLOOKUP(AP$1,'40Trips'!$A$3:$I$42,2,FALSE))&lt;'40Trips'!$K$16,$A31&lt;&gt;AP$1,gamma!AP31=1),SUM(VLOOKUP($A31,'40Trips'!$A$3:$I$42,2,FALSE), VLOOKUP(AP$1,'40Trips'!$A$3:$I$42,2,FALSE)),0)</f>
        <v>275</v>
      </c>
      <c r="AQ31">
        <v>0</v>
      </c>
      <c r="AR31">
        <v>0</v>
      </c>
      <c r="AS31">
        <v>0</v>
      </c>
      <c r="AT31">
        <v>0</v>
      </c>
    </row>
    <row r="32" spans="1:46" x14ac:dyDescent="0.25">
      <c r="A32" t="s">
        <v>83</v>
      </c>
      <c r="B32">
        <v>0</v>
      </c>
      <c r="C32">
        <f>IF(AND(SUM(VLOOKUP($A32,'40Trips'!$A$3:$I$42,2,FALSE),VLOOKUP(C$1,'40Trips'!$A$3:$I$42,2,FALSE))&lt;'40Trips'!$K$16,$A32&lt;&gt;C$1,gamma!C32=1),SUM(VLOOKUP($A32,'40Trips'!$A$3:$I$42,2,FALSE), VLOOKUP(C$1,'40Trips'!$A$3:$I$42,2,FALSE)),0)</f>
        <v>0</v>
      </c>
      <c r="D32">
        <f>IF(AND(SUM(VLOOKUP($A32,'40Trips'!$A$3:$I$42,2,FALSE),VLOOKUP(D$1,'40Trips'!$A$3:$I$42,2,FALSE))&lt;'40Trips'!$K$16,$A32&lt;&gt;D$1,gamma!D32=1),SUM(VLOOKUP($A32,'40Trips'!$A$3:$I$42,2,FALSE), VLOOKUP(D$1,'40Trips'!$A$3:$I$42,2,FALSE)),0)</f>
        <v>270</v>
      </c>
      <c r="E32">
        <f>IF(AND(SUM(VLOOKUP($A32,'40Trips'!$A$3:$I$42,2,FALSE),VLOOKUP(E$1,'40Trips'!$A$3:$I$42,2,FALSE))&lt;'40Trips'!$K$16,$A32&lt;&gt;E$1,gamma!E32=1),SUM(VLOOKUP($A32,'40Trips'!$A$3:$I$42,2,FALSE), VLOOKUP(E$1,'40Trips'!$A$3:$I$42,2,FALSE)),0)</f>
        <v>270</v>
      </c>
      <c r="F32">
        <f>IF(AND(SUM(VLOOKUP($A32,'40Trips'!$A$3:$I$42,2,FALSE),VLOOKUP(F$1,'40Trips'!$A$3:$I$42,2,FALSE))&lt;'40Trips'!$K$16,$A32&lt;&gt;F$1,gamma!F32=1),SUM(VLOOKUP($A32,'40Trips'!$A$3:$I$42,2,FALSE), VLOOKUP(F$1,'40Trips'!$A$3:$I$42,2,FALSE)),0)</f>
        <v>270</v>
      </c>
      <c r="G32">
        <f>IF(AND(SUM(VLOOKUP($A32,'40Trips'!$A$3:$I$42,2,FALSE),VLOOKUP(G$1,'40Trips'!$A$3:$I$42,2,FALSE))&lt;'40Trips'!$K$16,$A32&lt;&gt;G$1,gamma!G32=1),SUM(VLOOKUP($A32,'40Trips'!$A$3:$I$42,2,FALSE), VLOOKUP(G$1,'40Trips'!$A$3:$I$42,2,FALSE)),0)</f>
        <v>0</v>
      </c>
      <c r="H32">
        <f>IF(AND(SUM(VLOOKUP($A32,'40Trips'!$A$3:$I$42,2,FALSE),VLOOKUP(H$1,'40Trips'!$A$3:$I$42,2,FALSE))&lt;'40Trips'!$K$16,$A32&lt;&gt;H$1,gamma!H32=1),SUM(VLOOKUP($A32,'40Trips'!$A$3:$I$42,2,FALSE), VLOOKUP(H$1,'40Trips'!$A$3:$I$42,2,FALSE)),0)</f>
        <v>0</v>
      </c>
      <c r="I32">
        <f>IF(AND(SUM(VLOOKUP($A32,'40Trips'!$A$3:$I$42,2,FALSE),VLOOKUP(I$1,'40Trips'!$A$3:$I$42,2,FALSE))&lt;'40Trips'!$K$16,$A32&lt;&gt;I$1,gamma!I32=1),SUM(VLOOKUP($A32,'40Trips'!$A$3:$I$42,2,FALSE), VLOOKUP(I$1,'40Trips'!$A$3:$I$42,2,FALSE)),0)</f>
        <v>275</v>
      </c>
      <c r="J32">
        <f>IF(AND(SUM(VLOOKUP($A32,'40Trips'!$A$3:$I$42,2,FALSE),VLOOKUP(J$1,'40Trips'!$A$3:$I$42,2,FALSE))&lt;'40Trips'!$K$16,$A32&lt;&gt;J$1,gamma!J32=1),SUM(VLOOKUP($A32,'40Trips'!$A$3:$I$42,2,FALSE), VLOOKUP(J$1,'40Trips'!$A$3:$I$42,2,FALSE)),0)</f>
        <v>275</v>
      </c>
      <c r="K32">
        <f>IF(AND(SUM(VLOOKUP($A32,'40Trips'!$A$3:$I$42,2,FALSE),VLOOKUP(K$1,'40Trips'!$A$3:$I$42,2,FALSE))&lt;'40Trips'!$K$16,$A32&lt;&gt;K$1,gamma!K32=1),SUM(VLOOKUP($A32,'40Trips'!$A$3:$I$42,2,FALSE), VLOOKUP(K$1,'40Trips'!$A$3:$I$42,2,FALSE)),0)</f>
        <v>0</v>
      </c>
      <c r="L32">
        <f>IF(AND(SUM(VLOOKUP($A32,'40Trips'!$A$3:$I$42,2,FALSE),VLOOKUP(L$1,'40Trips'!$A$3:$I$42,2,FALSE))&lt;'40Trips'!$K$16,$A32&lt;&gt;L$1,gamma!L32=1),SUM(VLOOKUP($A32,'40Trips'!$A$3:$I$42,2,FALSE), VLOOKUP(L$1,'40Trips'!$A$3:$I$42,2,FALSE)),0)</f>
        <v>0</v>
      </c>
      <c r="M32">
        <f>IF(AND(SUM(VLOOKUP($A32,'40Trips'!$A$3:$I$42,2,FALSE),VLOOKUP(M$1,'40Trips'!$A$3:$I$42,2,FALSE))&lt;'40Trips'!$K$16,$A32&lt;&gt;M$1,gamma!M32=1),SUM(VLOOKUP($A32,'40Trips'!$A$3:$I$42,2,FALSE), VLOOKUP(M$1,'40Trips'!$A$3:$I$42,2,FALSE)),0)</f>
        <v>270</v>
      </c>
      <c r="N32">
        <f>IF(AND(SUM(VLOOKUP($A32,'40Trips'!$A$3:$I$42,2,FALSE),VLOOKUP(N$1,'40Trips'!$A$3:$I$42,2,FALSE))&lt;'40Trips'!$K$16,$A32&lt;&gt;N$1,gamma!N32=1),SUM(VLOOKUP($A32,'40Trips'!$A$3:$I$42,2,FALSE), VLOOKUP(N$1,'40Trips'!$A$3:$I$42,2,FALSE)),0)</f>
        <v>0</v>
      </c>
      <c r="O32">
        <f>IF(AND(SUM(VLOOKUP($A32,'40Trips'!$A$3:$I$42,2,FALSE),VLOOKUP(O$1,'40Trips'!$A$3:$I$42,2,FALSE))&lt;'40Trips'!$K$16,$A32&lt;&gt;O$1,gamma!O32=1),SUM(VLOOKUP($A32,'40Trips'!$A$3:$I$42,2,FALSE), VLOOKUP(O$1,'40Trips'!$A$3:$I$42,2,FALSE)),0)</f>
        <v>0</v>
      </c>
      <c r="P32">
        <f>IF(AND(SUM(VLOOKUP($A32,'40Trips'!$A$3:$I$42,2,FALSE),VLOOKUP(P$1,'40Trips'!$A$3:$I$42,2,FALSE))&lt;'40Trips'!$K$16,$A32&lt;&gt;P$1,gamma!P32=1),SUM(VLOOKUP($A32,'40Trips'!$A$3:$I$42,2,FALSE), VLOOKUP(P$1,'40Trips'!$A$3:$I$42,2,FALSE)),0)</f>
        <v>270</v>
      </c>
      <c r="Q32">
        <f>IF(AND(SUM(VLOOKUP($A32,'40Trips'!$A$3:$I$42,2,FALSE),VLOOKUP(Q$1,'40Trips'!$A$3:$I$42,2,FALSE))&lt;'40Trips'!$K$16,$A32&lt;&gt;Q$1,gamma!Q32=1),SUM(VLOOKUP($A32,'40Trips'!$A$3:$I$42,2,FALSE), VLOOKUP(Q$1,'40Trips'!$A$3:$I$42,2,FALSE)),0)</f>
        <v>270</v>
      </c>
      <c r="R32">
        <f>IF(AND(SUM(VLOOKUP($A32,'40Trips'!$A$3:$I$42,2,FALSE),VLOOKUP(R$1,'40Trips'!$A$3:$I$42,2,FALSE))&lt;'40Trips'!$K$16,$A32&lt;&gt;R$1,gamma!R32=1),SUM(VLOOKUP($A32,'40Trips'!$A$3:$I$42,2,FALSE), VLOOKUP(R$1,'40Trips'!$A$3:$I$42,2,FALSE)),0)</f>
        <v>270</v>
      </c>
      <c r="S32">
        <f>IF(AND(SUM(VLOOKUP($A32,'40Trips'!$A$3:$I$42,2,FALSE),VLOOKUP(S$1,'40Trips'!$A$3:$I$42,2,FALSE))&lt;'40Trips'!$K$16,$A32&lt;&gt;S$1,gamma!S32=1),SUM(VLOOKUP($A32,'40Trips'!$A$3:$I$42,2,FALSE), VLOOKUP(S$1,'40Trips'!$A$3:$I$42,2,FALSE)),0)</f>
        <v>0</v>
      </c>
      <c r="T32">
        <f>IF(AND(SUM(VLOOKUP($A32,'40Trips'!$A$3:$I$42,2,FALSE),VLOOKUP(T$1,'40Trips'!$A$3:$I$42,2,FALSE))&lt;'40Trips'!$K$16,$A32&lt;&gt;T$1,gamma!T32=1),SUM(VLOOKUP($A32,'40Trips'!$A$3:$I$42,2,FALSE), VLOOKUP(T$1,'40Trips'!$A$3:$I$42,2,FALSE)),0)</f>
        <v>0</v>
      </c>
      <c r="U32">
        <f>IF(AND(SUM(VLOOKUP($A32,'40Trips'!$A$3:$I$42,2,FALSE),VLOOKUP(U$1,'40Trips'!$A$3:$I$42,2,FALSE))&lt;'40Trips'!$K$16,$A32&lt;&gt;U$1,gamma!U32=1),SUM(VLOOKUP($A32,'40Trips'!$A$3:$I$42,2,FALSE), VLOOKUP(U$1,'40Trips'!$A$3:$I$42,2,FALSE)),0)</f>
        <v>255</v>
      </c>
      <c r="V32">
        <f>IF(AND(SUM(VLOOKUP($A32,'40Trips'!$A$3:$I$42,2,FALSE),VLOOKUP(V$1,'40Trips'!$A$3:$I$42,2,FALSE))&lt;'40Trips'!$K$16,$A32&lt;&gt;V$1,gamma!V32=1),SUM(VLOOKUP($A32,'40Trips'!$A$3:$I$42,2,FALSE), VLOOKUP(V$1,'40Trips'!$A$3:$I$42,2,FALSE)),0)</f>
        <v>265</v>
      </c>
      <c r="W32">
        <f>IF(AND(SUM(VLOOKUP($A32,'40Trips'!$A$3:$I$42,2,FALSE),VLOOKUP(W$1,'40Trips'!$A$3:$I$42,2,FALSE))&lt;'40Trips'!$K$16,$A32&lt;&gt;W$1,gamma!W32=1),SUM(VLOOKUP($A32,'40Trips'!$A$3:$I$42,2,FALSE), VLOOKUP(W$1,'40Trips'!$A$3:$I$42,2,FALSE)),0)</f>
        <v>0</v>
      </c>
      <c r="X32">
        <f>IF(AND(SUM(VLOOKUP($A32,'40Trips'!$A$3:$I$42,2,FALSE),VLOOKUP(X$1,'40Trips'!$A$3:$I$42,2,FALSE))&lt;'40Trips'!$K$16,$A32&lt;&gt;X$1,gamma!X32=1),SUM(VLOOKUP($A32,'40Trips'!$A$3:$I$42,2,FALSE), VLOOKUP(X$1,'40Trips'!$A$3:$I$42,2,FALSE)),0)</f>
        <v>275</v>
      </c>
      <c r="Y32">
        <f>IF(AND(SUM(VLOOKUP($A32,'40Trips'!$A$3:$I$42,2,FALSE),VLOOKUP(Y$1,'40Trips'!$A$3:$I$42,2,FALSE))&lt;'40Trips'!$K$16,$A32&lt;&gt;Y$1,gamma!Y32=1),SUM(VLOOKUP($A32,'40Trips'!$A$3:$I$42,2,FALSE), VLOOKUP(Y$1,'40Trips'!$A$3:$I$42,2,FALSE)),0)</f>
        <v>275</v>
      </c>
      <c r="Z32">
        <f>IF(AND(SUM(VLOOKUP($A32,'40Trips'!$A$3:$I$42,2,FALSE),VLOOKUP(Z$1,'40Trips'!$A$3:$I$42,2,FALSE))&lt;'40Trips'!$K$16,$A32&lt;&gt;Z$1,gamma!Z32=1),SUM(VLOOKUP($A32,'40Trips'!$A$3:$I$42,2,FALSE), VLOOKUP(Z$1,'40Trips'!$A$3:$I$42,2,FALSE)),0)</f>
        <v>275</v>
      </c>
      <c r="AA32">
        <f>IF(AND(SUM(VLOOKUP($A32,'40Trips'!$A$3:$I$42,2,FALSE),VLOOKUP(AA$1,'40Trips'!$A$3:$I$42,2,FALSE))&lt;'40Trips'!$K$16,$A32&lt;&gt;AA$1,gamma!AA32=1),SUM(VLOOKUP($A32,'40Trips'!$A$3:$I$42,2,FALSE), VLOOKUP(AA$1,'40Trips'!$A$3:$I$42,2,FALSE)),0)</f>
        <v>0</v>
      </c>
      <c r="AB32">
        <f>IF(AND(SUM(VLOOKUP($A32,'40Trips'!$A$3:$I$42,2,FALSE),VLOOKUP(AB$1,'40Trips'!$A$3:$I$42,2,FALSE))&lt;'40Trips'!$K$16,$A32&lt;&gt;AB$1,gamma!AB32=1),SUM(VLOOKUP($A32,'40Trips'!$A$3:$I$42,2,FALSE), VLOOKUP(AB$1,'40Trips'!$A$3:$I$42,2,FALSE)),0)</f>
        <v>0</v>
      </c>
      <c r="AC32">
        <f>IF(AND(SUM(VLOOKUP($A32,'40Trips'!$A$3:$I$42,2,FALSE),VLOOKUP(AC$1,'40Trips'!$A$3:$I$42,2,FALSE))&lt;'40Trips'!$K$16,$A32&lt;&gt;AC$1,gamma!AC32=1),SUM(VLOOKUP($A32,'40Trips'!$A$3:$I$42,2,FALSE), VLOOKUP(AC$1,'40Trips'!$A$3:$I$42,2,FALSE)),0)</f>
        <v>255</v>
      </c>
      <c r="AD32">
        <f>IF(AND(SUM(VLOOKUP($A32,'40Trips'!$A$3:$I$42,2,FALSE),VLOOKUP(AD$1,'40Trips'!$A$3:$I$42,2,FALSE))&lt;'40Trips'!$K$16,$A32&lt;&gt;AD$1,gamma!AD32=1),SUM(VLOOKUP($A32,'40Trips'!$A$3:$I$42,2,FALSE), VLOOKUP(AD$1,'40Trips'!$A$3:$I$42,2,FALSE)),0)</f>
        <v>265</v>
      </c>
      <c r="AE32">
        <f>IF(AND(SUM(VLOOKUP($A32,'40Trips'!$A$3:$I$42,2,FALSE),VLOOKUP(AE$1,'40Trips'!$A$3:$I$42,2,FALSE))&lt;'40Trips'!$K$16,$A32&lt;&gt;AE$1,gamma!AE32=1),SUM(VLOOKUP($A32,'40Trips'!$A$3:$I$42,2,FALSE), VLOOKUP(AE$1,'40Trips'!$A$3:$I$42,2,FALSE)),0)</f>
        <v>0</v>
      </c>
      <c r="AF32">
        <f>IF(AND(SUM(VLOOKUP($A32,'40Trips'!$A$3:$I$42,2,FALSE),VLOOKUP(AF$1,'40Trips'!$A$3:$I$42,2,FALSE))&lt;'40Trips'!$K$16,$A32&lt;&gt;AF$1,gamma!AF32=1),SUM(VLOOKUP($A32,'40Trips'!$A$3:$I$42,2,FALSE), VLOOKUP(AF$1,'40Trips'!$A$3:$I$42,2,FALSE)),0)</f>
        <v>0</v>
      </c>
      <c r="AG32">
        <f>IF(AND(SUM(VLOOKUP($A32,'40Trips'!$A$3:$I$42,2,FALSE),VLOOKUP(AG$1,'40Trips'!$A$3:$I$42,2,FALSE))&lt;'40Trips'!$K$16,$A32&lt;&gt;AG$1,gamma!AG32=1),SUM(VLOOKUP($A32,'40Trips'!$A$3:$I$42,2,FALSE), VLOOKUP(AG$1,'40Trips'!$A$3:$I$42,2,FALSE)),0)</f>
        <v>0</v>
      </c>
      <c r="AH32">
        <f>IF(AND(SUM(VLOOKUP($A32,'40Trips'!$A$3:$I$42,2,FALSE),VLOOKUP(AH$1,'40Trips'!$A$3:$I$42,2,FALSE))&lt;'40Trips'!$K$16,$A32&lt;&gt;AH$1,gamma!AH32=1),SUM(VLOOKUP($A32,'40Trips'!$A$3:$I$42,2,FALSE), VLOOKUP(AH$1,'40Trips'!$A$3:$I$42,2,FALSE)),0)</f>
        <v>270</v>
      </c>
      <c r="AI32">
        <f>IF(AND(SUM(VLOOKUP($A32,'40Trips'!$A$3:$I$42,2,FALSE),VLOOKUP(AI$1,'40Trips'!$A$3:$I$42,2,FALSE))&lt;'40Trips'!$K$16,$A32&lt;&gt;AI$1,gamma!AI32=1),SUM(VLOOKUP($A32,'40Trips'!$A$3:$I$42,2,FALSE), VLOOKUP(AI$1,'40Trips'!$A$3:$I$42,2,FALSE)),0)</f>
        <v>275</v>
      </c>
      <c r="AJ32">
        <f>IF(AND(SUM(VLOOKUP($A32,'40Trips'!$A$3:$I$42,2,FALSE),VLOOKUP(AJ$1,'40Trips'!$A$3:$I$42,2,FALSE))&lt;'40Trips'!$K$16,$A32&lt;&gt;AJ$1,gamma!AJ32=1),SUM(VLOOKUP($A32,'40Trips'!$A$3:$I$42,2,FALSE), VLOOKUP(AJ$1,'40Trips'!$A$3:$I$42,2,FALSE)),0)</f>
        <v>270</v>
      </c>
      <c r="AK32">
        <f>IF(AND(SUM(VLOOKUP($A32,'40Trips'!$A$3:$I$42,2,FALSE),VLOOKUP(AK$1,'40Trips'!$A$3:$I$42,2,FALSE))&lt;'40Trips'!$K$16,$A32&lt;&gt;AK$1,gamma!AK32=1),SUM(VLOOKUP($A32,'40Trips'!$A$3:$I$42,2,FALSE), VLOOKUP(AK$1,'40Trips'!$A$3:$I$42,2,FALSE)),0)</f>
        <v>275</v>
      </c>
      <c r="AL32">
        <f>IF(AND(SUM(VLOOKUP($A32,'40Trips'!$A$3:$I$42,2,FALSE),VLOOKUP(AL$1,'40Trips'!$A$3:$I$42,2,FALSE))&lt;'40Trips'!$K$16,$A32&lt;&gt;AL$1,gamma!AL32=1),SUM(VLOOKUP($A32,'40Trips'!$A$3:$I$42,2,FALSE), VLOOKUP(AL$1,'40Trips'!$A$3:$I$42,2,FALSE)),0)</f>
        <v>275</v>
      </c>
      <c r="AM32">
        <f>IF(AND(SUM(VLOOKUP($A32,'40Trips'!$A$3:$I$42,2,FALSE),VLOOKUP(AM$1,'40Trips'!$A$3:$I$42,2,FALSE))&lt;'40Trips'!$K$16,$A32&lt;&gt;AM$1,gamma!AM32=1),SUM(VLOOKUP($A32,'40Trips'!$A$3:$I$42,2,FALSE), VLOOKUP(AM$1,'40Trips'!$A$3:$I$42,2,FALSE)),0)</f>
        <v>0</v>
      </c>
      <c r="AN32">
        <f>IF(AND(SUM(VLOOKUP($A32,'40Trips'!$A$3:$I$42,2,FALSE),VLOOKUP(AN$1,'40Trips'!$A$3:$I$42,2,FALSE))&lt;'40Trips'!$K$16,$A32&lt;&gt;AN$1,gamma!AN32=1),SUM(VLOOKUP($A32,'40Trips'!$A$3:$I$42,2,FALSE), VLOOKUP(AN$1,'40Trips'!$A$3:$I$42,2,FALSE)),0)</f>
        <v>255</v>
      </c>
      <c r="AO32">
        <f>IF(AND(SUM(VLOOKUP($A32,'40Trips'!$A$3:$I$42,2,FALSE),VLOOKUP(AO$1,'40Trips'!$A$3:$I$42,2,FALSE))&lt;'40Trips'!$K$16,$A32&lt;&gt;AO$1,gamma!AO32=1),SUM(VLOOKUP($A32,'40Trips'!$A$3:$I$42,2,FALSE), VLOOKUP(AO$1,'40Trips'!$A$3:$I$42,2,FALSE)),0)</f>
        <v>255</v>
      </c>
      <c r="AP32">
        <f>IF(AND(SUM(VLOOKUP($A32,'40Trips'!$A$3:$I$42,2,FALSE),VLOOKUP(AP$1,'40Trips'!$A$3:$I$42,2,FALSE))&lt;'40Trips'!$K$16,$A32&lt;&gt;AP$1,gamma!AP32=1),SUM(VLOOKUP($A32,'40Trips'!$A$3:$I$42,2,FALSE), VLOOKUP(AP$1,'40Trips'!$A$3:$I$42,2,FALSE)),0)</f>
        <v>270</v>
      </c>
      <c r="AQ32">
        <v>0</v>
      </c>
      <c r="AR32">
        <v>0</v>
      </c>
      <c r="AS32">
        <v>0</v>
      </c>
      <c r="AT32">
        <v>0</v>
      </c>
    </row>
    <row r="33" spans="1:46" x14ac:dyDescent="0.25">
      <c r="A33" t="s">
        <v>84</v>
      </c>
      <c r="B33">
        <v>0</v>
      </c>
      <c r="C33">
        <f>IF(AND(SUM(VLOOKUP($A33,'40Trips'!$A$3:$I$42,2,FALSE),VLOOKUP(C$1,'40Trips'!$A$3:$I$42,2,FALSE))&lt;'40Trips'!$K$16,$A33&lt;&gt;C$1,gamma!C33=1),SUM(VLOOKUP($A33,'40Trips'!$A$3:$I$42,2,FALSE), VLOOKUP(C$1,'40Trips'!$A$3:$I$42,2,FALSE)),0)</f>
        <v>0</v>
      </c>
      <c r="D33">
        <f>IF(AND(SUM(VLOOKUP($A33,'40Trips'!$A$3:$I$42,2,FALSE),VLOOKUP(D$1,'40Trips'!$A$3:$I$42,2,FALSE))&lt;'40Trips'!$K$16,$A33&lt;&gt;D$1,gamma!D33=1),SUM(VLOOKUP($A33,'40Trips'!$A$3:$I$42,2,FALSE), VLOOKUP(D$1,'40Trips'!$A$3:$I$42,2,FALSE)),0)</f>
        <v>0</v>
      </c>
      <c r="E33">
        <f>IF(AND(SUM(VLOOKUP($A33,'40Trips'!$A$3:$I$42,2,FALSE),VLOOKUP(E$1,'40Trips'!$A$3:$I$42,2,FALSE))&lt;'40Trips'!$K$16,$A33&lt;&gt;E$1,gamma!E33=1),SUM(VLOOKUP($A33,'40Trips'!$A$3:$I$42,2,FALSE), VLOOKUP(E$1,'40Trips'!$A$3:$I$42,2,FALSE)),0)</f>
        <v>270</v>
      </c>
      <c r="F33">
        <f>IF(AND(SUM(VLOOKUP($A33,'40Trips'!$A$3:$I$42,2,FALSE),VLOOKUP(F$1,'40Trips'!$A$3:$I$42,2,FALSE))&lt;'40Trips'!$K$16,$A33&lt;&gt;F$1,gamma!F33=1),SUM(VLOOKUP($A33,'40Trips'!$A$3:$I$42,2,FALSE), VLOOKUP(F$1,'40Trips'!$A$3:$I$42,2,FALSE)),0)</f>
        <v>270</v>
      </c>
      <c r="G33">
        <f>IF(AND(SUM(VLOOKUP($A33,'40Trips'!$A$3:$I$42,2,FALSE),VLOOKUP(G$1,'40Trips'!$A$3:$I$42,2,FALSE))&lt;'40Trips'!$K$16,$A33&lt;&gt;G$1,gamma!G33=1),SUM(VLOOKUP($A33,'40Trips'!$A$3:$I$42,2,FALSE), VLOOKUP(G$1,'40Trips'!$A$3:$I$42,2,FALSE)),0)</f>
        <v>0</v>
      </c>
      <c r="H33">
        <f>IF(AND(SUM(VLOOKUP($A33,'40Trips'!$A$3:$I$42,2,FALSE),VLOOKUP(H$1,'40Trips'!$A$3:$I$42,2,FALSE))&lt;'40Trips'!$K$16,$A33&lt;&gt;H$1,gamma!H33=1),SUM(VLOOKUP($A33,'40Trips'!$A$3:$I$42,2,FALSE), VLOOKUP(H$1,'40Trips'!$A$3:$I$42,2,FALSE)),0)</f>
        <v>0</v>
      </c>
      <c r="I33">
        <f>IF(AND(SUM(VLOOKUP($A33,'40Trips'!$A$3:$I$42,2,FALSE),VLOOKUP(I$1,'40Trips'!$A$3:$I$42,2,FALSE))&lt;'40Trips'!$K$16,$A33&lt;&gt;I$1,gamma!I33=1),SUM(VLOOKUP($A33,'40Trips'!$A$3:$I$42,2,FALSE), VLOOKUP(I$1,'40Trips'!$A$3:$I$42,2,FALSE)),0)</f>
        <v>275</v>
      </c>
      <c r="J33">
        <f>IF(AND(SUM(VLOOKUP($A33,'40Trips'!$A$3:$I$42,2,FALSE),VLOOKUP(J$1,'40Trips'!$A$3:$I$42,2,FALSE))&lt;'40Trips'!$K$16,$A33&lt;&gt;J$1,gamma!J33=1),SUM(VLOOKUP($A33,'40Trips'!$A$3:$I$42,2,FALSE), VLOOKUP(J$1,'40Trips'!$A$3:$I$42,2,FALSE)),0)</f>
        <v>275</v>
      </c>
      <c r="K33">
        <f>IF(AND(SUM(VLOOKUP($A33,'40Trips'!$A$3:$I$42,2,FALSE),VLOOKUP(K$1,'40Trips'!$A$3:$I$42,2,FALSE))&lt;'40Trips'!$K$16,$A33&lt;&gt;K$1,gamma!K33=1),SUM(VLOOKUP($A33,'40Trips'!$A$3:$I$42,2,FALSE), VLOOKUP(K$1,'40Trips'!$A$3:$I$42,2,FALSE)),0)</f>
        <v>0</v>
      </c>
      <c r="L33">
        <f>IF(AND(SUM(VLOOKUP($A33,'40Trips'!$A$3:$I$42,2,FALSE),VLOOKUP(L$1,'40Trips'!$A$3:$I$42,2,FALSE))&lt;'40Trips'!$K$16,$A33&lt;&gt;L$1,gamma!L33=1),SUM(VLOOKUP($A33,'40Trips'!$A$3:$I$42,2,FALSE), VLOOKUP(L$1,'40Trips'!$A$3:$I$42,2,FALSE)),0)</f>
        <v>0</v>
      </c>
      <c r="M33">
        <f>IF(AND(SUM(VLOOKUP($A33,'40Trips'!$A$3:$I$42,2,FALSE),VLOOKUP(M$1,'40Trips'!$A$3:$I$42,2,FALSE))&lt;'40Trips'!$K$16,$A33&lt;&gt;M$1,gamma!M33=1),SUM(VLOOKUP($A33,'40Trips'!$A$3:$I$42,2,FALSE), VLOOKUP(M$1,'40Trips'!$A$3:$I$42,2,FALSE)),0)</f>
        <v>270</v>
      </c>
      <c r="N33">
        <f>IF(AND(SUM(VLOOKUP($A33,'40Trips'!$A$3:$I$42,2,FALSE),VLOOKUP(N$1,'40Trips'!$A$3:$I$42,2,FALSE))&lt;'40Trips'!$K$16,$A33&lt;&gt;N$1,gamma!N33=1),SUM(VLOOKUP($A33,'40Trips'!$A$3:$I$42,2,FALSE), VLOOKUP(N$1,'40Trips'!$A$3:$I$42,2,FALSE)),0)</f>
        <v>0</v>
      </c>
      <c r="O33">
        <f>IF(AND(SUM(VLOOKUP($A33,'40Trips'!$A$3:$I$42,2,FALSE),VLOOKUP(O$1,'40Trips'!$A$3:$I$42,2,FALSE))&lt;'40Trips'!$K$16,$A33&lt;&gt;O$1,gamma!O33=1),SUM(VLOOKUP($A33,'40Trips'!$A$3:$I$42,2,FALSE), VLOOKUP(O$1,'40Trips'!$A$3:$I$42,2,FALSE)),0)</f>
        <v>0</v>
      </c>
      <c r="P33">
        <f>IF(AND(SUM(VLOOKUP($A33,'40Trips'!$A$3:$I$42,2,FALSE),VLOOKUP(P$1,'40Trips'!$A$3:$I$42,2,FALSE))&lt;'40Trips'!$K$16,$A33&lt;&gt;P$1,gamma!P33=1),SUM(VLOOKUP($A33,'40Trips'!$A$3:$I$42,2,FALSE), VLOOKUP(P$1,'40Trips'!$A$3:$I$42,2,FALSE)),0)</f>
        <v>0</v>
      </c>
      <c r="Q33">
        <f>IF(AND(SUM(VLOOKUP($A33,'40Trips'!$A$3:$I$42,2,FALSE),VLOOKUP(Q$1,'40Trips'!$A$3:$I$42,2,FALSE))&lt;'40Trips'!$K$16,$A33&lt;&gt;Q$1,gamma!Q33=1),SUM(VLOOKUP($A33,'40Trips'!$A$3:$I$42,2,FALSE), VLOOKUP(Q$1,'40Trips'!$A$3:$I$42,2,FALSE)),0)</f>
        <v>270</v>
      </c>
      <c r="R33">
        <f>IF(AND(SUM(VLOOKUP($A33,'40Trips'!$A$3:$I$42,2,FALSE),VLOOKUP(R$1,'40Trips'!$A$3:$I$42,2,FALSE))&lt;'40Trips'!$K$16,$A33&lt;&gt;R$1,gamma!R33=1),SUM(VLOOKUP($A33,'40Trips'!$A$3:$I$42,2,FALSE), VLOOKUP(R$1,'40Trips'!$A$3:$I$42,2,FALSE)),0)</f>
        <v>270</v>
      </c>
      <c r="S33">
        <f>IF(AND(SUM(VLOOKUP($A33,'40Trips'!$A$3:$I$42,2,FALSE),VLOOKUP(S$1,'40Trips'!$A$3:$I$42,2,FALSE))&lt;'40Trips'!$K$16,$A33&lt;&gt;S$1,gamma!S33=1),SUM(VLOOKUP($A33,'40Trips'!$A$3:$I$42,2,FALSE), VLOOKUP(S$1,'40Trips'!$A$3:$I$42,2,FALSE)),0)</f>
        <v>0</v>
      </c>
      <c r="T33">
        <f>IF(AND(SUM(VLOOKUP($A33,'40Trips'!$A$3:$I$42,2,FALSE),VLOOKUP(T$1,'40Trips'!$A$3:$I$42,2,FALSE))&lt;'40Trips'!$K$16,$A33&lt;&gt;T$1,gamma!T33=1),SUM(VLOOKUP($A33,'40Trips'!$A$3:$I$42,2,FALSE), VLOOKUP(T$1,'40Trips'!$A$3:$I$42,2,FALSE)),0)</f>
        <v>0</v>
      </c>
      <c r="U33">
        <f>IF(AND(SUM(VLOOKUP($A33,'40Trips'!$A$3:$I$42,2,FALSE),VLOOKUP(U$1,'40Trips'!$A$3:$I$42,2,FALSE))&lt;'40Trips'!$K$16,$A33&lt;&gt;U$1,gamma!U33=1),SUM(VLOOKUP($A33,'40Trips'!$A$3:$I$42,2,FALSE), VLOOKUP(U$1,'40Trips'!$A$3:$I$42,2,FALSE)),0)</f>
        <v>255</v>
      </c>
      <c r="V33">
        <f>IF(AND(SUM(VLOOKUP($A33,'40Trips'!$A$3:$I$42,2,FALSE),VLOOKUP(V$1,'40Trips'!$A$3:$I$42,2,FALSE))&lt;'40Trips'!$K$16,$A33&lt;&gt;V$1,gamma!V33=1),SUM(VLOOKUP($A33,'40Trips'!$A$3:$I$42,2,FALSE), VLOOKUP(V$1,'40Trips'!$A$3:$I$42,2,FALSE)),0)</f>
        <v>265</v>
      </c>
      <c r="W33">
        <f>IF(AND(SUM(VLOOKUP($A33,'40Trips'!$A$3:$I$42,2,FALSE),VLOOKUP(W$1,'40Trips'!$A$3:$I$42,2,FALSE))&lt;'40Trips'!$K$16,$A33&lt;&gt;W$1,gamma!W33=1),SUM(VLOOKUP($A33,'40Trips'!$A$3:$I$42,2,FALSE), VLOOKUP(W$1,'40Trips'!$A$3:$I$42,2,FALSE)),0)</f>
        <v>0</v>
      </c>
      <c r="X33">
        <f>IF(AND(SUM(VLOOKUP($A33,'40Trips'!$A$3:$I$42,2,FALSE),VLOOKUP(X$1,'40Trips'!$A$3:$I$42,2,FALSE))&lt;'40Trips'!$K$16,$A33&lt;&gt;X$1,gamma!X33=1),SUM(VLOOKUP($A33,'40Trips'!$A$3:$I$42,2,FALSE), VLOOKUP(X$1,'40Trips'!$A$3:$I$42,2,FALSE)),0)</f>
        <v>0</v>
      </c>
      <c r="Y33">
        <f>IF(AND(SUM(VLOOKUP($A33,'40Trips'!$A$3:$I$42,2,FALSE),VLOOKUP(Y$1,'40Trips'!$A$3:$I$42,2,FALSE))&lt;'40Trips'!$K$16,$A33&lt;&gt;Y$1,gamma!Y33=1),SUM(VLOOKUP($A33,'40Trips'!$A$3:$I$42,2,FALSE), VLOOKUP(Y$1,'40Trips'!$A$3:$I$42,2,FALSE)),0)</f>
        <v>275</v>
      </c>
      <c r="Z33">
        <f>IF(AND(SUM(VLOOKUP($A33,'40Trips'!$A$3:$I$42,2,FALSE),VLOOKUP(Z$1,'40Trips'!$A$3:$I$42,2,FALSE))&lt;'40Trips'!$K$16,$A33&lt;&gt;Z$1,gamma!Z33=1),SUM(VLOOKUP($A33,'40Trips'!$A$3:$I$42,2,FALSE), VLOOKUP(Z$1,'40Trips'!$A$3:$I$42,2,FALSE)),0)</f>
        <v>275</v>
      </c>
      <c r="AA33">
        <f>IF(AND(SUM(VLOOKUP($A33,'40Trips'!$A$3:$I$42,2,FALSE),VLOOKUP(AA$1,'40Trips'!$A$3:$I$42,2,FALSE))&lt;'40Trips'!$K$16,$A33&lt;&gt;AA$1,gamma!AA33=1),SUM(VLOOKUP($A33,'40Trips'!$A$3:$I$42,2,FALSE), VLOOKUP(AA$1,'40Trips'!$A$3:$I$42,2,FALSE)),0)</f>
        <v>0</v>
      </c>
      <c r="AB33">
        <f>IF(AND(SUM(VLOOKUP($A33,'40Trips'!$A$3:$I$42,2,FALSE),VLOOKUP(AB$1,'40Trips'!$A$3:$I$42,2,FALSE))&lt;'40Trips'!$K$16,$A33&lt;&gt;AB$1,gamma!AB33=1),SUM(VLOOKUP($A33,'40Trips'!$A$3:$I$42,2,FALSE), VLOOKUP(AB$1,'40Trips'!$A$3:$I$42,2,FALSE)),0)</f>
        <v>0</v>
      </c>
      <c r="AC33">
        <f>IF(AND(SUM(VLOOKUP($A33,'40Trips'!$A$3:$I$42,2,FALSE),VLOOKUP(AC$1,'40Trips'!$A$3:$I$42,2,FALSE))&lt;'40Trips'!$K$16,$A33&lt;&gt;AC$1,gamma!AC33=1),SUM(VLOOKUP($A33,'40Trips'!$A$3:$I$42,2,FALSE), VLOOKUP(AC$1,'40Trips'!$A$3:$I$42,2,FALSE)),0)</f>
        <v>255</v>
      </c>
      <c r="AD33">
        <f>IF(AND(SUM(VLOOKUP($A33,'40Trips'!$A$3:$I$42,2,FALSE),VLOOKUP(AD$1,'40Trips'!$A$3:$I$42,2,FALSE))&lt;'40Trips'!$K$16,$A33&lt;&gt;AD$1,gamma!AD33=1),SUM(VLOOKUP($A33,'40Trips'!$A$3:$I$42,2,FALSE), VLOOKUP(AD$1,'40Trips'!$A$3:$I$42,2,FALSE)),0)</f>
        <v>265</v>
      </c>
      <c r="AE33">
        <f>IF(AND(SUM(VLOOKUP($A33,'40Trips'!$A$3:$I$42,2,FALSE),VLOOKUP(AE$1,'40Trips'!$A$3:$I$42,2,FALSE))&lt;'40Trips'!$K$16,$A33&lt;&gt;AE$1,gamma!AE33=1),SUM(VLOOKUP($A33,'40Trips'!$A$3:$I$42,2,FALSE), VLOOKUP(AE$1,'40Trips'!$A$3:$I$42,2,FALSE)),0)</f>
        <v>0</v>
      </c>
      <c r="AF33">
        <f>IF(AND(SUM(VLOOKUP($A33,'40Trips'!$A$3:$I$42,2,FALSE),VLOOKUP(AF$1,'40Trips'!$A$3:$I$42,2,FALSE))&lt;'40Trips'!$K$16,$A33&lt;&gt;AF$1,gamma!AF33=1),SUM(VLOOKUP($A33,'40Trips'!$A$3:$I$42,2,FALSE), VLOOKUP(AF$1,'40Trips'!$A$3:$I$42,2,FALSE)),0)</f>
        <v>0</v>
      </c>
      <c r="AG33">
        <f>IF(AND(SUM(VLOOKUP($A33,'40Trips'!$A$3:$I$42,2,FALSE),VLOOKUP(AG$1,'40Trips'!$A$3:$I$42,2,FALSE))&lt;'40Trips'!$K$16,$A33&lt;&gt;AG$1,gamma!AG33=1),SUM(VLOOKUP($A33,'40Trips'!$A$3:$I$42,2,FALSE), VLOOKUP(AG$1,'40Trips'!$A$3:$I$42,2,FALSE)),0)</f>
        <v>0</v>
      </c>
      <c r="AH33">
        <f>IF(AND(SUM(VLOOKUP($A33,'40Trips'!$A$3:$I$42,2,FALSE),VLOOKUP(AH$1,'40Trips'!$A$3:$I$42,2,FALSE))&lt;'40Trips'!$K$16,$A33&lt;&gt;AH$1,gamma!AH33=1),SUM(VLOOKUP($A33,'40Trips'!$A$3:$I$42,2,FALSE), VLOOKUP(AH$1,'40Trips'!$A$3:$I$42,2,FALSE)),0)</f>
        <v>270</v>
      </c>
      <c r="AI33">
        <f>IF(AND(SUM(VLOOKUP($A33,'40Trips'!$A$3:$I$42,2,FALSE),VLOOKUP(AI$1,'40Trips'!$A$3:$I$42,2,FALSE))&lt;'40Trips'!$K$16,$A33&lt;&gt;AI$1,gamma!AI33=1),SUM(VLOOKUP($A33,'40Trips'!$A$3:$I$42,2,FALSE), VLOOKUP(AI$1,'40Trips'!$A$3:$I$42,2,FALSE)),0)</f>
        <v>0</v>
      </c>
      <c r="AJ33">
        <f>IF(AND(SUM(VLOOKUP($A33,'40Trips'!$A$3:$I$42,2,FALSE),VLOOKUP(AJ$1,'40Trips'!$A$3:$I$42,2,FALSE))&lt;'40Trips'!$K$16,$A33&lt;&gt;AJ$1,gamma!AJ33=1),SUM(VLOOKUP($A33,'40Trips'!$A$3:$I$42,2,FALSE), VLOOKUP(AJ$1,'40Trips'!$A$3:$I$42,2,FALSE)),0)</f>
        <v>270</v>
      </c>
      <c r="AK33">
        <f>IF(AND(SUM(VLOOKUP($A33,'40Trips'!$A$3:$I$42,2,FALSE),VLOOKUP(AK$1,'40Trips'!$A$3:$I$42,2,FALSE))&lt;'40Trips'!$K$16,$A33&lt;&gt;AK$1,gamma!AK33=1),SUM(VLOOKUP($A33,'40Trips'!$A$3:$I$42,2,FALSE), VLOOKUP(AK$1,'40Trips'!$A$3:$I$42,2,FALSE)),0)</f>
        <v>275</v>
      </c>
      <c r="AL33">
        <f>IF(AND(SUM(VLOOKUP($A33,'40Trips'!$A$3:$I$42,2,FALSE),VLOOKUP(AL$1,'40Trips'!$A$3:$I$42,2,FALSE))&lt;'40Trips'!$K$16,$A33&lt;&gt;AL$1,gamma!AL33=1),SUM(VLOOKUP($A33,'40Trips'!$A$3:$I$42,2,FALSE), VLOOKUP(AL$1,'40Trips'!$A$3:$I$42,2,FALSE)),0)</f>
        <v>275</v>
      </c>
      <c r="AM33">
        <f>IF(AND(SUM(VLOOKUP($A33,'40Trips'!$A$3:$I$42,2,FALSE),VLOOKUP(AM$1,'40Trips'!$A$3:$I$42,2,FALSE))&lt;'40Trips'!$K$16,$A33&lt;&gt;AM$1,gamma!AM33=1),SUM(VLOOKUP($A33,'40Trips'!$A$3:$I$42,2,FALSE), VLOOKUP(AM$1,'40Trips'!$A$3:$I$42,2,FALSE)),0)</f>
        <v>0</v>
      </c>
      <c r="AN33">
        <f>IF(AND(SUM(VLOOKUP($A33,'40Trips'!$A$3:$I$42,2,FALSE),VLOOKUP(AN$1,'40Trips'!$A$3:$I$42,2,FALSE))&lt;'40Trips'!$K$16,$A33&lt;&gt;AN$1,gamma!AN33=1),SUM(VLOOKUP($A33,'40Trips'!$A$3:$I$42,2,FALSE), VLOOKUP(AN$1,'40Trips'!$A$3:$I$42,2,FALSE)),0)</f>
        <v>255</v>
      </c>
      <c r="AO33">
        <f>IF(AND(SUM(VLOOKUP($A33,'40Trips'!$A$3:$I$42,2,FALSE),VLOOKUP(AO$1,'40Trips'!$A$3:$I$42,2,FALSE))&lt;'40Trips'!$K$16,$A33&lt;&gt;AO$1,gamma!AO33=1),SUM(VLOOKUP($A33,'40Trips'!$A$3:$I$42,2,FALSE), VLOOKUP(AO$1,'40Trips'!$A$3:$I$42,2,FALSE)),0)</f>
        <v>255</v>
      </c>
      <c r="AP33">
        <f>IF(AND(SUM(VLOOKUP($A33,'40Trips'!$A$3:$I$42,2,FALSE),VLOOKUP(AP$1,'40Trips'!$A$3:$I$42,2,FALSE))&lt;'40Trips'!$K$16,$A33&lt;&gt;AP$1,gamma!AP33=1),SUM(VLOOKUP($A33,'40Trips'!$A$3:$I$42,2,FALSE), VLOOKUP(AP$1,'40Trips'!$A$3:$I$42,2,FALSE)),0)</f>
        <v>270</v>
      </c>
      <c r="AQ33">
        <v>0</v>
      </c>
      <c r="AR33">
        <v>0</v>
      </c>
      <c r="AS33">
        <v>0</v>
      </c>
      <c r="AT33">
        <v>0</v>
      </c>
    </row>
    <row r="34" spans="1:46" x14ac:dyDescent="0.25">
      <c r="A34" t="s">
        <v>85</v>
      </c>
      <c r="B34">
        <v>0</v>
      </c>
      <c r="C34">
        <f>IF(AND(SUM(VLOOKUP($A34,'40Trips'!$A$3:$I$42,2,FALSE),VLOOKUP(C$1,'40Trips'!$A$3:$I$42,2,FALSE))&lt;'40Trips'!$K$16,$A34&lt;&gt;C$1,gamma!C34=1),SUM(VLOOKUP($A34,'40Trips'!$A$3:$I$42,2,FALSE), VLOOKUP(C$1,'40Trips'!$A$3:$I$42,2,FALSE)),0)</f>
        <v>0</v>
      </c>
      <c r="D34">
        <f>IF(AND(SUM(VLOOKUP($A34,'40Trips'!$A$3:$I$42,2,FALSE),VLOOKUP(D$1,'40Trips'!$A$3:$I$42,2,FALSE))&lt;'40Trips'!$K$16,$A34&lt;&gt;D$1,gamma!D34=1),SUM(VLOOKUP($A34,'40Trips'!$A$3:$I$42,2,FALSE), VLOOKUP(D$1,'40Trips'!$A$3:$I$42,2,FALSE)),0)</f>
        <v>0</v>
      </c>
      <c r="E34">
        <f>IF(AND(SUM(VLOOKUP($A34,'40Trips'!$A$3:$I$42,2,FALSE),VLOOKUP(E$1,'40Trips'!$A$3:$I$42,2,FALSE))&lt;'40Trips'!$K$16,$A34&lt;&gt;E$1,gamma!E34=1),SUM(VLOOKUP($A34,'40Trips'!$A$3:$I$42,2,FALSE), VLOOKUP(E$1,'40Trips'!$A$3:$I$42,2,FALSE)),0)</f>
        <v>0</v>
      </c>
      <c r="F34">
        <f>IF(AND(SUM(VLOOKUP($A34,'40Trips'!$A$3:$I$42,2,FALSE),VLOOKUP(F$1,'40Trips'!$A$3:$I$42,2,FALSE))&lt;'40Trips'!$K$16,$A34&lt;&gt;F$1,gamma!F34=1),SUM(VLOOKUP($A34,'40Trips'!$A$3:$I$42,2,FALSE), VLOOKUP(F$1,'40Trips'!$A$3:$I$42,2,FALSE)),0)</f>
        <v>270</v>
      </c>
      <c r="G34">
        <f>IF(AND(SUM(VLOOKUP($A34,'40Trips'!$A$3:$I$42,2,FALSE),VLOOKUP(G$1,'40Trips'!$A$3:$I$42,2,FALSE))&lt;'40Trips'!$K$16,$A34&lt;&gt;G$1,gamma!G34=1),SUM(VLOOKUP($A34,'40Trips'!$A$3:$I$42,2,FALSE), VLOOKUP(G$1,'40Trips'!$A$3:$I$42,2,FALSE)),0)</f>
        <v>0</v>
      </c>
      <c r="H34">
        <f>IF(AND(SUM(VLOOKUP($A34,'40Trips'!$A$3:$I$42,2,FALSE),VLOOKUP(H$1,'40Trips'!$A$3:$I$42,2,FALSE))&lt;'40Trips'!$K$16,$A34&lt;&gt;H$1,gamma!H34=1),SUM(VLOOKUP($A34,'40Trips'!$A$3:$I$42,2,FALSE), VLOOKUP(H$1,'40Trips'!$A$3:$I$42,2,FALSE)),0)</f>
        <v>0</v>
      </c>
      <c r="I34">
        <f>IF(AND(SUM(VLOOKUP($A34,'40Trips'!$A$3:$I$42,2,FALSE),VLOOKUP(I$1,'40Trips'!$A$3:$I$42,2,FALSE))&lt;'40Trips'!$K$16,$A34&lt;&gt;I$1,gamma!I34=1),SUM(VLOOKUP($A34,'40Trips'!$A$3:$I$42,2,FALSE), VLOOKUP(I$1,'40Trips'!$A$3:$I$42,2,FALSE)),0)</f>
        <v>0</v>
      </c>
      <c r="J34">
        <f>IF(AND(SUM(VLOOKUP($A34,'40Trips'!$A$3:$I$42,2,FALSE),VLOOKUP(J$1,'40Trips'!$A$3:$I$42,2,FALSE))&lt;'40Trips'!$K$16,$A34&lt;&gt;J$1,gamma!J34=1),SUM(VLOOKUP($A34,'40Trips'!$A$3:$I$42,2,FALSE), VLOOKUP(J$1,'40Trips'!$A$3:$I$42,2,FALSE)),0)</f>
        <v>275</v>
      </c>
      <c r="K34">
        <f>IF(AND(SUM(VLOOKUP($A34,'40Trips'!$A$3:$I$42,2,FALSE),VLOOKUP(K$1,'40Trips'!$A$3:$I$42,2,FALSE))&lt;'40Trips'!$K$16,$A34&lt;&gt;K$1,gamma!K34=1),SUM(VLOOKUP($A34,'40Trips'!$A$3:$I$42,2,FALSE), VLOOKUP(K$1,'40Trips'!$A$3:$I$42,2,FALSE)),0)</f>
        <v>0</v>
      </c>
      <c r="L34">
        <f>IF(AND(SUM(VLOOKUP($A34,'40Trips'!$A$3:$I$42,2,FALSE),VLOOKUP(L$1,'40Trips'!$A$3:$I$42,2,FALSE))&lt;'40Trips'!$K$16,$A34&lt;&gt;L$1,gamma!L34=1),SUM(VLOOKUP($A34,'40Trips'!$A$3:$I$42,2,FALSE), VLOOKUP(L$1,'40Trips'!$A$3:$I$42,2,FALSE)),0)</f>
        <v>0</v>
      </c>
      <c r="M34">
        <f>IF(AND(SUM(VLOOKUP($A34,'40Trips'!$A$3:$I$42,2,FALSE),VLOOKUP(M$1,'40Trips'!$A$3:$I$42,2,FALSE))&lt;'40Trips'!$K$16,$A34&lt;&gt;M$1,gamma!M34=1),SUM(VLOOKUP($A34,'40Trips'!$A$3:$I$42,2,FALSE), VLOOKUP(M$1,'40Trips'!$A$3:$I$42,2,FALSE)),0)</f>
        <v>0</v>
      </c>
      <c r="N34">
        <f>IF(AND(SUM(VLOOKUP($A34,'40Trips'!$A$3:$I$42,2,FALSE),VLOOKUP(N$1,'40Trips'!$A$3:$I$42,2,FALSE))&lt;'40Trips'!$K$16,$A34&lt;&gt;N$1,gamma!N34=1),SUM(VLOOKUP($A34,'40Trips'!$A$3:$I$42,2,FALSE), VLOOKUP(N$1,'40Trips'!$A$3:$I$42,2,FALSE)),0)</f>
        <v>0</v>
      </c>
      <c r="O34">
        <f>IF(AND(SUM(VLOOKUP($A34,'40Trips'!$A$3:$I$42,2,FALSE),VLOOKUP(O$1,'40Trips'!$A$3:$I$42,2,FALSE))&lt;'40Trips'!$K$16,$A34&lt;&gt;O$1,gamma!O34=1),SUM(VLOOKUP($A34,'40Trips'!$A$3:$I$42,2,FALSE), VLOOKUP(O$1,'40Trips'!$A$3:$I$42,2,FALSE)),0)</f>
        <v>0</v>
      </c>
      <c r="P34">
        <f>IF(AND(SUM(VLOOKUP($A34,'40Trips'!$A$3:$I$42,2,FALSE),VLOOKUP(P$1,'40Trips'!$A$3:$I$42,2,FALSE))&lt;'40Trips'!$K$16,$A34&lt;&gt;P$1,gamma!P34=1),SUM(VLOOKUP($A34,'40Trips'!$A$3:$I$42,2,FALSE), VLOOKUP(P$1,'40Trips'!$A$3:$I$42,2,FALSE)),0)</f>
        <v>0</v>
      </c>
      <c r="Q34">
        <f>IF(AND(SUM(VLOOKUP($A34,'40Trips'!$A$3:$I$42,2,FALSE),VLOOKUP(Q$1,'40Trips'!$A$3:$I$42,2,FALSE))&lt;'40Trips'!$K$16,$A34&lt;&gt;Q$1,gamma!Q34=1),SUM(VLOOKUP($A34,'40Trips'!$A$3:$I$42,2,FALSE), VLOOKUP(Q$1,'40Trips'!$A$3:$I$42,2,FALSE)),0)</f>
        <v>0</v>
      </c>
      <c r="R34">
        <f>IF(AND(SUM(VLOOKUP($A34,'40Trips'!$A$3:$I$42,2,FALSE),VLOOKUP(R$1,'40Trips'!$A$3:$I$42,2,FALSE))&lt;'40Trips'!$K$16,$A34&lt;&gt;R$1,gamma!R34=1),SUM(VLOOKUP($A34,'40Trips'!$A$3:$I$42,2,FALSE), VLOOKUP(R$1,'40Trips'!$A$3:$I$42,2,FALSE)),0)</f>
        <v>0</v>
      </c>
      <c r="S34">
        <f>IF(AND(SUM(VLOOKUP($A34,'40Trips'!$A$3:$I$42,2,FALSE),VLOOKUP(S$1,'40Trips'!$A$3:$I$42,2,FALSE))&lt;'40Trips'!$K$16,$A34&lt;&gt;S$1,gamma!S34=1),SUM(VLOOKUP($A34,'40Trips'!$A$3:$I$42,2,FALSE), VLOOKUP(S$1,'40Trips'!$A$3:$I$42,2,FALSE)),0)</f>
        <v>0</v>
      </c>
      <c r="T34">
        <f>IF(AND(SUM(VLOOKUP($A34,'40Trips'!$A$3:$I$42,2,FALSE),VLOOKUP(T$1,'40Trips'!$A$3:$I$42,2,FALSE))&lt;'40Trips'!$K$16,$A34&lt;&gt;T$1,gamma!T34=1),SUM(VLOOKUP($A34,'40Trips'!$A$3:$I$42,2,FALSE), VLOOKUP(T$1,'40Trips'!$A$3:$I$42,2,FALSE)),0)</f>
        <v>0</v>
      </c>
      <c r="U34">
        <f>IF(AND(SUM(VLOOKUP($A34,'40Trips'!$A$3:$I$42,2,FALSE),VLOOKUP(U$1,'40Trips'!$A$3:$I$42,2,FALSE))&lt;'40Trips'!$K$16,$A34&lt;&gt;U$1,gamma!U34=1),SUM(VLOOKUP($A34,'40Trips'!$A$3:$I$42,2,FALSE), VLOOKUP(U$1,'40Trips'!$A$3:$I$42,2,FALSE)),0)</f>
        <v>0</v>
      </c>
      <c r="V34">
        <f>IF(AND(SUM(VLOOKUP($A34,'40Trips'!$A$3:$I$42,2,FALSE),VLOOKUP(V$1,'40Trips'!$A$3:$I$42,2,FALSE))&lt;'40Trips'!$K$16,$A34&lt;&gt;V$1,gamma!V34=1),SUM(VLOOKUP($A34,'40Trips'!$A$3:$I$42,2,FALSE), VLOOKUP(V$1,'40Trips'!$A$3:$I$42,2,FALSE)),0)</f>
        <v>265</v>
      </c>
      <c r="W34">
        <f>IF(AND(SUM(VLOOKUP($A34,'40Trips'!$A$3:$I$42,2,FALSE),VLOOKUP(W$1,'40Trips'!$A$3:$I$42,2,FALSE))&lt;'40Trips'!$K$16,$A34&lt;&gt;W$1,gamma!W34=1),SUM(VLOOKUP($A34,'40Trips'!$A$3:$I$42,2,FALSE), VLOOKUP(W$1,'40Trips'!$A$3:$I$42,2,FALSE)),0)</f>
        <v>0</v>
      </c>
      <c r="X34">
        <f>IF(AND(SUM(VLOOKUP($A34,'40Trips'!$A$3:$I$42,2,FALSE),VLOOKUP(X$1,'40Trips'!$A$3:$I$42,2,FALSE))&lt;'40Trips'!$K$16,$A34&lt;&gt;X$1,gamma!X34=1),SUM(VLOOKUP($A34,'40Trips'!$A$3:$I$42,2,FALSE), VLOOKUP(X$1,'40Trips'!$A$3:$I$42,2,FALSE)),0)</f>
        <v>0</v>
      </c>
      <c r="Y34">
        <f>IF(AND(SUM(VLOOKUP($A34,'40Trips'!$A$3:$I$42,2,FALSE),VLOOKUP(Y$1,'40Trips'!$A$3:$I$42,2,FALSE))&lt;'40Trips'!$K$16,$A34&lt;&gt;Y$1,gamma!Y34=1),SUM(VLOOKUP($A34,'40Trips'!$A$3:$I$42,2,FALSE), VLOOKUP(Y$1,'40Trips'!$A$3:$I$42,2,FALSE)),0)</f>
        <v>0</v>
      </c>
      <c r="Z34">
        <f>IF(AND(SUM(VLOOKUP($A34,'40Trips'!$A$3:$I$42,2,FALSE),VLOOKUP(Z$1,'40Trips'!$A$3:$I$42,2,FALSE))&lt;'40Trips'!$K$16,$A34&lt;&gt;Z$1,gamma!Z34=1),SUM(VLOOKUP($A34,'40Trips'!$A$3:$I$42,2,FALSE), VLOOKUP(Z$1,'40Trips'!$A$3:$I$42,2,FALSE)),0)</f>
        <v>275</v>
      </c>
      <c r="AA34">
        <f>IF(AND(SUM(VLOOKUP($A34,'40Trips'!$A$3:$I$42,2,FALSE),VLOOKUP(AA$1,'40Trips'!$A$3:$I$42,2,FALSE))&lt;'40Trips'!$K$16,$A34&lt;&gt;AA$1,gamma!AA34=1),SUM(VLOOKUP($A34,'40Trips'!$A$3:$I$42,2,FALSE), VLOOKUP(AA$1,'40Trips'!$A$3:$I$42,2,FALSE)),0)</f>
        <v>0</v>
      </c>
      <c r="AB34">
        <f>IF(AND(SUM(VLOOKUP($A34,'40Trips'!$A$3:$I$42,2,FALSE),VLOOKUP(AB$1,'40Trips'!$A$3:$I$42,2,FALSE))&lt;'40Trips'!$K$16,$A34&lt;&gt;AB$1,gamma!AB34=1),SUM(VLOOKUP($A34,'40Trips'!$A$3:$I$42,2,FALSE), VLOOKUP(AB$1,'40Trips'!$A$3:$I$42,2,FALSE)),0)</f>
        <v>0</v>
      </c>
      <c r="AC34">
        <f>IF(AND(SUM(VLOOKUP($A34,'40Trips'!$A$3:$I$42,2,FALSE),VLOOKUP(AC$1,'40Trips'!$A$3:$I$42,2,FALSE))&lt;'40Trips'!$K$16,$A34&lt;&gt;AC$1,gamma!AC34=1),SUM(VLOOKUP($A34,'40Trips'!$A$3:$I$42,2,FALSE), VLOOKUP(AC$1,'40Trips'!$A$3:$I$42,2,FALSE)),0)</f>
        <v>0</v>
      </c>
      <c r="AD34">
        <f>IF(AND(SUM(VLOOKUP($A34,'40Trips'!$A$3:$I$42,2,FALSE),VLOOKUP(AD$1,'40Trips'!$A$3:$I$42,2,FALSE))&lt;'40Trips'!$K$16,$A34&lt;&gt;AD$1,gamma!AD34=1),SUM(VLOOKUP($A34,'40Trips'!$A$3:$I$42,2,FALSE), VLOOKUP(AD$1,'40Trips'!$A$3:$I$42,2,FALSE)),0)</f>
        <v>265</v>
      </c>
      <c r="AE34">
        <f>IF(AND(SUM(VLOOKUP($A34,'40Trips'!$A$3:$I$42,2,FALSE),VLOOKUP(AE$1,'40Trips'!$A$3:$I$42,2,FALSE))&lt;'40Trips'!$K$16,$A34&lt;&gt;AE$1,gamma!AE34=1),SUM(VLOOKUP($A34,'40Trips'!$A$3:$I$42,2,FALSE), VLOOKUP(AE$1,'40Trips'!$A$3:$I$42,2,FALSE)),0)</f>
        <v>0</v>
      </c>
      <c r="AF34">
        <f>IF(AND(SUM(VLOOKUP($A34,'40Trips'!$A$3:$I$42,2,FALSE),VLOOKUP(AF$1,'40Trips'!$A$3:$I$42,2,FALSE))&lt;'40Trips'!$K$16,$A34&lt;&gt;AF$1,gamma!AF34=1),SUM(VLOOKUP($A34,'40Trips'!$A$3:$I$42,2,FALSE), VLOOKUP(AF$1,'40Trips'!$A$3:$I$42,2,FALSE)),0)</f>
        <v>0</v>
      </c>
      <c r="AG34">
        <f>IF(AND(SUM(VLOOKUP($A34,'40Trips'!$A$3:$I$42,2,FALSE),VLOOKUP(AG$1,'40Trips'!$A$3:$I$42,2,FALSE))&lt;'40Trips'!$K$16,$A34&lt;&gt;AG$1,gamma!AG34=1),SUM(VLOOKUP($A34,'40Trips'!$A$3:$I$42,2,FALSE), VLOOKUP(AG$1,'40Trips'!$A$3:$I$42,2,FALSE)),0)</f>
        <v>0</v>
      </c>
      <c r="AH34">
        <f>IF(AND(SUM(VLOOKUP($A34,'40Trips'!$A$3:$I$42,2,FALSE),VLOOKUP(AH$1,'40Trips'!$A$3:$I$42,2,FALSE))&lt;'40Trips'!$K$16,$A34&lt;&gt;AH$1,gamma!AH34=1),SUM(VLOOKUP($A34,'40Trips'!$A$3:$I$42,2,FALSE), VLOOKUP(AH$1,'40Trips'!$A$3:$I$42,2,FALSE)),0)</f>
        <v>0</v>
      </c>
      <c r="AI34">
        <f>IF(AND(SUM(VLOOKUP($A34,'40Trips'!$A$3:$I$42,2,FALSE),VLOOKUP(AI$1,'40Trips'!$A$3:$I$42,2,FALSE))&lt;'40Trips'!$K$16,$A34&lt;&gt;AI$1,gamma!AI34=1),SUM(VLOOKUP($A34,'40Trips'!$A$3:$I$42,2,FALSE), VLOOKUP(AI$1,'40Trips'!$A$3:$I$42,2,FALSE)),0)</f>
        <v>0</v>
      </c>
      <c r="AJ34">
        <f>IF(AND(SUM(VLOOKUP($A34,'40Trips'!$A$3:$I$42,2,FALSE),VLOOKUP(AJ$1,'40Trips'!$A$3:$I$42,2,FALSE))&lt;'40Trips'!$K$16,$A34&lt;&gt;AJ$1,gamma!AJ34=1),SUM(VLOOKUP($A34,'40Trips'!$A$3:$I$42,2,FALSE), VLOOKUP(AJ$1,'40Trips'!$A$3:$I$42,2,FALSE)),0)</f>
        <v>0</v>
      </c>
      <c r="AK34">
        <f>IF(AND(SUM(VLOOKUP($A34,'40Trips'!$A$3:$I$42,2,FALSE),VLOOKUP(AK$1,'40Trips'!$A$3:$I$42,2,FALSE))&lt;'40Trips'!$K$16,$A34&lt;&gt;AK$1,gamma!AK34=1),SUM(VLOOKUP($A34,'40Trips'!$A$3:$I$42,2,FALSE), VLOOKUP(AK$1,'40Trips'!$A$3:$I$42,2,FALSE)),0)</f>
        <v>0</v>
      </c>
      <c r="AL34">
        <f>IF(AND(SUM(VLOOKUP($A34,'40Trips'!$A$3:$I$42,2,FALSE),VLOOKUP(AL$1,'40Trips'!$A$3:$I$42,2,FALSE))&lt;'40Trips'!$K$16,$A34&lt;&gt;AL$1,gamma!AL34=1),SUM(VLOOKUP($A34,'40Trips'!$A$3:$I$42,2,FALSE), VLOOKUP(AL$1,'40Trips'!$A$3:$I$42,2,FALSE)),0)</f>
        <v>275</v>
      </c>
      <c r="AM34">
        <f>IF(AND(SUM(VLOOKUP($A34,'40Trips'!$A$3:$I$42,2,FALSE),VLOOKUP(AM$1,'40Trips'!$A$3:$I$42,2,FALSE))&lt;'40Trips'!$K$16,$A34&lt;&gt;AM$1,gamma!AM34=1),SUM(VLOOKUP($A34,'40Trips'!$A$3:$I$42,2,FALSE), VLOOKUP(AM$1,'40Trips'!$A$3:$I$42,2,FALSE)),0)</f>
        <v>0</v>
      </c>
      <c r="AN34">
        <f>IF(AND(SUM(VLOOKUP($A34,'40Trips'!$A$3:$I$42,2,FALSE),VLOOKUP(AN$1,'40Trips'!$A$3:$I$42,2,FALSE))&lt;'40Trips'!$K$16,$A34&lt;&gt;AN$1,gamma!AN34=1),SUM(VLOOKUP($A34,'40Trips'!$A$3:$I$42,2,FALSE), VLOOKUP(AN$1,'40Trips'!$A$3:$I$42,2,FALSE)),0)</f>
        <v>0</v>
      </c>
      <c r="AO34">
        <f>IF(AND(SUM(VLOOKUP($A34,'40Trips'!$A$3:$I$42,2,FALSE),VLOOKUP(AO$1,'40Trips'!$A$3:$I$42,2,FALSE))&lt;'40Trips'!$K$16,$A34&lt;&gt;AO$1,gamma!AO34=1),SUM(VLOOKUP($A34,'40Trips'!$A$3:$I$42,2,FALSE), VLOOKUP(AO$1,'40Trips'!$A$3:$I$42,2,FALSE)),0)</f>
        <v>0</v>
      </c>
      <c r="AP34">
        <f>IF(AND(SUM(VLOOKUP($A34,'40Trips'!$A$3:$I$42,2,FALSE),VLOOKUP(AP$1,'40Trips'!$A$3:$I$42,2,FALSE))&lt;'40Trips'!$K$16,$A34&lt;&gt;AP$1,gamma!AP34=1),SUM(VLOOKUP($A34,'40Trips'!$A$3:$I$42,2,FALSE), VLOOKUP(AP$1,'40Trips'!$A$3:$I$42,2,FALSE)),0)</f>
        <v>270</v>
      </c>
      <c r="AQ34">
        <v>0</v>
      </c>
      <c r="AR34">
        <v>0</v>
      </c>
      <c r="AS34">
        <v>0</v>
      </c>
      <c r="AT34">
        <v>0</v>
      </c>
    </row>
    <row r="35" spans="1:46" x14ac:dyDescent="0.25">
      <c r="A35" t="s">
        <v>40</v>
      </c>
      <c r="B35">
        <v>0</v>
      </c>
      <c r="C35">
        <f>IF(AND(SUM(VLOOKUP($A35,'40Trips'!$A$3:$I$42,2,FALSE),VLOOKUP(C$1,'40Trips'!$A$3:$I$42,2,FALSE))&lt;'40Trips'!$K$16,$A35&lt;&gt;C$1,gamma!C35=1),SUM(VLOOKUP($A35,'40Trips'!$A$3:$I$42,2,FALSE), VLOOKUP(C$1,'40Trips'!$A$3:$I$42,2,FALSE)),0)</f>
        <v>0</v>
      </c>
      <c r="D35">
        <f>IF(AND(SUM(VLOOKUP($A35,'40Trips'!$A$3:$I$42,2,FALSE),VLOOKUP(D$1,'40Trips'!$A$3:$I$42,2,FALSE))&lt;'40Trips'!$K$16,$A35&lt;&gt;D$1,gamma!D35=1),SUM(VLOOKUP($A35,'40Trips'!$A$3:$I$42,2,FALSE), VLOOKUP(D$1,'40Trips'!$A$3:$I$42,2,FALSE)),0)</f>
        <v>0</v>
      </c>
      <c r="E35">
        <f>IF(AND(SUM(VLOOKUP($A35,'40Trips'!$A$3:$I$42,2,FALSE),VLOOKUP(E$1,'40Trips'!$A$3:$I$42,2,FALSE))&lt;'40Trips'!$K$16,$A35&lt;&gt;E$1,gamma!E35=1),SUM(VLOOKUP($A35,'40Trips'!$A$3:$I$42,2,FALSE), VLOOKUP(E$1,'40Trips'!$A$3:$I$42,2,FALSE)),0)</f>
        <v>0</v>
      </c>
      <c r="F35">
        <f>IF(AND(SUM(VLOOKUP($A35,'40Trips'!$A$3:$I$42,2,FALSE),VLOOKUP(F$1,'40Trips'!$A$3:$I$42,2,FALSE))&lt;'40Trips'!$K$16,$A35&lt;&gt;F$1,gamma!F35=1),SUM(VLOOKUP($A35,'40Trips'!$A$3:$I$42,2,FALSE), VLOOKUP(F$1,'40Trips'!$A$3:$I$42,2,FALSE)),0)</f>
        <v>275</v>
      </c>
      <c r="G35">
        <f>IF(AND(SUM(VLOOKUP($A35,'40Trips'!$A$3:$I$42,2,FALSE),VLOOKUP(G$1,'40Trips'!$A$3:$I$42,2,FALSE))&lt;'40Trips'!$K$16,$A35&lt;&gt;G$1,gamma!G35=1),SUM(VLOOKUP($A35,'40Trips'!$A$3:$I$42,2,FALSE), VLOOKUP(G$1,'40Trips'!$A$3:$I$42,2,FALSE)),0)</f>
        <v>0</v>
      </c>
      <c r="H35">
        <f>IF(AND(SUM(VLOOKUP($A35,'40Trips'!$A$3:$I$42,2,FALSE),VLOOKUP(H$1,'40Trips'!$A$3:$I$42,2,FALSE))&lt;'40Trips'!$K$16,$A35&lt;&gt;H$1,gamma!H35=1),SUM(VLOOKUP($A35,'40Trips'!$A$3:$I$42,2,FALSE), VLOOKUP(H$1,'40Trips'!$A$3:$I$42,2,FALSE)),0)</f>
        <v>0</v>
      </c>
      <c r="I35">
        <f>IF(AND(SUM(VLOOKUP($A35,'40Trips'!$A$3:$I$42,2,FALSE),VLOOKUP(I$1,'40Trips'!$A$3:$I$42,2,FALSE))&lt;'40Trips'!$K$16,$A35&lt;&gt;I$1,gamma!I35=1),SUM(VLOOKUP($A35,'40Trips'!$A$3:$I$42,2,FALSE), VLOOKUP(I$1,'40Trips'!$A$3:$I$42,2,FALSE)),0)</f>
        <v>0</v>
      </c>
      <c r="J35">
        <f>IF(AND(SUM(VLOOKUP($A35,'40Trips'!$A$3:$I$42,2,FALSE),VLOOKUP(J$1,'40Trips'!$A$3:$I$42,2,FALSE))&lt;'40Trips'!$K$16,$A35&lt;&gt;J$1,gamma!J35=1),SUM(VLOOKUP($A35,'40Trips'!$A$3:$I$42,2,FALSE), VLOOKUP(J$1,'40Trips'!$A$3:$I$42,2,FALSE)),0)</f>
        <v>280</v>
      </c>
      <c r="K35">
        <f>IF(AND(SUM(VLOOKUP($A35,'40Trips'!$A$3:$I$42,2,FALSE),VLOOKUP(K$1,'40Trips'!$A$3:$I$42,2,FALSE))&lt;'40Trips'!$K$16,$A35&lt;&gt;K$1,gamma!K35=1),SUM(VLOOKUP($A35,'40Trips'!$A$3:$I$42,2,FALSE), VLOOKUP(K$1,'40Trips'!$A$3:$I$42,2,FALSE)),0)</f>
        <v>0</v>
      </c>
      <c r="L35">
        <f>IF(AND(SUM(VLOOKUP($A35,'40Trips'!$A$3:$I$42,2,FALSE),VLOOKUP(L$1,'40Trips'!$A$3:$I$42,2,FALSE))&lt;'40Trips'!$K$16,$A35&lt;&gt;L$1,gamma!L35=1),SUM(VLOOKUP($A35,'40Trips'!$A$3:$I$42,2,FALSE), VLOOKUP(L$1,'40Trips'!$A$3:$I$42,2,FALSE)),0)</f>
        <v>0</v>
      </c>
      <c r="M35">
        <f>IF(AND(SUM(VLOOKUP($A35,'40Trips'!$A$3:$I$42,2,FALSE),VLOOKUP(M$1,'40Trips'!$A$3:$I$42,2,FALSE))&lt;'40Trips'!$K$16,$A35&lt;&gt;M$1,gamma!M35=1),SUM(VLOOKUP($A35,'40Trips'!$A$3:$I$42,2,FALSE), VLOOKUP(M$1,'40Trips'!$A$3:$I$42,2,FALSE)),0)</f>
        <v>0</v>
      </c>
      <c r="N35">
        <f>IF(AND(SUM(VLOOKUP($A35,'40Trips'!$A$3:$I$42,2,FALSE),VLOOKUP(N$1,'40Trips'!$A$3:$I$42,2,FALSE))&lt;'40Trips'!$K$16,$A35&lt;&gt;N$1,gamma!N35=1),SUM(VLOOKUP($A35,'40Trips'!$A$3:$I$42,2,FALSE), VLOOKUP(N$1,'40Trips'!$A$3:$I$42,2,FALSE)),0)</f>
        <v>0</v>
      </c>
      <c r="O35">
        <f>IF(AND(SUM(VLOOKUP($A35,'40Trips'!$A$3:$I$42,2,FALSE),VLOOKUP(O$1,'40Trips'!$A$3:$I$42,2,FALSE))&lt;'40Trips'!$K$16,$A35&lt;&gt;O$1,gamma!O35=1),SUM(VLOOKUP($A35,'40Trips'!$A$3:$I$42,2,FALSE), VLOOKUP(O$1,'40Trips'!$A$3:$I$42,2,FALSE)),0)</f>
        <v>0</v>
      </c>
      <c r="P35">
        <f>IF(AND(SUM(VLOOKUP($A35,'40Trips'!$A$3:$I$42,2,FALSE),VLOOKUP(P$1,'40Trips'!$A$3:$I$42,2,FALSE))&lt;'40Trips'!$K$16,$A35&lt;&gt;P$1,gamma!P35=1),SUM(VLOOKUP($A35,'40Trips'!$A$3:$I$42,2,FALSE), VLOOKUP(P$1,'40Trips'!$A$3:$I$42,2,FALSE)),0)</f>
        <v>0</v>
      </c>
      <c r="Q35">
        <f>IF(AND(SUM(VLOOKUP($A35,'40Trips'!$A$3:$I$42,2,FALSE),VLOOKUP(Q$1,'40Trips'!$A$3:$I$42,2,FALSE))&lt;'40Trips'!$K$16,$A35&lt;&gt;Q$1,gamma!Q35=1),SUM(VLOOKUP($A35,'40Trips'!$A$3:$I$42,2,FALSE), VLOOKUP(Q$1,'40Trips'!$A$3:$I$42,2,FALSE)),0)</f>
        <v>0</v>
      </c>
      <c r="R35">
        <f>IF(AND(SUM(VLOOKUP($A35,'40Trips'!$A$3:$I$42,2,FALSE),VLOOKUP(R$1,'40Trips'!$A$3:$I$42,2,FALSE))&lt;'40Trips'!$K$16,$A35&lt;&gt;R$1,gamma!R35=1),SUM(VLOOKUP($A35,'40Trips'!$A$3:$I$42,2,FALSE), VLOOKUP(R$1,'40Trips'!$A$3:$I$42,2,FALSE)),0)</f>
        <v>275</v>
      </c>
      <c r="S35">
        <f>IF(AND(SUM(VLOOKUP($A35,'40Trips'!$A$3:$I$42,2,FALSE),VLOOKUP(S$1,'40Trips'!$A$3:$I$42,2,FALSE))&lt;'40Trips'!$K$16,$A35&lt;&gt;S$1,gamma!S35=1),SUM(VLOOKUP($A35,'40Trips'!$A$3:$I$42,2,FALSE), VLOOKUP(S$1,'40Trips'!$A$3:$I$42,2,FALSE)),0)</f>
        <v>0</v>
      </c>
      <c r="T35">
        <f>IF(AND(SUM(VLOOKUP($A35,'40Trips'!$A$3:$I$42,2,FALSE),VLOOKUP(T$1,'40Trips'!$A$3:$I$42,2,FALSE))&lt;'40Trips'!$K$16,$A35&lt;&gt;T$1,gamma!T35=1),SUM(VLOOKUP($A35,'40Trips'!$A$3:$I$42,2,FALSE), VLOOKUP(T$1,'40Trips'!$A$3:$I$42,2,FALSE)),0)</f>
        <v>0</v>
      </c>
      <c r="U35">
        <f>IF(AND(SUM(VLOOKUP($A35,'40Trips'!$A$3:$I$42,2,FALSE),VLOOKUP(U$1,'40Trips'!$A$3:$I$42,2,FALSE))&lt;'40Trips'!$K$16,$A35&lt;&gt;U$1,gamma!U35=1),SUM(VLOOKUP($A35,'40Trips'!$A$3:$I$42,2,FALSE), VLOOKUP(U$1,'40Trips'!$A$3:$I$42,2,FALSE)),0)</f>
        <v>0</v>
      </c>
      <c r="V35">
        <f>IF(AND(SUM(VLOOKUP($A35,'40Trips'!$A$3:$I$42,2,FALSE),VLOOKUP(V$1,'40Trips'!$A$3:$I$42,2,FALSE))&lt;'40Trips'!$K$16,$A35&lt;&gt;V$1,gamma!V35=1),SUM(VLOOKUP($A35,'40Trips'!$A$3:$I$42,2,FALSE), VLOOKUP(V$1,'40Trips'!$A$3:$I$42,2,FALSE)),0)</f>
        <v>270</v>
      </c>
      <c r="W35">
        <f>IF(AND(SUM(VLOOKUP($A35,'40Trips'!$A$3:$I$42,2,FALSE),VLOOKUP(W$1,'40Trips'!$A$3:$I$42,2,FALSE))&lt;'40Trips'!$K$16,$A35&lt;&gt;W$1,gamma!W35=1),SUM(VLOOKUP($A35,'40Trips'!$A$3:$I$42,2,FALSE), VLOOKUP(W$1,'40Trips'!$A$3:$I$42,2,FALSE)),0)</f>
        <v>0</v>
      </c>
      <c r="X35">
        <f>IF(AND(SUM(VLOOKUP($A35,'40Trips'!$A$3:$I$42,2,FALSE),VLOOKUP(X$1,'40Trips'!$A$3:$I$42,2,FALSE))&lt;'40Trips'!$K$16,$A35&lt;&gt;X$1,gamma!X35=1),SUM(VLOOKUP($A35,'40Trips'!$A$3:$I$42,2,FALSE), VLOOKUP(X$1,'40Trips'!$A$3:$I$42,2,FALSE)),0)</f>
        <v>0</v>
      </c>
      <c r="Y35">
        <f>IF(AND(SUM(VLOOKUP($A35,'40Trips'!$A$3:$I$42,2,FALSE),VLOOKUP(Y$1,'40Trips'!$A$3:$I$42,2,FALSE))&lt;'40Trips'!$K$16,$A35&lt;&gt;Y$1,gamma!Y35=1),SUM(VLOOKUP($A35,'40Trips'!$A$3:$I$42,2,FALSE), VLOOKUP(Y$1,'40Trips'!$A$3:$I$42,2,FALSE)),0)</f>
        <v>0</v>
      </c>
      <c r="Z35">
        <f>IF(AND(SUM(VLOOKUP($A35,'40Trips'!$A$3:$I$42,2,FALSE),VLOOKUP(Z$1,'40Trips'!$A$3:$I$42,2,FALSE))&lt;'40Trips'!$K$16,$A35&lt;&gt;Z$1,gamma!Z35=1),SUM(VLOOKUP($A35,'40Trips'!$A$3:$I$42,2,FALSE), VLOOKUP(Z$1,'40Trips'!$A$3:$I$42,2,FALSE)),0)</f>
        <v>280</v>
      </c>
      <c r="AA35">
        <f>IF(AND(SUM(VLOOKUP($A35,'40Trips'!$A$3:$I$42,2,FALSE),VLOOKUP(AA$1,'40Trips'!$A$3:$I$42,2,FALSE))&lt;'40Trips'!$K$16,$A35&lt;&gt;AA$1,gamma!AA35=1),SUM(VLOOKUP($A35,'40Trips'!$A$3:$I$42,2,FALSE), VLOOKUP(AA$1,'40Trips'!$A$3:$I$42,2,FALSE)),0)</f>
        <v>0</v>
      </c>
      <c r="AB35">
        <f>IF(AND(SUM(VLOOKUP($A35,'40Trips'!$A$3:$I$42,2,FALSE),VLOOKUP(AB$1,'40Trips'!$A$3:$I$42,2,FALSE))&lt;'40Trips'!$K$16,$A35&lt;&gt;AB$1,gamma!AB35=1),SUM(VLOOKUP($A35,'40Trips'!$A$3:$I$42,2,FALSE), VLOOKUP(AB$1,'40Trips'!$A$3:$I$42,2,FALSE)),0)</f>
        <v>0</v>
      </c>
      <c r="AC35">
        <f>IF(AND(SUM(VLOOKUP($A35,'40Trips'!$A$3:$I$42,2,FALSE),VLOOKUP(AC$1,'40Trips'!$A$3:$I$42,2,FALSE))&lt;'40Trips'!$K$16,$A35&lt;&gt;AC$1,gamma!AC35=1),SUM(VLOOKUP($A35,'40Trips'!$A$3:$I$42,2,FALSE), VLOOKUP(AC$1,'40Trips'!$A$3:$I$42,2,FALSE)),0)</f>
        <v>260</v>
      </c>
      <c r="AD35">
        <f>IF(AND(SUM(VLOOKUP($A35,'40Trips'!$A$3:$I$42,2,FALSE),VLOOKUP(AD$1,'40Trips'!$A$3:$I$42,2,FALSE))&lt;'40Trips'!$K$16,$A35&lt;&gt;AD$1,gamma!AD35=1),SUM(VLOOKUP($A35,'40Trips'!$A$3:$I$42,2,FALSE), VLOOKUP(AD$1,'40Trips'!$A$3:$I$42,2,FALSE)),0)</f>
        <v>270</v>
      </c>
      <c r="AE35">
        <f>IF(AND(SUM(VLOOKUP($A35,'40Trips'!$A$3:$I$42,2,FALSE),VLOOKUP(AE$1,'40Trips'!$A$3:$I$42,2,FALSE))&lt;'40Trips'!$K$16,$A35&lt;&gt;AE$1,gamma!AE35=1),SUM(VLOOKUP($A35,'40Trips'!$A$3:$I$42,2,FALSE), VLOOKUP(AE$1,'40Trips'!$A$3:$I$42,2,FALSE)),0)</f>
        <v>0</v>
      </c>
      <c r="AF35">
        <f>IF(AND(SUM(VLOOKUP($A35,'40Trips'!$A$3:$I$42,2,FALSE),VLOOKUP(AF$1,'40Trips'!$A$3:$I$42,2,FALSE))&lt;'40Trips'!$K$16,$A35&lt;&gt;AF$1,gamma!AF35=1),SUM(VLOOKUP($A35,'40Trips'!$A$3:$I$42,2,FALSE), VLOOKUP(AF$1,'40Trips'!$A$3:$I$42,2,FALSE)),0)</f>
        <v>0</v>
      </c>
      <c r="AG35">
        <f>IF(AND(SUM(VLOOKUP($A35,'40Trips'!$A$3:$I$42,2,FALSE),VLOOKUP(AG$1,'40Trips'!$A$3:$I$42,2,FALSE))&lt;'40Trips'!$K$16,$A35&lt;&gt;AG$1,gamma!AG35=1),SUM(VLOOKUP($A35,'40Trips'!$A$3:$I$42,2,FALSE), VLOOKUP(AG$1,'40Trips'!$A$3:$I$42,2,FALSE)),0)</f>
        <v>0</v>
      </c>
      <c r="AH35">
        <f>IF(AND(SUM(VLOOKUP($A35,'40Trips'!$A$3:$I$42,2,FALSE),VLOOKUP(AH$1,'40Trips'!$A$3:$I$42,2,FALSE))&lt;'40Trips'!$K$16,$A35&lt;&gt;AH$1,gamma!AH35=1),SUM(VLOOKUP($A35,'40Trips'!$A$3:$I$42,2,FALSE), VLOOKUP(AH$1,'40Trips'!$A$3:$I$42,2,FALSE)),0)</f>
        <v>0</v>
      </c>
      <c r="AI35">
        <f>IF(AND(SUM(VLOOKUP($A35,'40Trips'!$A$3:$I$42,2,FALSE),VLOOKUP(AI$1,'40Trips'!$A$3:$I$42,2,FALSE))&lt;'40Trips'!$K$16,$A35&lt;&gt;AI$1,gamma!AI35=1),SUM(VLOOKUP($A35,'40Trips'!$A$3:$I$42,2,FALSE), VLOOKUP(AI$1,'40Trips'!$A$3:$I$42,2,FALSE)),0)</f>
        <v>0</v>
      </c>
      <c r="AJ35">
        <f>IF(AND(SUM(VLOOKUP($A35,'40Trips'!$A$3:$I$42,2,FALSE),VLOOKUP(AJ$1,'40Trips'!$A$3:$I$42,2,FALSE))&lt;'40Trips'!$K$16,$A35&lt;&gt;AJ$1,gamma!AJ35=1),SUM(VLOOKUP($A35,'40Trips'!$A$3:$I$42,2,FALSE), VLOOKUP(AJ$1,'40Trips'!$A$3:$I$42,2,FALSE)),0)</f>
        <v>0</v>
      </c>
      <c r="AK35">
        <f>IF(AND(SUM(VLOOKUP($A35,'40Trips'!$A$3:$I$42,2,FALSE),VLOOKUP(AK$1,'40Trips'!$A$3:$I$42,2,FALSE))&lt;'40Trips'!$K$16,$A35&lt;&gt;AK$1,gamma!AK35=1),SUM(VLOOKUP($A35,'40Trips'!$A$3:$I$42,2,FALSE), VLOOKUP(AK$1,'40Trips'!$A$3:$I$42,2,FALSE)),0)</f>
        <v>0</v>
      </c>
      <c r="AL35">
        <f>IF(AND(SUM(VLOOKUP($A35,'40Trips'!$A$3:$I$42,2,FALSE),VLOOKUP(AL$1,'40Trips'!$A$3:$I$42,2,FALSE))&lt;'40Trips'!$K$16,$A35&lt;&gt;AL$1,gamma!AL35=1),SUM(VLOOKUP($A35,'40Trips'!$A$3:$I$42,2,FALSE), VLOOKUP(AL$1,'40Trips'!$A$3:$I$42,2,FALSE)),0)</f>
        <v>280</v>
      </c>
      <c r="AM35">
        <f>IF(AND(SUM(VLOOKUP($A35,'40Trips'!$A$3:$I$42,2,FALSE),VLOOKUP(AM$1,'40Trips'!$A$3:$I$42,2,FALSE))&lt;'40Trips'!$K$16,$A35&lt;&gt;AM$1,gamma!AM35=1),SUM(VLOOKUP($A35,'40Trips'!$A$3:$I$42,2,FALSE), VLOOKUP(AM$1,'40Trips'!$A$3:$I$42,2,FALSE)),0)</f>
        <v>0</v>
      </c>
      <c r="AN35">
        <f>IF(AND(SUM(VLOOKUP($A35,'40Trips'!$A$3:$I$42,2,FALSE),VLOOKUP(AN$1,'40Trips'!$A$3:$I$42,2,FALSE))&lt;'40Trips'!$K$16,$A35&lt;&gt;AN$1,gamma!AN35=1),SUM(VLOOKUP($A35,'40Trips'!$A$3:$I$42,2,FALSE), VLOOKUP(AN$1,'40Trips'!$A$3:$I$42,2,FALSE)),0)</f>
        <v>0</v>
      </c>
      <c r="AO35">
        <f>IF(AND(SUM(VLOOKUP($A35,'40Trips'!$A$3:$I$42,2,FALSE),VLOOKUP(AO$1,'40Trips'!$A$3:$I$42,2,FALSE))&lt;'40Trips'!$K$16,$A35&lt;&gt;AO$1,gamma!AO35=1),SUM(VLOOKUP($A35,'40Trips'!$A$3:$I$42,2,FALSE), VLOOKUP(AO$1,'40Trips'!$A$3:$I$42,2,FALSE)),0)</f>
        <v>0</v>
      </c>
      <c r="AP35">
        <f>IF(AND(SUM(VLOOKUP($A35,'40Trips'!$A$3:$I$42,2,FALSE),VLOOKUP(AP$1,'40Trips'!$A$3:$I$42,2,FALSE))&lt;'40Trips'!$K$16,$A35&lt;&gt;AP$1,gamma!AP35=1),SUM(VLOOKUP($A35,'40Trips'!$A$3:$I$42,2,FALSE), VLOOKUP(AP$1,'40Trips'!$A$3:$I$42,2,FALSE)),0)</f>
        <v>275</v>
      </c>
      <c r="AQ35">
        <v>0</v>
      </c>
      <c r="AR35">
        <v>0</v>
      </c>
      <c r="AS35">
        <v>0</v>
      </c>
      <c r="AT35">
        <v>0</v>
      </c>
    </row>
    <row r="36" spans="1:46" x14ac:dyDescent="0.25">
      <c r="A36" t="s">
        <v>86</v>
      </c>
      <c r="B36">
        <v>0</v>
      </c>
      <c r="C36">
        <f>IF(AND(SUM(VLOOKUP($A36,'40Trips'!$A$3:$I$42,2,FALSE),VLOOKUP(C$1,'40Trips'!$A$3:$I$42,2,FALSE))&lt;'40Trips'!$K$16,$A36&lt;&gt;C$1,gamma!C36=1),SUM(VLOOKUP($A36,'40Trips'!$A$3:$I$42,2,FALSE), VLOOKUP(C$1,'40Trips'!$A$3:$I$42,2,FALSE)),0)</f>
        <v>0</v>
      </c>
      <c r="D36">
        <f>IF(AND(SUM(VLOOKUP($A36,'40Trips'!$A$3:$I$42,2,FALSE),VLOOKUP(D$1,'40Trips'!$A$3:$I$42,2,FALSE))&lt;'40Trips'!$K$16,$A36&lt;&gt;D$1,gamma!D36=1),SUM(VLOOKUP($A36,'40Trips'!$A$3:$I$42,2,FALSE), VLOOKUP(D$1,'40Trips'!$A$3:$I$42,2,FALSE)),0)</f>
        <v>0</v>
      </c>
      <c r="E36">
        <f>IF(AND(SUM(VLOOKUP($A36,'40Trips'!$A$3:$I$42,2,FALSE),VLOOKUP(E$1,'40Trips'!$A$3:$I$42,2,FALSE))&lt;'40Trips'!$K$16,$A36&lt;&gt;E$1,gamma!E36=1),SUM(VLOOKUP($A36,'40Trips'!$A$3:$I$42,2,FALSE), VLOOKUP(E$1,'40Trips'!$A$3:$I$42,2,FALSE)),0)</f>
        <v>0</v>
      </c>
      <c r="F36">
        <f>IF(AND(SUM(VLOOKUP($A36,'40Trips'!$A$3:$I$42,2,FALSE),VLOOKUP(F$1,'40Trips'!$A$3:$I$42,2,FALSE))&lt;'40Trips'!$K$16,$A36&lt;&gt;F$1,gamma!F36=1),SUM(VLOOKUP($A36,'40Trips'!$A$3:$I$42,2,FALSE), VLOOKUP(F$1,'40Trips'!$A$3:$I$42,2,FALSE)),0)</f>
        <v>270</v>
      </c>
      <c r="G36">
        <f>IF(AND(SUM(VLOOKUP($A36,'40Trips'!$A$3:$I$42,2,FALSE),VLOOKUP(G$1,'40Trips'!$A$3:$I$42,2,FALSE))&lt;'40Trips'!$K$16,$A36&lt;&gt;G$1,gamma!G36=1),SUM(VLOOKUP($A36,'40Trips'!$A$3:$I$42,2,FALSE), VLOOKUP(G$1,'40Trips'!$A$3:$I$42,2,FALSE)),0)</f>
        <v>0</v>
      </c>
      <c r="H36">
        <f>IF(AND(SUM(VLOOKUP($A36,'40Trips'!$A$3:$I$42,2,FALSE),VLOOKUP(H$1,'40Trips'!$A$3:$I$42,2,FALSE))&lt;'40Trips'!$K$16,$A36&lt;&gt;H$1,gamma!H36=1),SUM(VLOOKUP($A36,'40Trips'!$A$3:$I$42,2,FALSE), VLOOKUP(H$1,'40Trips'!$A$3:$I$42,2,FALSE)),0)</f>
        <v>0</v>
      </c>
      <c r="I36">
        <f>IF(AND(SUM(VLOOKUP($A36,'40Trips'!$A$3:$I$42,2,FALSE),VLOOKUP(I$1,'40Trips'!$A$3:$I$42,2,FALSE))&lt;'40Trips'!$K$16,$A36&lt;&gt;I$1,gamma!I36=1),SUM(VLOOKUP($A36,'40Trips'!$A$3:$I$42,2,FALSE), VLOOKUP(I$1,'40Trips'!$A$3:$I$42,2,FALSE)),0)</f>
        <v>0</v>
      </c>
      <c r="J36">
        <f>IF(AND(SUM(VLOOKUP($A36,'40Trips'!$A$3:$I$42,2,FALSE),VLOOKUP(J$1,'40Trips'!$A$3:$I$42,2,FALSE))&lt;'40Trips'!$K$16,$A36&lt;&gt;J$1,gamma!J36=1),SUM(VLOOKUP($A36,'40Trips'!$A$3:$I$42,2,FALSE), VLOOKUP(J$1,'40Trips'!$A$3:$I$42,2,FALSE)),0)</f>
        <v>275</v>
      </c>
      <c r="K36">
        <f>IF(AND(SUM(VLOOKUP($A36,'40Trips'!$A$3:$I$42,2,FALSE),VLOOKUP(K$1,'40Trips'!$A$3:$I$42,2,FALSE))&lt;'40Trips'!$K$16,$A36&lt;&gt;K$1,gamma!K36=1),SUM(VLOOKUP($A36,'40Trips'!$A$3:$I$42,2,FALSE), VLOOKUP(K$1,'40Trips'!$A$3:$I$42,2,FALSE)),0)</f>
        <v>0</v>
      </c>
      <c r="L36">
        <f>IF(AND(SUM(VLOOKUP($A36,'40Trips'!$A$3:$I$42,2,FALSE),VLOOKUP(L$1,'40Trips'!$A$3:$I$42,2,FALSE))&lt;'40Trips'!$K$16,$A36&lt;&gt;L$1,gamma!L36=1),SUM(VLOOKUP($A36,'40Trips'!$A$3:$I$42,2,FALSE), VLOOKUP(L$1,'40Trips'!$A$3:$I$42,2,FALSE)),0)</f>
        <v>0</v>
      </c>
      <c r="M36">
        <f>IF(AND(SUM(VLOOKUP($A36,'40Trips'!$A$3:$I$42,2,FALSE),VLOOKUP(M$1,'40Trips'!$A$3:$I$42,2,FALSE))&lt;'40Trips'!$K$16,$A36&lt;&gt;M$1,gamma!M36=1),SUM(VLOOKUP($A36,'40Trips'!$A$3:$I$42,2,FALSE), VLOOKUP(M$1,'40Trips'!$A$3:$I$42,2,FALSE)),0)</f>
        <v>0</v>
      </c>
      <c r="N36">
        <f>IF(AND(SUM(VLOOKUP($A36,'40Trips'!$A$3:$I$42,2,FALSE),VLOOKUP(N$1,'40Trips'!$A$3:$I$42,2,FALSE))&lt;'40Trips'!$K$16,$A36&lt;&gt;N$1,gamma!N36=1),SUM(VLOOKUP($A36,'40Trips'!$A$3:$I$42,2,FALSE), VLOOKUP(N$1,'40Trips'!$A$3:$I$42,2,FALSE)),0)</f>
        <v>0</v>
      </c>
      <c r="O36">
        <f>IF(AND(SUM(VLOOKUP($A36,'40Trips'!$A$3:$I$42,2,FALSE),VLOOKUP(O$1,'40Trips'!$A$3:$I$42,2,FALSE))&lt;'40Trips'!$K$16,$A36&lt;&gt;O$1,gamma!O36=1),SUM(VLOOKUP($A36,'40Trips'!$A$3:$I$42,2,FALSE), VLOOKUP(O$1,'40Trips'!$A$3:$I$42,2,FALSE)),0)</f>
        <v>0</v>
      </c>
      <c r="P36">
        <f>IF(AND(SUM(VLOOKUP($A36,'40Trips'!$A$3:$I$42,2,FALSE),VLOOKUP(P$1,'40Trips'!$A$3:$I$42,2,FALSE))&lt;'40Trips'!$K$16,$A36&lt;&gt;P$1,gamma!P36=1),SUM(VLOOKUP($A36,'40Trips'!$A$3:$I$42,2,FALSE), VLOOKUP(P$1,'40Trips'!$A$3:$I$42,2,FALSE)),0)</f>
        <v>0</v>
      </c>
      <c r="Q36">
        <f>IF(AND(SUM(VLOOKUP($A36,'40Trips'!$A$3:$I$42,2,FALSE),VLOOKUP(Q$1,'40Trips'!$A$3:$I$42,2,FALSE))&lt;'40Trips'!$K$16,$A36&lt;&gt;Q$1,gamma!Q36=1),SUM(VLOOKUP($A36,'40Trips'!$A$3:$I$42,2,FALSE), VLOOKUP(Q$1,'40Trips'!$A$3:$I$42,2,FALSE)),0)</f>
        <v>0</v>
      </c>
      <c r="R36">
        <f>IF(AND(SUM(VLOOKUP($A36,'40Trips'!$A$3:$I$42,2,FALSE),VLOOKUP(R$1,'40Trips'!$A$3:$I$42,2,FALSE))&lt;'40Trips'!$K$16,$A36&lt;&gt;R$1,gamma!R36=1),SUM(VLOOKUP($A36,'40Trips'!$A$3:$I$42,2,FALSE), VLOOKUP(R$1,'40Trips'!$A$3:$I$42,2,FALSE)),0)</f>
        <v>270</v>
      </c>
      <c r="S36">
        <f>IF(AND(SUM(VLOOKUP($A36,'40Trips'!$A$3:$I$42,2,FALSE),VLOOKUP(S$1,'40Trips'!$A$3:$I$42,2,FALSE))&lt;'40Trips'!$K$16,$A36&lt;&gt;S$1,gamma!S36=1),SUM(VLOOKUP($A36,'40Trips'!$A$3:$I$42,2,FALSE), VLOOKUP(S$1,'40Trips'!$A$3:$I$42,2,FALSE)),0)</f>
        <v>0</v>
      </c>
      <c r="T36">
        <f>IF(AND(SUM(VLOOKUP($A36,'40Trips'!$A$3:$I$42,2,FALSE),VLOOKUP(T$1,'40Trips'!$A$3:$I$42,2,FALSE))&lt;'40Trips'!$K$16,$A36&lt;&gt;T$1,gamma!T36=1),SUM(VLOOKUP($A36,'40Trips'!$A$3:$I$42,2,FALSE), VLOOKUP(T$1,'40Trips'!$A$3:$I$42,2,FALSE)),0)</f>
        <v>0</v>
      </c>
      <c r="U36">
        <f>IF(AND(SUM(VLOOKUP($A36,'40Trips'!$A$3:$I$42,2,FALSE),VLOOKUP(U$1,'40Trips'!$A$3:$I$42,2,FALSE))&lt;'40Trips'!$K$16,$A36&lt;&gt;U$1,gamma!U36=1),SUM(VLOOKUP($A36,'40Trips'!$A$3:$I$42,2,FALSE), VLOOKUP(U$1,'40Trips'!$A$3:$I$42,2,FALSE)),0)</f>
        <v>0</v>
      </c>
      <c r="V36">
        <f>IF(AND(SUM(VLOOKUP($A36,'40Trips'!$A$3:$I$42,2,FALSE),VLOOKUP(V$1,'40Trips'!$A$3:$I$42,2,FALSE))&lt;'40Trips'!$K$16,$A36&lt;&gt;V$1,gamma!V36=1),SUM(VLOOKUP($A36,'40Trips'!$A$3:$I$42,2,FALSE), VLOOKUP(V$1,'40Trips'!$A$3:$I$42,2,FALSE)),0)</f>
        <v>265</v>
      </c>
      <c r="W36">
        <f>IF(AND(SUM(VLOOKUP($A36,'40Trips'!$A$3:$I$42,2,FALSE),VLOOKUP(W$1,'40Trips'!$A$3:$I$42,2,FALSE))&lt;'40Trips'!$K$16,$A36&lt;&gt;W$1,gamma!W36=1),SUM(VLOOKUP($A36,'40Trips'!$A$3:$I$42,2,FALSE), VLOOKUP(W$1,'40Trips'!$A$3:$I$42,2,FALSE)),0)</f>
        <v>0</v>
      </c>
      <c r="X36">
        <f>IF(AND(SUM(VLOOKUP($A36,'40Trips'!$A$3:$I$42,2,FALSE),VLOOKUP(X$1,'40Trips'!$A$3:$I$42,2,FALSE))&lt;'40Trips'!$K$16,$A36&lt;&gt;X$1,gamma!X36=1),SUM(VLOOKUP($A36,'40Trips'!$A$3:$I$42,2,FALSE), VLOOKUP(X$1,'40Trips'!$A$3:$I$42,2,FALSE)),0)</f>
        <v>0</v>
      </c>
      <c r="Y36">
        <f>IF(AND(SUM(VLOOKUP($A36,'40Trips'!$A$3:$I$42,2,FALSE),VLOOKUP(Y$1,'40Trips'!$A$3:$I$42,2,FALSE))&lt;'40Trips'!$K$16,$A36&lt;&gt;Y$1,gamma!Y36=1),SUM(VLOOKUP($A36,'40Trips'!$A$3:$I$42,2,FALSE), VLOOKUP(Y$1,'40Trips'!$A$3:$I$42,2,FALSE)),0)</f>
        <v>0</v>
      </c>
      <c r="Z36">
        <f>IF(AND(SUM(VLOOKUP($A36,'40Trips'!$A$3:$I$42,2,FALSE),VLOOKUP(Z$1,'40Trips'!$A$3:$I$42,2,FALSE))&lt;'40Trips'!$K$16,$A36&lt;&gt;Z$1,gamma!Z36=1),SUM(VLOOKUP($A36,'40Trips'!$A$3:$I$42,2,FALSE), VLOOKUP(Z$1,'40Trips'!$A$3:$I$42,2,FALSE)),0)</f>
        <v>275</v>
      </c>
      <c r="AA36">
        <f>IF(AND(SUM(VLOOKUP($A36,'40Trips'!$A$3:$I$42,2,FALSE),VLOOKUP(AA$1,'40Trips'!$A$3:$I$42,2,FALSE))&lt;'40Trips'!$K$16,$A36&lt;&gt;AA$1,gamma!AA36=1),SUM(VLOOKUP($A36,'40Trips'!$A$3:$I$42,2,FALSE), VLOOKUP(AA$1,'40Trips'!$A$3:$I$42,2,FALSE)),0)</f>
        <v>0</v>
      </c>
      <c r="AB36">
        <f>IF(AND(SUM(VLOOKUP($A36,'40Trips'!$A$3:$I$42,2,FALSE),VLOOKUP(AB$1,'40Trips'!$A$3:$I$42,2,FALSE))&lt;'40Trips'!$K$16,$A36&lt;&gt;AB$1,gamma!AB36=1),SUM(VLOOKUP($A36,'40Trips'!$A$3:$I$42,2,FALSE), VLOOKUP(AB$1,'40Trips'!$A$3:$I$42,2,FALSE)),0)</f>
        <v>0</v>
      </c>
      <c r="AC36">
        <f>IF(AND(SUM(VLOOKUP($A36,'40Trips'!$A$3:$I$42,2,FALSE),VLOOKUP(AC$1,'40Trips'!$A$3:$I$42,2,FALSE))&lt;'40Trips'!$K$16,$A36&lt;&gt;AC$1,gamma!AC36=1),SUM(VLOOKUP($A36,'40Trips'!$A$3:$I$42,2,FALSE), VLOOKUP(AC$1,'40Trips'!$A$3:$I$42,2,FALSE)),0)</f>
        <v>255</v>
      </c>
      <c r="AD36">
        <f>IF(AND(SUM(VLOOKUP($A36,'40Trips'!$A$3:$I$42,2,FALSE),VLOOKUP(AD$1,'40Trips'!$A$3:$I$42,2,FALSE))&lt;'40Trips'!$K$16,$A36&lt;&gt;AD$1,gamma!AD36=1),SUM(VLOOKUP($A36,'40Trips'!$A$3:$I$42,2,FALSE), VLOOKUP(AD$1,'40Trips'!$A$3:$I$42,2,FALSE)),0)</f>
        <v>265</v>
      </c>
      <c r="AE36">
        <f>IF(AND(SUM(VLOOKUP($A36,'40Trips'!$A$3:$I$42,2,FALSE),VLOOKUP(AE$1,'40Trips'!$A$3:$I$42,2,FALSE))&lt;'40Trips'!$K$16,$A36&lt;&gt;AE$1,gamma!AE36=1),SUM(VLOOKUP($A36,'40Trips'!$A$3:$I$42,2,FALSE), VLOOKUP(AE$1,'40Trips'!$A$3:$I$42,2,FALSE)),0)</f>
        <v>0</v>
      </c>
      <c r="AF36">
        <f>IF(AND(SUM(VLOOKUP($A36,'40Trips'!$A$3:$I$42,2,FALSE),VLOOKUP(AF$1,'40Trips'!$A$3:$I$42,2,FALSE))&lt;'40Trips'!$K$16,$A36&lt;&gt;AF$1,gamma!AF36=1),SUM(VLOOKUP($A36,'40Trips'!$A$3:$I$42,2,FALSE), VLOOKUP(AF$1,'40Trips'!$A$3:$I$42,2,FALSE)),0)</f>
        <v>0</v>
      </c>
      <c r="AG36">
        <f>IF(AND(SUM(VLOOKUP($A36,'40Trips'!$A$3:$I$42,2,FALSE),VLOOKUP(AG$1,'40Trips'!$A$3:$I$42,2,FALSE))&lt;'40Trips'!$K$16,$A36&lt;&gt;AG$1,gamma!AG36=1),SUM(VLOOKUP($A36,'40Trips'!$A$3:$I$42,2,FALSE), VLOOKUP(AG$1,'40Trips'!$A$3:$I$42,2,FALSE)),0)</f>
        <v>0</v>
      </c>
      <c r="AH36">
        <f>IF(AND(SUM(VLOOKUP($A36,'40Trips'!$A$3:$I$42,2,FALSE),VLOOKUP(AH$1,'40Trips'!$A$3:$I$42,2,FALSE))&lt;'40Trips'!$K$16,$A36&lt;&gt;AH$1,gamma!AH36=1),SUM(VLOOKUP($A36,'40Trips'!$A$3:$I$42,2,FALSE), VLOOKUP(AH$1,'40Trips'!$A$3:$I$42,2,FALSE)),0)</f>
        <v>0</v>
      </c>
      <c r="AI36">
        <f>IF(AND(SUM(VLOOKUP($A36,'40Trips'!$A$3:$I$42,2,FALSE),VLOOKUP(AI$1,'40Trips'!$A$3:$I$42,2,FALSE))&lt;'40Trips'!$K$16,$A36&lt;&gt;AI$1,gamma!AI36=1),SUM(VLOOKUP($A36,'40Trips'!$A$3:$I$42,2,FALSE), VLOOKUP(AI$1,'40Trips'!$A$3:$I$42,2,FALSE)),0)</f>
        <v>0</v>
      </c>
      <c r="AJ36">
        <f>IF(AND(SUM(VLOOKUP($A36,'40Trips'!$A$3:$I$42,2,FALSE),VLOOKUP(AJ$1,'40Trips'!$A$3:$I$42,2,FALSE))&lt;'40Trips'!$K$16,$A36&lt;&gt;AJ$1,gamma!AJ36=1),SUM(VLOOKUP($A36,'40Trips'!$A$3:$I$42,2,FALSE), VLOOKUP(AJ$1,'40Trips'!$A$3:$I$42,2,FALSE)),0)</f>
        <v>0</v>
      </c>
      <c r="AK36">
        <f>IF(AND(SUM(VLOOKUP($A36,'40Trips'!$A$3:$I$42,2,FALSE),VLOOKUP(AK$1,'40Trips'!$A$3:$I$42,2,FALSE))&lt;'40Trips'!$K$16,$A36&lt;&gt;AK$1,gamma!AK36=1),SUM(VLOOKUP($A36,'40Trips'!$A$3:$I$42,2,FALSE), VLOOKUP(AK$1,'40Trips'!$A$3:$I$42,2,FALSE)),0)</f>
        <v>0</v>
      </c>
      <c r="AL36">
        <f>IF(AND(SUM(VLOOKUP($A36,'40Trips'!$A$3:$I$42,2,FALSE),VLOOKUP(AL$1,'40Trips'!$A$3:$I$42,2,FALSE))&lt;'40Trips'!$K$16,$A36&lt;&gt;AL$1,gamma!AL36=1),SUM(VLOOKUP($A36,'40Trips'!$A$3:$I$42,2,FALSE), VLOOKUP(AL$1,'40Trips'!$A$3:$I$42,2,FALSE)),0)</f>
        <v>275</v>
      </c>
      <c r="AM36">
        <f>IF(AND(SUM(VLOOKUP($A36,'40Trips'!$A$3:$I$42,2,FALSE),VLOOKUP(AM$1,'40Trips'!$A$3:$I$42,2,FALSE))&lt;'40Trips'!$K$16,$A36&lt;&gt;AM$1,gamma!AM36=1),SUM(VLOOKUP($A36,'40Trips'!$A$3:$I$42,2,FALSE), VLOOKUP(AM$1,'40Trips'!$A$3:$I$42,2,FALSE)),0)</f>
        <v>0</v>
      </c>
      <c r="AN36">
        <f>IF(AND(SUM(VLOOKUP($A36,'40Trips'!$A$3:$I$42,2,FALSE),VLOOKUP(AN$1,'40Trips'!$A$3:$I$42,2,FALSE))&lt;'40Trips'!$K$16,$A36&lt;&gt;AN$1,gamma!AN36=1),SUM(VLOOKUP($A36,'40Trips'!$A$3:$I$42,2,FALSE), VLOOKUP(AN$1,'40Trips'!$A$3:$I$42,2,FALSE)),0)</f>
        <v>0</v>
      </c>
      <c r="AO36">
        <f>IF(AND(SUM(VLOOKUP($A36,'40Trips'!$A$3:$I$42,2,FALSE),VLOOKUP(AO$1,'40Trips'!$A$3:$I$42,2,FALSE))&lt;'40Trips'!$K$16,$A36&lt;&gt;AO$1,gamma!AO36=1),SUM(VLOOKUP($A36,'40Trips'!$A$3:$I$42,2,FALSE), VLOOKUP(AO$1,'40Trips'!$A$3:$I$42,2,FALSE)),0)</f>
        <v>0</v>
      </c>
      <c r="AP36">
        <f>IF(AND(SUM(VLOOKUP($A36,'40Trips'!$A$3:$I$42,2,FALSE),VLOOKUP(AP$1,'40Trips'!$A$3:$I$42,2,FALSE))&lt;'40Trips'!$K$16,$A36&lt;&gt;AP$1,gamma!AP36=1),SUM(VLOOKUP($A36,'40Trips'!$A$3:$I$42,2,FALSE), VLOOKUP(AP$1,'40Trips'!$A$3:$I$42,2,FALSE)),0)</f>
        <v>270</v>
      </c>
      <c r="AQ36">
        <v>0</v>
      </c>
      <c r="AR36">
        <v>0</v>
      </c>
      <c r="AS36">
        <v>0</v>
      </c>
      <c r="AT36">
        <v>0</v>
      </c>
    </row>
    <row r="37" spans="1:46" x14ac:dyDescent="0.25">
      <c r="A37" t="s">
        <v>87</v>
      </c>
      <c r="B37">
        <v>0</v>
      </c>
      <c r="C37">
        <f>IF(AND(SUM(VLOOKUP($A37,'40Trips'!$A$3:$I$42,2,FALSE),VLOOKUP(C$1,'40Trips'!$A$3:$I$42,2,FALSE))&lt;'40Trips'!$K$16,$A37&lt;&gt;C$1,gamma!C37=1),SUM(VLOOKUP($A37,'40Trips'!$A$3:$I$42,2,FALSE), VLOOKUP(C$1,'40Trips'!$A$3:$I$42,2,FALSE)),0)</f>
        <v>0</v>
      </c>
      <c r="D37">
        <f>IF(AND(SUM(VLOOKUP($A37,'40Trips'!$A$3:$I$42,2,FALSE),VLOOKUP(D$1,'40Trips'!$A$3:$I$42,2,FALSE))&lt;'40Trips'!$K$16,$A37&lt;&gt;D$1,gamma!D37=1),SUM(VLOOKUP($A37,'40Trips'!$A$3:$I$42,2,FALSE), VLOOKUP(D$1,'40Trips'!$A$3:$I$42,2,FALSE)),0)</f>
        <v>0</v>
      </c>
      <c r="E37">
        <f>IF(AND(SUM(VLOOKUP($A37,'40Trips'!$A$3:$I$42,2,FALSE),VLOOKUP(E$1,'40Trips'!$A$3:$I$42,2,FALSE))&lt;'40Trips'!$K$16,$A37&lt;&gt;E$1,gamma!E37=1),SUM(VLOOKUP($A37,'40Trips'!$A$3:$I$42,2,FALSE), VLOOKUP(E$1,'40Trips'!$A$3:$I$42,2,FALSE)),0)</f>
        <v>0</v>
      </c>
      <c r="F37">
        <f>IF(AND(SUM(VLOOKUP($A37,'40Trips'!$A$3:$I$42,2,FALSE),VLOOKUP(F$1,'40Trips'!$A$3:$I$42,2,FALSE))&lt;'40Trips'!$K$16,$A37&lt;&gt;F$1,gamma!F37=1),SUM(VLOOKUP($A37,'40Trips'!$A$3:$I$42,2,FALSE), VLOOKUP(F$1,'40Trips'!$A$3:$I$42,2,FALSE)),0)</f>
        <v>0</v>
      </c>
      <c r="G37">
        <f>IF(AND(SUM(VLOOKUP($A37,'40Trips'!$A$3:$I$42,2,FALSE),VLOOKUP(G$1,'40Trips'!$A$3:$I$42,2,FALSE))&lt;'40Trips'!$K$16,$A37&lt;&gt;G$1,gamma!G37=1),SUM(VLOOKUP($A37,'40Trips'!$A$3:$I$42,2,FALSE), VLOOKUP(G$1,'40Trips'!$A$3:$I$42,2,FALSE)),0)</f>
        <v>0</v>
      </c>
      <c r="H37">
        <f>IF(AND(SUM(VLOOKUP($A37,'40Trips'!$A$3:$I$42,2,FALSE),VLOOKUP(H$1,'40Trips'!$A$3:$I$42,2,FALSE))&lt;'40Trips'!$K$16,$A37&lt;&gt;H$1,gamma!H37=1),SUM(VLOOKUP($A37,'40Trips'!$A$3:$I$42,2,FALSE), VLOOKUP(H$1,'40Trips'!$A$3:$I$42,2,FALSE)),0)</f>
        <v>0</v>
      </c>
      <c r="I37">
        <f>IF(AND(SUM(VLOOKUP($A37,'40Trips'!$A$3:$I$42,2,FALSE),VLOOKUP(I$1,'40Trips'!$A$3:$I$42,2,FALSE))&lt;'40Trips'!$K$16,$A37&lt;&gt;I$1,gamma!I37=1),SUM(VLOOKUP($A37,'40Trips'!$A$3:$I$42,2,FALSE), VLOOKUP(I$1,'40Trips'!$A$3:$I$42,2,FALSE)),0)</f>
        <v>0</v>
      </c>
      <c r="J37">
        <f>IF(AND(SUM(VLOOKUP($A37,'40Trips'!$A$3:$I$42,2,FALSE),VLOOKUP(J$1,'40Trips'!$A$3:$I$42,2,FALSE))&lt;'40Trips'!$K$16,$A37&lt;&gt;J$1,gamma!J37=1),SUM(VLOOKUP($A37,'40Trips'!$A$3:$I$42,2,FALSE), VLOOKUP(J$1,'40Trips'!$A$3:$I$42,2,FALSE)),0)</f>
        <v>280</v>
      </c>
      <c r="K37">
        <f>IF(AND(SUM(VLOOKUP($A37,'40Trips'!$A$3:$I$42,2,FALSE),VLOOKUP(K$1,'40Trips'!$A$3:$I$42,2,FALSE))&lt;'40Trips'!$K$16,$A37&lt;&gt;K$1,gamma!K37=1),SUM(VLOOKUP($A37,'40Trips'!$A$3:$I$42,2,FALSE), VLOOKUP(K$1,'40Trips'!$A$3:$I$42,2,FALSE)),0)</f>
        <v>0</v>
      </c>
      <c r="L37">
        <f>IF(AND(SUM(VLOOKUP($A37,'40Trips'!$A$3:$I$42,2,FALSE),VLOOKUP(L$1,'40Trips'!$A$3:$I$42,2,FALSE))&lt;'40Trips'!$K$16,$A37&lt;&gt;L$1,gamma!L37=1),SUM(VLOOKUP($A37,'40Trips'!$A$3:$I$42,2,FALSE), VLOOKUP(L$1,'40Trips'!$A$3:$I$42,2,FALSE)),0)</f>
        <v>0</v>
      </c>
      <c r="M37">
        <f>IF(AND(SUM(VLOOKUP($A37,'40Trips'!$A$3:$I$42,2,FALSE),VLOOKUP(M$1,'40Trips'!$A$3:$I$42,2,FALSE))&lt;'40Trips'!$K$16,$A37&lt;&gt;M$1,gamma!M37=1),SUM(VLOOKUP($A37,'40Trips'!$A$3:$I$42,2,FALSE), VLOOKUP(M$1,'40Trips'!$A$3:$I$42,2,FALSE)),0)</f>
        <v>0</v>
      </c>
      <c r="N37">
        <f>IF(AND(SUM(VLOOKUP($A37,'40Trips'!$A$3:$I$42,2,FALSE),VLOOKUP(N$1,'40Trips'!$A$3:$I$42,2,FALSE))&lt;'40Trips'!$K$16,$A37&lt;&gt;N$1,gamma!N37=1),SUM(VLOOKUP($A37,'40Trips'!$A$3:$I$42,2,FALSE), VLOOKUP(N$1,'40Trips'!$A$3:$I$42,2,FALSE)),0)</f>
        <v>0</v>
      </c>
      <c r="O37">
        <f>IF(AND(SUM(VLOOKUP($A37,'40Trips'!$A$3:$I$42,2,FALSE),VLOOKUP(O$1,'40Trips'!$A$3:$I$42,2,FALSE))&lt;'40Trips'!$K$16,$A37&lt;&gt;O$1,gamma!O37=1),SUM(VLOOKUP($A37,'40Trips'!$A$3:$I$42,2,FALSE), VLOOKUP(O$1,'40Trips'!$A$3:$I$42,2,FALSE)),0)</f>
        <v>0</v>
      </c>
      <c r="P37">
        <f>IF(AND(SUM(VLOOKUP($A37,'40Trips'!$A$3:$I$42,2,FALSE),VLOOKUP(P$1,'40Trips'!$A$3:$I$42,2,FALSE))&lt;'40Trips'!$K$16,$A37&lt;&gt;P$1,gamma!P37=1),SUM(VLOOKUP($A37,'40Trips'!$A$3:$I$42,2,FALSE), VLOOKUP(P$1,'40Trips'!$A$3:$I$42,2,FALSE)),0)</f>
        <v>0</v>
      </c>
      <c r="Q37">
        <f>IF(AND(SUM(VLOOKUP($A37,'40Trips'!$A$3:$I$42,2,FALSE),VLOOKUP(Q$1,'40Trips'!$A$3:$I$42,2,FALSE))&lt;'40Trips'!$K$16,$A37&lt;&gt;Q$1,gamma!Q37=1),SUM(VLOOKUP($A37,'40Trips'!$A$3:$I$42,2,FALSE), VLOOKUP(Q$1,'40Trips'!$A$3:$I$42,2,FALSE)),0)</f>
        <v>0</v>
      </c>
      <c r="R37">
        <f>IF(AND(SUM(VLOOKUP($A37,'40Trips'!$A$3:$I$42,2,FALSE),VLOOKUP(R$1,'40Trips'!$A$3:$I$42,2,FALSE))&lt;'40Trips'!$K$16,$A37&lt;&gt;R$1,gamma!R37=1),SUM(VLOOKUP($A37,'40Trips'!$A$3:$I$42,2,FALSE), VLOOKUP(R$1,'40Trips'!$A$3:$I$42,2,FALSE)),0)</f>
        <v>0</v>
      </c>
      <c r="S37">
        <f>IF(AND(SUM(VLOOKUP($A37,'40Trips'!$A$3:$I$42,2,FALSE),VLOOKUP(S$1,'40Trips'!$A$3:$I$42,2,FALSE))&lt;'40Trips'!$K$16,$A37&lt;&gt;S$1,gamma!S37=1),SUM(VLOOKUP($A37,'40Trips'!$A$3:$I$42,2,FALSE), VLOOKUP(S$1,'40Trips'!$A$3:$I$42,2,FALSE)),0)</f>
        <v>0</v>
      </c>
      <c r="T37">
        <f>IF(AND(SUM(VLOOKUP($A37,'40Trips'!$A$3:$I$42,2,FALSE),VLOOKUP(T$1,'40Trips'!$A$3:$I$42,2,FALSE))&lt;'40Trips'!$K$16,$A37&lt;&gt;T$1,gamma!T37=1),SUM(VLOOKUP($A37,'40Trips'!$A$3:$I$42,2,FALSE), VLOOKUP(T$1,'40Trips'!$A$3:$I$42,2,FALSE)),0)</f>
        <v>0</v>
      </c>
      <c r="U37">
        <f>IF(AND(SUM(VLOOKUP($A37,'40Trips'!$A$3:$I$42,2,FALSE),VLOOKUP(U$1,'40Trips'!$A$3:$I$42,2,FALSE))&lt;'40Trips'!$K$16,$A37&lt;&gt;U$1,gamma!U37=1),SUM(VLOOKUP($A37,'40Trips'!$A$3:$I$42,2,FALSE), VLOOKUP(U$1,'40Trips'!$A$3:$I$42,2,FALSE)),0)</f>
        <v>0</v>
      </c>
      <c r="V37">
        <f>IF(AND(SUM(VLOOKUP($A37,'40Trips'!$A$3:$I$42,2,FALSE),VLOOKUP(V$1,'40Trips'!$A$3:$I$42,2,FALSE))&lt;'40Trips'!$K$16,$A37&lt;&gt;V$1,gamma!V37=1),SUM(VLOOKUP($A37,'40Trips'!$A$3:$I$42,2,FALSE), VLOOKUP(V$1,'40Trips'!$A$3:$I$42,2,FALSE)),0)</f>
        <v>0</v>
      </c>
      <c r="W37">
        <f>IF(AND(SUM(VLOOKUP($A37,'40Trips'!$A$3:$I$42,2,FALSE),VLOOKUP(W$1,'40Trips'!$A$3:$I$42,2,FALSE))&lt;'40Trips'!$K$16,$A37&lt;&gt;W$1,gamma!W37=1),SUM(VLOOKUP($A37,'40Trips'!$A$3:$I$42,2,FALSE), VLOOKUP(W$1,'40Trips'!$A$3:$I$42,2,FALSE)),0)</f>
        <v>0</v>
      </c>
      <c r="X37">
        <f>IF(AND(SUM(VLOOKUP($A37,'40Trips'!$A$3:$I$42,2,FALSE),VLOOKUP(X$1,'40Trips'!$A$3:$I$42,2,FALSE))&lt;'40Trips'!$K$16,$A37&lt;&gt;X$1,gamma!X37=1),SUM(VLOOKUP($A37,'40Trips'!$A$3:$I$42,2,FALSE), VLOOKUP(X$1,'40Trips'!$A$3:$I$42,2,FALSE)),0)</f>
        <v>0</v>
      </c>
      <c r="Y37">
        <f>IF(AND(SUM(VLOOKUP($A37,'40Trips'!$A$3:$I$42,2,FALSE),VLOOKUP(Y$1,'40Trips'!$A$3:$I$42,2,FALSE))&lt;'40Trips'!$K$16,$A37&lt;&gt;Y$1,gamma!Y37=1),SUM(VLOOKUP($A37,'40Trips'!$A$3:$I$42,2,FALSE), VLOOKUP(Y$1,'40Trips'!$A$3:$I$42,2,FALSE)),0)</f>
        <v>0</v>
      </c>
      <c r="Z37">
        <f>IF(AND(SUM(VLOOKUP($A37,'40Trips'!$A$3:$I$42,2,FALSE),VLOOKUP(Z$1,'40Trips'!$A$3:$I$42,2,FALSE))&lt;'40Trips'!$K$16,$A37&lt;&gt;Z$1,gamma!Z37=1),SUM(VLOOKUP($A37,'40Trips'!$A$3:$I$42,2,FALSE), VLOOKUP(Z$1,'40Trips'!$A$3:$I$42,2,FALSE)),0)</f>
        <v>0</v>
      </c>
      <c r="AA37">
        <f>IF(AND(SUM(VLOOKUP($A37,'40Trips'!$A$3:$I$42,2,FALSE),VLOOKUP(AA$1,'40Trips'!$A$3:$I$42,2,FALSE))&lt;'40Trips'!$K$16,$A37&lt;&gt;AA$1,gamma!AA37=1),SUM(VLOOKUP($A37,'40Trips'!$A$3:$I$42,2,FALSE), VLOOKUP(AA$1,'40Trips'!$A$3:$I$42,2,FALSE)),0)</f>
        <v>0</v>
      </c>
      <c r="AB37">
        <f>IF(AND(SUM(VLOOKUP($A37,'40Trips'!$A$3:$I$42,2,FALSE),VLOOKUP(AB$1,'40Trips'!$A$3:$I$42,2,FALSE))&lt;'40Trips'!$K$16,$A37&lt;&gt;AB$1,gamma!AB37=1),SUM(VLOOKUP($A37,'40Trips'!$A$3:$I$42,2,FALSE), VLOOKUP(AB$1,'40Trips'!$A$3:$I$42,2,FALSE)),0)</f>
        <v>0</v>
      </c>
      <c r="AC37">
        <f>IF(AND(SUM(VLOOKUP($A37,'40Trips'!$A$3:$I$42,2,FALSE),VLOOKUP(AC$1,'40Trips'!$A$3:$I$42,2,FALSE))&lt;'40Trips'!$K$16,$A37&lt;&gt;AC$1,gamma!AC37=1),SUM(VLOOKUP($A37,'40Trips'!$A$3:$I$42,2,FALSE), VLOOKUP(AC$1,'40Trips'!$A$3:$I$42,2,FALSE)),0)</f>
        <v>0</v>
      </c>
      <c r="AD37">
        <f>IF(AND(SUM(VLOOKUP($A37,'40Trips'!$A$3:$I$42,2,FALSE),VLOOKUP(AD$1,'40Trips'!$A$3:$I$42,2,FALSE))&lt;'40Trips'!$K$16,$A37&lt;&gt;AD$1,gamma!AD37=1),SUM(VLOOKUP($A37,'40Trips'!$A$3:$I$42,2,FALSE), VLOOKUP(AD$1,'40Trips'!$A$3:$I$42,2,FALSE)),0)</f>
        <v>0</v>
      </c>
      <c r="AE37">
        <f>IF(AND(SUM(VLOOKUP($A37,'40Trips'!$A$3:$I$42,2,FALSE),VLOOKUP(AE$1,'40Trips'!$A$3:$I$42,2,FALSE))&lt;'40Trips'!$K$16,$A37&lt;&gt;AE$1,gamma!AE37=1),SUM(VLOOKUP($A37,'40Trips'!$A$3:$I$42,2,FALSE), VLOOKUP(AE$1,'40Trips'!$A$3:$I$42,2,FALSE)),0)</f>
        <v>0</v>
      </c>
      <c r="AF37">
        <f>IF(AND(SUM(VLOOKUP($A37,'40Trips'!$A$3:$I$42,2,FALSE),VLOOKUP(AF$1,'40Trips'!$A$3:$I$42,2,FALSE))&lt;'40Trips'!$K$16,$A37&lt;&gt;AF$1,gamma!AF37=1),SUM(VLOOKUP($A37,'40Trips'!$A$3:$I$42,2,FALSE), VLOOKUP(AF$1,'40Trips'!$A$3:$I$42,2,FALSE)),0)</f>
        <v>0</v>
      </c>
      <c r="AG37">
        <f>IF(AND(SUM(VLOOKUP($A37,'40Trips'!$A$3:$I$42,2,FALSE),VLOOKUP(AG$1,'40Trips'!$A$3:$I$42,2,FALSE))&lt;'40Trips'!$K$16,$A37&lt;&gt;AG$1,gamma!AG37=1),SUM(VLOOKUP($A37,'40Trips'!$A$3:$I$42,2,FALSE), VLOOKUP(AG$1,'40Trips'!$A$3:$I$42,2,FALSE)),0)</f>
        <v>0</v>
      </c>
      <c r="AH37">
        <f>IF(AND(SUM(VLOOKUP($A37,'40Trips'!$A$3:$I$42,2,FALSE),VLOOKUP(AH$1,'40Trips'!$A$3:$I$42,2,FALSE))&lt;'40Trips'!$K$16,$A37&lt;&gt;AH$1,gamma!AH37=1),SUM(VLOOKUP($A37,'40Trips'!$A$3:$I$42,2,FALSE), VLOOKUP(AH$1,'40Trips'!$A$3:$I$42,2,FALSE)),0)</f>
        <v>0</v>
      </c>
      <c r="AI37">
        <f>IF(AND(SUM(VLOOKUP($A37,'40Trips'!$A$3:$I$42,2,FALSE),VLOOKUP(AI$1,'40Trips'!$A$3:$I$42,2,FALSE))&lt;'40Trips'!$K$16,$A37&lt;&gt;AI$1,gamma!AI37=1),SUM(VLOOKUP($A37,'40Trips'!$A$3:$I$42,2,FALSE), VLOOKUP(AI$1,'40Trips'!$A$3:$I$42,2,FALSE)),0)</f>
        <v>0</v>
      </c>
      <c r="AJ37">
        <f>IF(AND(SUM(VLOOKUP($A37,'40Trips'!$A$3:$I$42,2,FALSE),VLOOKUP(AJ$1,'40Trips'!$A$3:$I$42,2,FALSE))&lt;'40Trips'!$K$16,$A37&lt;&gt;AJ$1,gamma!AJ37=1),SUM(VLOOKUP($A37,'40Trips'!$A$3:$I$42,2,FALSE), VLOOKUP(AJ$1,'40Trips'!$A$3:$I$42,2,FALSE)),0)</f>
        <v>0</v>
      </c>
      <c r="AK37">
        <f>IF(AND(SUM(VLOOKUP($A37,'40Trips'!$A$3:$I$42,2,FALSE),VLOOKUP(AK$1,'40Trips'!$A$3:$I$42,2,FALSE))&lt;'40Trips'!$K$16,$A37&lt;&gt;AK$1,gamma!AK37=1),SUM(VLOOKUP($A37,'40Trips'!$A$3:$I$42,2,FALSE), VLOOKUP(AK$1,'40Trips'!$A$3:$I$42,2,FALSE)),0)</f>
        <v>0</v>
      </c>
      <c r="AL37">
        <f>IF(AND(SUM(VLOOKUP($A37,'40Trips'!$A$3:$I$42,2,FALSE),VLOOKUP(AL$1,'40Trips'!$A$3:$I$42,2,FALSE))&lt;'40Trips'!$K$16,$A37&lt;&gt;AL$1,gamma!AL37=1),SUM(VLOOKUP($A37,'40Trips'!$A$3:$I$42,2,FALSE), VLOOKUP(AL$1,'40Trips'!$A$3:$I$42,2,FALSE)),0)</f>
        <v>280</v>
      </c>
      <c r="AM37">
        <f>IF(AND(SUM(VLOOKUP($A37,'40Trips'!$A$3:$I$42,2,FALSE),VLOOKUP(AM$1,'40Trips'!$A$3:$I$42,2,FALSE))&lt;'40Trips'!$K$16,$A37&lt;&gt;AM$1,gamma!AM37=1),SUM(VLOOKUP($A37,'40Trips'!$A$3:$I$42,2,FALSE), VLOOKUP(AM$1,'40Trips'!$A$3:$I$42,2,FALSE)),0)</f>
        <v>0</v>
      </c>
      <c r="AN37">
        <f>IF(AND(SUM(VLOOKUP($A37,'40Trips'!$A$3:$I$42,2,FALSE),VLOOKUP(AN$1,'40Trips'!$A$3:$I$42,2,FALSE))&lt;'40Trips'!$K$16,$A37&lt;&gt;AN$1,gamma!AN37=1),SUM(VLOOKUP($A37,'40Trips'!$A$3:$I$42,2,FALSE), VLOOKUP(AN$1,'40Trips'!$A$3:$I$42,2,FALSE)),0)</f>
        <v>0</v>
      </c>
      <c r="AO37">
        <f>IF(AND(SUM(VLOOKUP($A37,'40Trips'!$A$3:$I$42,2,FALSE),VLOOKUP(AO$1,'40Trips'!$A$3:$I$42,2,FALSE))&lt;'40Trips'!$K$16,$A37&lt;&gt;AO$1,gamma!AO37=1),SUM(VLOOKUP($A37,'40Trips'!$A$3:$I$42,2,FALSE), VLOOKUP(AO$1,'40Trips'!$A$3:$I$42,2,FALSE)),0)</f>
        <v>0</v>
      </c>
      <c r="AP37">
        <f>IF(AND(SUM(VLOOKUP($A37,'40Trips'!$A$3:$I$42,2,FALSE),VLOOKUP(AP$1,'40Trips'!$A$3:$I$42,2,FALSE))&lt;'40Trips'!$K$16,$A37&lt;&gt;AP$1,gamma!AP37=1),SUM(VLOOKUP($A37,'40Trips'!$A$3:$I$42,2,FALSE), VLOOKUP(AP$1,'40Trips'!$A$3:$I$42,2,FALSE)),0)</f>
        <v>275</v>
      </c>
      <c r="AQ37">
        <v>0</v>
      </c>
      <c r="AR37">
        <v>0</v>
      </c>
      <c r="AS37">
        <v>0</v>
      </c>
      <c r="AT37">
        <v>0</v>
      </c>
    </row>
    <row r="38" spans="1:46" x14ac:dyDescent="0.25">
      <c r="A38" t="s">
        <v>88</v>
      </c>
      <c r="B38">
        <v>0</v>
      </c>
      <c r="C38">
        <f>IF(AND(SUM(VLOOKUP($A38,'40Trips'!$A$3:$I$42,2,FALSE),VLOOKUP(C$1,'40Trips'!$A$3:$I$42,2,FALSE))&lt;'40Trips'!$K$16,$A38&lt;&gt;C$1,gamma!C38=1),SUM(VLOOKUP($A38,'40Trips'!$A$3:$I$42,2,FALSE), VLOOKUP(C$1,'40Trips'!$A$3:$I$42,2,FALSE)),0)</f>
        <v>0</v>
      </c>
      <c r="D38">
        <f>IF(AND(SUM(VLOOKUP($A38,'40Trips'!$A$3:$I$42,2,FALSE),VLOOKUP(D$1,'40Trips'!$A$3:$I$42,2,FALSE))&lt;'40Trips'!$K$16,$A38&lt;&gt;D$1,gamma!D38=1),SUM(VLOOKUP($A38,'40Trips'!$A$3:$I$42,2,FALSE), VLOOKUP(D$1,'40Trips'!$A$3:$I$42,2,FALSE)),0)</f>
        <v>0</v>
      </c>
      <c r="E38">
        <f>IF(AND(SUM(VLOOKUP($A38,'40Trips'!$A$3:$I$42,2,FALSE),VLOOKUP(E$1,'40Trips'!$A$3:$I$42,2,FALSE))&lt;'40Trips'!$K$16,$A38&lt;&gt;E$1,gamma!E38=1),SUM(VLOOKUP($A38,'40Trips'!$A$3:$I$42,2,FALSE), VLOOKUP(E$1,'40Trips'!$A$3:$I$42,2,FALSE)),0)</f>
        <v>0</v>
      </c>
      <c r="F38">
        <f>IF(AND(SUM(VLOOKUP($A38,'40Trips'!$A$3:$I$42,2,FALSE),VLOOKUP(F$1,'40Trips'!$A$3:$I$42,2,FALSE))&lt;'40Trips'!$K$16,$A38&lt;&gt;F$1,gamma!F38=1),SUM(VLOOKUP($A38,'40Trips'!$A$3:$I$42,2,FALSE), VLOOKUP(F$1,'40Trips'!$A$3:$I$42,2,FALSE)),0)</f>
        <v>0</v>
      </c>
      <c r="G38">
        <f>IF(AND(SUM(VLOOKUP($A38,'40Trips'!$A$3:$I$42,2,FALSE),VLOOKUP(G$1,'40Trips'!$A$3:$I$42,2,FALSE))&lt;'40Trips'!$K$16,$A38&lt;&gt;G$1,gamma!G38=1),SUM(VLOOKUP($A38,'40Trips'!$A$3:$I$42,2,FALSE), VLOOKUP(G$1,'40Trips'!$A$3:$I$42,2,FALSE)),0)</f>
        <v>0</v>
      </c>
      <c r="H38">
        <f>IF(AND(SUM(VLOOKUP($A38,'40Trips'!$A$3:$I$42,2,FALSE),VLOOKUP(H$1,'40Trips'!$A$3:$I$42,2,FALSE))&lt;'40Trips'!$K$16,$A38&lt;&gt;H$1,gamma!H38=1),SUM(VLOOKUP($A38,'40Trips'!$A$3:$I$42,2,FALSE), VLOOKUP(H$1,'40Trips'!$A$3:$I$42,2,FALSE)),0)</f>
        <v>0</v>
      </c>
      <c r="I38">
        <f>IF(AND(SUM(VLOOKUP($A38,'40Trips'!$A$3:$I$42,2,FALSE),VLOOKUP(I$1,'40Trips'!$A$3:$I$42,2,FALSE))&lt;'40Trips'!$K$16,$A38&lt;&gt;I$1,gamma!I38=1),SUM(VLOOKUP($A38,'40Trips'!$A$3:$I$42,2,FALSE), VLOOKUP(I$1,'40Trips'!$A$3:$I$42,2,FALSE)),0)</f>
        <v>0</v>
      </c>
      <c r="J38">
        <f>IF(AND(SUM(VLOOKUP($A38,'40Trips'!$A$3:$I$42,2,FALSE),VLOOKUP(J$1,'40Trips'!$A$3:$I$42,2,FALSE))&lt;'40Trips'!$K$16,$A38&lt;&gt;J$1,gamma!J38=1),SUM(VLOOKUP($A38,'40Trips'!$A$3:$I$42,2,FALSE), VLOOKUP(J$1,'40Trips'!$A$3:$I$42,2,FALSE)),0)</f>
        <v>280</v>
      </c>
      <c r="K38">
        <f>IF(AND(SUM(VLOOKUP($A38,'40Trips'!$A$3:$I$42,2,FALSE),VLOOKUP(K$1,'40Trips'!$A$3:$I$42,2,FALSE))&lt;'40Trips'!$K$16,$A38&lt;&gt;K$1,gamma!K38=1),SUM(VLOOKUP($A38,'40Trips'!$A$3:$I$42,2,FALSE), VLOOKUP(K$1,'40Trips'!$A$3:$I$42,2,FALSE)),0)</f>
        <v>0</v>
      </c>
      <c r="L38">
        <f>IF(AND(SUM(VLOOKUP($A38,'40Trips'!$A$3:$I$42,2,FALSE),VLOOKUP(L$1,'40Trips'!$A$3:$I$42,2,FALSE))&lt;'40Trips'!$K$16,$A38&lt;&gt;L$1,gamma!L38=1),SUM(VLOOKUP($A38,'40Trips'!$A$3:$I$42,2,FALSE), VLOOKUP(L$1,'40Trips'!$A$3:$I$42,2,FALSE)),0)</f>
        <v>0</v>
      </c>
      <c r="M38">
        <f>IF(AND(SUM(VLOOKUP($A38,'40Trips'!$A$3:$I$42,2,FALSE),VLOOKUP(M$1,'40Trips'!$A$3:$I$42,2,FALSE))&lt;'40Trips'!$K$16,$A38&lt;&gt;M$1,gamma!M38=1),SUM(VLOOKUP($A38,'40Trips'!$A$3:$I$42,2,FALSE), VLOOKUP(M$1,'40Trips'!$A$3:$I$42,2,FALSE)),0)</f>
        <v>0</v>
      </c>
      <c r="N38">
        <f>IF(AND(SUM(VLOOKUP($A38,'40Trips'!$A$3:$I$42,2,FALSE),VLOOKUP(N$1,'40Trips'!$A$3:$I$42,2,FALSE))&lt;'40Trips'!$K$16,$A38&lt;&gt;N$1,gamma!N38=1),SUM(VLOOKUP($A38,'40Trips'!$A$3:$I$42,2,FALSE), VLOOKUP(N$1,'40Trips'!$A$3:$I$42,2,FALSE)),0)</f>
        <v>0</v>
      </c>
      <c r="O38">
        <f>IF(AND(SUM(VLOOKUP($A38,'40Trips'!$A$3:$I$42,2,FALSE),VLOOKUP(O$1,'40Trips'!$A$3:$I$42,2,FALSE))&lt;'40Trips'!$K$16,$A38&lt;&gt;O$1,gamma!O38=1),SUM(VLOOKUP($A38,'40Trips'!$A$3:$I$42,2,FALSE), VLOOKUP(O$1,'40Trips'!$A$3:$I$42,2,FALSE)),0)</f>
        <v>0</v>
      </c>
      <c r="P38">
        <f>IF(AND(SUM(VLOOKUP($A38,'40Trips'!$A$3:$I$42,2,FALSE),VLOOKUP(P$1,'40Trips'!$A$3:$I$42,2,FALSE))&lt;'40Trips'!$K$16,$A38&lt;&gt;P$1,gamma!P38=1),SUM(VLOOKUP($A38,'40Trips'!$A$3:$I$42,2,FALSE), VLOOKUP(P$1,'40Trips'!$A$3:$I$42,2,FALSE)),0)</f>
        <v>0</v>
      </c>
      <c r="Q38">
        <f>IF(AND(SUM(VLOOKUP($A38,'40Trips'!$A$3:$I$42,2,FALSE),VLOOKUP(Q$1,'40Trips'!$A$3:$I$42,2,FALSE))&lt;'40Trips'!$K$16,$A38&lt;&gt;Q$1,gamma!Q38=1),SUM(VLOOKUP($A38,'40Trips'!$A$3:$I$42,2,FALSE), VLOOKUP(Q$1,'40Trips'!$A$3:$I$42,2,FALSE)),0)</f>
        <v>0</v>
      </c>
      <c r="R38">
        <f>IF(AND(SUM(VLOOKUP($A38,'40Trips'!$A$3:$I$42,2,FALSE),VLOOKUP(R$1,'40Trips'!$A$3:$I$42,2,FALSE))&lt;'40Trips'!$K$16,$A38&lt;&gt;R$1,gamma!R38=1),SUM(VLOOKUP($A38,'40Trips'!$A$3:$I$42,2,FALSE), VLOOKUP(R$1,'40Trips'!$A$3:$I$42,2,FALSE)),0)</f>
        <v>0</v>
      </c>
      <c r="S38">
        <f>IF(AND(SUM(VLOOKUP($A38,'40Trips'!$A$3:$I$42,2,FALSE),VLOOKUP(S$1,'40Trips'!$A$3:$I$42,2,FALSE))&lt;'40Trips'!$K$16,$A38&lt;&gt;S$1,gamma!S38=1),SUM(VLOOKUP($A38,'40Trips'!$A$3:$I$42,2,FALSE), VLOOKUP(S$1,'40Trips'!$A$3:$I$42,2,FALSE)),0)</f>
        <v>0</v>
      </c>
      <c r="T38">
        <f>IF(AND(SUM(VLOOKUP($A38,'40Trips'!$A$3:$I$42,2,FALSE),VLOOKUP(T$1,'40Trips'!$A$3:$I$42,2,FALSE))&lt;'40Trips'!$K$16,$A38&lt;&gt;T$1,gamma!T38=1),SUM(VLOOKUP($A38,'40Trips'!$A$3:$I$42,2,FALSE), VLOOKUP(T$1,'40Trips'!$A$3:$I$42,2,FALSE)),0)</f>
        <v>0</v>
      </c>
      <c r="U38">
        <f>IF(AND(SUM(VLOOKUP($A38,'40Trips'!$A$3:$I$42,2,FALSE),VLOOKUP(U$1,'40Trips'!$A$3:$I$42,2,FALSE))&lt;'40Trips'!$K$16,$A38&lt;&gt;U$1,gamma!U38=1),SUM(VLOOKUP($A38,'40Trips'!$A$3:$I$42,2,FALSE), VLOOKUP(U$1,'40Trips'!$A$3:$I$42,2,FALSE)),0)</f>
        <v>0</v>
      </c>
      <c r="V38">
        <f>IF(AND(SUM(VLOOKUP($A38,'40Trips'!$A$3:$I$42,2,FALSE),VLOOKUP(V$1,'40Trips'!$A$3:$I$42,2,FALSE))&lt;'40Trips'!$K$16,$A38&lt;&gt;V$1,gamma!V38=1),SUM(VLOOKUP($A38,'40Trips'!$A$3:$I$42,2,FALSE), VLOOKUP(V$1,'40Trips'!$A$3:$I$42,2,FALSE)),0)</f>
        <v>0</v>
      </c>
      <c r="W38">
        <f>IF(AND(SUM(VLOOKUP($A38,'40Trips'!$A$3:$I$42,2,FALSE),VLOOKUP(W$1,'40Trips'!$A$3:$I$42,2,FALSE))&lt;'40Trips'!$K$16,$A38&lt;&gt;W$1,gamma!W38=1),SUM(VLOOKUP($A38,'40Trips'!$A$3:$I$42,2,FALSE), VLOOKUP(W$1,'40Trips'!$A$3:$I$42,2,FALSE)),0)</f>
        <v>0</v>
      </c>
      <c r="X38">
        <f>IF(AND(SUM(VLOOKUP($A38,'40Trips'!$A$3:$I$42,2,FALSE),VLOOKUP(X$1,'40Trips'!$A$3:$I$42,2,FALSE))&lt;'40Trips'!$K$16,$A38&lt;&gt;X$1,gamma!X38=1),SUM(VLOOKUP($A38,'40Trips'!$A$3:$I$42,2,FALSE), VLOOKUP(X$1,'40Trips'!$A$3:$I$42,2,FALSE)),0)</f>
        <v>0</v>
      </c>
      <c r="Y38">
        <f>IF(AND(SUM(VLOOKUP($A38,'40Trips'!$A$3:$I$42,2,FALSE),VLOOKUP(Y$1,'40Trips'!$A$3:$I$42,2,FALSE))&lt;'40Trips'!$K$16,$A38&lt;&gt;Y$1,gamma!Y38=1),SUM(VLOOKUP($A38,'40Trips'!$A$3:$I$42,2,FALSE), VLOOKUP(Y$1,'40Trips'!$A$3:$I$42,2,FALSE)),0)</f>
        <v>0</v>
      </c>
      <c r="Z38">
        <f>IF(AND(SUM(VLOOKUP($A38,'40Trips'!$A$3:$I$42,2,FALSE),VLOOKUP(Z$1,'40Trips'!$A$3:$I$42,2,FALSE))&lt;'40Trips'!$K$16,$A38&lt;&gt;Z$1,gamma!Z38=1),SUM(VLOOKUP($A38,'40Trips'!$A$3:$I$42,2,FALSE), VLOOKUP(Z$1,'40Trips'!$A$3:$I$42,2,FALSE)),0)</f>
        <v>0</v>
      </c>
      <c r="AA38">
        <f>IF(AND(SUM(VLOOKUP($A38,'40Trips'!$A$3:$I$42,2,FALSE),VLOOKUP(AA$1,'40Trips'!$A$3:$I$42,2,FALSE))&lt;'40Trips'!$K$16,$A38&lt;&gt;AA$1,gamma!AA38=1),SUM(VLOOKUP($A38,'40Trips'!$A$3:$I$42,2,FALSE), VLOOKUP(AA$1,'40Trips'!$A$3:$I$42,2,FALSE)),0)</f>
        <v>0</v>
      </c>
      <c r="AB38">
        <f>IF(AND(SUM(VLOOKUP($A38,'40Trips'!$A$3:$I$42,2,FALSE),VLOOKUP(AB$1,'40Trips'!$A$3:$I$42,2,FALSE))&lt;'40Trips'!$K$16,$A38&lt;&gt;AB$1,gamma!AB38=1),SUM(VLOOKUP($A38,'40Trips'!$A$3:$I$42,2,FALSE), VLOOKUP(AB$1,'40Trips'!$A$3:$I$42,2,FALSE)),0)</f>
        <v>0</v>
      </c>
      <c r="AC38">
        <f>IF(AND(SUM(VLOOKUP($A38,'40Trips'!$A$3:$I$42,2,FALSE),VLOOKUP(AC$1,'40Trips'!$A$3:$I$42,2,FALSE))&lt;'40Trips'!$K$16,$A38&lt;&gt;AC$1,gamma!AC38=1),SUM(VLOOKUP($A38,'40Trips'!$A$3:$I$42,2,FALSE), VLOOKUP(AC$1,'40Trips'!$A$3:$I$42,2,FALSE)),0)</f>
        <v>0</v>
      </c>
      <c r="AD38">
        <f>IF(AND(SUM(VLOOKUP($A38,'40Trips'!$A$3:$I$42,2,FALSE),VLOOKUP(AD$1,'40Trips'!$A$3:$I$42,2,FALSE))&lt;'40Trips'!$K$16,$A38&lt;&gt;AD$1,gamma!AD38=1),SUM(VLOOKUP($A38,'40Trips'!$A$3:$I$42,2,FALSE), VLOOKUP(AD$1,'40Trips'!$A$3:$I$42,2,FALSE)),0)</f>
        <v>0</v>
      </c>
      <c r="AE38">
        <f>IF(AND(SUM(VLOOKUP($A38,'40Trips'!$A$3:$I$42,2,FALSE),VLOOKUP(AE$1,'40Trips'!$A$3:$I$42,2,FALSE))&lt;'40Trips'!$K$16,$A38&lt;&gt;AE$1,gamma!AE38=1),SUM(VLOOKUP($A38,'40Trips'!$A$3:$I$42,2,FALSE), VLOOKUP(AE$1,'40Trips'!$A$3:$I$42,2,FALSE)),0)</f>
        <v>0</v>
      </c>
      <c r="AF38">
        <f>IF(AND(SUM(VLOOKUP($A38,'40Trips'!$A$3:$I$42,2,FALSE),VLOOKUP(AF$1,'40Trips'!$A$3:$I$42,2,FALSE))&lt;'40Trips'!$K$16,$A38&lt;&gt;AF$1,gamma!AF38=1),SUM(VLOOKUP($A38,'40Trips'!$A$3:$I$42,2,FALSE), VLOOKUP(AF$1,'40Trips'!$A$3:$I$42,2,FALSE)),0)</f>
        <v>0</v>
      </c>
      <c r="AG38">
        <f>IF(AND(SUM(VLOOKUP($A38,'40Trips'!$A$3:$I$42,2,FALSE),VLOOKUP(AG$1,'40Trips'!$A$3:$I$42,2,FALSE))&lt;'40Trips'!$K$16,$A38&lt;&gt;AG$1,gamma!AG38=1),SUM(VLOOKUP($A38,'40Trips'!$A$3:$I$42,2,FALSE), VLOOKUP(AG$1,'40Trips'!$A$3:$I$42,2,FALSE)),0)</f>
        <v>0</v>
      </c>
      <c r="AH38">
        <f>IF(AND(SUM(VLOOKUP($A38,'40Trips'!$A$3:$I$42,2,FALSE),VLOOKUP(AH$1,'40Trips'!$A$3:$I$42,2,FALSE))&lt;'40Trips'!$K$16,$A38&lt;&gt;AH$1,gamma!AH38=1),SUM(VLOOKUP($A38,'40Trips'!$A$3:$I$42,2,FALSE), VLOOKUP(AH$1,'40Trips'!$A$3:$I$42,2,FALSE)),0)</f>
        <v>0</v>
      </c>
      <c r="AI38">
        <f>IF(AND(SUM(VLOOKUP($A38,'40Trips'!$A$3:$I$42,2,FALSE),VLOOKUP(AI$1,'40Trips'!$A$3:$I$42,2,FALSE))&lt;'40Trips'!$K$16,$A38&lt;&gt;AI$1,gamma!AI38=1),SUM(VLOOKUP($A38,'40Trips'!$A$3:$I$42,2,FALSE), VLOOKUP(AI$1,'40Trips'!$A$3:$I$42,2,FALSE)),0)</f>
        <v>0</v>
      </c>
      <c r="AJ38">
        <f>IF(AND(SUM(VLOOKUP($A38,'40Trips'!$A$3:$I$42,2,FALSE),VLOOKUP(AJ$1,'40Trips'!$A$3:$I$42,2,FALSE))&lt;'40Trips'!$K$16,$A38&lt;&gt;AJ$1,gamma!AJ38=1),SUM(VLOOKUP($A38,'40Trips'!$A$3:$I$42,2,FALSE), VLOOKUP(AJ$1,'40Trips'!$A$3:$I$42,2,FALSE)),0)</f>
        <v>0</v>
      </c>
      <c r="AK38">
        <f>IF(AND(SUM(VLOOKUP($A38,'40Trips'!$A$3:$I$42,2,FALSE),VLOOKUP(AK$1,'40Trips'!$A$3:$I$42,2,FALSE))&lt;'40Trips'!$K$16,$A38&lt;&gt;AK$1,gamma!AK38=1),SUM(VLOOKUP($A38,'40Trips'!$A$3:$I$42,2,FALSE), VLOOKUP(AK$1,'40Trips'!$A$3:$I$42,2,FALSE)),0)</f>
        <v>0</v>
      </c>
      <c r="AL38">
        <f>IF(AND(SUM(VLOOKUP($A38,'40Trips'!$A$3:$I$42,2,FALSE),VLOOKUP(AL$1,'40Trips'!$A$3:$I$42,2,FALSE))&lt;'40Trips'!$K$16,$A38&lt;&gt;AL$1,gamma!AL38=1),SUM(VLOOKUP($A38,'40Trips'!$A$3:$I$42,2,FALSE), VLOOKUP(AL$1,'40Trips'!$A$3:$I$42,2,FALSE)),0)</f>
        <v>0</v>
      </c>
      <c r="AM38">
        <f>IF(AND(SUM(VLOOKUP($A38,'40Trips'!$A$3:$I$42,2,FALSE),VLOOKUP(AM$1,'40Trips'!$A$3:$I$42,2,FALSE))&lt;'40Trips'!$K$16,$A38&lt;&gt;AM$1,gamma!AM38=1),SUM(VLOOKUP($A38,'40Trips'!$A$3:$I$42,2,FALSE), VLOOKUP(AM$1,'40Trips'!$A$3:$I$42,2,FALSE)),0)</f>
        <v>0</v>
      </c>
      <c r="AN38">
        <f>IF(AND(SUM(VLOOKUP($A38,'40Trips'!$A$3:$I$42,2,FALSE),VLOOKUP(AN$1,'40Trips'!$A$3:$I$42,2,FALSE))&lt;'40Trips'!$K$16,$A38&lt;&gt;AN$1,gamma!AN38=1),SUM(VLOOKUP($A38,'40Trips'!$A$3:$I$42,2,FALSE), VLOOKUP(AN$1,'40Trips'!$A$3:$I$42,2,FALSE)),0)</f>
        <v>0</v>
      </c>
      <c r="AO38">
        <f>IF(AND(SUM(VLOOKUP($A38,'40Trips'!$A$3:$I$42,2,FALSE),VLOOKUP(AO$1,'40Trips'!$A$3:$I$42,2,FALSE))&lt;'40Trips'!$K$16,$A38&lt;&gt;AO$1,gamma!AO38=1),SUM(VLOOKUP($A38,'40Trips'!$A$3:$I$42,2,FALSE), VLOOKUP(AO$1,'40Trips'!$A$3:$I$42,2,FALSE)),0)</f>
        <v>0</v>
      </c>
      <c r="AP38">
        <f>IF(AND(SUM(VLOOKUP($A38,'40Trips'!$A$3:$I$42,2,FALSE),VLOOKUP(AP$1,'40Trips'!$A$3:$I$42,2,FALSE))&lt;'40Trips'!$K$16,$A38&lt;&gt;AP$1,gamma!AP38=1),SUM(VLOOKUP($A38,'40Trips'!$A$3:$I$42,2,FALSE), VLOOKUP(AP$1,'40Trips'!$A$3:$I$42,2,FALSE)),0)</f>
        <v>0</v>
      </c>
      <c r="AQ38">
        <v>0</v>
      </c>
      <c r="AR38">
        <v>0</v>
      </c>
      <c r="AS38">
        <v>0</v>
      </c>
      <c r="AT38">
        <v>0</v>
      </c>
    </row>
    <row r="39" spans="1:46" x14ac:dyDescent="0.25">
      <c r="A39" t="s">
        <v>41</v>
      </c>
      <c r="B39">
        <v>0</v>
      </c>
      <c r="C39">
        <f>IF(AND(SUM(VLOOKUP($A39,'40Trips'!$A$3:$I$42,2,FALSE),VLOOKUP(C$1,'40Trips'!$A$3:$I$42,2,FALSE))&lt;'40Trips'!$K$16,$A39&lt;&gt;C$1,gamma!C39=1),SUM(VLOOKUP($A39,'40Trips'!$A$3:$I$42,2,FALSE), VLOOKUP(C$1,'40Trips'!$A$3:$I$42,2,FALSE)),0)</f>
        <v>0</v>
      </c>
      <c r="D39">
        <f>IF(AND(SUM(VLOOKUP($A39,'40Trips'!$A$3:$I$42,2,FALSE),VLOOKUP(D$1,'40Trips'!$A$3:$I$42,2,FALSE))&lt;'40Trips'!$K$16,$A39&lt;&gt;D$1,gamma!D39=1),SUM(VLOOKUP($A39,'40Trips'!$A$3:$I$42,2,FALSE), VLOOKUP(D$1,'40Trips'!$A$3:$I$42,2,FALSE)),0)</f>
        <v>0</v>
      </c>
      <c r="E39">
        <f>IF(AND(SUM(VLOOKUP($A39,'40Trips'!$A$3:$I$42,2,FALSE),VLOOKUP(E$1,'40Trips'!$A$3:$I$42,2,FALSE))&lt;'40Trips'!$K$16,$A39&lt;&gt;E$1,gamma!E39=1),SUM(VLOOKUP($A39,'40Trips'!$A$3:$I$42,2,FALSE), VLOOKUP(E$1,'40Trips'!$A$3:$I$42,2,FALSE)),0)</f>
        <v>275</v>
      </c>
      <c r="F39">
        <f>IF(AND(SUM(VLOOKUP($A39,'40Trips'!$A$3:$I$42,2,FALSE),VLOOKUP(F$1,'40Trips'!$A$3:$I$42,2,FALSE))&lt;'40Trips'!$K$16,$A39&lt;&gt;F$1,gamma!F39=1),SUM(VLOOKUP($A39,'40Trips'!$A$3:$I$42,2,FALSE), VLOOKUP(F$1,'40Trips'!$A$3:$I$42,2,FALSE)),0)</f>
        <v>275</v>
      </c>
      <c r="G39">
        <f>IF(AND(SUM(VLOOKUP($A39,'40Trips'!$A$3:$I$42,2,FALSE),VLOOKUP(G$1,'40Trips'!$A$3:$I$42,2,FALSE))&lt;'40Trips'!$K$16,$A39&lt;&gt;G$1,gamma!G39=1),SUM(VLOOKUP($A39,'40Trips'!$A$3:$I$42,2,FALSE), VLOOKUP(G$1,'40Trips'!$A$3:$I$42,2,FALSE)),0)</f>
        <v>0</v>
      </c>
      <c r="H39">
        <f>IF(AND(SUM(VLOOKUP($A39,'40Trips'!$A$3:$I$42,2,FALSE),VLOOKUP(H$1,'40Trips'!$A$3:$I$42,2,FALSE))&lt;'40Trips'!$K$16,$A39&lt;&gt;H$1,gamma!H39=1),SUM(VLOOKUP($A39,'40Trips'!$A$3:$I$42,2,FALSE), VLOOKUP(H$1,'40Trips'!$A$3:$I$42,2,FALSE)),0)</f>
        <v>0</v>
      </c>
      <c r="I39">
        <f>IF(AND(SUM(VLOOKUP($A39,'40Trips'!$A$3:$I$42,2,FALSE),VLOOKUP(I$1,'40Trips'!$A$3:$I$42,2,FALSE))&lt;'40Trips'!$K$16,$A39&lt;&gt;I$1,gamma!I39=1),SUM(VLOOKUP($A39,'40Trips'!$A$3:$I$42,2,FALSE), VLOOKUP(I$1,'40Trips'!$A$3:$I$42,2,FALSE)),0)</f>
        <v>280</v>
      </c>
      <c r="J39">
        <f>IF(AND(SUM(VLOOKUP($A39,'40Trips'!$A$3:$I$42,2,FALSE),VLOOKUP(J$1,'40Trips'!$A$3:$I$42,2,FALSE))&lt;'40Trips'!$K$16,$A39&lt;&gt;J$1,gamma!J39=1),SUM(VLOOKUP($A39,'40Trips'!$A$3:$I$42,2,FALSE), VLOOKUP(J$1,'40Trips'!$A$3:$I$42,2,FALSE)),0)</f>
        <v>280</v>
      </c>
      <c r="K39">
        <f>IF(AND(SUM(VLOOKUP($A39,'40Trips'!$A$3:$I$42,2,FALSE),VLOOKUP(K$1,'40Trips'!$A$3:$I$42,2,FALSE))&lt;'40Trips'!$K$16,$A39&lt;&gt;K$1,gamma!K39=1),SUM(VLOOKUP($A39,'40Trips'!$A$3:$I$42,2,FALSE), VLOOKUP(K$1,'40Trips'!$A$3:$I$42,2,FALSE)),0)</f>
        <v>0</v>
      </c>
      <c r="L39">
        <f>IF(AND(SUM(VLOOKUP($A39,'40Trips'!$A$3:$I$42,2,FALSE),VLOOKUP(L$1,'40Trips'!$A$3:$I$42,2,FALSE))&lt;'40Trips'!$K$16,$A39&lt;&gt;L$1,gamma!L39=1),SUM(VLOOKUP($A39,'40Trips'!$A$3:$I$42,2,FALSE), VLOOKUP(L$1,'40Trips'!$A$3:$I$42,2,FALSE)),0)</f>
        <v>0</v>
      </c>
      <c r="M39">
        <f>IF(AND(SUM(VLOOKUP($A39,'40Trips'!$A$3:$I$42,2,FALSE),VLOOKUP(M$1,'40Trips'!$A$3:$I$42,2,FALSE))&lt;'40Trips'!$K$16,$A39&lt;&gt;M$1,gamma!M39=1),SUM(VLOOKUP($A39,'40Trips'!$A$3:$I$42,2,FALSE), VLOOKUP(M$1,'40Trips'!$A$3:$I$42,2,FALSE)),0)</f>
        <v>275</v>
      </c>
      <c r="N39">
        <f>IF(AND(SUM(VLOOKUP($A39,'40Trips'!$A$3:$I$42,2,FALSE),VLOOKUP(N$1,'40Trips'!$A$3:$I$42,2,FALSE))&lt;'40Trips'!$K$16,$A39&lt;&gt;N$1,gamma!N39=1),SUM(VLOOKUP($A39,'40Trips'!$A$3:$I$42,2,FALSE), VLOOKUP(N$1,'40Trips'!$A$3:$I$42,2,FALSE)),0)</f>
        <v>0</v>
      </c>
      <c r="O39">
        <f>IF(AND(SUM(VLOOKUP($A39,'40Trips'!$A$3:$I$42,2,FALSE),VLOOKUP(O$1,'40Trips'!$A$3:$I$42,2,FALSE))&lt;'40Trips'!$K$16,$A39&lt;&gt;O$1,gamma!O39=1),SUM(VLOOKUP($A39,'40Trips'!$A$3:$I$42,2,FALSE), VLOOKUP(O$1,'40Trips'!$A$3:$I$42,2,FALSE)),0)</f>
        <v>0</v>
      </c>
      <c r="P39">
        <f>IF(AND(SUM(VLOOKUP($A39,'40Trips'!$A$3:$I$42,2,FALSE),VLOOKUP(P$1,'40Trips'!$A$3:$I$42,2,FALSE))&lt;'40Trips'!$K$16,$A39&lt;&gt;P$1,gamma!P39=1),SUM(VLOOKUP($A39,'40Trips'!$A$3:$I$42,2,FALSE), VLOOKUP(P$1,'40Trips'!$A$3:$I$42,2,FALSE)),0)</f>
        <v>0</v>
      </c>
      <c r="Q39">
        <f>IF(AND(SUM(VLOOKUP($A39,'40Trips'!$A$3:$I$42,2,FALSE),VLOOKUP(Q$1,'40Trips'!$A$3:$I$42,2,FALSE))&lt;'40Trips'!$K$16,$A39&lt;&gt;Q$1,gamma!Q39=1),SUM(VLOOKUP($A39,'40Trips'!$A$3:$I$42,2,FALSE), VLOOKUP(Q$1,'40Trips'!$A$3:$I$42,2,FALSE)),0)</f>
        <v>275</v>
      </c>
      <c r="R39">
        <f>IF(AND(SUM(VLOOKUP($A39,'40Trips'!$A$3:$I$42,2,FALSE),VLOOKUP(R$1,'40Trips'!$A$3:$I$42,2,FALSE))&lt;'40Trips'!$K$16,$A39&lt;&gt;R$1,gamma!R39=1),SUM(VLOOKUP($A39,'40Trips'!$A$3:$I$42,2,FALSE), VLOOKUP(R$1,'40Trips'!$A$3:$I$42,2,FALSE)),0)</f>
        <v>275</v>
      </c>
      <c r="S39">
        <f>IF(AND(SUM(VLOOKUP($A39,'40Trips'!$A$3:$I$42,2,FALSE),VLOOKUP(S$1,'40Trips'!$A$3:$I$42,2,FALSE))&lt;'40Trips'!$K$16,$A39&lt;&gt;S$1,gamma!S39=1),SUM(VLOOKUP($A39,'40Trips'!$A$3:$I$42,2,FALSE), VLOOKUP(S$1,'40Trips'!$A$3:$I$42,2,FALSE)),0)</f>
        <v>0</v>
      </c>
      <c r="T39">
        <f>IF(AND(SUM(VLOOKUP($A39,'40Trips'!$A$3:$I$42,2,FALSE),VLOOKUP(T$1,'40Trips'!$A$3:$I$42,2,FALSE))&lt;'40Trips'!$K$16,$A39&lt;&gt;T$1,gamma!T39=1),SUM(VLOOKUP($A39,'40Trips'!$A$3:$I$42,2,FALSE), VLOOKUP(T$1,'40Trips'!$A$3:$I$42,2,FALSE)),0)</f>
        <v>0</v>
      </c>
      <c r="U39">
        <f>IF(AND(SUM(VLOOKUP($A39,'40Trips'!$A$3:$I$42,2,FALSE),VLOOKUP(U$1,'40Trips'!$A$3:$I$42,2,FALSE))&lt;'40Trips'!$K$16,$A39&lt;&gt;U$1,gamma!U39=1),SUM(VLOOKUP($A39,'40Trips'!$A$3:$I$42,2,FALSE), VLOOKUP(U$1,'40Trips'!$A$3:$I$42,2,FALSE)),0)</f>
        <v>260</v>
      </c>
      <c r="V39">
        <f>IF(AND(SUM(VLOOKUP($A39,'40Trips'!$A$3:$I$42,2,FALSE),VLOOKUP(V$1,'40Trips'!$A$3:$I$42,2,FALSE))&lt;'40Trips'!$K$16,$A39&lt;&gt;V$1,gamma!V39=1),SUM(VLOOKUP($A39,'40Trips'!$A$3:$I$42,2,FALSE), VLOOKUP(V$1,'40Trips'!$A$3:$I$42,2,FALSE)),0)</f>
        <v>270</v>
      </c>
      <c r="W39">
        <f>IF(AND(SUM(VLOOKUP($A39,'40Trips'!$A$3:$I$42,2,FALSE),VLOOKUP(W$1,'40Trips'!$A$3:$I$42,2,FALSE))&lt;'40Trips'!$K$16,$A39&lt;&gt;W$1,gamma!W39=1),SUM(VLOOKUP($A39,'40Trips'!$A$3:$I$42,2,FALSE), VLOOKUP(W$1,'40Trips'!$A$3:$I$42,2,FALSE)),0)</f>
        <v>0</v>
      </c>
      <c r="X39">
        <f>IF(AND(SUM(VLOOKUP($A39,'40Trips'!$A$3:$I$42,2,FALSE),VLOOKUP(X$1,'40Trips'!$A$3:$I$42,2,FALSE))&lt;'40Trips'!$K$16,$A39&lt;&gt;X$1,gamma!X39=1),SUM(VLOOKUP($A39,'40Trips'!$A$3:$I$42,2,FALSE), VLOOKUP(X$1,'40Trips'!$A$3:$I$42,2,FALSE)),0)</f>
        <v>0</v>
      </c>
      <c r="Y39">
        <f>IF(AND(SUM(VLOOKUP($A39,'40Trips'!$A$3:$I$42,2,FALSE),VLOOKUP(Y$1,'40Trips'!$A$3:$I$42,2,FALSE))&lt;'40Trips'!$K$16,$A39&lt;&gt;Y$1,gamma!Y39=1),SUM(VLOOKUP($A39,'40Trips'!$A$3:$I$42,2,FALSE), VLOOKUP(Y$1,'40Trips'!$A$3:$I$42,2,FALSE)),0)</f>
        <v>280</v>
      </c>
      <c r="Z39">
        <f>IF(AND(SUM(VLOOKUP($A39,'40Trips'!$A$3:$I$42,2,FALSE),VLOOKUP(Z$1,'40Trips'!$A$3:$I$42,2,FALSE))&lt;'40Trips'!$K$16,$A39&lt;&gt;Z$1,gamma!Z39=1),SUM(VLOOKUP($A39,'40Trips'!$A$3:$I$42,2,FALSE), VLOOKUP(Z$1,'40Trips'!$A$3:$I$42,2,FALSE)),0)</f>
        <v>280</v>
      </c>
      <c r="AA39">
        <f>IF(AND(SUM(VLOOKUP($A39,'40Trips'!$A$3:$I$42,2,FALSE),VLOOKUP(AA$1,'40Trips'!$A$3:$I$42,2,FALSE))&lt;'40Trips'!$K$16,$A39&lt;&gt;AA$1,gamma!AA39=1),SUM(VLOOKUP($A39,'40Trips'!$A$3:$I$42,2,FALSE), VLOOKUP(AA$1,'40Trips'!$A$3:$I$42,2,FALSE)),0)</f>
        <v>0</v>
      </c>
      <c r="AB39">
        <f>IF(AND(SUM(VLOOKUP($A39,'40Trips'!$A$3:$I$42,2,FALSE),VLOOKUP(AB$1,'40Trips'!$A$3:$I$42,2,FALSE))&lt;'40Trips'!$K$16,$A39&lt;&gt;AB$1,gamma!AB39=1),SUM(VLOOKUP($A39,'40Trips'!$A$3:$I$42,2,FALSE), VLOOKUP(AB$1,'40Trips'!$A$3:$I$42,2,FALSE)),0)</f>
        <v>0</v>
      </c>
      <c r="AC39">
        <f>IF(AND(SUM(VLOOKUP($A39,'40Trips'!$A$3:$I$42,2,FALSE),VLOOKUP(AC$1,'40Trips'!$A$3:$I$42,2,FALSE))&lt;'40Trips'!$K$16,$A39&lt;&gt;AC$1,gamma!AC39=1),SUM(VLOOKUP($A39,'40Trips'!$A$3:$I$42,2,FALSE), VLOOKUP(AC$1,'40Trips'!$A$3:$I$42,2,FALSE)),0)</f>
        <v>260</v>
      </c>
      <c r="AD39">
        <f>IF(AND(SUM(VLOOKUP($A39,'40Trips'!$A$3:$I$42,2,FALSE),VLOOKUP(AD$1,'40Trips'!$A$3:$I$42,2,FALSE))&lt;'40Trips'!$K$16,$A39&lt;&gt;AD$1,gamma!AD39=1),SUM(VLOOKUP($A39,'40Trips'!$A$3:$I$42,2,FALSE), VLOOKUP(AD$1,'40Trips'!$A$3:$I$42,2,FALSE)),0)</f>
        <v>270</v>
      </c>
      <c r="AE39">
        <f>IF(AND(SUM(VLOOKUP($A39,'40Trips'!$A$3:$I$42,2,FALSE),VLOOKUP(AE$1,'40Trips'!$A$3:$I$42,2,FALSE))&lt;'40Trips'!$K$16,$A39&lt;&gt;AE$1,gamma!AE39=1),SUM(VLOOKUP($A39,'40Trips'!$A$3:$I$42,2,FALSE), VLOOKUP(AE$1,'40Trips'!$A$3:$I$42,2,FALSE)),0)</f>
        <v>0</v>
      </c>
      <c r="AF39">
        <f>IF(AND(SUM(VLOOKUP($A39,'40Trips'!$A$3:$I$42,2,FALSE),VLOOKUP(AF$1,'40Trips'!$A$3:$I$42,2,FALSE))&lt;'40Trips'!$K$16,$A39&lt;&gt;AF$1,gamma!AF39=1),SUM(VLOOKUP($A39,'40Trips'!$A$3:$I$42,2,FALSE), VLOOKUP(AF$1,'40Trips'!$A$3:$I$42,2,FALSE)),0)</f>
        <v>0</v>
      </c>
      <c r="AG39">
        <f>IF(AND(SUM(VLOOKUP($A39,'40Trips'!$A$3:$I$42,2,FALSE),VLOOKUP(AG$1,'40Trips'!$A$3:$I$42,2,FALSE))&lt;'40Trips'!$K$16,$A39&lt;&gt;AG$1,gamma!AG39=1),SUM(VLOOKUP($A39,'40Trips'!$A$3:$I$42,2,FALSE), VLOOKUP(AG$1,'40Trips'!$A$3:$I$42,2,FALSE)),0)</f>
        <v>0</v>
      </c>
      <c r="AH39">
        <f>IF(AND(SUM(VLOOKUP($A39,'40Trips'!$A$3:$I$42,2,FALSE),VLOOKUP(AH$1,'40Trips'!$A$3:$I$42,2,FALSE))&lt;'40Trips'!$K$16,$A39&lt;&gt;AH$1,gamma!AH39=1),SUM(VLOOKUP($A39,'40Trips'!$A$3:$I$42,2,FALSE), VLOOKUP(AH$1,'40Trips'!$A$3:$I$42,2,FALSE)),0)</f>
        <v>275</v>
      </c>
      <c r="AI39">
        <f>IF(AND(SUM(VLOOKUP($A39,'40Trips'!$A$3:$I$42,2,FALSE),VLOOKUP(AI$1,'40Trips'!$A$3:$I$42,2,FALSE))&lt;'40Trips'!$K$16,$A39&lt;&gt;AI$1,gamma!AI39=1),SUM(VLOOKUP($A39,'40Trips'!$A$3:$I$42,2,FALSE), VLOOKUP(AI$1,'40Trips'!$A$3:$I$42,2,FALSE)),0)</f>
        <v>0</v>
      </c>
      <c r="AJ39">
        <f>IF(AND(SUM(VLOOKUP($A39,'40Trips'!$A$3:$I$42,2,FALSE),VLOOKUP(AJ$1,'40Trips'!$A$3:$I$42,2,FALSE))&lt;'40Trips'!$K$16,$A39&lt;&gt;AJ$1,gamma!AJ39=1),SUM(VLOOKUP($A39,'40Trips'!$A$3:$I$42,2,FALSE), VLOOKUP(AJ$1,'40Trips'!$A$3:$I$42,2,FALSE)),0)</f>
        <v>0</v>
      </c>
      <c r="AK39">
        <f>IF(AND(SUM(VLOOKUP($A39,'40Trips'!$A$3:$I$42,2,FALSE),VLOOKUP(AK$1,'40Trips'!$A$3:$I$42,2,FALSE))&lt;'40Trips'!$K$16,$A39&lt;&gt;AK$1,gamma!AK39=1),SUM(VLOOKUP($A39,'40Trips'!$A$3:$I$42,2,FALSE), VLOOKUP(AK$1,'40Trips'!$A$3:$I$42,2,FALSE)),0)</f>
        <v>280</v>
      </c>
      <c r="AL39">
        <f>IF(AND(SUM(VLOOKUP($A39,'40Trips'!$A$3:$I$42,2,FALSE),VLOOKUP(AL$1,'40Trips'!$A$3:$I$42,2,FALSE))&lt;'40Trips'!$K$16,$A39&lt;&gt;AL$1,gamma!AL39=1),SUM(VLOOKUP($A39,'40Trips'!$A$3:$I$42,2,FALSE), VLOOKUP(AL$1,'40Trips'!$A$3:$I$42,2,FALSE)),0)</f>
        <v>280</v>
      </c>
      <c r="AM39">
        <f>IF(AND(SUM(VLOOKUP($A39,'40Trips'!$A$3:$I$42,2,FALSE),VLOOKUP(AM$1,'40Trips'!$A$3:$I$42,2,FALSE))&lt;'40Trips'!$K$16,$A39&lt;&gt;AM$1,gamma!AM39=1),SUM(VLOOKUP($A39,'40Trips'!$A$3:$I$42,2,FALSE), VLOOKUP(AM$1,'40Trips'!$A$3:$I$42,2,FALSE)),0)</f>
        <v>0</v>
      </c>
      <c r="AN39">
        <f>IF(AND(SUM(VLOOKUP($A39,'40Trips'!$A$3:$I$42,2,FALSE),VLOOKUP(AN$1,'40Trips'!$A$3:$I$42,2,FALSE))&lt;'40Trips'!$K$16,$A39&lt;&gt;AN$1,gamma!AN39=1),SUM(VLOOKUP($A39,'40Trips'!$A$3:$I$42,2,FALSE), VLOOKUP(AN$1,'40Trips'!$A$3:$I$42,2,FALSE)),0)</f>
        <v>260</v>
      </c>
      <c r="AO39">
        <f>IF(AND(SUM(VLOOKUP($A39,'40Trips'!$A$3:$I$42,2,FALSE),VLOOKUP(AO$1,'40Trips'!$A$3:$I$42,2,FALSE))&lt;'40Trips'!$K$16,$A39&lt;&gt;AO$1,gamma!AO39=1),SUM(VLOOKUP($A39,'40Trips'!$A$3:$I$42,2,FALSE), VLOOKUP(AO$1,'40Trips'!$A$3:$I$42,2,FALSE)),0)</f>
        <v>260</v>
      </c>
      <c r="AP39">
        <f>IF(AND(SUM(VLOOKUP($A39,'40Trips'!$A$3:$I$42,2,FALSE),VLOOKUP(AP$1,'40Trips'!$A$3:$I$42,2,FALSE))&lt;'40Trips'!$K$16,$A39&lt;&gt;AP$1,gamma!AP39=1),SUM(VLOOKUP($A39,'40Trips'!$A$3:$I$42,2,FALSE), VLOOKUP(AP$1,'40Trips'!$A$3:$I$42,2,FALSE)),0)</f>
        <v>275</v>
      </c>
      <c r="AQ39">
        <v>0</v>
      </c>
      <c r="AR39">
        <v>0</v>
      </c>
      <c r="AS39">
        <v>0</v>
      </c>
      <c r="AT39">
        <v>0</v>
      </c>
    </row>
    <row r="40" spans="1:46" x14ac:dyDescent="0.25">
      <c r="A40" t="s">
        <v>89</v>
      </c>
      <c r="B40">
        <v>0</v>
      </c>
      <c r="C40">
        <f>IF(AND(SUM(VLOOKUP($A40,'40Trips'!$A$3:$I$42,2,FALSE),VLOOKUP(C$1,'40Trips'!$A$3:$I$42,2,FALSE))&lt;'40Trips'!$K$16,$A40&lt;&gt;C$1,gamma!C40=1),SUM(VLOOKUP($A40,'40Trips'!$A$3:$I$42,2,FALSE), VLOOKUP(C$1,'40Trips'!$A$3:$I$42,2,FALSE)),0)</f>
        <v>0</v>
      </c>
      <c r="D40">
        <f>IF(AND(SUM(VLOOKUP($A40,'40Trips'!$A$3:$I$42,2,FALSE),VLOOKUP(D$1,'40Trips'!$A$3:$I$42,2,FALSE))&lt;'40Trips'!$K$16,$A40&lt;&gt;D$1,gamma!D40=1),SUM(VLOOKUP($A40,'40Trips'!$A$3:$I$42,2,FALSE), VLOOKUP(D$1,'40Trips'!$A$3:$I$42,2,FALSE)),0)</f>
        <v>0</v>
      </c>
      <c r="E40">
        <f>IF(AND(SUM(VLOOKUP($A40,'40Trips'!$A$3:$I$42,2,FALSE),VLOOKUP(E$1,'40Trips'!$A$3:$I$42,2,FALSE))&lt;'40Trips'!$K$16,$A40&lt;&gt;E$1,gamma!E40=1),SUM(VLOOKUP($A40,'40Trips'!$A$3:$I$42,2,FALSE), VLOOKUP(E$1,'40Trips'!$A$3:$I$42,2,FALSE)),0)</f>
        <v>0</v>
      </c>
      <c r="F40">
        <f>IF(AND(SUM(VLOOKUP($A40,'40Trips'!$A$3:$I$42,2,FALSE),VLOOKUP(F$1,'40Trips'!$A$3:$I$42,2,FALSE))&lt;'40Trips'!$K$16,$A40&lt;&gt;F$1,gamma!F40=1),SUM(VLOOKUP($A40,'40Trips'!$A$3:$I$42,2,FALSE), VLOOKUP(F$1,'40Trips'!$A$3:$I$42,2,FALSE)),0)</f>
        <v>255</v>
      </c>
      <c r="G40">
        <f>IF(AND(SUM(VLOOKUP($A40,'40Trips'!$A$3:$I$42,2,FALSE),VLOOKUP(G$1,'40Trips'!$A$3:$I$42,2,FALSE))&lt;'40Trips'!$K$16,$A40&lt;&gt;G$1,gamma!G40=1),SUM(VLOOKUP($A40,'40Trips'!$A$3:$I$42,2,FALSE), VLOOKUP(G$1,'40Trips'!$A$3:$I$42,2,FALSE)),0)</f>
        <v>0</v>
      </c>
      <c r="H40">
        <f>IF(AND(SUM(VLOOKUP($A40,'40Trips'!$A$3:$I$42,2,FALSE),VLOOKUP(H$1,'40Trips'!$A$3:$I$42,2,FALSE))&lt;'40Trips'!$K$16,$A40&lt;&gt;H$1,gamma!H40=1),SUM(VLOOKUP($A40,'40Trips'!$A$3:$I$42,2,FALSE), VLOOKUP(H$1,'40Trips'!$A$3:$I$42,2,FALSE)),0)</f>
        <v>0</v>
      </c>
      <c r="I40">
        <f>IF(AND(SUM(VLOOKUP($A40,'40Trips'!$A$3:$I$42,2,FALSE),VLOOKUP(I$1,'40Trips'!$A$3:$I$42,2,FALSE))&lt;'40Trips'!$K$16,$A40&lt;&gt;I$1,gamma!I40=1),SUM(VLOOKUP($A40,'40Trips'!$A$3:$I$42,2,FALSE), VLOOKUP(I$1,'40Trips'!$A$3:$I$42,2,FALSE)),0)</f>
        <v>0</v>
      </c>
      <c r="J40">
        <f>IF(AND(SUM(VLOOKUP($A40,'40Trips'!$A$3:$I$42,2,FALSE),VLOOKUP(J$1,'40Trips'!$A$3:$I$42,2,FALSE))&lt;'40Trips'!$K$16,$A40&lt;&gt;J$1,gamma!J40=1),SUM(VLOOKUP($A40,'40Trips'!$A$3:$I$42,2,FALSE), VLOOKUP(J$1,'40Trips'!$A$3:$I$42,2,FALSE)),0)</f>
        <v>260</v>
      </c>
      <c r="K40">
        <f>IF(AND(SUM(VLOOKUP($A40,'40Trips'!$A$3:$I$42,2,FALSE),VLOOKUP(K$1,'40Trips'!$A$3:$I$42,2,FALSE))&lt;'40Trips'!$K$16,$A40&lt;&gt;K$1,gamma!K40=1),SUM(VLOOKUP($A40,'40Trips'!$A$3:$I$42,2,FALSE), VLOOKUP(K$1,'40Trips'!$A$3:$I$42,2,FALSE)),0)</f>
        <v>0</v>
      </c>
      <c r="L40">
        <f>IF(AND(SUM(VLOOKUP($A40,'40Trips'!$A$3:$I$42,2,FALSE),VLOOKUP(L$1,'40Trips'!$A$3:$I$42,2,FALSE))&lt;'40Trips'!$K$16,$A40&lt;&gt;L$1,gamma!L40=1),SUM(VLOOKUP($A40,'40Trips'!$A$3:$I$42,2,FALSE), VLOOKUP(L$1,'40Trips'!$A$3:$I$42,2,FALSE)),0)</f>
        <v>0</v>
      </c>
      <c r="M40">
        <f>IF(AND(SUM(VLOOKUP($A40,'40Trips'!$A$3:$I$42,2,FALSE),VLOOKUP(M$1,'40Trips'!$A$3:$I$42,2,FALSE))&lt;'40Trips'!$K$16,$A40&lt;&gt;M$1,gamma!M40=1),SUM(VLOOKUP($A40,'40Trips'!$A$3:$I$42,2,FALSE), VLOOKUP(M$1,'40Trips'!$A$3:$I$42,2,FALSE)),0)</f>
        <v>0</v>
      </c>
      <c r="N40">
        <f>IF(AND(SUM(VLOOKUP($A40,'40Trips'!$A$3:$I$42,2,FALSE),VLOOKUP(N$1,'40Trips'!$A$3:$I$42,2,FALSE))&lt;'40Trips'!$K$16,$A40&lt;&gt;N$1,gamma!N40=1),SUM(VLOOKUP($A40,'40Trips'!$A$3:$I$42,2,FALSE), VLOOKUP(N$1,'40Trips'!$A$3:$I$42,2,FALSE)),0)</f>
        <v>0</v>
      </c>
      <c r="O40">
        <f>IF(AND(SUM(VLOOKUP($A40,'40Trips'!$A$3:$I$42,2,FALSE),VLOOKUP(O$1,'40Trips'!$A$3:$I$42,2,FALSE))&lt;'40Trips'!$K$16,$A40&lt;&gt;O$1,gamma!O40=1),SUM(VLOOKUP($A40,'40Trips'!$A$3:$I$42,2,FALSE), VLOOKUP(O$1,'40Trips'!$A$3:$I$42,2,FALSE)),0)</f>
        <v>0</v>
      </c>
      <c r="P40">
        <f>IF(AND(SUM(VLOOKUP($A40,'40Trips'!$A$3:$I$42,2,FALSE),VLOOKUP(P$1,'40Trips'!$A$3:$I$42,2,FALSE))&lt;'40Trips'!$K$16,$A40&lt;&gt;P$1,gamma!P40=1),SUM(VLOOKUP($A40,'40Trips'!$A$3:$I$42,2,FALSE), VLOOKUP(P$1,'40Trips'!$A$3:$I$42,2,FALSE)),0)</f>
        <v>0</v>
      </c>
      <c r="Q40">
        <f>IF(AND(SUM(VLOOKUP($A40,'40Trips'!$A$3:$I$42,2,FALSE),VLOOKUP(Q$1,'40Trips'!$A$3:$I$42,2,FALSE))&lt;'40Trips'!$K$16,$A40&lt;&gt;Q$1,gamma!Q40=1),SUM(VLOOKUP($A40,'40Trips'!$A$3:$I$42,2,FALSE), VLOOKUP(Q$1,'40Trips'!$A$3:$I$42,2,FALSE)),0)</f>
        <v>0</v>
      </c>
      <c r="R40">
        <f>IF(AND(SUM(VLOOKUP($A40,'40Trips'!$A$3:$I$42,2,FALSE),VLOOKUP(R$1,'40Trips'!$A$3:$I$42,2,FALSE))&lt;'40Trips'!$K$16,$A40&lt;&gt;R$1,gamma!R40=1),SUM(VLOOKUP($A40,'40Trips'!$A$3:$I$42,2,FALSE), VLOOKUP(R$1,'40Trips'!$A$3:$I$42,2,FALSE)),0)</f>
        <v>255</v>
      </c>
      <c r="S40">
        <f>IF(AND(SUM(VLOOKUP($A40,'40Trips'!$A$3:$I$42,2,FALSE),VLOOKUP(S$1,'40Trips'!$A$3:$I$42,2,FALSE))&lt;'40Trips'!$K$16,$A40&lt;&gt;S$1,gamma!S40=1),SUM(VLOOKUP($A40,'40Trips'!$A$3:$I$42,2,FALSE), VLOOKUP(S$1,'40Trips'!$A$3:$I$42,2,FALSE)),0)</f>
        <v>0</v>
      </c>
      <c r="T40">
        <f>IF(AND(SUM(VLOOKUP($A40,'40Trips'!$A$3:$I$42,2,FALSE),VLOOKUP(T$1,'40Trips'!$A$3:$I$42,2,FALSE))&lt;'40Trips'!$K$16,$A40&lt;&gt;T$1,gamma!T40=1),SUM(VLOOKUP($A40,'40Trips'!$A$3:$I$42,2,FALSE), VLOOKUP(T$1,'40Trips'!$A$3:$I$42,2,FALSE)),0)</f>
        <v>0</v>
      </c>
      <c r="U40">
        <f>IF(AND(SUM(VLOOKUP($A40,'40Trips'!$A$3:$I$42,2,FALSE),VLOOKUP(U$1,'40Trips'!$A$3:$I$42,2,FALSE))&lt;'40Trips'!$K$16,$A40&lt;&gt;U$1,gamma!U40=1),SUM(VLOOKUP($A40,'40Trips'!$A$3:$I$42,2,FALSE), VLOOKUP(U$1,'40Trips'!$A$3:$I$42,2,FALSE)),0)</f>
        <v>0</v>
      </c>
      <c r="V40">
        <f>IF(AND(SUM(VLOOKUP($A40,'40Trips'!$A$3:$I$42,2,FALSE),VLOOKUP(V$1,'40Trips'!$A$3:$I$42,2,FALSE))&lt;'40Trips'!$K$16,$A40&lt;&gt;V$1,gamma!V40=1),SUM(VLOOKUP($A40,'40Trips'!$A$3:$I$42,2,FALSE), VLOOKUP(V$1,'40Trips'!$A$3:$I$42,2,FALSE)),0)</f>
        <v>250</v>
      </c>
      <c r="W40">
        <f>IF(AND(SUM(VLOOKUP($A40,'40Trips'!$A$3:$I$42,2,FALSE),VLOOKUP(W$1,'40Trips'!$A$3:$I$42,2,FALSE))&lt;'40Trips'!$K$16,$A40&lt;&gt;W$1,gamma!W40=1),SUM(VLOOKUP($A40,'40Trips'!$A$3:$I$42,2,FALSE), VLOOKUP(W$1,'40Trips'!$A$3:$I$42,2,FALSE)),0)</f>
        <v>0</v>
      </c>
      <c r="X40">
        <f>IF(AND(SUM(VLOOKUP($A40,'40Trips'!$A$3:$I$42,2,FALSE),VLOOKUP(X$1,'40Trips'!$A$3:$I$42,2,FALSE))&lt;'40Trips'!$K$16,$A40&lt;&gt;X$1,gamma!X40=1),SUM(VLOOKUP($A40,'40Trips'!$A$3:$I$42,2,FALSE), VLOOKUP(X$1,'40Trips'!$A$3:$I$42,2,FALSE)),0)</f>
        <v>0</v>
      </c>
      <c r="Y40">
        <f>IF(AND(SUM(VLOOKUP($A40,'40Trips'!$A$3:$I$42,2,FALSE),VLOOKUP(Y$1,'40Trips'!$A$3:$I$42,2,FALSE))&lt;'40Trips'!$K$16,$A40&lt;&gt;Y$1,gamma!Y40=1),SUM(VLOOKUP($A40,'40Trips'!$A$3:$I$42,2,FALSE), VLOOKUP(Y$1,'40Trips'!$A$3:$I$42,2,FALSE)),0)</f>
        <v>0</v>
      </c>
      <c r="Z40">
        <f>IF(AND(SUM(VLOOKUP($A40,'40Trips'!$A$3:$I$42,2,FALSE),VLOOKUP(Z$1,'40Trips'!$A$3:$I$42,2,FALSE))&lt;'40Trips'!$K$16,$A40&lt;&gt;Z$1,gamma!Z40=1),SUM(VLOOKUP($A40,'40Trips'!$A$3:$I$42,2,FALSE), VLOOKUP(Z$1,'40Trips'!$A$3:$I$42,2,FALSE)),0)</f>
        <v>260</v>
      </c>
      <c r="AA40">
        <f>IF(AND(SUM(VLOOKUP($A40,'40Trips'!$A$3:$I$42,2,FALSE),VLOOKUP(AA$1,'40Trips'!$A$3:$I$42,2,FALSE))&lt;'40Trips'!$K$16,$A40&lt;&gt;AA$1,gamma!AA40=1),SUM(VLOOKUP($A40,'40Trips'!$A$3:$I$42,2,FALSE), VLOOKUP(AA$1,'40Trips'!$A$3:$I$42,2,FALSE)),0)</f>
        <v>0</v>
      </c>
      <c r="AB40">
        <f>IF(AND(SUM(VLOOKUP($A40,'40Trips'!$A$3:$I$42,2,FALSE),VLOOKUP(AB$1,'40Trips'!$A$3:$I$42,2,FALSE))&lt;'40Trips'!$K$16,$A40&lt;&gt;AB$1,gamma!AB40=1),SUM(VLOOKUP($A40,'40Trips'!$A$3:$I$42,2,FALSE), VLOOKUP(AB$1,'40Trips'!$A$3:$I$42,2,FALSE)),0)</f>
        <v>0</v>
      </c>
      <c r="AC40">
        <f>IF(AND(SUM(VLOOKUP($A40,'40Trips'!$A$3:$I$42,2,FALSE),VLOOKUP(AC$1,'40Trips'!$A$3:$I$42,2,FALSE))&lt;'40Trips'!$K$16,$A40&lt;&gt;AC$1,gamma!AC40=1),SUM(VLOOKUP($A40,'40Trips'!$A$3:$I$42,2,FALSE), VLOOKUP(AC$1,'40Trips'!$A$3:$I$42,2,FALSE)),0)</f>
        <v>240</v>
      </c>
      <c r="AD40">
        <f>IF(AND(SUM(VLOOKUP($A40,'40Trips'!$A$3:$I$42,2,FALSE),VLOOKUP(AD$1,'40Trips'!$A$3:$I$42,2,FALSE))&lt;'40Trips'!$K$16,$A40&lt;&gt;AD$1,gamma!AD40=1),SUM(VLOOKUP($A40,'40Trips'!$A$3:$I$42,2,FALSE), VLOOKUP(AD$1,'40Trips'!$A$3:$I$42,2,FALSE)),0)</f>
        <v>250</v>
      </c>
      <c r="AE40">
        <f>IF(AND(SUM(VLOOKUP($A40,'40Trips'!$A$3:$I$42,2,FALSE),VLOOKUP(AE$1,'40Trips'!$A$3:$I$42,2,FALSE))&lt;'40Trips'!$K$16,$A40&lt;&gt;AE$1,gamma!AE40=1),SUM(VLOOKUP($A40,'40Trips'!$A$3:$I$42,2,FALSE), VLOOKUP(AE$1,'40Trips'!$A$3:$I$42,2,FALSE)),0)</f>
        <v>0</v>
      </c>
      <c r="AF40">
        <f>IF(AND(SUM(VLOOKUP($A40,'40Trips'!$A$3:$I$42,2,FALSE),VLOOKUP(AF$1,'40Trips'!$A$3:$I$42,2,FALSE))&lt;'40Trips'!$K$16,$A40&lt;&gt;AF$1,gamma!AF40=1),SUM(VLOOKUP($A40,'40Trips'!$A$3:$I$42,2,FALSE), VLOOKUP(AF$1,'40Trips'!$A$3:$I$42,2,FALSE)),0)</f>
        <v>0</v>
      </c>
      <c r="AG40">
        <f>IF(AND(SUM(VLOOKUP($A40,'40Trips'!$A$3:$I$42,2,FALSE),VLOOKUP(AG$1,'40Trips'!$A$3:$I$42,2,FALSE))&lt;'40Trips'!$K$16,$A40&lt;&gt;AG$1,gamma!AG40=1),SUM(VLOOKUP($A40,'40Trips'!$A$3:$I$42,2,FALSE), VLOOKUP(AG$1,'40Trips'!$A$3:$I$42,2,FALSE)),0)</f>
        <v>0</v>
      </c>
      <c r="AH40">
        <f>IF(AND(SUM(VLOOKUP($A40,'40Trips'!$A$3:$I$42,2,FALSE),VLOOKUP(AH$1,'40Trips'!$A$3:$I$42,2,FALSE))&lt;'40Trips'!$K$16,$A40&lt;&gt;AH$1,gamma!AH40=1),SUM(VLOOKUP($A40,'40Trips'!$A$3:$I$42,2,FALSE), VLOOKUP(AH$1,'40Trips'!$A$3:$I$42,2,FALSE)),0)</f>
        <v>0</v>
      </c>
      <c r="AI40">
        <f>IF(AND(SUM(VLOOKUP($A40,'40Trips'!$A$3:$I$42,2,FALSE),VLOOKUP(AI$1,'40Trips'!$A$3:$I$42,2,FALSE))&lt;'40Trips'!$K$16,$A40&lt;&gt;AI$1,gamma!AI40=1),SUM(VLOOKUP($A40,'40Trips'!$A$3:$I$42,2,FALSE), VLOOKUP(AI$1,'40Trips'!$A$3:$I$42,2,FALSE)),0)</f>
        <v>0</v>
      </c>
      <c r="AJ40">
        <f>IF(AND(SUM(VLOOKUP($A40,'40Trips'!$A$3:$I$42,2,FALSE),VLOOKUP(AJ$1,'40Trips'!$A$3:$I$42,2,FALSE))&lt;'40Trips'!$K$16,$A40&lt;&gt;AJ$1,gamma!AJ40=1),SUM(VLOOKUP($A40,'40Trips'!$A$3:$I$42,2,FALSE), VLOOKUP(AJ$1,'40Trips'!$A$3:$I$42,2,FALSE)),0)</f>
        <v>0</v>
      </c>
      <c r="AK40">
        <f>IF(AND(SUM(VLOOKUP($A40,'40Trips'!$A$3:$I$42,2,FALSE),VLOOKUP(AK$1,'40Trips'!$A$3:$I$42,2,FALSE))&lt;'40Trips'!$K$16,$A40&lt;&gt;AK$1,gamma!AK40=1),SUM(VLOOKUP($A40,'40Trips'!$A$3:$I$42,2,FALSE), VLOOKUP(AK$1,'40Trips'!$A$3:$I$42,2,FALSE)),0)</f>
        <v>0</v>
      </c>
      <c r="AL40">
        <f>IF(AND(SUM(VLOOKUP($A40,'40Trips'!$A$3:$I$42,2,FALSE),VLOOKUP(AL$1,'40Trips'!$A$3:$I$42,2,FALSE))&lt;'40Trips'!$K$16,$A40&lt;&gt;AL$1,gamma!AL40=1),SUM(VLOOKUP($A40,'40Trips'!$A$3:$I$42,2,FALSE), VLOOKUP(AL$1,'40Trips'!$A$3:$I$42,2,FALSE)),0)</f>
        <v>260</v>
      </c>
      <c r="AM40">
        <f>IF(AND(SUM(VLOOKUP($A40,'40Trips'!$A$3:$I$42,2,FALSE),VLOOKUP(AM$1,'40Trips'!$A$3:$I$42,2,FALSE))&lt;'40Trips'!$K$16,$A40&lt;&gt;AM$1,gamma!AM40=1),SUM(VLOOKUP($A40,'40Trips'!$A$3:$I$42,2,FALSE), VLOOKUP(AM$1,'40Trips'!$A$3:$I$42,2,FALSE)),0)</f>
        <v>0</v>
      </c>
      <c r="AN40">
        <f>IF(AND(SUM(VLOOKUP($A40,'40Trips'!$A$3:$I$42,2,FALSE),VLOOKUP(AN$1,'40Trips'!$A$3:$I$42,2,FALSE))&lt;'40Trips'!$K$16,$A40&lt;&gt;AN$1,gamma!AN40=1),SUM(VLOOKUP($A40,'40Trips'!$A$3:$I$42,2,FALSE), VLOOKUP(AN$1,'40Trips'!$A$3:$I$42,2,FALSE)),0)</f>
        <v>0</v>
      </c>
      <c r="AO40">
        <f>IF(AND(SUM(VLOOKUP($A40,'40Trips'!$A$3:$I$42,2,FALSE),VLOOKUP(AO$1,'40Trips'!$A$3:$I$42,2,FALSE))&lt;'40Trips'!$K$16,$A40&lt;&gt;AO$1,gamma!AO40=1),SUM(VLOOKUP($A40,'40Trips'!$A$3:$I$42,2,FALSE), VLOOKUP(AO$1,'40Trips'!$A$3:$I$42,2,FALSE)),0)</f>
        <v>0</v>
      </c>
      <c r="AP40">
        <f>IF(AND(SUM(VLOOKUP($A40,'40Trips'!$A$3:$I$42,2,FALSE),VLOOKUP(AP$1,'40Trips'!$A$3:$I$42,2,FALSE))&lt;'40Trips'!$K$16,$A40&lt;&gt;AP$1,gamma!AP40=1),SUM(VLOOKUP($A40,'40Trips'!$A$3:$I$42,2,FALSE), VLOOKUP(AP$1,'40Trips'!$A$3:$I$42,2,FALSE)),0)</f>
        <v>255</v>
      </c>
      <c r="AQ40">
        <v>0</v>
      </c>
      <c r="AR40">
        <v>0</v>
      </c>
      <c r="AS40">
        <v>0</v>
      </c>
      <c r="AT40">
        <v>0</v>
      </c>
    </row>
    <row r="41" spans="1:46" x14ac:dyDescent="0.25">
      <c r="A41" t="s">
        <v>90</v>
      </c>
      <c r="B41">
        <v>0</v>
      </c>
      <c r="C41">
        <f>IF(AND(SUM(VLOOKUP($A41,'40Trips'!$A$3:$I$42,2,FALSE),VLOOKUP(C$1,'40Trips'!$A$3:$I$42,2,FALSE))&lt;'40Trips'!$K$16,$A41&lt;&gt;C$1,gamma!C41=1),SUM(VLOOKUP($A41,'40Trips'!$A$3:$I$42,2,FALSE), VLOOKUP(C$1,'40Trips'!$A$3:$I$42,2,FALSE)),0)</f>
        <v>0</v>
      </c>
      <c r="D41">
        <f>IF(AND(SUM(VLOOKUP($A41,'40Trips'!$A$3:$I$42,2,FALSE),VLOOKUP(D$1,'40Trips'!$A$3:$I$42,2,FALSE))&lt;'40Trips'!$K$16,$A41&lt;&gt;D$1,gamma!D41=1),SUM(VLOOKUP($A41,'40Trips'!$A$3:$I$42,2,FALSE), VLOOKUP(D$1,'40Trips'!$A$3:$I$42,2,FALSE)),0)</f>
        <v>0</v>
      </c>
      <c r="E41">
        <f>IF(AND(SUM(VLOOKUP($A41,'40Trips'!$A$3:$I$42,2,FALSE),VLOOKUP(E$1,'40Trips'!$A$3:$I$42,2,FALSE))&lt;'40Trips'!$K$16,$A41&lt;&gt;E$1,gamma!E41=1),SUM(VLOOKUP($A41,'40Trips'!$A$3:$I$42,2,FALSE), VLOOKUP(E$1,'40Trips'!$A$3:$I$42,2,FALSE)),0)</f>
        <v>0</v>
      </c>
      <c r="F41">
        <f>IF(AND(SUM(VLOOKUP($A41,'40Trips'!$A$3:$I$42,2,FALSE),VLOOKUP(F$1,'40Trips'!$A$3:$I$42,2,FALSE))&lt;'40Trips'!$K$16,$A41&lt;&gt;F$1,gamma!F41=1),SUM(VLOOKUP($A41,'40Trips'!$A$3:$I$42,2,FALSE), VLOOKUP(F$1,'40Trips'!$A$3:$I$42,2,FALSE)),0)</f>
        <v>255</v>
      </c>
      <c r="G41">
        <f>IF(AND(SUM(VLOOKUP($A41,'40Trips'!$A$3:$I$42,2,FALSE),VLOOKUP(G$1,'40Trips'!$A$3:$I$42,2,FALSE))&lt;'40Trips'!$K$16,$A41&lt;&gt;G$1,gamma!G41=1),SUM(VLOOKUP($A41,'40Trips'!$A$3:$I$42,2,FALSE), VLOOKUP(G$1,'40Trips'!$A$3:$I$42,2,FALSE)),0)</f>
        <v>0</v>
      </c>
      <c r="H41">
        <f>IF(AND(SUM(VLOOKUP($A41,'40Trips'!$A$3:$I$42,2,FALSE),VLOOKUP(H$1,'40Trips'!$A$3:$I$42,2,FALSE))&lt;'40Trips'!$K$16,$A41&lt;&gt;H$1,gamma!H41=1),SUM(VLOOKUP($A41,'40Trips'!$A$3:$I$42,2,FALSE), VLOOKUP(H$1,'40Trips'!$A$3:$I$42,2,FALSE)),0)</f>
        <v>0</v>
      </c>
      <c r="I41">
        <f>IF(AND(SUM(VLOOKUP($A41,'40Trips'!$A$3:$I$42,2,FALSE),VLOOKUP(I$1,'40Trips'!$A$3:$I$42,2,FALSE))&lt;'40Trips'!$K$16,$A41&lt;&gt;I$1,gamma!I41=1),SUM(VLOOKUP($A41,'40Trips'!$A$3:$I$42,2,FALSE), VLOOKUP(I$1,'40Trips'!$A$3:$I$42,2,FALSE)),0)</f>
        <v>0</v>
      </c>
      <c r="J41">
        <f>IF(AND(SUM(VLOOKUP($A41,'40Trips'!$A$3:$I$42,2,FALSE),VLOOKUP(J$1,'40Trips'!$A$3:$I$42,2,FALSE))&lt;'40Trips'!$K$16,$A41&lt;&gt;J$1,gamma!J41=1),SUM(VLOOKUP($A41,'40Trips'!$A$3:$I$42,2,FALSE), VLOOKUP(J$1,'40Trips'!$A$3:$I$42,2,FALSE)),0)</f>
        <v>260</v>
      </c>
      <c r="K41">
        <f>IF(AND(SUM(VLOOKUP($A41,'40Trips'!$A$3:$I$42,2,FALSE),VLOOKUP(K$1,'40Trips'!$A$3:$I$42,2,FALSE))&lt;'40Trips'!$K$16,$A41&lt;&gt;K$1,gamma!K41=1),SUM(VLOOKUP($A41,'40Trips'!$A$3:$I$42,2,FALSE), VLOOKUP(K$1,'40Trips'!$A$3:$I$42,2,FALSE)),0)</f>
        <v>0</v>
      </c>
      <c r="L41">
        <f>IF(AND(SUM(VLOOKUP($A41,'40Trips'!$A$3:$I$42,2,FALSE),VLOOKUP(L$1,'40Trips'!$A$3:$I$42,2,FALSE))&lt;'40Trips'!$K$16,$A41&lt;&gt;L$1,gamma!L41=1),SUM(VLOOKUP($A41,'40Trips'!$A$3:$I$42,2,FALSE), VLOOKUP(L$1,'40Trips'!$A$3:$I$42,2,FALSE)),0)</f>
        <v>0</v>
      </c>
      <c r="M41">
        <f>IF(AND(SUM(VLOOKUP($A41,'40Trips'!$A$3:$I$42,2,FALSE),VLOOKUP(M$1,'40Trips'!$A$3:$I$42,2,FALSE))&lt;'40Trips'!$K$16,$A41&lt;&gt;M$1,gamma!M41=1),SUM(VLOOKUP($A41,'40Trips'!$A$3:$I$42,2,FALSE), VLOOKUP(M$1,'40Trips'!$A$3:$I$42,2,FALSE)),0)</f>
        <v>0</v>
      </c>
      <c r="N41">
        <f>IF(AND(SUM(VLOOKUP($A41,'40Trips'!$A$3:$I$42,2,FALSE),VLOOKUP(N$1,'40Trips'!$A$3:$I$42,2,FALSE))&lt;'40Trips'!$K$16,$A41&lt;&gt;N$1,gamma!N41=1),SUM(VLOOKUP($A41,'40Trips'!$A$3:$I$42,2,FALSE), VLOOKUP(N$1,'40Trips'!$A$3:$I$42,2,FALSE)),0)</f>
        <v>0</v>
      </c>
      <c r="O41">
        <f>IF(AND(SUM(VLOOKUP($A41,'40Trips'!$A$3:$I$42,2,FALSE),VLOOKUP(O$1,'40Trips'!$A$3:$I$42,2,FALSE))&lt;'40Trips'!$K$16,$A41&lt;&gt;O$1,gamma!O41=1),SUM(VLOOKUP($A41,'40Trips'!$A$3:$I$42,2,FALSE), VLOOKUP(O$1,'40Trips'!$A$3:$I$42,2,FALSE)),0)</f>
        <v>0</v>
      </c>
      <c r="P41">
        <f>IF(AND(SUM(VLOOKUP($A41,'40Trips'!$A$3:$I$42,2,FALSE),VLOOKUP(P$1,'40Trips'!$A$3:$I$42,2,FALSE))&lt;'40Trips'!$K$16,$A41&lt;&gt;P$1,gamma!P41=1),SUM(VLOOKUP($A41,'40Trips'!$A$3:$I$42,2,FALSE), VLOOKUP(P$1,'40Trips'!$A$3:$I$42,2,FALSE)),0)</f>
        <v>0</v>
      </c>
      <c r="Q41">
        <f>IF(AND(SUM(VLOOKUP($A41,'40Trips'!$A$3:$I$42,2,FALSE),VLOOKUP(Q$1,'40Trips'!$A$3:$I$42,2,FALSE))&lt;'40Trips'!$K$16,$A41&lt;&gt;Q$1,gamma!Q41=1),SUM(VLOOKUP($A41,'40Trips'!$A$3:$I$42,2,FALSE), VLOOKUP(Q$1,'40Trips'!$A$3:$I$42,2,FALSE)),0)</f>
        <v>0</v>
      </c>
      <c r="R41">
        <f>IF(AND(SUM(VLOOKUP($A41,'40Trips'!$A$3:$I$42,2,FALSE),VLOOKUP(R$1,'40Trips'!$A$3:$I$42,2,FALSE))&lt;'40Trips'!$K$16,$A41&lt;&gt;R$1,gamma!R41=1),SUM(VLOOKUP($A41,'40Trips'!$A$3:$I$42,2,FALSE), VLOOKUP(R$1,'40Trips'!$A$3:$I$42,2,FALSE)),0)</f>
        <v>0</v>
      </c>
      <c r="S41">
        <f>IF(AND(SUM(VLOOKUP($A41,'40Trips'!$A$3:$I$42,2,FALSE),VLOOKUP(S$1,'40Trips'!$A$3:$I$42,2,FALSE))&lt;'40Trips'!$K$16,$A41&lt;&gt;S$1,gamma!S41=1),SUM(VLOOKUP($A41,'40Trips'!$A$3:$I$42,2,FALSE), VLOOKUP(S$1,'40Trips'!$A$3:$I$42,2,FALSE)),0)</f>
        <v>0</v>
      </c>
      <c r="T41">
        <f>IF(AND(SUM(VLOOKUP($A41,'40Trips'!$A$3:$I$42,2,FALSE),VLOOKUP(T$1,'40Trips'!$A$3:$I$42,2,FALSE))&lt;'40Trips'!$K$16,$A41&lt;&gt;T$1,gamma!T41=1),SUM(VLOOKUP($A41,'40Trips'!$A$3:$I$42,2,FALSE), VLOOKUP(T$1,'40Trips'!$A$3:$I$42,2,FALSE)),0)</f>
        <v>0</v>
      </c>
      <c r="U41">
        <f>IF(AND(SUM(VLOOKUP($A41,'40Trips'!$A$3:$I$42,2,FALSE),VLOOKUP(U$1,'40Trips'!$A$3:$I$42,2,FALSE))&lt;'40Trips'!$K$16,$A41&lt;&gt;U$1,gamma!U41=1),SUM(VLOOKUP($A41,'40Trips'!$A$3:$I$42,2,FALSE), VLOOKUP(U$1,'40Trips'!$A$3:$I$42,2,FALSE)),0)</f>
        <v>0</v>
      </c>
      <c r="V41">
        <f>IF(AND(SUM(VLOOKUP($A41,'40Trips'!$A$3:$I$42,2,FALSE),VLOOKUP(V$1,'40Trips'!$A$3:$I$42,2,FALSE))&lt;'40Trips'!$K$16,$A41&lt;&gt;V$1,gamma!V41=1),SUM(VLOOKUP($A41,'40Trips'!$A$3:$I$42,2,FALSE), VLOOKUP(V$1,'40Trips'!$A$3:$I$42,2,FALSE)),0)</f>
        <v>250</v>
      </c>
      <c r="W41">
        <f>IF(AND(SUM(VLOOKUP($A41,'40Trips'!$A$3:$I$42,2,FALSE),VLOOKUP(W$1,'40Trips'!$A$3:$I$42,2,FALSE))&lt;'40Trips'!$K$16,$A41&lt;&gt;W$1,gamma!W41=1),SUM(VLOOKUP($A41,'40Trips'!$A$3:$I$42,2,FALSE), VLOOKUP(W$1,'40Trips'!$A$3:$I$42,2,FALSE)),0)</f>
        <v>0</v>
      </c>
      <c r="X41">
        <f>IF(AND(SUM(VLOOKUP($A41,'40Trips'!$A$3:$I$42,2,FALSE),VLOOKUP(X$1,'40Trips'!$A$3:$I$42,2,FALSE))&lt;'40Trips'!$K$16,$A41&lt;&gt;X$1,gamma!X41=1),SUM(VLOOKUP($A41,'40Trips'!$A$3:$I$42,2,FALSE), VLOOKUP(X$1,'40Trips'!$A$3:$I$42,2,FALSE)),0)</f>
        <v>0</v>
      </c>
      <c r="Y41">
        <f>IF(AND(SUM(VLOOKUP($A41,'40Trips'!$A$3:$I$42,2,FALSE),VLOOKUP(Y$1,'40Trips'!$A$3:$I$42,2,FALSE))&lt;'40Trips'!$K$16,$A41&lt;&gt;Y$1,gamma!Y41=1),SUM(VLOOKUP($A41,'40Trips'!$A$3:$I$42,2,FALSE), VLOOKUP(Y$1,'40Trips'!$A$3:$I$42,2,FALSE)),0)</f>
        <v>0</v>
      </c>
      <c r="Z41">
        <f>IF(AND(SUM(VLOOKUP($A41,'40Trips'!$A$3:$I$42,2,FALSE),VLOOKUP(Z$1,'40Trips'!$A$3:$I$42,2,FALSE))&lt;'40Trips'!$K$16,$A41&lt;&gt;Z$1,gamma!Z41=1),SUM(VLOOKUP($A41,'40Trips'!$A$3:$I$42,2,FALSE), VLOOKUP(Z$1,'40Trips'!$A$3:$I$42,2,FALSE)),0)</f>
        <v>260</v>
      </c>
      <c r="AA41">
        <f>IF(AND(SUM(VLOOKUP($A41,'40Trips'!$A$3:$I$42,2,FALSE),VLOOKUP(AA$1,'40Trips'!$A$3:$I$42,2,FALSE))&lt;'40Trips'!$K$16,$A41&lt;&gt;AA$1,gamma!AA41=1),SUM(VLOOKUP($A41,'40Trips'!$A$3:$I$42,2,FALSE), VLOOKUP(AA$1,'40Trips'!$A$3:$I$42,2,FALSE)),0)</f>
        <v>0</v>
      </c>
      <c r="AB41">
        <f>IF(AND(SUM(VLOOKUP($A41,'40Trips'!$A$3:$I$42,2,FALSE),VLOOKUP(AB$1,'40Trips'!$A$3:$I$42,2,FALSE))&lt;'40Trips'!$K$16,$A41&lt;&gt;AB$1,gamma!AB41=1),SUM(VLOOKUP($A41,'40Trips'!$A$3:$I$42,2,FALSE), VLOOKUP(AB$1,'40Trips'!$A$3:$I$42,2,FALSE)),0)</f>
        <v>0</v>
      </c>
      <c r="AC41">
        <f>IF(AND(SUM(VLOOKUP($A41,'40Trips'!$A$3:$I$42,2,FALSE),VLOOKUP(AC$1,'40Trips'!$A$3:$I$42,2,FALSE))&lt;'40Trips'!$K$16,$A41&lt;&gt;AC$1,gamma!AC41=1),SUM(VLOOKUP($A41,'40Trips'!$A$3:$I$42,2,FALSE), VLOOKUP(AC$1,'40Trips'!$A$3:$I$42,2,FALSE)),0)</f>
        <v>0</v>
      </c>
      <c r="AD41">
        <f>IF(AND(SUM(VLOOKUP($A41,'40Trips'!$A$3:$I$42,2,FALSE),VLOOKUP(AD$1,'40Trips'!$A$3:$I$42,2,FALSE))&lt;'40Trips'!$K$16,$A41&lt;&gt;AD$1,gamma!AD41=1),SUM(VLOOKUP($A41,'40Trips'!$A$3:$I$42,2,FALSE), VLOOKUP(AD$1,'40Trips'!$A$3:$I$42,2,FALSE)),0)</f>
        <v>250</v>
      </c>
      <c r="AE41">
        <f>IF(AND(SUM(VLOOKUP($A41,'40Trips'!$A$3:$I$42,2,FALSE),VLOOKUP(AE$1,'40Trips'!$A$3:$I$42,2,FALSE))&lt;'40Trips'!$K$16,$A41&lt;&gt;AE$1,gamma!AE41=1),SUM(VLOOKUP($A41,'40Trips'!$A$3:$I$42,2,FALSE), VLOOKUP(AE$1,'40Trips'!$A$3:$I$42,2,FALSE)),0)</f>
        <v>0</v>
      </c>
      <c r="AF41">
        <f>IF(AND(SUM(VLOOKUP($A41,'40Trips'!$A$3:$I$42,2,FALSE),VLOOKUP(AF$1,'40Trips'!$A$3:$I$42,2,FALSE))&lt;'40Trips'!$K$16,$A41&lt;&gt;AF$1,gamma!AF41=1),SUM(VLOOKUP($A41,'40Trips'!$A$3:$I$42,2,FALSE), VLOOKUP(AF$1,'40Trips'!$A$3:$I$42,2,FALSE)),0)</f>
        <v>0</v>
      </c>
      <c r="AG41">
        <f>IF(AND(SUM(VLOOKUP($A41,'40Trips'!$A$3:$I$42,2,FALSE),VLOOKUP(AG$1,'40Trips'!$A$3:$I$42,2,FALSE))&lt;'40Trips'!$K$16,$A41&lt;&gt;AG$1,gamma!AG41=1),SUM(VLOOKUP($A41,'40Trips'!$A$3:$I$42,2,FALSE), VLOOKUP(AG$1,'40Trips'!$A$3:$I$42,2,FALSE)),0)</f>
        <v>0</v>
      </c>
      <c r="AH41">
        <f>IF(AND(SUM(VLOOKUP($A41,'40Trips'!$A$3:$I$42,2,FALSE),VLOOKUP(AH$1,'40Trips'!$A$3:$I$42,2,FALSE))&lt;'40Trips'!$K$16,$A41&lt;&gt;AH$1,gamma!AH41=1),SUM(VLOOKUP($A41,'40Trips'!$A$3:$I$42,2,FALSE), VLOOKUP(AH$1,'40Trips'!$A$3:$I$42,2,FALSE)),0)</f>
        <v>0</v>
      </c>
      <c r="AI41">
        <f>IF(AND(SUM(VLOOKUP($A41,'40Trips'!$A$3:$I$42,2,FALSE),VLOOKUP(AI$1,'40Trips'!$A$3:$I$42,2,FALSE))&lt;'40Trips'!$K$16,$A41&lt;&gt;AI$1,gamma!AI41=1),SUM(VLOOKUP($A41,'40Trips'!$A$3:$I$42,2,FALSE), VLOOKUP(AI$1,'40Trips'!$A$3:$I$42,2,FALSE)),0)</f>
        <v>0</v>
      </c>
      <c r="AJ41">
        <f>IF(AND(SUM(VLOOKUP($A41,'40Trips'!$A$3:$I$42,2,FALSE),VLOOKUP(AJ$1,'40Trips'!$A$3:$I$42,2,FALSE))&lt;'40Trips'!$K$16,$A41&lt;&gt;AJ$1,gamma!AJ41=1),SUM(VLOOKUP($A41,'40Trips'!$A$3:$I$42,2,FALSE), VLOOKUP(AJ$1,'40Trips'!$A$3:$I$42,2,FALSE)),0)</f>
        <v>0</v>
      </c>
      <c r="AK41">
        <f>IF(AND(SUM(VLOOKUP($A41,'40Trips'!$A$3:$I$42,2,FALSE),VLOOKUP(AK$1,'40Trips'!$A$3:$I$42,2,FALSE))&lt;'40Trips'!$K$16,$A41&lt;&gt;AK$1,gamma!AK41=1),SUM(VLOOKUP($A41,'40Trips'!$A$3:$I$42,2,FALSE), VLOOKUP(AK$1,'40Trips'!$A$3:$I$42,2,FALSE)),0)</f>
        <v>0</v>
      </c>
      <c r="AL41">
        <f>IF(AND(SUM(VLOOKUP($A41,'40Trips'!$A$3:$I$42,2,FALSE),VLOOKUP(AL$1,'40Trips'!$A$3:$I$42,2,FALSE))&lt;'40Trips'!$K$16,$A41&lt;&gt;AL$1,gamma!AL41=1),SUM(VLOOKUP($A41,'40Trips'!$A$3:$I$42,2,FALSE), VLOOKUP(AL$1,'40Trips'!$A$3:$I$42,2,FALSE)),0)</f>
        <v>260</v>
      </c>
      <c r="AM41">
        <f>IF(AND(SUM(VLOOKUP($A41,'40Trips'!$A$3:$I$42,2,FALSE),VLOOKUP(AM$1,'40Trips'!$A$3:$I$42,2,FALSE))&lt;'40Trips'!$K$16,$A41&lt;&gt;AM$1,gamma!AM41=1),SUM(VLOOKUP($A41,'40Trips'!$A$3:$I$42,2,FALSE), VLOOKUP(AM$1,'40Trips'!$A$3:$I$42,2,FALSE)),0)</f>
        <v>0</v>
      </c>
      <c r="AN41">
        <f>IF(AND(SUM(VLOOKUP($A41,'40Trips'!$A$3:$I$42,2,FALSE),VLOOKUP(AN$1,'40Trips'!$A$3:$I$42,2,FALSE))&lt;'40Trips'!$K$16,$A41&lt;&gt;AN$1,gamma!AN41=1),SUM(VLOOKUP($A41,'40Trips'!$A$3:$I$42,2,FALSE), VLOOKUP(AN$1,'40Trips'!$A$3:$I$42,2,FALSE)),0)</f>
        <v>0</v>
      </c>
      <c r="AO41">
        <f>IF(AND(SUM(VLOOKUP($A41,'40Trips'!$A$3:$I$42,2,FALSE),VLOOKUP(AO$1,'40Trips'!$A$3:$I$42,2,FALSE))&lt;'40Trips'!$K$16,$A41&lt;&gt;AO$1,gamma!AO41=1),SUM(VLOOKUP($A41,'40Trips'!$A$3:$I$42,2,FALSE), VLOOKUP(AO$1,'40Trips'!$A$3:$I$42,2,FALSE)),0)</f>
        <v>0</v>
      </c>
      <c r="AP41">
        <f>IF(AND(SUM(VLOOKUP($A41,'40Trips'!$A$3:$I$42,2,FALSE),VLOOKUP(AP$1,'40Trips'!$A$3:$I$42,2,FALSE))&lt;'40Trips'!$K$16,$A41&lt;&gt;AP$1,gamma!AP41=1),SUM(VLOOKUP($A41,'40Trips'!$A$3:$I$42,2,FALSE), VLOOKUP(AP$1,'40Trips'!$A$3:$I$42,2,FALSE)),0)</f>
        <v>255</v>
      </c>
      <c r="AQ41">
        <v>0</v>
      </c>
      <c r="AR41">
        <v>0</v>
      </c>
      <c r="AS41">
        <v>0</v>
      </c>
      <c r="AT41">
        <v>0</v>
      </c>
    </row>
    <row r="42" spans="1:46" x14ac:dyDescent="0.25">
      <c r="A42" t="s">
        <v>91</v>
      </c>
      <c r="B42">
        <v>0</v>
      </c>
      <c r="C42">
        <f>IF(AND(SUM(VLOOKUP($A42,'40Trips'!$A$3:$I$42,2,FALSE),VLOOKUP(C$1,'40Trips'!$A$3:$I$42,2,FALSE))&lt;'40Trips'!$K$16,$A42&lt;&gt;C$1,gamma!C42=1),SUM(VLOOKUP($A42,'40Trips'!$A$3:$I$42,2,FALSE), VLOOKUP(C$1,'40Trips'!$A$3:$I$42,2,FALSE)),0)</f>
        <v>0</v>
      </c>
      <c r="D42">
        <f>IF(AND(SUM(VLOOKUP($A42,'40Trips'!$A$3:$I$42,2,FALSE),VLOOKUP(D$1,'40Trips'!$A$3:$I$42,2,FALSE))&lt;'40Trips'!$K$16,$A42&lt;&gt;D$1,gamma!D42=1),SUM(VLOOKUP($A42,'40Trips'!$A$3:$I$42,2,FALSE), VLOOKUP(D$1,'40Trips'!$A$3:$I$42,2,FALSE)),0)</f>
        <v>0</v>
      </c>
      <c r="E42">
        <f>IF(AND(SUM(VLOOKUP($A42,'40Trips'!$A$3:$I$42,2,FALSE),VLOOKUP(E$1,'40Trips'!$A$3:$I$42,2,FALSE))&lt;'40Trips'!$K$16,$A42&lt;&gt;E$1,gamma!E42=1),SUM(VLOOKUP($A42,'40Trips'!$A$3:$I$42,2,FALSE), VLOOKUP(E$1,'40Trips'!$A$3:$I$42,2,FALSE)),0)</f>
        <v>0</v>
      </c>
      <c r="F42">
        <f>IF(AND(SUM(VLOOKUP($A42,'40Trips'!$A$3:$I$42,2,FALSE),VLOOKUP(F$1,'40Trips'!$A$3:$I$42,2,FALSE))&lt;'40Trips'!$K$16,$A42&lt;&gt;F$1,gamma!F42=1),SUM(VLOOKUP($A42,'40Trips'!$A$3:$I$42,2,FALSE), VLOOKUP(F$1,'40Trips'!$A$3:$I$42,2,FALSE)),0)</f>
        <v>0</v>
      </c>
      <c r="G42">
        <f>IF(AND(SUM(VLOOKUP($A42,'40Trips'!$A$3:$I$42,2,FALSE),VLOOKUP(G$1,'40Trips'!$A$3:$I$42,2,FALSE))&lt;'40Trips'!$K$16,$A42&lt;&gt;G$1,gamma!G42=1),SUM(VLOOKUP($A42,'40Trips'!$A$3:$I$42,2,FALSE), VLOOKUP(G$1,'40Trips'!$A$3:$I$42,2,FALSE)),0)</f>
        <v>0</v>
      </c>
      <c r="H42">
        <f>IF(AND(SUM(VLOOKUP($A42,'40Trips'!$A$3:$I$42,2,FALSE),VLOOKUP(H$1,'40Trips'!$A$3:$I$42,2,FALSE))&lt;'40Trips'!$K$16,$A42&lt;&gt;H$1,gamma!H42=1),SUM(VLOOKUP($A42,'40Trips'!$A$3:$I$42,2,FALSE), VLOOKUP(H$1,'40Trips'!$A$3:$I$42,2,FALSE)),0)</f>
        <v>0</v>
      </c>
      <c r="I42">
        <f>IF(AND(SUM(VLOOKUP($A42,'40Trips'!$A$3:$I$42,2,FALSE),VLOOKUP(I$1,'40Trips'!$A$3:$I$42,2,FALSE))&lt;'40Trips'!$K$16,$A42&lt;&gt;I$1,gamma!I42=1),SUM(VLOOKUP($A42,'40Trips'!$A$3:$I$42,2,FALSE), VLOOKUP(I$1,'40Trips'!$A$3:$I$42,2,FALSE)),0)</f>
        <v>0</v>
      </c>
      <c r="J42">
        <f>IF(AND(SUM(VLOOKUP($A42,'40Trips'!$A$3:$I$42,2,FALSE),VLOOKUP(J$1,'40Trips'!$A$3:$I$42,2,FALSE))&lt;'40Trips'!$K$16,$A42&lt;&gt;J$1,gamma!J42=1),SUM(VLOOKUP($A42,'40Trips'!$A$3:$I$42,2,FALSE), VLOOKUP(J$1,'40Trips'!$A$3:$I$42,2,FALSE)),0)</f>
        <v>275</v>
      </c>
      <c r="K42">
        <f>IF(AND(SUM(VLOOKUP($A42,'40Trips'!$A$3:$I$42,2,FALSE),VLOOKUP(K$1,'40Trips'!$A$3:$I$42,2,FALSE))&lt;'40Trips'!$K$16,$A42&lt;&gt;K$1,gamma!K42=1),SUM(VLOOKUP($A42,'40Trips'!$A$3:$I$42,2,FALSE), VLOOKUP(K$1,'40Trips'!$A$3:$I$42,2,FALSE)),0)</f>
        <v>0</v>
      </c>
      <c r="L42">
        <f>IF(AND(SUM(VLOOKUP($A42,'40Trips'!$A$3:$I$42,2,FALSE),VLOOKUP(L$1,'40Trips'!$A$3:$I$42,2,FALSE))&lt;'40Trips'!$K$16,$A42&lt;&gt;L$1,gamma!L42=1),SUM(VLOOKUP($A42,'40Trips'!$A$3:$I$42,2,FALSE), VLOOKUP(L$1,'40Trips'!$A$3:$I$42,2,FALSE)),0)</f>
        <v>0</v>
      </c>
      <c r="M42">
        <f>IF(AND(SUM(VLOOKUP($A42,'40Trips'!$A$3:$I$42,2,FALSE),VLOOKUP(M$1,'40Trips'!$A$3:$I$42,2,FALSE))&lt;'40Trips'!$K$16,$A42&lt;&gt;M$1,gamma!M42=1),SUM(VLOOKUP($A42,'40Trips'!$A$3:$I$42,2,FALSE), VLOOKUP(M$1,'40Trips'!$A$3:$I$42,2,FALSE)),0)</f>
        <v>0</v>
      </c>
      <c r="N42">
        <f>IF(AND(SUM(VLOOKUP($A42,'40Trips'!$A$3:$I$42,2,FALSE),VLOOKUP(N$1,'40Trips'!$A$3:$I$42,2,FALSE))&lt;'40Trips'!$K$16,$A42&lt;&gt;N$1,gamma!N42=1),SUM(VLOOKUP($A42,'40Trips'!$A$3:$I$42,2,FALSE), VLOOKUP(N$1,'40Trips'!$A$3:$I$42,2,FALSE)),0)</f>
        <v>0</v>
      </c>
      <c r="O42">
        <f>IF(AND(SUM(VLOOKUP($A42,'40Trips'!$A$3:$I$42,2,FALSE),VLOOKUP(O$1,'40Trips'!$A$3:$I$42,2,FALSE))&lt;'40Trips'!$K$16,$A42&lt;&gt;O$1,gamma!O42=1),SUM(VLOOKUP($A42,'40Trips'!$A$3:$I$42,2,FALSE), VLOOKUP(O$1,'40Trips'!$A$3:$I$42,2,FALSE)),0)</f>
        <v>0</v>
      </c>
      <c r="P42">
        <f>IF(AND(SUM(VLOOKUP($A42,'40Trips'!$A$3:$I$42,2,FALSE),VLOOKUP(P$1,'40Trips'!$A$3:$I$42,2,FALSE))&lt;'40Trips'!$K$16,$A42&lt;&gt;P$1,gamma!P42=1),SUM(VLOOKUP($A42,'40Trips'!$A$3:$I$42,2,FALSE), VLOOKUP(P$1,'40Trips'!$A$3:$I$42,2,FALSE)),0)</f>
        <v>0</v>
      </c>
      <c r="Q42">
        <f>IF(AND(SUM(VLOOKUP($A42,'40Trips'!$A$3:$I$42,2,FALSE),VLOOKUP(Q$1,'40Trips'!$A$3:$I$42,2,FALSE))&lt;'40Trips'!$K$16,$A42&lt;&gt;Q$1,gamma!Q42=1),SUM(VLOOKUP($A42,'40Trips'!$A$3:$I$42,2,FALSE), VLOOKUP(Q$1,'40Trips'!$A$3:$I$42,2,FALSE)),0)</f>
        <v>0</v>
      </c>
      <c r="R42">
        <f>IF(AND(SUM(VLOOKUP($A42,'40Trips'!$A$3:$I$42,2,FALSE),VLOOKUP(R$1,'40Trips'!$A$3:$I$42,2,FALSE))&lt;'40Trips'!$K$16,$A42&lt;&gt;R$1,gamma!R42=1),SUM(VLOOKUP($A42,'40Trips'!$A$3:$I$42,2,FALSE), VLOOKUP(R$1,'40Trips'!$A$3:$I$42,2,FALSE)),0)</f>
        <v>0</v>
      </c>
      <c r="S42">
        <f>IF(AND(SUM(VLOOKUP($A42,'40Trips'!$A$3:$I$42,2,FALSE),VLOOKUP(S$1,'40Trips'!$A$3:$I$42,2,FALSE))&lt;'40Trips'!$K$16,$A42&lt;&gt;S$1,gamma!S42=1),SUM(VLOOKUP($A42,'40Trips'!$A$3:$I$42,2,FALSE), VLOOKUP(S$1,'40Trips'!$A$3:$I$42,2,FALSE)),0)</f>
        <v>0</v>
      </c>
      <c r="T42">
        <f>IF(AND(SUM(VLOOKUP($A42,'40Trips'!$A$3:$I$42,2,FALSE),VLOOKUP(T$1,'40Trips'!$A$3:$I$42,2,FALSE))&lt;'40Trips'!$K$16,$A42&lt;&gt;T$1,gamma!T42=1),SUM(VLOOKUP($A42,'40Trips'!$A$3:$I$42,2,FALSE), VLOOKUP(T$1,'40Trips'!$A$3:$I$42,2,FALSE)),0)</f>
        <v>0</v>
      </c>
      <c r="U42">
        <f>IF(AND(SUM(VLOOKUP($A42,'40Trips'!$A$3:$I$42,2,FALSE),VLOOKUP(U$1,'40Trips'!$A$3:$I$42,2,FALSE))&lt;'40Trips'!$K$16,$A42&lt;&gt;U$1,gamma!U42=1),SUM(VLOOKUP($A42,'40Trips'!$A$3:$I$42,2,FALSE), VLOOKUP(U$1,'40Trips'!$A$3:$I$42,2,FALSE)),0)</f>
        <v>0</v>
      </c>
      <c r="V42">
        <f>IF(AND(SUM(VLOOKUP($A42,'40Trips'!$A$3:$I$42,2,FALSE),VLOOKUP(V$1,'40Trips'!$A$3:$I$42,2,FALSE))&lt;'40Trips'!$K$16,$A42&lt;&gt;V$1,gamma!V42=1),SUM(VLOOKUP($A42,'40Trips'!$A$3:$I$42,2,FALSE), VLOOKUP(V$1,'40Trips'!$A$3:$I$42,2,FALSE)),0)</f>
        <v>0</v>
      </c>
      <c r="W42">
        <f>IF(AND(SUM(VLOOKUP($A42,'40Trips'!$A$3:$I$42,2,FALSE),VLOOKUP(W$1,'40Trips'!$A$3:$I$42,2,FALSE))&lt;'40Trips'!$K$16,$A42&lt;&gt;W$1,gamma!W42=1),SUM(VLOOKUP($A42,'40Trips'!$A$3:$I$42,2,FALSE), VLOOKUP(W$1,'40Trips'!$A$3:$I$42,2,FALSE)),0)</f>
        <v>0</v>
      </c>
      <c r="X42">
        <f>IF(AND(SUM(VLOOKUP($A42,'40Trips'!$A$3:$I$42,2,FALSE),VLOOKUP(X$1,'40Trips'!$A$3:$I$42,2,FALSE))&lt;'40Trips'!$K$16,$A42&lt;&gt;X$1,gamma!X42=1),SUM(VLOOKUP($A42,'40Trips'!$A$3:$I$42,2,FALSE), VLOOKUP(X$1,'40Trips'!$A$3:$I$42,2,FALSE)),0)</f>
        <v>0</v>
      </c>
      <c r="Y42">
        <f>IF(AND(SUM(VLOOKUP($A42,'40Trips'!$A$3:$I$42,2,FALSE),VLOOKUP(Y$1,'40Trips'!$A$3:$I$42,2,FALSE))&lt;'40Trips'!$K$16,$A42&lt;&gt;Y$1,gamma!Y42=1),SUM(VLOOKUP($A42,'40Trips'!$A$3:$I$42,2,FALSE), VLOOKUP(Y$1,'40Trips'!$A$3:$I$42,2,FALSE)),0)</f>
        <v>0</v>
      </c>
      <c r="Z42">
        <f>IF(AND(SUM(VLOOKUP($A42,'40Trips'!$A$3:$I$42,2,FALSE),VLOOKUP(Z$1,'40Trips'!$A$3:$I$42,2,FALSE))&lt;'40Trips'!$K$16,$A42&lt;&gt;Z$1,gamma!Z42=1),SUM(VLOOKUP($A42,'40Trips'!$A$3:$I$42,2,FALSE), VLOOKUP(Z$1,'40Trips'!$A$3:$I$42,2,FALSE)),0)</f>
        <v>0</v>
      </c>
      <c r="AA42">
        <f>IF(AND(SUM(VLOOKUP($A42,'40Trips'!$A$3:$I$42,2,FALSE),VLOOKUP(AA$1,'40Trips'!$A$3:$I$42,2,FALSE))&lt;'40Trips'!$K$16,$A42&lt;&gt;AA$1,gamma!AA42=1),SUM(VLOOKUP($A42,'40Trips'!$A$3:$I$42,2,FALSE), VLOOKUP(AA$1,'40Trips'!$A$3:$I$42,2,FALSE)),0)</f>
        <v>0</v>
      </c>
      <c r="AB42">
        <f>IF(AND(SUM(VLOOKUP($A42,'40Trips'!$A$3:$I$42,2,FALSE),VLOOKUP(AB$1,'40Trips'!$A$3:$I$42,2,FALSE))&lt;'40Trips'!$K$16,$A42&lt;&gt;AB$1,gamma!AB42=1),SUM(VLOOKUP($A42,'40Trips'!$A$3:$I$42,2,FALSE), VLOOKUP(AB$1,'40Trips'!$A$3:$I$42,2,FALSE)),0)</f>
        <v>0</v>
      </c>
      <c r="AC42">
        <f>IF(AND(SUM(VLOOKUP($A42,'40Trips'!$A$3:$I$42,2,FALSE),VLOOKUP(AC$1,'40Trips'!$A$3:$I$42,2,FALSE))&lt;'40Trips'!$K$16,$A42&lt;&gt;AC$1,gamma!AC42=1),SUM(VLOOKUP($A42,'40Trips'!$A$3:$I$42,2,FALSE), VLOOKUP(AC$1,'40Trips'!$A$3:$I$42,2,FALSE)),0)</f>
        <v>0</v>
      </c>
      <c r="AD42">
        <f>IF(AND(SUM(VLOOKUP($A42,'40Trips'!$A$3:$I$42,2,FALSE),VLOOKUP(AD$1,'40Trips'!$A$3:$I$42,2,FALSE))&lt;'40Trips'!$K$16,$A42&lt;&gt;AD$1,gamma!AD42=1),SUM(VLOOKUP($A42,'40Trips'!$A$3:$I$42,2,FALSE), VLOOKUP(AD$1,'40Trips'!$A$3:$I$42,2,FALSE)),0)</f>
        <v>0</v>
      </c>
      <c r="AE42">
        <f>IF(AND(SUM(VLOOKUP($A42,'40Trips'!$A$3:$I$42,2,FALSE),VLOOKUP(AE$1,'40Trips'!$A$3:$I$42,2,FALSE))&lt;'40Trips'!$K$16,$A42&lt;&gt;AE$1,gamma!AE42=1),SUM(VLOOKUP($A42,'40Trips'!$A$3:$I$42,2,FALSE), VLOOKUP(AE$1,'40Trips'!$A$3:$I$42,2,FALSE)),0)</f>
        <v>0</v>
      </c>
      <c r="AF42">
        <f>IF(AND(SUM(VLOOKUP($A42,'40Trips'!$A$3:$I$42,2,FALSE),VLOOKUP(AF$1,'40Trips'!$A$3:$I$42,2,FALSE))&lt;'40Trips'!$K$16,$A42&lt;&gt;AF$1,gamma!AF42=1),SUM(VLOOKUP($A42,'40Trips'!$A$3:$I$42,2,FALSE), VLOOKUP(AF$1,'40Trips'!$A$3:$I$42,2,FALSE)),0)</f>
        <v>0</v>
      </c>
      <c r="AG42">
        <f>IF(AND(SUM(VLOOKUP($A42,'40Trips'!$A$3:$I$42,2,FALSE),VLOOKUP(AG$1,'40Trips'!$A$3:$I$42,2,FALSE))&lt;'40Trips'!$K$16,$A42&lt;&gt;AG$1,gamma!AG42=1),SUM(VLOOKUP($A42,'40Trips'!$A$3:$I$42,2,FALSE), VLOOKUP(AG$1,'40Trips'!$A$3:$I$42,2,FALSE)),0)</f>
        <v>0</v>
      </c>
      <c r="AH42">
        <f>IF(AND(SUM(VLOOKUP($A42,'40Trips'!$A$3:$I$42,2,FALSE),VLOOKUP(AH$1,'40Trips'!$A$3:$I$42,2,FALSE))&lt;'40Trips'!$K$16,$A42&lt;&gt;AH$1,gamma!AH42=1),SUM(VLOOKUP($A42,'40Trips'!$A$3:$I$42,2,FALSE), VLOOKUP(AH$1,'40Trips'!$A$3:$I$42,2,FALSE)),0)</f>
        <v>0</v>
      </c>
      <c r="AI42">
        <f>IF(AND(SUM(VLOOKUP($A42,'40Trips'!$A$3:$I$42,2,FALSE),VLOOKUP(AI$1,'40Trips'!$A$3:$I$42,2,FALSE))&lt;'40Trips'!$K$16,$A42&lt;&gt;AI$1,gamma!AI42=1),SUM(VLOOKUP($A42,'40Trips'!$A$3:$I$42,2,FALSE), VLOOKUP(AI$1,'40Trips'!$A$3:$I$42,2,FALSE)),0)</f>
        <v>0</v>
      </c>
      <c r="AJ42">
        <f>IF(AND(SUM(VLOOKUP($A42,'40Trips'!$A$3:$I$42,2,FALSE),VLOOKUP(AJ$1,'40Trips'!$A$3:$I$42,2,FALSE))&lt;'40Trips'!$K$16,$A42&lt;&gt;AJ$1,gamma!AJ42=1),SUM(VLOOKUP($A42,'40Trips'!$A$3:$I$42,2,FALSE), VLOOKUP(AJ$1,'40Trips'!$A$3:$I$42,2,FALSE)),0)</f>
        <v>0</v>
      </c>
      <c r="AK42">
        <f>IF(AND(SUM(VLOOKUP($A42,'40Trips'!$A$3:$I$42,2,FALSE),VLOOKUP(AK$1,'40Trips'!$A$3:$I$42,2,FALSE))&lt;'40Trips'!$K$16,$A42&lt;&gt;AK$1,gamma!AK42=1),SUM(VLOOKUP($A42,'40Trips'!$A$3:$I$42,2,FALSE), VLOOKUP(AK$1,'40Trips'!$A$3:$I$42,2,FALSE)),0)</f>
        <v>0</v>
      </c>
      <c r="AL42">
        <f>IF(AND(SUM(VLOOKUP($A42,'40Trips'!$A$3:$I$42,2,FALSE),VLOOKUP(AL$1,'40Trips'!$A$3:$I$42,2,FALSE))&lt;'40Trips'!$K$16,$A42&lt;&gt;AL$1,gamma!AL42=1),SUM(VLOOKUP($A42,'40Trips'!$A$3:$I$42,2,FALSE), VLOOKUP(AL$1,'40Trips'!$A$3:$I$42,2,FALSE)),0)</f>
        <v>0</v>
      </c>
      <c r="AM42">
        <f>IF(AND(SUM(VLOOKUP($A42,'40Trips'!$A$3:$I$42,2,FALSE),VLOOKUP(AM$1,'40Trips'!$A$3:$I$42,2,FALSE))&lt;'40Trips'!$K$16,$A42&lt;&gt;AM$1,gamma!AM42=1),SUM(VLOOKUP($A42,'40Trips'!$A$3:$I$42,2,FALSE), VLOOKUP(AM$1,'40Trips'!$A$3:$I$42,2,FALSE)),0)</f>
        <v>0</v>
      </c>
      <c r="AN42">
        <f>IF(AND(SUM(VLOOKUP($A42,'40Trips'!$A$3:$I$42,2,FALSE),VLOOKUP(AN$1,'40Trips'!$A$3:$I$42,2,FALSE))&lt;'40Trips'!$K$16,$A42&lt;&gt;AN$1,gamma!AN42=1),SUM(VLOOKUP($A42,'40Trips'!$A$3:$I$42,2,FALSE), VLOOKUP(AN$1,'40Trips'!$A$3:$I$42,2,FALSE)),0)</f>
        <v>0</v>
      </c>
      <c r="AO42">
        <f>IF(AND(SUM(VLOOKUP($A42,'40Trips'!$A$3:$I$42,2,FALSE),VLOOKUP(AO$1,'40Trips'!$A$3:$I$42,2,FALSE))&lt;'40Trips'!$K$16,$A42&lt;&gt;AO$1,gamma!AO42=1),SUM(VLOOKUP($A42,'40Trips'!$A$3:$I$42,2,FALSE), VLOOKUP(AO$1,'40Trips'!$A$3:$I$42,2,FALSE)),0)</f>
        <v>0</v>
      </c>
      <c r="AP42">
        <f>IF(AND(SUM(VLOOKUP($A42,'40Trips'!$A$3:$I$42,2,FALSE),VLOOKUP(AP$1,'40Trips'!$A$3:$I$42,2,FALSE))&lt;'40Trips'!$K$16,$A42&lt;&gt;AP$1,gamma!AP42=1),SUM(VLOOKUP($A42,'40Trips'!$A$3:$I$42,2,FALSE), VLOOKUP(AP$1,'40Trips'!$A$3:$I$42,2,FALSE)),0)</f>
        <v>0</v>
      </c>
      <c r="AQ42">
        <v>0</v>
      </c>
      <c r="AR42">
        <v>0</v>
      </c>
      <c r="AS42">
        <v>0</v>
      </c>
      <c r="AT42">
        <v>0</v>
      </c>
    </row>
    <row r="43" spans="1:46" x14ac:dyDescent="0.25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46" x14ac:dyDescent="0.25">
      <c r="A44" t="s">
        <v>67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46" x14ac:dyDescent="0.25">
      <c r="A45" t="s">
        <v>68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 x14ac:dyDescent="0.25">
      <c r="A46" t="s">
        <v>69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79F1-5CA1-43F4-B4D1-EE9A126D26E6}">
  <dimension ref="A1:AQ206"/>
  <sheetViews>
    <sheetView workbookViewId="0">
      <pane ySplit="1" topLeftCell="A2" activePane="bottomLeft" state="frozen"/>
      <selection pane="bottomLeft" activeCell="J191" sqref="J191"/>
    </sheetView>
  </sheetViews>
  <sheetFormatPr defaultRowHeight="15" x14ac:dyDescent="0.25"/>
  <sheetData>
    <row r="1" spans="1:43" x14ac:dyDescent="0.25">
      <c r="A1" t="s">
        <v>54</v>
      </c>
      <c r="C1" t="s">
        <v>46</v>
      </c>
      <c r="D1" t="s">
        <v>6</v>
      </c>
      <c r="E1" t="s">
        <v>9</v>
      </c>
      <c r="F1" t="s">
        <v>10</v>
      </c>
      <c r="G1" t="s">
        <v>11</v>
      </c>
      <c r="H1" t="s">
        <v>18</v>
      </c>
      <c r="I1" t="s">
        <v>20</v>
      </c>
      <c r="J1" t="s">
        <v>21</v>
      </c>
      <c r="K1" t="s">
        <v>22</v>
      </c>
      <c r="L1" t="s">
        <v>24</v>
      </c>
      <c r="M1" t="s">
        <v>73</v>
      </c>
      <c r="N1" t="s">
        <v>74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75</v>
      </c>
      <c r="U1" t="s">
        <v>76</v>
      </c>
      <c r="V1" t="s">
        <v>77</v>
      </c>
      <c r="W1" t="s">
        <v>78</v>
      </c>
      <c r="X1" t="s">
        <v>34</v>
      </c>
      <c r="Y1" t="s">
        <v>35</v>
      </c>
      <c r="Z1" t="s">
        <v>36</v>
      </c>
      <c r="AA1" t="s">
        <v>37</v>
      </c>
      <c r="AB1" t="s">
        <v>79</v>
      </c>
      <c r="AC1" t="s">
        <v>80</v>
      </c>
      <c r="AD1" t="s">
        <v>81</v>
      </c>
      <c r="AE1" t="s">
        <v>82</v>
      </c>
      <c r="AF1" t="s">
        <v>39</v>
      </c>
      <c r="AG1" t="s">
        <v>83</v>
      </c>
      <c r="AH1" t="s">
        <v>84</v>
      </c>
      <c r="AI1" t="s">
        <v>85</v>
      </c>
      <c r="AJ1" t="s">
        <v>40</v>
      </c>
      <c r="AK1" t="s">
        <v>86</v>
      </c>
      <c r="AL1" t="s">
        <v>87</v>
      </c>
      <c r="AM1" t="s">
        <v>88</v>
      </c>
      <c r="AN1" t="s">
        <v>41</v>
      </c>
      <c r="AO1" t="s">
        <v>89</v>
      </c>
      <c r="AP1" t="s">
        <v>90</v>
      </c>
      <c r="AQ1" t="s">
        <v>91</v>
      </c>
    </row>
    <row r="2" spans="1:43" x14ac:dyDescent="0.25">
      <c r="A2" t="s">
        <v>48</v>
      </c>
      <c r="B2" t="s">
        <v>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25">
      <c r="A3" t="s">
        <v>48</v>
      </c>
      <c r="B3" t="s">
        <v>6</v>
      </c>
      <c r="C3">
        <v>0</v>
      </c>
      <c r="D3">
        <f>IF(AND(VLOOKUP(D$1,'40Trips'!$A$3:$I$42,8,FALSE) - VLOOKUP($B3,'40Trips'!$A$3:$I$42,9,FALSE) &gt;= ('40Trips'!$B$43+VLOOKUP(VLOOKUP($B3,'40Trips'!$A$3:$I$42,4,FALSE),'40Trips'!$J$11:$P$14,3,FALSE))),1,0)</f>
        <v>0</v>
      </c>
      <c r="E3">
        <f>IF(AND(VLOOKUP(E$1,'40Trips'!$A$3:$I$42,8,FALSE) - VLOOKUP($B3,'40Trips'!$A$3:$I$42,9,FALSE) &gt;= ('40Trips'!$B$43+VLOOKUP(VLOOKUP($B3,'40Trips'!$A$3:$I$42,4,FALSE),'40Trips'!$J$11:$P$14,3,FALSE))),1,0)</f>
        <v>0</v>
      </c>
      <c r="F3">
        <f>IF(AND(VLOOKUP(F$1,'40Trips'!$A$3:$I$42,8,FALSE) - VLOOKUP($B3,'40Trips'!$A$3:$I$42,9,FALSE) &gt;= ('40Trips'!$B$43+VLOOKUP(VLOOKUP($B3,'40Trips'!$A$3:$I$42,4,FALSE),'40Trips'!$J$11:$P$14,3,FALSE))),1,0)</f>
        <v>1</v>
      </c>
      <c r="G3">
        <f>IF(AND(VLOOKUP(G$1,'40Trips'!$A$3:$I$42,8,FALSE) - VLOOKUP($B3,'40Trips'!$A$3:$I$42,9,FALSE) &gt;= ('40Trips'!$B$43+VLOOKUP(VLOOKUP($B3,'40Trips'!$A$3:$I$42,4,FALSE),'40Trips'!$J$11:$P$14,3,FALSE))),1,0)</f>
        <v>1</v>
      </c>
      <c r="H3">
        <f>IF(AND(VLOOKUP(H$1,'40Trips'!$A$3:$I$42,8,FALSE) - VLOOKUP($B3,'40Trips'!$A$3:$I$42,9,FALSE) &gt;= ('40Trips'!$B$43+VLOOKUP(VLOOKUP($B3,'40Trips'!$A$3:$I$42,4,FALSE),'40Trips'!$J$11:$P$14,3,FALSE))),1,0)</f>
        <v>0</v>
      </c>
      <c r="I3">
        <f>IF(AND(VLOOKUP(I$1,'40Trips'!$A$3:$I$42,8,FALSE) - VLOOKUP($B3,'40Trips'!$A$3:$I$42,9,FALSE) &gt;= ('40Trips'!$B$43+VLOOKUP(VLOOKUP($B3,'40Trips'!$A$3:$I$42,4,FALSE),'40Trips'!$J$11:$P$14,3,FALSE))),1,0)</f>
        <v>0</v>
      </c>
      <c r="J3">
        <f>IF(AND(VLOOKUP(J$1,'40Trips'!$A$3:$I$42,8,FALSE) - VLOOKUP($B3,'40Trips'!$A$3:$I$42,9,FALSE) &gt;= ('40Trips'!$B$43+VLOOKUP(VLOOKUP($B3,'40Trips'!$A$3:$I$42,4,FALSE),'40Trips'!$J$11:$P$14,3,FALSE))),1,0)</f>
        <v>1</v>
      </c>
      <c r="K3">
        <f>IF(AND(VLOOKUP(K$1,'40Trips'!$A$3:$I$42,8,FALSE) - VLOOKUP($B3,'40Trips'!$A$3:$I$42,9,FALSE) &gt;= ('40Trips'!$B$43+VLOOKUP(VLOOKUP($B3,'40Trips'!$A$3:$I$42,4,FALSE),'40Trips'!$J$11:$P$14,3,FALSE))),1,0)</f>
        <v>1</v>
      </c>
      <c r="L3">
        <f>IF(AND(VLOOKUP(L$1,'40Trips'!$A$3:$I$42,8,FALSE) - VLOOKUP($B3,'40Trips'!$A$3:$I$42,9,FALSE) &gt;= ('40Trips'!$B$43+VLOOKUP(VLOOKUP($B3,'40Trips'!$A$3:$I$42,4,FALSE),'40Trips'!$J$11:$P$14,3,FALSE))),1,0)</f>
        <v>0</v>
      </c>
      <c r="M3">
        <f>IF(AND(VLOOKUP(M$1,'40Trips'!$A$3:$I$42,8,FALSE) - VLOOKUP($B3,'40Trips'!$A$3:$I$42,9,FALSE) &gt;= ('40Trips'!$B$43+VLOOKUP(VLOOKUP($B3,'40Trips'!$A$3:$I$42,4,FALSE),'40Trips'!$J$11:$P$14,3,FALSE))),1,0)</f>
        <v>0</v>
      </c>
      <c r="N3">
        <f>IF(AND(VLOOKUP(N$1,'40Trips'!$A$3:$I$42,8,FALSE) - VLOOKUP($B3,'40Trips'!$A$3:$I$42,9,FALSE) &gt;= ('40Trips'!$B$43+VLOOKUP(VLOOKUP($B3,'40Trips'!$A$3:$I$42,4,FALSE),'40Trips'!$J$11:$P$14,3,FALSE))),1,0)</f>
        <v>1</v>
      </c>
      <c r="O3">
        <f>IF(AND(VLOOKUP(O$1,'40Trips'!$A$3:$I$42,8,FALSE) - VLOOKUP($B3,'40Trips'!$A$3:$I$42,9,FALSE) &gt;= ('40Trips'!$B$43+VLOOKUP(VLOOKUP($B3,'40Trips'!$A$3:$I$42,4,FALSE),'40Trips'!$J$11:$P$14,3,FALSE))),1,0)</f>
        <v>0</v>
      </c>
      <c r="P3">
        <f>IF(AND(VLOOKUP(P$1,'40Trips'!$A$3:$I$42,8,FALSE) - VLOOKUP($B3,'40Trips'!$A$3:$I$42,9,FALSE) &gt;= ('40Trips'!$B$43+VLOOKUP(VLOOKUP($B3,'40Trips'!$A$3:$I$42,4,FALSE),'40Trips'!$J$11:$P$14,3,FALSE))),1,0)</f>
        <v>0</v>
      </c>
      <c r="Q3">
        <f>IF(AND(VLOOKUP(Q$1,'40Trips'!$A$3:$I$42,8,FALSE) - VLOOKUP($B3,'40Trips'!$A$3:$I$42,9,FALSE) &gt;= ('40Trips'!$B$43+VLOOKUP(VLOOKUP($B3,'40Trips'!$A$3:$I$42,4,FALSE),'40Trips'!$J$11:$P$14,3,FALSE))),1,0)</f>
        <v>0</v>
      </c>
      <c r="R3">
        <f>IF(AND(VLOOKUP(R$1,'40Trips'!$A$3:$I$42,8,FALSE) - VLOOKUP($B3,'40Trips'!$A$3:$I$42,9,FALSE) &gt;= ('40Trips'!$B$43+VLOOKUP(VLOOKUP($B3,'40Trips'!$A$3:$I$42,4,FALSE),'40Trips'!$J$11:$P$14,3,FALSE))),1,0)</f>
        <v>1</v>
      </c>
      <c r="S3">
        <f>IF(AND(VLOOKUP(S$1,'40Trips'!$A$3:$I$42,8,FALSE) - VLOOKUP($B3,'40Trips'!$A$3:$I$42,9,FALSE) &gt;= ('40Trips'!$B$43+VLOOKUP(VLOOKUP($B3,'40Trips'!$A$3:$I$42,4,FALSE),'40Trips'!$J$11:$P$14,3,FALSE))),1,0)</f>
        <v>1</v>
      </c>
      <c r="T3">
        <f>IF(AND(VLOOKUP(T$1,'40Trips'!$A$3:$I$42,8,FALSE) - VLOOKUP($B3,'40Trips'!$A$3:$I$42,9,FALSE) &gt;= ('40Trips'!$B$43+VLOOKUP(VLOOKUP($B3,'40Trips'!$A$3:$I$42,4,FALSE),'40Trips'!$J$11:$P$14,3,FALSE))),1,0)</f>
        <v>0</v>
      </c>
      <c r="U3">
        <f>IF(AND(VLOOKUP(U$1,'40Trips'!$A$3:$I$42,8,FALSE) - VLOOKUP($B3,'40Trips'!$A$3:$I$42,9,FALSE) &gt;= ('40Trips'!$B$43+VLOOKUP(VLOOKUP($B3,'40Trips'!$A$3:$I$42,4,FALSE),'40Trips'!$J$11:$P$14,3,FALSE))),1,0)</f>
        <v>0</v>
      </c>
      <c r="V3">
        <f>IF(AND(VLOOKUP(V$1,'40Trips'!$A$3:$I$42,8,FALSE) - VLOOKUP($B3,'40Trips'!$A$3:$I$42,9,FALSE) &gt;= ('40Trips'!$B$43+VLOOKUP(VLOOKUP($B3,'40Trips'!$A$3:$I$42,4,FALSE),'40Trips'!$J$11:$P$14,3,FALSE))),1,0)</f>
        <v>1</v>
      </c>
      <c r="W3">
        <f>IF(AND(VLOOKUP(W$1,'40Trips'!$A$3:$I$42,8,FALSE) - VLOOKUP($B3,'40Trips'!$A$3:$I$42,9,FALSE) &gt;= ('40Trips'!$B$43+VLOOKUP(VLOOKUP($B3,'40Trips'!$A$3:$I$42,4,FALSE),'40Trips'!$J$11:$P$14,3,FALSE))),1,0)</f>
        <v>1</v>
      </c>
      <c r="X3">
        <f>IF(AND(VLOOKUP(X$1,'40Trips'!$A$3:$I$42,8,FALSE) - VLOOKUP($B3,'40Trips'!$A$3:$I$42,9,FALSE) &gt;= ('40Trips'!$B$43+VLOOKUP(VLOOKUP($B3,'40Trips'!$A$3:$I$42,4,FALSE),'40Trips'!$J$11:$P$14,3,FALSE))),1,0)</f>
        <v>0</v>
      </c>
      <c r="Y3">
        <f>IF(AND(VLOOKUP(Y$1,'40Trips'!$A$3:$I$42,8,FALSE) - VLOOKUP($B3,'40Trips'!$A$3:$I$42,9,FALSE) &gt;= ('40Trips'!$B$43+VLOOKUP(VLOOKUP($B3,'40Trips'!$A$3:$I$42,4,FALSE),'40Trips'!$J$11:$P$14,3,FALSE))),1,0)</f>
        <v>0</v>
      </c>
      <c r="Z3">
        <f>IF(AND(VLOOKUP(Z$1,'40Trips'!$A$3:$I$42,8,FALSE) - VLOOKUP($B3,'40Trips'!$A$3:$I$42,9,FALSE) &gt;= ('40Trips'!$B$43+VLOOKUP(VLOOKUP($B3,'40Trips'!$A$3:$I$42,4,FALSE),'40Trips'!$J$11:$P$14,3,FALSE))),1,0)</f>
        <v>1</v>
      </c>
      <c r="AA3">
        <f>IF(AND(VLOOKUP(AA$1,'40Trips'!$A$3:$I$42,8,FALSE) - VLOOKUP($B3,'40Trips'!$A$3:$I$42,9,FALSE) &gt;= ('40Trips'!$B$43+VLOOKUP(VLOOKUP($B3,'40Trips'!$A$3:$I$42,4,FALSE),'40Trips'!$J$11:$P$14,3,FALSE))),1,0)</f>
        <v>1</v>
      </c>
      <c r="AB3">
        <f>IF(AND(VLOOKUP(AB$1,'40Trips'!$A$3:$I$42,8,FALSE) - VLOOKUP($B3,'40Trips'!$A$3:$I$42,9,FALSE) &gt;= ('40Trips'!$B$43+VLOOKUP(VLOOKUP($B3,'40Trips'!$A$3:$I$42,4,FALSE),'40Trips'!$J$11:$P$14,3,FALSE))),1,0)</f>
        <v>0</v>
      </c>
      <c r="AC3">
        <f>IF(AND(VLOOKUP(AC$1,'40Trips'!$A$3:$I$42,8,FALSE) - VLOOKUP($B3,'40Trips'!$A$3:$I$42,9,FALSE) &gt;= ('40Trips'!$B$43+VLOOKUP(VLOOKUP($B3,'40Trips'!$A$3:$I$42,4,FALSE),'40Trips'!$J$11:$P$14,3,FALSE))),1,0)</f>
        <v>0</v>
      </c>
      <c r="AD3">
        <f>IF(AND(VLOOKUP(AD$1,'40Trips'!$A$3:$I$42,8,FALSE) - VLOOKUP($B3,'40Trips'!$A$3:$I$42,9,FALSE) &gt;= ('40Trips'!$B$43+VLOOKUP(VLOOKUP($B3,'40Trips'!$A$3:$I$42,4,FALSE),'40Trips'!$J$11:$P$14,3,FALSE))),1,0)</f>
        <v>1</v>
      </c>
      <c r="AE3">
        <f>IF(AND(VLOOKUP(AE$1,'40Trips'!$A$3:$I$42,8,FALSE) - VLOOKUP($B3,'40Trips'!$A$3:$I$42,9,FALSE) &gt;= ('40Trips'!$B$43+VLOOKUP(VLOOKUP($B3,'40Trips'!$A$3:$I$42,4,FALSE),'40Trips'!$J$11:$P$14,3,FALSE))),1,0)</f>
        <v>1</v>
      </c>
      <c r="AF3">
        <f>IF(AND(VLOOKUP(AF$1,'40Trips'!$A$3:$I$42,8,FALSE) - VLOOKUP($B3,'40Trips'!$A$3:$I$42,9,FALSE) &gt;= ('40Trips'!$B$43+VLOOKUP(VLOOKUP($B3,'40Trips'!$A$3:$I$42,4,FALSE),'40Trips'!$J$11:$P$14,3,FALSE))),1,0)</f>
        <v>0</v>
      </c>
      <c r="AG3">
        <f>IF(AND(VLOOKUP(AG$1,'40Trips'!$A$3:$I$42,8,FALSE) - VLOOKUP($B3,'40Trips'!$A$3:$I$42,9,FALSE) &gt;= ('40Trips'!$B$43+VLOOKUP(VLOOKUP($B3,'40Trips'!$A$3:$I$42,4,FALSE),'40Trips'!$J$11:$P$14,3,FALSE))),1,0)</f>
        <v>0</v>
      </c>
      <c r="AH3">
        <f>IF(AND(VLOOKUP(AH$1,'40Trips'!$A$3:$I$42,8,FALSE) - VLOOKUP($B3,'40Trips'!$A$3:$I$42,9,FALSE) &gt;= ('40Trips'!$B$43+VLOOKUP(VLOOKUP($B3,'40Trips'!$A$3:$I$42,4,FALSE),'40Trips'!$J$11:$P$14,3,FALSE))),1,0)</f>
        <v>0</v>
      </c>
      <c r="AI3">
        <f>IF(AND(VLOOKUP(AI$1,'40Trips'!$A$3:$I$42,8,FALSE) - VLOOKUP($B3,'40Trips'!$A$3:$I$42,9,FALSE) &gt;= ('40Trips'!$B$43+VLOOKUP(VLOOKUP($B3,'40Trips'!$A$3:$I$42,4,FALSE),'40Trips'!$J$11:$P$14,3,FALSE))),1,0)</f>
        <v>0</v>
      </c>
      <c r="AJ3">
        <f>IF(AND(VLOOKUP(AJ$1,'40Trips'!$A$3:$I$42,8,FALSE) - VLOOKUP($B3,'40Trips'!$A$3:$I$42,9,FALSE) &gt;= ('40Trips'!$B$43+VLOOKUP(VLOOKUP($B3,'40Trips'!$A$3:$I$42,4,FALSE),'40Trips'!$J$11:$P$14,3,FALSE))),1,0)</f>
        <v>0</v>
      </c>
      <c r="AK3">
        <f>IF(AND(VLOOKUP(AK$1,'40Trips'!$A$3:$I$42,8,FALSE) - VLOOKUP($B3,'40Trips'!$A$3:$I$42,9,FALSE) &gt;= ('40Trips'!$B$43+VLOOKUP(VLOOKUP($B3,'40Trips'!$A$3:$I$42,4,FALSE),'40Trips'!$J$11:$P$14,3,FALSE))),1,0)</f>
        <v>0</v>
      </c>
      <c r="AL3">
        <f>IF(AND(VLOOKUP(AL$1,'40Trips'!$A$3:$I$42,8,FALSE) - VLOOKUP($B3,'40Trips'!$A$3:$I$42,9,FALSE) &gt;= ('40Trips'!$B$43+VLOOKUP(VLOOKUP($B3,'40Trips'!$A$3:$I$42,4,FALSE),'40Trips'!$J$11:$P$14,3,FALSE))),1,0)</f>
        <v>1</v>
      </c>
      <c r="AM3">
        <f>IF(AND(VLOOKUP(AM$1,'40Trips'!$A$3:$I$42,8,FALSE) - VLOOKUP($B3,'40Trips'!$A$3:$I$42,9,FALSE) &gt;= ('40Trips'!$B$43+VLOOKUP(VLOOKUP($B3,'40Trips'!$A$3:$I$42,4,FALSE),'40Trips'!$J$11:$P$14,3,FALSE))),1,0)</f>
        <v>1</v>
      </c>
      <c r="AN3">
        <f>IF(AND(VLOOKUP(AN$1,'40Trips'!$A$3:$I$42,8,FALSE) - VLOOKUP($B3,'40Trips'!$A$3:$I$42,9,FALSE) &gt;= ('40Trips'!$B$43+VLOOKUP(VLOOKUP($B3,'40Trips'!$A$3:$I$42,4,FALSE),'40Trips'!$J$11:$P$14,3,FALSE))),1,0)</f>
        <v>0</v>
      </c>
      <c r="AO3">
        <f>IF(AND(VLOOKUP(AO$1,'40Trips'!$A$3:$I$42,8,FALSE) - VLOOKUP($B3,'40Trips'!$A$3:$I$42,9,FALSE) &gt;= ('40Trips'!$B$43+VLOOKUP(VLOOKUP($B3,'40Trips'!$A$3:$I$42,4,FALSE),'40Trips'!$J$11:$P$14,3,FALSE))),1,0)</f>
        <v>0</v>
      </c>
      <c r="AP3">
        <f>IF(AND(VLOOKUP(AP$1,'40Trips'!$A$3:$I$42,8,FALSE) - VLOOKUP($B3,'40Trips'!$A$3:$I$42,9,FALSE) &gt;= ('40Trips'!$B$43+VLOOKUP(VLOOKUP($B3,'40Trips'!$A$3:$I$42,4,FALSE),'40Trips'!$J$11:$P$14,3,FALSE))),1,0)</f>
        <v>1</v>
      </c>
      <c r="AQ3">
        <f>IF(AND(VLOOKUP(AQ$1,'40Trips'!$A$3:$I$42,8,FALSE) - VLOOKUP($B3,'40Trips'!$A$3:$I$42,9,FALSE) &gt;= ('40Trips'!$B$43+VLOOKUP(VLOOKUP($B3,'40Trips'!$A$3:$I$42,4,FALSE),'40Trips'!$J$11:$P$14,3,FALSE))),1,0)</f>
        <v>1</v>
      </c>
    </row>
    <row r="4" spans="1:43" x14ac:dyDescent="0.25">
      <c r="A4" t="s">
        <v>48</v>
      </c>
      <c r="B4" t="s">
        <v>9</v>
      </c>
      <c r="C4">
        <v>0</v>
      </c>
      <c r="D4">
        <f>IF(AND(VLOOKUP(D$1,'40Trips'!$A$3:$I$42,8,FALSE) - VLOOKUP($B4,'40Trips'!$A$3:$I$42,9,FALSE) &gt;= ('40Trips'!$B$43+VLOOKUP(VLOOKUP($B4,'40Trips'!$A$3:$I$42,4,FALSE),'40Trips'!$J$11:$P$14,3,FALSE))),1,0)</f>
        <v>0</v>
      </c>
      <c r="E4">
        <f>IF(AND(VLOOKUP(E$1,'40Trips'!$A$3:$I$42,8,FALSE) - VLOOKUP($B4,'40Trips'!$A$3:$I$42,9,FALSE) &gt;= ('40Trips'!$B$43+VLOOKUP(VLOOKUP($B4,'40Trips'!$A$3:$I$42,4,FALSE),'40Trips'!$J$11:$P$14,3,FALSE))),1,0)</f>
        <v>0</v>
      </c>
      <c r="F4">
        <f>IF(AND(VLOOKUP(F$1,'40Trips'!$A$3:$I$42,8,FALSE) - VLOOKUP($B4,'40Trips'!$A$3:$I$42,9,FALSE) &gt;= ('40Trips'!$B$43+VLOOKUP(VLOOKUP($B4,'40Trips'!$A$3:$I$42,4,FALSE),'40Trips'!$J$11:$P$14,3,FALSE))),1,0)</f>
        <v>0</v>
      </c>
      <c r="G4">
        <f>IF(AND(VLOOKUP(G$1,'40Trips'!$A$3:$I$42,8,FALSE) - VLOOKUP($B4,'40Trips'!$A$3:$I$42,9,FALSE) &gt;= ('40Trips'!$B$43+VLOOKUP(VLOOKUP($B4,'40Trips'!$A$3:$I$42,4,FALSE),'40Trips'!$J$11:$P$14,3,FALSE))),1,0)</f>
        <v>0</v>
      </c>
      <c r="H4">
        <f>IF(AND(VLOOKUP(H$1,'40Trips'!$A$3:$I$42,8,FALSE) - VLOOKUP($B4,'40Trips'!$A$3:$I$42,9,FALSE) &gt;= ('40Trips'!$B$43+VLOOKUP(VLOOKUP($B4,'40Trips'!$A$3:$I$42,4,FALSE),'40Trips'!$J$11:$P$14,3,FALSE))),1,0)</f>
        <v>0</v>
      </c>
      <c r="I4">
        <f>IF(AND(VLOOKUP(I$1,'40Trips'!$A$3:$I$42,8,FALSE) - VLOOKUP($B4,'40Trips'!$A$3:$I$42,9,FALSE) &gt;= ('40Trips'!$B$43+VLOOKUP(VLOOKUP($B4,'40Trips'!$A$3:$I$42,4,FALSE),'40Trips'!$J$11:$P$14,3,FALSE))),1,0)</f>
        <v>0</v>
      </c>
      <c r="J4">
        <f>IF(AND(VLOOKUP(J$1,'40Trips'!$A$3:$I$42,8,FALSE) - VLOOKUP($B4,'40Trips'!$A$3:$I$42,9,FALSE) &gt;= ('40Trips'!$B$43+VLOOKUP(VLOOKUP($B4,'40Trips'!$A$3:$I$42,4,FALSE),'40Trips'!$J$11:$P$14,3,FALSE))),1,0)</f>
        <v>0</v>
      </c>
      <c r="K4">
        <f>IF(AND(VLOOKUP(K$1,'40Trips'!$A$3:$I$42,8,FALSE) - VLOOKUP($B4,'40Trips'!$A$3:$I$42,9,FALSE) &gt;= ('40Trips'!$B$43+VLOOKUP(VLOOKUP($B4,'40Trips'!$A$3:$I$42,4,FALSE),'40Trips'!$J$11:$P$14,3,FALSE))),1,0)</f>
        <v>1</v>
      </c>
      <c r="L4">
        <f>IF(AND(VLOOKUP(L$1,'40Trips'!$A$3:$I$42,8,FALSE) - VLOOKUP($B4,'40Trips'!$A$3:$I$42,9,FALSE) &gt;= ('40Trips'!$B$43+VLOOKUP(VLOOKUP($B4,'40Trips'!$A$3:$I$42,4,FALSE),'40Trips'!$J$11:$P$14,3,FALSE))),1,0)</f>
        <v>0</v>
      </c>
      <c r="M4">
        <f>IF(AND(VLOOKUP(M$1,'40Trips'!$A$3:$I$42,8,FALSE) - VLOOKUP($B4,'40Trips'!$A$3:$I$42,9,FALSE) &gt;= ('40Trips'!$B$43+VLOOKUP(VLOOKUP($B4,'40Trips'!$A$3:$I$42,4,FALSE),'40Trips'!$J$11:$P$14,3,FALSE))),1,0)</f>
        <v>0</v>
      </c>
      <c r="N4">
        <f>IF(AND(VLOOKUP(N$1,'40Trips'!$A$3:$I$42,8,FALSE) - VLOOKUP($B4,'40Trips'!$A$3:$I$42,9,FALSE) &gt;= ('40Trips'!$B$43+VLOOKUP(VLOOKUP($B4,'40Trips'!$A$3:$I$42,4,FALSE),'40Trips'!$J$11:$P$14,3,FALSE))),1,0)</f>
        <v>0</v>
      </c>
      <c r="O4">
        <f>IF(AND(VLOOKUP(O$1,'40Trips'!$A$3:$I$42,8,FALSE) - VLOOKUP($B4,'40Trips'!$A$3:$I$42,9,FALSE) &gt;= ('40Trips'!$B$43+VLOOKUP(VLOOKUP($B4,'40Trips'!$A$3:$I$42,4,FALSE),'40Trips'!$J$11:$P$14,3,FALSE))),1,0)</f>
        <v>0</v>
      </c>
      <c r="P4">
        <f>IF(AND(VLOOKUP(P$1,'40Trips'!$A$3:$I$42,8,FALSE) - VLOOKUP($B4,'40Trips'!$A$3:$I$42,9,FALSE) &gt;= ('40Trips'!$B$43+VLOOKUP(VLOOKUP($B4,'40Trips'!$A$3:$I$42,4,FALSE),'40Trips'!$J$11:$P$14,3,FALSE))),1,0)</f>
        <v>0</v>
      </c>
      <c r="Q4">
        <f>IF(AND(VLOOKUP(Q$1,'40Trips'!$A$3:$I$42,8,FALSE) - VLOOKUP($B4,'40Trips'!$A$3:$I$42,9,FALSE) &gt;= ('40Trips'!$B$43+VLOOKUP(VLOOKUP($B4,'40Trips'!$A$3:$I$42,4,FALSE),'40Trips'!$J$11:$P$14,3,FALSE))),1,0)</f>
        <v>0</v>
      </c>
      <c r="R4">
        <f>IF(AND(VLOOKUP(R$1,'40Trips'!$A$3:$I$42,8,FALSE) - VLOOKUP($B4,'40Trips'!$A$3:$I$42,9,FALSE) &gt;= ('40Trips'!$B$43+VLOOKUP(VLOOKUP($B4,'40Trips'!$A$3:$I$42,4,FALSE),'40Trips'!$J$11:$P$14,3,FALSE))),1,0)</f>
        <v>0</v>
      </c>
      <c r="S4">
        <f>IF(AND(VLOOKUP(S$1,'40Trips'!$A$3:$I$42,8,FALSE) - VLOOKUP($B4,'40Trips'!$A$3:$I$42,9,FALSE) &gt;= ('40Trips'!$B$43+VLOOKUP(VLOOKUP($B4,'40Trips'!$A$3:$I$42,4,FALSE),'40Trips'!$J$11:$P$14,3,FALSE))),1,0)</f>
        <v>0</v>
      </c>
      <c r="T4">
        <f>IF(AND(VLOOKUP(T$1,'40Trips'!$A$3:$I$42,8,FALSE) - VLOOKUP($B4,'40Trips'!$A$3:$I$42,9,FALSE) &gt;= ('40Trips'!$B$43+VLOOKUP(VLOOKUP($B4,'40Trips'!$A$3:$I$42,4,FALSE),'40Trips'!$J$11:$P$14,3,FALSE))),1,0)</f>
        <v>0</v>
      </c>
      <c r="U4">
        <f>IF(AND(VLOOKUP(U$1,'40Trips'!$A$3:$I$42,8,FALSE) - VLOOKUP($B4,'40Trips'!$A$3:$I$42,9,FALSE) &gt;= ('40Trips'!$B$43+VLOOKUP(VLOOKUP($B4,'40Trips'!$A$3:$I$42,4,FALSE),'40Trips'!$J$11:$P$14,3,FALSE))),1,0)</f>
        <v>0</v>
      </c>
      <c r="V4">
        <f>IF(AND(VLOOKUP(V$1,'40Trips'!$A$3:$I$42,8,FALSE) - VLOOKUP($B4,'40Trips'!$A$3:$I$42,9,FALSE) &gt;= ('40Trips'!$B$43+VLOOKUP(VLOOKUP($B4,'40Trips'!$A$3:$I$42,4,FALSE),'40Trips'!$J$11:$P$14,3,FALSE))),1,0)</f>
        <v>0</v>
      </c>
      <c r="W4">
        <f>IF(AND(VLOOKUP(W$1,'40Trips'!$A$3:$I$42,8,FALSE) - VLOOKUP($B4,'40Trips'!$A$3:$I$42,9,FALSE) &gt;= ('40Trips'!$B$43+VLOOKUP(VLOOKUP($B4,'40Trips'!$A$3:$I$42,4,FALSE),'40Trips'!$J$11:$P$14,3,FALSE))),1,0)</f>
        <v>0</v>
      </c>
      <c r="X4">
        <f>IF(AND(VLOOKUP(X$1,'40Trips'!$A$3:$I$42,8,FALSE) - VLOOKUP($B4,'40Trips'!$A$3:$I$42,9,FALSE) &gt;= ('40Trips'!$B$43+VLOOKUP(VLOOKUP($B4,'40Trips'!$A$3:$I$42,4,FALSE),'40Trips'!$J$11:$P$14,3,FALSE))),1,0)</f>
        <v>0</v>
      </c>
      <c r="Y4">
        <f>IF(AND(VLOOKUP(Y$1,'40Trips'!$A$3:$I$42,8,FALSE) - VLOOKUP($B4,'40Trips'!$A$3:$I$42,9,FALSE) &gt;= ('40Trips'!$B$43+VLOOKUP(VLOOKUP($B4,'40Trips'!$A$3:$I$42,4,FALSE),'40Trips'!$J$11:$P$14,3,FALSE))),1,0)</f>
        <v>0</v>
      </c>
      <c r="Z4">
        <f>IF(AND(VLOOKUP(Z$1,'40Trips'!$A$3:$I$42,8,FALSE) - VLOOKUP($B4,'40Trips'!$A$3:$I$42,9,FALSE) &gt;= ('40Trips'!$B$43+VLOOKUP(VLOOKUP($B4,'40Trips'!$A$3:$I$42,4,FALSE),'40Trips'!$J$11:$P$14,3,FALSE))),1,0)</f>
        <v>0</v>
      </c>
      <c r="AA4">
        <f>IF(AND(VLOOKUP(AA$1,'40Trips'!$A$3:$I$42,8,FALSE) - VLOOKUP($B4,'40Trips'!$A$3:$I$42,9,FALSE) &gt;= ('40Trips'!$B$43+VLOOKUP(VLOOKUP($B4,'40Trips'!$A$3:$I$42,4,FALSE),'40Trips'!$J$11:$P$14,3,FALSE))),1,0)</f>
        <v>0</v>
      </c>
      <c r="AB4">
        <f>IF(AND(VLOOKUP(AB$1,'40Trips'!$A$3:$I$42,8,FALSE) - VLOOKUP($B4,'40Trips'!$A$3:$I$42,9,FALSE) &gt;= ('40Trips'!$B$43+VLOOKUP(VLOOKUP($B4,'40Trips'!$A$3:$I$42,4,FALSE),'40Trips'!$J$11:$P$14,3,FALSE))),1,0)</f>
        <v>0</v>
      </c>
      <c r="AC4">
        <f>IF(AND(VLOOKUP(AC$1,'40Trips'!$A$3:$I$42,8,FALSE) - VLOOKUP($B4,'40Trips'!$A$3:$I$42,9,FALSE) &gt;= ('40Trips'!$B$43+VLOOKUP(VLOOKUP($B4,'40Trips'!$A$3:$I$42,4,FALSE),'40Trips'!$J$11:$P$14,3,FALSE))),1,0)</f>
        <v>0</v>
      </c>
      <c r="AD4">
        <f>IF(AND(VLOOKUP(AD$1,'40Trips'!$A$3:$I$42,8,FALSE) - VLOOKUP($B4,'40Trips'!$A$3:$I$42,9,FALSE) &gt;= ('40Trips'!$B$43+VLOOKUP(VLOOKUP($B4,'40Trips'!$A$3:$I$42,4,FALSE),'40Trips'!$J$11:$P$14,3,FALSE))),1,0)</f>
        <v>0</v>
      </c>
      <c r="AE4">
        <f>IF(AND(VLOOKUP(AE$1,'40Trips'!$A$3:$I$42,8,FALSE) - VLOOKUP($B4,'40Trips'!$A$3:$I$42,9,FALSE) &gt;= ('40Trips'!$B$43+VLOOKUP(VLOOKUP($B4,'40Trips'!$A$3:$I$42,4,FALSE),'40Trips'!$J$11:$P$14,3,FALSE))),1,0)</f>
        <v>0</v>
      </c>
      <c r="AF4">
        <f>IF(AND(VLOOKUP(AF$1,'40Trips'!$A$3:$I$42,8,FALSE) - VLOOKUP($B4,'40Trips'!$A$3:$I$42,9,FALSE) &gt;= ('40Trips'!$B$43+VLOOKUP(VLOOKUP($B4,'40Trips'!$A$3:$I$42,4,FALSE),'40Trips'!$J$11:$P$14,3,FALSE))),1,0)</f>
        <v>0</v>
      </c>
      <c r="AG4">
        <f>IF(AND(VLOOKUP(AG$1,'40Trips'!$A$3:$I$42,8,FALSE) - VLOOKUP($B4,'40Trips'!$A$3:$I$42,9,FALSE) &gt;= ('40Trips'!$B$43+VLOOKUP(VLOOKUP($B4,'40Trips'!$A$3:$I$42,4,FALSE),'40Trips'!$J$11:$P$14,3,FALSE))),1,0)</f>
        <v>0</v>
      </c>
      <c r="AH4">
        <f>IF(AND(VLOOKUP(AH$1,'40Trips'!$A$3:$I$42,8,FALSE) - VLOOKUP($B4,'40Trips'!$A$3:$I$42,9,FALSE) &gt;= ('40Trips'!$B$43+VLOOKUP(VLOOKUP($B4,'40Trips'!$A$3:$I$42,4,FALSE),'40Trips'!$J$11:$P$14,3,FALSE))),1,0)</f>
        <v>0</v>
      </c>
      <c r="AI4">
        <f>IF(AND(VLOOKUP(AI$1,'40Trips'!$A$3:$I$42,8,FALSE) - VLOOKUP($B4,'40Trips'!$A$3:$I$42,9,FALSE) &gt;= ('40Trips'!$B$43+VLOOKUP(VLOOKUP($B4,'40Trips'!$A$3:$I$42,4,FALSE),'40Trips'!$J$11:$P$14,3,FALSE))),1,0)</f>
        <v>0</v>
      </c>
      <c r="AJ4">
        <f>IF(AND(VLOOKUP(AJ$1,'40Trips'!$A$3:$I$42,8,FALSE) - VLOOKUP($B4,'40Trips'!$A$3:$I$42,9,FALSE) &gt;= ('40Trips'!$B$43+VLOOKUP(VLOOKUP($B4,'40Trips'!$A$3:$I$42,4,FALSE),'40Trips'!$J$11:$P$14,3,FALSE))),1,0)</f>
        <v>0</v>
      </c>
      <c r="AK4">
        <f>IF(AND(VLOOKUP(AK$1,'40Trips'!$A$3:$I$42,8,FALSE) - VLOOKUP($B4,'40Trips'!$A$3:$I$42,9,FALSE) &gt;= ('40Trips'!$B$43+VLOOKUP(VLOOKUP($B4,'40Trips'!$A$3:$I$42,4,FALSE),'40Trips'!$J$11:$P$14,3,FALSE))),1,0)</f>
        <v>0</v>
      </c>
      <c r="AL4">
        <f>IF(AND(VLOOKUP(AL$1,'40Trips'!$A$3:$I$42,8,FALSE) - VLOOKUP($B4,'40Trips'!$A$3:$I$42,9,FALSE) &gt;= ('40Trips'!$B$43+VLOOKUP(VLOOKUP($B4,'40Trips'!$A$3:$I$42,4,FALSE),'40Trips'!$J$11:$P$14,3,FALSE))),1,0)</f>
        <v>0</v>
      </c>
      <c r="AM4">
        <f>IF(AND(VLOOKUP(AM$1,'40Trips'!$A$3:$I$42,8,FALSE) - VLOOKUP($B4,'40Trips'!$A$3:$I$42,9,FALSE) &gt;= ('40Trips'!$B$43+VLOOKUP(VLOOKUP($B4,'40Trips'!$A$3:$I$42,4,FALSE),'40Trips'!$J$11:$P$14,3,FALSE))),1,0)</f>
        <v>1</v>
      </c>
      <c r="AN4">
        <f>IF(AND(VLOOKUP(AN$1,'40Trips'!$A$3:$I$42,8,FALSE) - VLOOKUP($B4,'40Trips'!$A$3:$I$42,9,FALSE) &gt;= ('40Trips'!$B$43+VLOOKUP(VLOOKUP($B4,'40Trips'!$A$3:$I$42,4,FALSE),'40Trips'!$J$11:$P$14,3,FALSE))),1,0)</f>
        <v>0</v>
      </c>
      <c r="AO4">
        <f>IF(AND(VLOOKUP(AO$1,'40Trips'!$A$3:$I$42,8,FALSE) - VLOOKUP($B4,'40Trips'!$A$3:$I$42,9,FALSE) &gt;= ('40Trips'!$B$43+VLOOKUP(VLOOKUP($B4,'40Trips'!$A$3:$I$42,4,FALSE),'40Trips'!$J$11:$P$14,3,FALSE))),1,0)</f>
        <v>0</v>
      </c>
      <c r="AP4">
        <f>IF(AND(VLOOKUP(AP$1,'40Trips'!$A$3:$I$42,8,FALSE) - VLOOKUP($B4,'40Trips'!$A$3:$I$42,9,FALSE) &gt;= ('40Trips'!$B$43+VLOOKUP(VLOOKUP($B4,'40Trips'!$A$3:$I$42,4,FALSE),'40Trips'!$J$11:$P$14,3,FALSE))),1,0)</f>
        <v>0</v>
      </c>
      <c r="AQ4">
        <f>IF(AND(VLOOKUP(AQ$1,'40Trips'!$A$3:$I$42,8,FALSE) - VLOOKUP($B4,'40Trips'!$A$3:$I$42,9,FALSE) &gt;= ('40Trips'!$B$43+VLOOKUP(VLOOKUP($B4,'40Trips'!$A$3:$I$42,4,FALSE),'40Trips'!$J$11:$P$14,3,FALSE))),1,0)</f>
        <v>1</v>
      </c>
    </row>
    <row r="5" spans="1:43" x14ac:dyDescent="0.25">
      <c r="A5" t="s">
        <v>48</v>
      </c>
      <c r="B5" t="s">
        <v>10</v>
      </c>
      <c r="C5">
        <v>0</v>
      </c>
      <c r="D5">
        <f>IF(AND(VLOOKUP(D$1,'40Trips'!$A$3:$I$42,8,FALSE) - VLOOKUP($B5,'40Trips'!$A$3:$I$42,9,FALSE) &gt;= ('40Trips'!$B$43+VLOOKUP(VLOOKUP($B5,'40Trips'!$A$3:$I$42,4,FALSE),'40Trips'!$J$11:$P$14,3,FALSE))),1,0)</f>
        <v>0</v>
      </c>
      <c r="E5">
        <f>IF(AND(VLOOKUP(E$1,'40Trips'!$A$3:$I$42,8,FALSE) - VLOOKUP($B5,'40Trips'!$A$3:$I$42,9,FALSE) &gt;= ('40Trips'!$B$43+VLOOKUP(VLOOKUP($B5,'40Trips'!$A$3:$I$42,4,FALSE),'40Trips'!$J$11:$P$14,3,FALSE))),1,0)</f>
        <v>0</v>
      </c>
      <c r="F5">
        <f>IF(AND(VLOOKUP(F$1,'40Trips'!$A$3:$I$42,8,FALSE) - VLOOKUP($B5,'40Trips'!$A$3:$I$42,9,FALSE) &gt;= ('40Trips'!$B$43+VLOOKUP(VLOOKUP($B5,'40Trips'!$A$3:$I$42,4,FALSE),'40Trips'!$J$11:$P$14,3,FALSE))),1,0)</f>
        <v>0</v>
      </c>
      <c r="G5">
        <f>IF(AND(VLOOKUP(G$1,'40Trips'!$A$3:$I$42,8,FALSE) - VLOOKUP($B5,'40Trips'!$A$3:$I$42,9,FALSE) &gt;= ('40Trips'!$B$43+VLOOKUP(VLOOKUP($B5,'40Trips'!$A$3:$I$42,4,FALSE),'40Trips'!$J$11:$P$14,3,FALSE))),1,0)</f>
        <v>0</v>
      </c>
      <c r="H5">
        <f>IF(AND(VLOOKUP(H$1,'40Trips'!$A$3:$I$42,8,FALSE) - VLOOKUP($B5,'40Trips'!$A$3:$I$42,9,FALSE) &gt;= ('40Trips'!$B$43+VLOOKUP(VLOOKUP($B5,'40Trips'!$A$3:$I$42,4,FALSE),'40Trips'!$J$11:$P$14,3,FALSE))),1,0)</f>
        <v>0</v>
      </c>
      <c r="I5">
        <f>IF(AND(VLOOKUP(I$1,'40Trips'!$A$3:$I$42,8,FALSE) - VLOOKUP($B5,'40Trips'!$A$3:$I$42,9,FALSE) &gt;= ('40Trips'!$B$43+VLOOKUP(VLOOKUP($B5,'40Trips'!$A$3:$I$42,4,FALSE),'40Trips'!$J$11:$P$14,3,FALSE))),1,0)</f>
        <v>0</v>
      </c>
      <c r="J5">
        <f>IF(AND(VLOOKUP(J$1,'40Trips'!$A$3:$I$42,8,FALSE) - VLOOKUP($B5,'40Trips'!$A$3:$I$42,9,FALSE) &gt;= ('40Trips'!$B$43+VLOOKUP(VLOOKUP($B5,'40Trips'!$A$3:$I$42,4,FALSE),'40Trips'!$J$11:$P$14,3,FALSE))),1,0)</f>
        <v>0</v>
      </c>
      <c r="K5">
        <f>IF(AND(VLOOKUP(K$1,'40Trips'!$A$3:$I$42,8,FALSE) - VLOOKUP($B5,'40Trips'!$A$3:$I$42,9,FALSE) &gt;= ('40Trips'!$B$43+VLOOKUP(VLOOKUP($B5,'40Trips'!$A$3:$I$42,4,FALSE),'40Trips'!$J$11:$P$14,3,FALSE))),1,0)</f>
        <v>1</v>
      </c>
      <c r="L5">
        <f>IF(AND(VLOOKUP(L$1,'40Trips'!$A$3:$I$42,8,FALSE) - VLOOKUP($B5,'40Trips'!$A$3:$I$42,9,FALSE) &gt;= ('40Trips'!$B$43+VLOOKUP(VLOOKUP($B5,'40Trips'!$A$3:$I$42,4,FALSE),'40Trips'!$J$11:$P$14,3,FALSE))),1,0)</f>
        <v>0</v>
      </c>
      <c r="M5">
        <f>IF(AND(VLOOKUP(M$1,'40Trips'!$A$3:$I$42,8,FALSE) - VLOOKUP($B5,'40Trips'!$A$3:$I$42,9,FALSE) &gt;= ('40Trips'!$B$43+VLOOKUP(VLOOKUP($B5,'40Trips'!$A$3:$I$42,4,FALSE),'40Trips'!$J$11:$P$14,3,FALSE))),1,0)</f>
        <v>0</v>
      </c>
      <c r="N5">
        <f>IF(AND(VLOOKUP(N$1,'40Trips'!$A$3:$I$42,8,FALSE) - VLOOKUP($B5,'40Trips'!$A$3:$I$42,9,FALSE) &gt;= ('40Trips'!$B$43+VLOOKUP(VLOOKUP($B5,'40Trips'!$A$3:$I$42,4,FALSE),'40Trips'!$J$11:$P$14,3,FALSE))),1,0)</f>
        <v>0</v>
      </c>
      <c r="O5">
        <f>IF(AND(VLOOKUP(O$1,'40Trips'!$A$3:$I$42,8,FALSE) - VLOOKUP($B5,'40Trips'!$A$3:$I$42,9,FALSE) &gt;= ('40Trips'!$B$43+VLOOKUP(VLOOKUP($B5,'40Trips'!$A$3:$I$42,4,FALSE),'40Trips'!$J$11:$P$14,3,FALSE))),1,0)</f>
        <v>0</v>
      </c>
      <c r="P5">
        <f>IF(AND(VLOOKUP(P$1,'40Trips'!$A$3:$I$42,8,FALSE) - VLOOKUP($B5,'40Trips'!$A$3:$I$42,9,FALSE) &gt;= ('40Trips'!$B$43+VLOOKUP(VLOOKUP($B5,'40Trips'!$A$3:$I$42,4,FALSE),'40Trips'!$J$11:$P$14,3,FALSE))),1,0)</f>
        <v>0</v>
      </c>
      <c r="Q5">
        <f>IF(AND(VLOOKUP(Q$1,'40Trips'!$A$3:$I$42,8,FALSE) - VLOOKUP($B5,'40Trips'!$A$3:$I$42,9,FALSE) &gt;= ('40Trips'!$B$43+VLOOKUP(VLOOKUP($B5,'40Trips'!$A$3:$I$42,4,FALSE),'40Trips'!$J$11:$P$14,3,FALSE))),1,0)</f>
        <v>0</v>
      </c>
      <c r="R5">
        <f>IF(AND(VLOOKUP(R$1,'40Trips'!$A$3:$I$42,8,FALSE) - VLOOKUP($B5,'40Trips'!$A$3:$I$42,9,FALSE) &gt;= ('40Trips'!$B$43+VLOOKUP(VLOOKUP($B5,'40Trips'!$A$3:$I$42,4,FALSE),'40Trips'!$J$11:$P$14,3,FALSE))),1,0)</f>
        <v>0</v>
      </c>
      <c r="S5">
        <f>IF(AND(VLOOKUP(S$1,'40Trips'!$A$3:$I$42,8,FALSE) - VLOOKUP($B5,'40Trips'!$A$3:$I$42,9,FALSE) &gt;= ('40Trips'!$B$43+VLOOKUP(VLOOKUP($B5,'40Trips'!$A$3:$I$42,4,FALSE),'40Trips'!$J$11:$P$14,3,FALSE))),1,0)</f>
        <v>0</v>
      </c>
      <c r="T5">
        <f>IF(AND(VLOOKUP(T$1,'40Trips'!$A$3:$I$42,8,FALSE) - VLOOKUP($B5,'40Trips'!$A$3:$I$42,9,FALSE) &gt;= ('40Trips'!$B$43+VLOOKUP(VLOOKUP($B5,'40Trips'!$A$3:$I$42,4,FALSE),'40Trips'!$J$11:$P$14,3,FALSE))),1,0)</f>
        <v>0</v>
      </c>
      <c r="U5">
        <f>IF(AND(VLOOKUP(U$1,'40Trips'!$A$3:$I$42,8,FALSE) - VLOOKUP($B5,'40Trips'!$A$3:$I$42,9,FALSE) &gt;= ('40Trips'!$B$43+VLOOKUP(VLOOKUP($B5,'40Trips'!$A$3:$I$42,4,FALSE),'40Trips'!$J$11:$P$14,3,FALSE))),1,0)</f>
        <v>0</v>
      </c>
      <c r="V5">
        <f>IF(AND(VLOOKUP(V$1,'40Trips'!$A$3:$I$42,8,FALSE) - VLOOKUP($B5,'40Trips'!$A$3:$I$42,9,FALSE) &gt;= ('40Trips'!$B$43+VLOOKUP(VLOOKUP($B5,'40Trips'!$A$3:$I$42,4,FALSE),'40Trips'!$J$11:$P$14,3,FALSE))),1,0)</f>
        <v>0</v>
      </c>
      <c r="W5">
        <f>IF(AND(VLOOKUP(W$1,'40Trips'!$A$3:$I$42,8,FALSE) - VLOOKUP($B5,'40Trips'!$A$3:$I$42,9,FALSE) &gt;= ('40Trips'!$B$43+VLOOKUP(VLOOKUP($B5,'40Trips'!$A$3:$I$42,4,FALSE),'40Trips'!$J$11:$P$14,3,FALSE))),1,0)</f>
        <v>0</v>
      </c>
      <c r="X5">
        <f>IF(AND(VLOOKUP(X$1,'40Trips'!$A$3:$I$42,8,FALSE) - VLOOKUP($B5,'40Trips'!$A$3:$I$42,9,FALSE) &gt;= ('40Trips'!$B$43+VLOOKUP(VLOOKUP($B5,'40Trips'!$A$3:$I$42,4,FALSE),'40Trips'!$J$11:$P$14,3,FALSE))),1,0)</f>
        <v>0</v>
      </c>
      <c r="Y5">
        <f>IF(AND(VLOOKUP(Y$1,'40Trips'!$A$3:$I$42,8,FALSE) - VLOOKUP($B5,'40Trips'!$A$3:$I$42,9,FALSE) &gt;= ('40Trips'!$B$43+VLOOKUP(VLOOKUP($B5,'40Trips'!$A$3:$I$42,4,FALSE),'40Trips'!$J$11:$P$14,3,FALSE))),1,0)</f>
        <v>0</v>
      </c>
      <c r="Z5">
        <f>IF(AND(VLOOKUP(Z$1,'40Trips'!$A$3:$I$42,8,FALSE) - VLOOKUP($B5,'40Trips'!$A$3:$I$42,9,FALSE) &gt;= ('40Trips'!$B$43+VLOOKUP(VLOOKUP($B5,'40Trips'!$A$3:$I$42,4,FALSE),'40Trips'!$J$11:$P$14,3,FALSE))),1,0)</f>
        <v>0</v>
      </c>
      <c r="AA5">
        <f>IF(AND(VLOOKUP(AA$1,'40Trips'!$A$3:$I$42,8,FALSE) - VLOOKUP($B5,'40Trips'!$A$3:$I$42,9,FALSE) &gt;= ('40Trips'!$B$43+VLOOKUP(VLOOKUP($B5,'40Trips'!$A$3:$I$42,4,FALSE),'40Trips'!$J$11:$P$14,3,FALSE))),1,0)</f>
        <v>0</v>
      </c>
      <c r="AB5">
        <f>IF(AND(VLOOKUP(AB$1,'40Trips'!$A$3:$I$42,8,FALSE) - VLOOKUP($B5,'40Trips'!$A$3:$I$42,9,FALSE) &gt;= ('40Trips'!$B$43+VLOOKUP(VLOOKUP($B5,'40Trips'!$A$3:$I$42,4,FALSE),'40Trips'!$J$11:$P$14,3,FALSE))),1,0)</f>
        <v>0</v>
      </c>
      <c r="AC5">
        <f>IF(AND(VLOOKUP(AC$1,'40Trips'!$A$3:$I$42,8,FALSE) - VLOOKUP($B5,'40Trips'!$A$3:$I$42,9,FALSE) &gt;= ('40Trips'!$B$43+VLOOKUP(VLOOKUP($B5,'40Trips'!$A$3:$I$42,4,FALSE),'40Trips'!$J$11:$P$14,3,FALSE))),1,0)</f>
        <v>0</v>
      </c>
      <c r="AD5">
        <f>IF(AND(VLOOKUP(AD$1,'40Trips'!$A$3:$I$42,8,FALSE) - VLOOKUP($B5,'40Trips'!$A$3:$I$42,9,FALSE) &gt;= ('40Trips'!$B$43+VLOOKUP(VLOOKUP($B5,'40Trips'!$A$3:$I$42,4,FALSE),'40Trips'!$J$11:$P$14,3,FALSE))),1,0)</f>
        <v>0</v>
      </c>
      <c r="AE5">
        <f>IF(AND(VLOOKUP(AE$1,'40Trips'!$A$3:$I$42,8,FALSE) - VLOOKUP($B5,'40Trips'!$A$3:$I$42,9,FALSE) &gt;= ('40Trips'!$B$43+VLOOKUP(VLOOKUP($B5,'40Trips'!$A$3:$I$42,4,FALSE),'40Trips'!$J$11:$P$14,3,FALSE))),1,0)</f>
        <v>0</v>
      </c>
      <c r="AF5">
        <f>IF(AND(VLOOKUP(AF$1,'40Trips'!$A$3:$I$42,8,FALSE) - VLOOKUP($B5,'40Trips'!$A$3:$I$42,9,FALSE) &gt;= ('40Trips'!$B$43+VLOOKUP(VLOOKUP($B5,'40Trips'!$A$3:$I$42,4,FALSE),'40Trips'!$J$11:$P$14,3,FALSE))),1,0)</f>
        <v>0</v>
      </c>
      <c r="AG5">
        <f>IF(AND(VLOOKUP(AG$1,'40Trips'!$A$3:$I$42,8,FALSE) - VLOOKUP($B5,'40Trips'!$A$3:$I$42,9,FALSE) &gt;= ('40Trips'!$B$43+VLOOKUP(VLOOKUP($B5,'40Trips'!$A$3:$I$42,4,FALSE),'40Trips'!$J$11:$P$14,3,FALSE))),1,0)</f>
        <v>0</v>
      </c>
      <c r="AH5">
        <f>IF(AND(VLOOKUP(AH$1,'40Trips'!$A$3:$I$42,8,FALSE) - VLOOKUP($B5,'40Trips'!$A$3:$I$42,9,FALSE) &gt;= ('40Trips'!$B$43+VLOOKUP(VLOOKUP($B5,'40Trips'!$A$3:$I$42,4,FALSE),'40Trips'!$J$11:$P$14,3,FALSE))),1,0)</f>
        <v>0</v>
      </c>
      <c r="AI5">
        <f>IF(AND(VLOOKUP(AI$1,'40Trips'!$A$3:$I$42,8,FALSE) - VLOOKUP($B5,'40Trips'!$A$3:$I$42,9,FALSE) &gt;= ('40Trips'!$B$43+VLOOKUP(VLOOKUP($B5,'40Trips'!$A$3:$I$42,4,FALSE),'40Trips'!$J$11:$P$14,3,FALSE))),1,0)</f>
        <v>0</v>
      </c>
      <c r="AJ5">
        <f>IF(AND(VLOOKUP(AJ$1,'40Trips'!$A$3:$I$42,8,FALSE) - VLOOKUP($B5,'40Trips'!$A$3:$I$42,9,FALSE) &gt;= ('40Trips'!$B$43+VLOOKUP(VLOOKUP($B5,'40Trips'!$A$3:$I$42,4,FALSE),'40Trips'!$J$11:$P$14,3,FALSE))),1,0)</f>
        <v>0</v>
      </c>
      <c r="AK5">
        <f>IF(AND(VLOOKUP(AK$1,'40Trips'!$A$3:$I$42,8,FALSE) - VLOOKUP($B5,'40Trips'!$A$3:$I$42,9,FALSE) &gt;= ('40Trips'!$B$43+VLOOKUP(VLOOKUP($B5,'40Trips'!$A$3:$I$42,4,FALSE),'40Trips'!$J$11:$P$14,3,FALSE))),1,0)</f>
        <v>0</v>
      </c>
      <c r="AL5">
        <f>IF(AND(VLOOKUP(AL$1,'40Trips'!$A$3:$I$42,8,FALSE) - VLOOKUP($B5,'40Trips'!$A$3:$I$42,9,FALSE) &gt;= ('40Trips'!$B$43+VLOOKUP(VLOOKUP($B5,'40Trips'!$A$3:$I$42,4,FALSE),'40Trips'!$J$11:$P$14,3,FALSE))),1,0)</f>
        <v>0</v>
      </c>
      <c r="AM5">
        <f>IF(AND(VLOOKUP(AM$1,'40Trips'!$A$3:$I$42,8,FALSE) - VLOOKUP($B5,'40Trips'!$A$3:$I$42,9,FALSE) &gt;= ('40Trips'!$B$43+VLOOKUP(VLOOKUP($B5,'40Trips'!$A$3:$I$42,4,FALSE),'40Trips'!$J$11:$P$14,3,FALSE))),1,0)</f>
        <v>0</v>
      </c>
      <c r="AN5">
        <f>IF(AND(VLOOKUP(AN$1,'40Trips'!$A$3:$I$42,8,FALSE) - VLOOKUP($B5,'40Trips'!$A$3:$I$42,9,FALSE) &gt;= ('40Trips'!$B$43+VLOOKUP(VLOOKUP($B5,'40Trips'!$A$3:$I$42,4,FALSE),'40Trips'!$J$11:$P$14,3,FALSE))),1,0)</f>
        <v>0</v>
      </c>
      <c r="AO5">
        <f>IF(AND(VLOOKUP(AO$1,'40Trips'!$A$3:$I$42,8,FALSE) - VLOOKUP($B5,'40Trips'!$A$3:$I$42,9,FALSE) &gt;= ('40Trips'!$B$43+VLOOKUP(VLOOKUP($B5,'40Trips'!$A$3:$I$42,4,FALSE),'40Trips'!$J$11:$P$14,3,FALSE))),1,0)</f>
        <v>0</v>
      </c>
      <c r="AP5">
        <f>IF(AND(VLOOKUP(AP$1,'40Trips'!$A$3:$I$42,8,FALSE) - VLOOKUP($B5,'40Trips'!$A$3:$I$42,9,FALSE) &gt;= ('40Trips'!$B$43+VLOOKUP(VLOOKUP($B5,'40Trips'!$A$3:$I$42,4,FALSE),'40Trips'!$J$11:$P$14,3,FALSE))),1,0)</f>
        <v>0</v>
      </c>
      <c r="AQ5">
        <f>IF(AND(VLOOKUP(AQ$1,'40Trips'!$A$3:$I$42,8,FALSE) - VLOOKUP($B5,'40Trips'!$A$3:$I$42,9,FALSE) &gt;= ('40Trips'!$B$43+VLOOKUP(VLOOKUP($B5,'40Trips'!$A$3:$I$42,4,FALSE),'40Trips'!$J$11:$P$14,3,FALSE))),1,0)</f>
        <v>0</v>
      </c>
    </row>
    <row r="6" spans="1:43" x14ac:dyDescent="0.25">
      <c r="A6" t="s">
        <v>48</v>
      </c>
      <c r="B6" t="s">
        <v>11</v>
      </c>
      <c r="C6">
        <v>0</v>
      </c>
      <c r="D6">
        <f>IF(AND(VLOOKUP(D$1,'40Trips'!$A$3:$I$42,8,FALSE) - VLOOKUP($B6,'40Trips'!$A$3:$I$42,9,FALSE) &gt;= ('40Trips'!$B$43+VLOOKUP(VLOOKUP($B6,'40Trips'!$A$3:$I$42,4,FALSE),'40Trips'!$J$11:$P$14,3,FALSE))),1,0)</f>
        <v>0</v>
      </c>
      <c r="E6">
        <f>IF(AND(VLOOKUP(E$1,'40Trips'!$A$3:$I$42,8,FALSE) - VLOOKUP($B6,'40Trips'!$A$3:$I$42,9,FALSE) &gt;= ('40Trips'!$B$43+VLOOKUP(VLOOKUP($B6,'40Trips'!$A$3:$I$42,4,FALSE),'40Trips'!$J$11:$P$14,3,FALSE))),1,0)</f>
        <v>0</v>
      </c>
      <c r="F6">
        <f>IF(AND(VLOOKUP(F$1,'40Trips'!$A$3:$I$42,8,FALSE) - VLOOKUP($B6,'40Trips'!$A$3:$I$42,9,FALSE) &gt;= ('40Trips'!$B$43+VLOOKUP(VLOOKUP($B6,'40Trips'!$A$3:$I$42,4,FALSE),'40Trips'!$J$11:$P$14,3,FALSE))),1,0)</f>
        <v>0</v>
      </c>
      <c r="G6">
        <f>IF(AND(VLOOKUP(G$1,'40Trips'!$A$3:$I$42,8,FALSE) - VLOOKUP($B6,'40Trips'!$A$3:$I$42,9,FALSE) &gt;= ('40Trips'!$B$43+VLOOKUP(VLOOKUP($B6,'40Trips'!$A$3:$I$42,4,FALSE),'40Trips'!$J$11:$P$14,3,FALSE))),1,0)</f>
        <v>0</v>
      </c>
      <c r="H6">
        <f>IF(AND(VLOOKUP(H$1,'40Trips'!$A$3:$I$42,8,FALSE) - VLOOKUP($B6,'40Trips'!$A$3:$I$42,9,FALSE) &gt;= ('40Trips'!$B$43+VLOOKUP(VLOOKUP($B6,'40Trips'!$A$3:$I$42,4,FALSE),'40Trips'!$J$11:$P$14,3,FALSE))),1,0)</f>
        <v>0</v>
      </c>
      <c r="I6">
        <f>IF(AND(VLOOKUP(I$1,'40Trips'!$A$3:$I$42,8,FALSE) - VLOOKUP($B6,'40Trips'!$A$3:$I$42,9,FALSE) &gt;= ('40Trips'!$B$43+VLOOKUP(VLOOKUP($B6,'40Trips'!$A$3:$I$42,4,FALSE),'40Trips'!$J$11:$P$14,3,FALSE))),1,0)</f>
        <v>0</v>
      </c>
      <c r="J6">
        <f>IF(AND(VLOOKUP(J$1,'40Trips'!$A$3:$I$42,8,FALSE) - VLOOKUP($B6,'40Trips'!$A$3:$I$42,9,FALSE) &gt;= ('40Trips'!$B$43+VLOOKUP(VLOOKUP($B6,'40Trips'!$A$3:$I$42,4,FALSE),'40Trips'!$J$11:$P$14,3,FALSE))),1,0)</f>
        <v>0</v>
      </c>
      <c r="K6">
        <f>IF(AND(VLOOKUP(K$1,'40Trips'!$A$3:$I$42,8,FALSE) - VLOOKUP($B6,'40Trips'!$A$3:$I$42,9,FALSE) &gt;= ('40Trips'!$B$43+VLOOKUP(VLOOKUP($B6,'40Trips'!$A$3:$I$42,4,FALSE),'40Trips'!$J$11:$P$14,3,FALSE))),1,0)</f>
        <v>1</v>
      </c>
      <c r="L6">
        <f>IF(AND(VLOOKUP(L$1,'40Trips'!$A$3:$I$42,8,FALSE) - VLOOKUP($B6,'40Trips'!$A$3:$I$42,9,FALSE) &gt;= ('40Trips'!$B$43+VLOOKUP(VLOOKUP($B6,'40Trips'!$A$3:$I$42,4,FALSE),'40Trips'!$J$11:$P$14,3,FALSE))),1,0)</f>
        <v>0</v>
      </c>
      <c r="M6">
        <f>IF(AND(VLOOKUP(M$1,'40Trips'!$A$3:$I$42,8,FALSE) - VLOOKUP($B6,'40Trips'!$A$3:$I$42,9,FALSE) &gt;= ('40Trips'!$B$43+VLOOKUP(VLOOKUP($B6,'40Trips'!$A$3:$I$42,4,FALSE),'40Trips'!$J$11:$P$14,3,FALSE))),1,0)</f>
        <v>0</v>
      </c>
      <c r="N6">
        <f>IF(AND(VLOOKUP(N$1,'40Trips'!$A$3:$I$42,8,FALSE) - VLOOKUP($B6,'40Trips'!$A$3:$I$42,9,FALSE) &gt;= ('40Trips'!$B$43+VLOOKUP(VLOOKUP($B6,'40Trips'!$A$3:$I$42,4,FALSE),'40Trips'!$J$11:$P$14,3,FALSE))),1,0)</f>
        <v>0</v>
      </c>
      <c r="O6">
        <f>IF(AND(VLOOKUP(O$1,'40Trips'!$A$3:$I$42,8,FALSE) - VLOOKUP($B6,'40Trips'!$A$3:$I$42,9,FALSE) &gt;= ('40Trips'!$B$43+VLOOKUP(VLOOKUP($B6,'40Trips'!$A$3:$I$42,4,FALSE),'40Trips'!$J$11:$P$14,3,FALSE))),1,0)</f>
        <v>0</v>
      </c>
      <c r="P6">
        <f>IF(AND(VLOOKUP(P$1,'40Trips'!$A$3:$I$42,8,FALSE) - VLOOKUP($B6,'40Trips'!$A$3:$I$42,9,FALSE) &gt;= ('40Trips'!$B$43+VLOOKUP(VLOOKUP($B6,'40Trips'!$A$3:$I$42,4,FALSE),'40Trips'!$J$11:$P$14,3,FALSE))),1,0)</f>
        <v>0</v>
      </c>
      <c r="Q6">
        <f>IF(AND(VLOOKUP(Q$1,'40Trips'!$A$3:$I$42,8,FALSE) - VLOOKUP($B6,'40Trips'!$A$3:$I$42,9,FALSE) &gt;= ('40Trips'!$B$43+VLOOKUP(VLOOKUP($B6,'40Trips'!$A$3:$I$42,4,FALSE),'40Trips'!$J$11:$P$14,3,FALSE))),1,0)</f>
        <v>0</v>
      </c>
      <c r="R6">
        <f>IF(AND(VLOOKUP(R$1,'40Trips'!$A$3:$I$42,8,FALSE) - VLOOKUP($B6,'40Trips'!$A$3:$I$42,9,FALSE) &gt;= ('40Trips'!$B$43+VLOOKUP(VLOOKUP($B6,'40Trips'!$A$3:$I$42,4,FALSE),'40Trips'!$J$11:$P$14,3,FALSE))),1,0)</f>
        <v>0</v>
      </c>
      <c r="S6">
        <f>IF(AND(VLOOKUP(S$1,'40Trips'!$A$3:$I$42,8,FALSE) - VLOOKUP($B6,'40Trips'!$A$3:$I$42,9,FALSE) &gt;= ('40Trips'!$B$43+VLOOKUP(VLOOKUP($B6,'40Trips'!$A$3:$I$42,4,FALSE),'40Trips'!$J$11:$P$14,3,FALSE))),1,0)</f>
        <v>0</v>
      </c>
      <c r="T6">
        <f>IF(AND(VLOOKUP(T$1,'40Trips'!$A$3:$I$42,8,FALSE) - VLOOKUP($B6,'40Trips'!$A$3:$I$42,9,FALSE) &gt;= ('40Trips'!$B$43+VLOOKUP(VLOOKUP($B6,'40Trips'!$A$3:$I$42,4,FALSE),'40Trips'!$J$11:$P$14,3,FALSE))),1,0)</f>
        <v>0</v>
      </c>
      <c r="U6">
        <f>IF(AND(VLOOKUP(U$1,'40Trips'!$A$3:$I$42,8,FALSE) - VLOOKUP($B6,'40Trips'!$A$3:$I$42,9,FALSE) &gt;= ('40Trips'!$B$43+VLOOKUP(VLOOKUP($B6,'40Trips'!$A$3:$I$42,4,FALSE),'40Trips'!$J$11:$P$14,3,FALSE))),1,0)</f>
        <v>0</v>
      </c>
      <c r="V6">
        <f>IF(AND(VLOOKUP(V$1,'40Trips'!$A$3:$I$42,8,FALSE) - VLOOKUP($B6,'40Trips'!$A$3:$I$42,9,FALSE) &gt;= ('40Trips'!$B$43+VLOOKUP(VLOOKUP($B6,'40Trips'!$A$3:$I$42,4,FALSE),'40Trips'!$J$11:$P$14,3,FALSE))),1,0)</f>
        <v>0</v>
      </c>
      <c r="W6">
        <f>IF(AND(VLOOKUP(W$1,'40Trips'!$A$3:$I$42,8,FALSE) - VLOOKUP($B6,'40Trips'!$A$3:$I$42,9,FALSE) &gt;= ('40Trips'!$B$43+VLOOKUP(VLOOKUP($B6,'40Trips'!$A$3:$I$42,4,FALSE),'40Trips'!$J$11:$P$14,3,FALSE))),1,0)</f>
        <v>0</v>
      </c>
      <c r="X6">
        <f>IF(AND(VLOOKUP(X$1,'40Trips'!$A$3:$I$42,8,FALSE) - VLOOKUP($B6,'40Trips'!$A$3:$I$42,9,FALSE) &gt;= ('40Trips'!$B$43+VLOOKUP(VLOOKUP($B6,'40Trips'!$A$3:$I$42,4,FALSE),'40Trips'!$J$11:$P$14,3,FALSE))),1,0)</f>
        <v>0</v>
      </c>
      <c r="Y6">
        <f>IF(AND(VLOOKUP(Y$1,'40Trips'!$A$3:$I$42,8,FALSE) - VLOOKUP($B6,'40Trips'!$A$3:$I$42,9,FALSE) &gt;= ('40Trips'!$B$43+VLOOKUP(VLOOKUP($B6,'40Trips'!$A$3:$I$42,4,FALSE),'40Trips'!$J$11:$P$14,3,FALSE))),1,0)</f>
        <v>0</v>
      </c>
      <c r="Z6">
        <f>IF(AND(VLOOKUP(Z$1,'40Trips'!$A$3:$I$42,8,FALSE) - VLOOKUP($B6,'40Trips'!$A$3:$I$42,9,FALSE) &gt;= ('40Trips'!$B$43+VLOOKUP(VLOOKUP($B6,'40Trips'!$A$3:$I$42,4,FALSE),'40Trips'!$J$11:$P$14,3,FALSE))),1,0)</f>
        <v>0</v>
      </c>
      <c r="AA6">
        <f>IF(AND(VLOOKUP(AA$1,'40Trips'!$A$3:$I$42,8,FALSE) - VLOOKUP($B6,'40Trips'!$A$3:$I$42,9,FALSE) &gt;= ('40Trips'!$B$43+VLOOKUP(VLOOKUP($B6,'40Trips'!$A$3:$I$42,4,FALSE),'40Trips'!$J$11:$P$14,3,FALSE))),1,0)</f>
        <v>0</v>
      </c>
      <c r="AB6">
        <f>IF(AND(VLOOKUP(AB$1,'40Trips'!$A$3:$I$42,8,FALSE) - VLOOKUP($B6,'40Trips'!$A$3:$I$42,9,FALSE) &gt;= ('40Trips'!$B$43+VLOOKUP(VLOOKUP($B6,'40Trips'!$A$3:$I$42,4,FALSE),'40Trips'!$J$11:$P$14,3,FALSE))),1,0)</f>
        <v>0</v>
      </c>
      <c r="AC6">
        <f>IF(AND(VLOOKUP(AC$1,'40Trips'!$A$3:$I$42,8,FALSE) - VLOOKUP($B6,'40Trips'!$A$3:$I$42,9,FALSE) &gt;= ('40Trips'!$B$43+VLOOKUP(VLOOKUP($B6,'40Trips'!$A$3:$I$42,4,FALSE),'40Trips'!$J$11:$P$14,3,FALSE))),1,0)</f>
        <v>0</v>
      </c>
      <c r="AD6">
        <f>IF(AND(VLOOKUP(AD$1,'40Trips'!$A$3:$I$42,8,FALSE) - VLOOKUP($B6,'40Trips'!$A$3:$I$42,9,FALSE) &gt;= ('40Trips'!$B$43+VLOOKUP(VLOOKUP($B6,'40Trips'!$A$3:$I$42,4,FALSE),'40Trips'!$J$11:$P$14,3,FALSE))),1,0)</f>
        <v>0</v>
      </c>
      <c r="AE6">
        <f>IF(AND(VLOOKUP(AE$1,'40Trips'!$A$3:$I$42,8,FALSE) - VLOOKUP($B6,'40Trips'!$A$3:$I$42,9,FALSE) &gt;= ('40Trips'!$B$43+VLOOKUP(VLOOKUP($B6,'40Trips'!$A$3:$I$42,4,FALSE),'40Trips'!$J$11:$P$14,3,FALSE))),1,0)</f>
        <v>0</v>
      </c>
      <c r="AF6">
        <f>IF(AND(VLOOKUP(AF$1,'40Trips'!$A$3:$I$42,8,FALSE) - VLOOKUP($B6,'40Trips'!$A$3:$I$42,9,FALSE) &gt;= ('40Trips'!$B$43+VLOOKUP(VLOOKUP($B6,'40Trips'!$A$3:$I$42,4,FALSE),'40Trips'!$J$11:$P$14,3,FALSE))),1,0)</f>
        <v>0</v>
      </c>
      <c r="AG6">
        <f>IF(AND(VLOOKUP(AG$1,'40Trips'!$A$3:$I$42,8,FALSE) - VLOOKUP($B6,'40Trips'!$A$3:$I$42,9,FALSE) &gt;= ('40Trips'!$B$43+VLOOKUP(VLOOKUP($B6,'40Trips'!$A$3:$I$42,4,FALSE),'40Trips'!$J$11:$P$14,3,FALSE))),1,0)</f>
        <v>0</v>
      </c>
      <c r="AH6">
        <f>IF(AND(VLOOKUP(AH$1,'40Trips'!$A$3:$I$42,8,FALSE) - VLOOKUP($B6,'40Trips'!$A$3:$I$42,9,FALSE) &gt;= ('40Trips'!$B$43+VLOOKUP(VLOOKUP($B6,'40Trips'!$A$3:$I$42,4,FALSE),'40Trips'!$J$11:$P$14,3,FALSE))),1,0)</f>
        <v>0</v>
      </c>
      <c r="AI6">
        <f>IF(AND(VLOOKUP(AI$1,'40Trips'!$A$3:$I$42,8,FALSE) - VLOOKUP($B6,'40Trips'!$A$3:$I$42,9,FALSE) &gt;= ('40Trips'!$B$43+VLOOKUP(VLOOKUP($B6,'40Trips'!$A$3:$I$42,4,FALSE),'40Trips'!$J$11:$P$14,3,FALSE))),1,0)</f>
        <v>0</v>
      </c>
      <c r="AJ6">
        <f>IF(AND(VLOOKUP(AJ$1,'40Trips'!$A$3:$I$42,8,FALSE) - VLOOKUP($B6,'40Trips'!$A$3:$I$42,9,FALSE) &gt;= ('40Trips'!$B$43+VLOOKUP(VLOOKUP($B6,'40Trips'!$A$3:$I$42,4,FALSE),'40Trips'!$J$11:$P$14,3,FALSE))),1,0)</f>
        <v>0</v>
      </c>
      <c r="AK6">
        <f>IF(AND(VLOOKUP(AK$1,'40Trips'!$A$3:$I$42,8,FALSE) - VLOOKUP($B6,'40Trips'!$A$3:$I$42,9,FALSE) &gt;= ('40Trips'!$B$43+VLOOKUP(VLOOKUP($B6,'40Trips'!$A$3:$I$42,4,FALSE),'40Trips'!$J$11:$P$14,3,FALSE))),1,0)</f>
        <v>0</v>
      </c>
      <c r="AL6">
        <f>IF(AND(VLOOKUP(AL$1,'40Trips'!$A$3:$I$42,8,FALSE) - VLOOKUP($B6,'40Trips'!$A$3:$I$42,9,FALSE) &gt;= ('40Trips'!$B$43+VLOOKUP(VLOOKUP($B6,'40Trips'!$A$3:$I$42,4,FALSE),'40Trips'!$J$11:$P$14,3,FALSE))),1,0)</f>
        <v>0</v>
      </c>
      <c r="AM6">
        <f>IF(AND(VLOOKUP(AM$1,'40Trips'!$A$3:$I$42,8,FALSE) - VLOOKUP($B6,'40Trips'!$A$3:$I$42,9,FALSE) &gt;= ('40Trips'!$B$43+VLOOKUP(VLOOKUP($B6,'40Trips'!$A$3:$I$42,4,FALSE),'40Trips'!$J$11:$P$14,3,FALSE))),1,0)</f>
        <v>0</v>
      </c>
      <c r="AN6">
        <f>IF(AND(VLOOKUP(AN$1,'40Trips'!$A$3:$I$42,8,FALSE) - VLOOKUP($B6,'40Trips'!$A$3:$I$42,9,FALSE) &gt;= ('40Trips'!$B$43+VLOOKUP(VLOOKUP($B6,'40Trips'!$A$3:$I$42,4,FALSE),'40Trips'!$J$11:$P$14,3,FALSE))),1,0)</f>
        <v>0</v>
      </c>
      <c r="AO6">
        <f>IF(AND(VLOOKUP(AO$1,'40Trips'!$A$3:$I$42,8,FALSE) - VLOOKUP($B6,'40Trips'!$A$3:$I$42,9,FALSE) &gt;= ('40Trips'!$B$43+VLOOKUP(VLOOKUP($B6,'40Trips'!$A$3:$I$42,4,FALSE),'40Trips'!$J$11:$P$14,3,FALSE))),1,0)</f>
        <v>0</v>
      </c>
      <c r="AP6">
        <f>IF(AND(VLOOKUP(AP$1,'40Trips'!$A$3:$I$42,8,FALSE) - VLOOKUP($B6,'40Trips'!$A$3:$I$42,9,FALSE) &gt;= ('40Trips'!$B$43+VLOOKUP(VLOOKUP($B6,'40Trips'!$A$3:$I$42,4,FALSE),'40Trips'!$J$11:$P$14,3,FALSE))),1,0)</f>
        <v>0</v>
      </c>
      <c r="AQ6">
        <f>IF(AND(VLOOKUP(AQ$1,'40Trips'!$A$3:$I$42,8,FALSE) - VLOOKUP($B6,'40Trips'!$A$3:$I$42,9,FALSE) &gt;= ('40Trips'!$B$43+VLOOKUP(VLOOKUP($B6,'40Trips'!$A$3:$I$42,4,FALSE),'40Trips'!$J$11:$P$14,3,FALSE))),1,0)</f>
        <v>0</v>
      </c>
    </row>
    <row r="7" spans="1:43" x14ac:dyDescent="0.25">
      <c r="A7" t="s">
        <v>48</v>
      </c>
      <c r="B7" t="s">
        <v>18</v>
      </c>
      <c r="C7">
        <v>0</v>
      </c>
      <c r="D7">
        <f>IF(AND(VLOOKUP(D$1,'40Trips'!$A$3:$I$42,8,FALSE) - VLOOKUP($B7,'40Trips'!$A$3:$I$42,9,FALSE) &gt;= ('40Trips'!$B$43+VLOOKUP(VLOOKUP($B7,'40Trips'!$A$3:$I$42,4,FALSE),'40Trips'!$J$11:$P$14,3,FALSE))),1,0)</f>
        <v>0</v>
      </c>
      <c r="E7">
        <f>IF(AND(VLOOKUP(E$1,'40Trips'!$A$3:$I$42,8,FALSE) - VLOOKUP($B7,'40Trips'!$A$3:$I$42,9,FALSE) &gt;= ('40Trips'!$B$43+VLOOKUP(VLOOKUP($B7,'40Trips'!$A$3:$I$42,4,FALSE),'40Trips'!$J$11:$P$14,3,FALSE))),1,0)</f>
        <v>0</v>
      </c>
      <c r="F7">
        <f>IF(AND(VLOOKUP(F$1,'40Trips'!$A$3:$I$42,8,FALSE) - VLOOKUP($B7,'40Trips'!$A$3:$I$42,9,FALSE) &gt;= ('40Trips'!$B$43+VLOOKUP(VLOOKUP($B7,'40Trips'!$A$3:$I$42,4,FALSE),'40Trips'!$J$11:$P$14,3,FALSE))),1,0)</f>
        <v>1</v>
      </c>
      <c r="G7">
        <f>IF(AND(VLOOKUP(G$1,'40Trips'!$A$3:$I$42,8,FALSE) - VLOOKUP($B7,'40Trips'!$A$3:$I$42,9,FALSE) &gt;= ('40Trips'!$B$43+VLOOKUP(VLOOKUP($B7,'40Trips'!$A$3:$I$42,4,FALSE),'40Trips'!$J$11:$P$14,3,FALSE))),1,0)</f>
        <v>1</v>
      </c>
      <c r="H7">
        <f>IF(AND(VLOOKUP(H$1,'40Trips'!$A$3:$I$42,8,FALSE) - VLOOKUP($B7,'40Trips'!$A$3:$I$42,9,FALSE) &gt;= ('40Trips'!$B$43+VLOOKUP(VLOOKUP($B7,'40Trips'!$A$3:$I$42,4,FALSE),'40Trips'!$J$11:$P$14,3,FALSE))),1,0)</f>
        <v>0</v>
      </c>
      <c r="I7">
        <f>IF(AND(VLOOKUP(I$1,'40Trips'!$A$3:$I$42,8,FALSE) - VLOOKUP($B7,'40Trips'!$A$3:$I$42,9,FALSE) &gt;= ('40Trips'!$B$43+VLOOKUP(VLOOKUP($B7,'40Trips'!$A$3:$I$42,4,FALSE),'40Trips'!$J$11:$P$14,3,FALSE))),1,0)</f>
        <v>0</v>
      </c>
      <c r="J7">
        <f>IF(AND(VLOOKUP(J$1,'40Trips'!$A$3:$I$42,8,FALSE) - VLOOKUP($B7,'40Trips'!$A$3:$I$42,9,FALSE) &gt;= ('40Trips'!$B$43+VLOOKUP(VLOOKUP($B7,'40Trips'!$A$3:$I$42,4,FALSE),'40Trips'!$J$11:$P$14,3,FALSE))),1,0)</f>
        <v>1</v>
      </c>
      <c r="K7">
        <f>IF(AND(VLOOKUP(K$1,'40Trips'!$A$3:$I$42,8,FALSE) - VLOOKUP($B7,'40Trips'!$A$3:$I$42,9,FALSE) &gt;= ('40Trips'!$B$43+VLOOKUP(VLOOKUP($B7,'40Trips'!$A$3:$I$42,4,FALSE),'40Trips'!$J$11:$P$14,3,FALSE))),1,0)</f>
        <v>1</v>
      </c>
      <c r="L7">
        <f>IF(AND(VLOOKUP(L$1,'40Trips'!$A$3:$I$42,8,FALSE) - VLOOKUP($B7,'40Trips'!$A$3:$I$42,9,FALSE) &gt;= ('40Trips'!$B$43+VLOOKUP(VLOOKUP($B7,'40Trips'!$A$3:$I$42,4,FALSE),'40Trips'!$J$11:$P$14,3,FALSE))),1,0)</f>
        <v>0</v>
      </c>
      <c r="M7">
        <f>IF(AND(VLOOKUP(M$1,'40Trips'!$A$3:$I$42,8,FALSE) - VLOOKUP($B7,'40Trips'!$A$3:$I$42,9,FALSE) &gt;= ('40Trips'!$B$43+VLOOKUP(VLOOKUP($B7,'40Trips'!$A$3:$I$42,4,FALSE),'40Trips'!$J$11:$P$14,3,FALSE))),1,0)</f>
        <v>0</v>
      </c>
      <c r="N7">
        <f>IF(AND(VLOOKUP(N$1,'40Trips'!$A$3:$I$42,8,FALSE) - VLOOKUP($B7,'40Trips'!$A$3:$I$42,9,FALSE) &gt;= ('40Trips'!$B$43+VLOOKUP(VLOOKUP($B7,'40Trips'!$A$3:$I$42,4,FALSE),'40Trips'!$J$11:$P$14,3,FALSE))),1,0)</f>
        <v>1</v>
      </c>
      <c r="O7">
        <f>IF(AND(VLOOKUP(O$1,'40Trips'!$A$3:$I$42,8,FALSE) - VLOOKUP($B7,'40Trips'!$A$3:$I$42,9,FALSE) &gt;= ('40Trips'!$B$43+VLOOKUP(VLOOKUP($B7,'40Trips'!$A$3:$I$42,4,FALSE),'40Trips'!$J$11:$P$14,3,FALSE))),1,0)</f>
        <v>0</v>
      </c>
      <c r="P7">
        <f>IF(AND(VLOOKUP(P$1,'40Trips'!$A$3:$I$42,8,FALSE) - VLOOKUP($B7,'40Trips'!$A$3:$I$42,9,FALSE) &gt;= ('40Trips'!$B$43+VLOOKUP(VLOOKUP($B7,'40Trips'!$A$3:$I$42,4,FALSE),'40Trips'!$J$11:$P$14,3,FALSE))),1,0)</f>
        <v>0</v>
      </c>
      <c r="Q7">
        <f>IF(AND(VLOOKUP(Q$1,'40Trips'!$A$3:$I$42,8,FALSE) - VLOOKUP($B7,'40Trips'!$A$3:$I$42,9,FALSE) &gt;= ('40Trips'!$B$43+VLOOKUP(VLOOKUP($B7,'40Trips'!$A$3:$I$42,4,FALSE),'40Trips'!$J$11:$P$14,3,FALSE))),1,0)</f>
        <v>0</v>
      </c>
      <c r="R7">
        <f>IF(AND(VLOOKUP(R$1,'40Trips'!$A$3:$I$42,8,FALSE) - VLOOKUP($B7,'40Trips'!$A$3:$I$42,9,FALSE) &gt;= ('40Trips'!$B$43+VLOOKUP(VLOOKUP($B7,'40Trips'!$A$3:$I$42,4,FALSE),'40Trips'!$J$11:$P$14,3,FALSE))),1,0)</f>
        <v>1</v>
      </c>
      <c r="S7">
        <f>IF(AND(VLOOKUP(S$1,'40Trips'!$A$3:$I$42,8,FALSE) - VLOOKUP($B7,'40Trips'!$A$3:$I$42,9,FALSE) &gt;= ('40Trips'!$B$43+VLOOKUP(VLOOKUP($B7,'40Trips'!$A$3:$I$42,4,FALSE),'40Trips'!$J$11:$P$14,3,FALSE))),1,0)</f>
        <v>1</v>
      </c>
      <c r="T7">
        <f>IF(AND(VLOOKUP(T$1,'40Trips'!$A$3:$I$42,8,FALSE) - VLOOKUP($B7,'40Trips'!$A$3:$I$42,9,FALSE) &gt;= ('40Trips'!$B$43+VLOOKUP(VLOOKUP($B7,'40Trips'!$A$3:$I$42,4,FALSE),'40Trips'!$J$11:$P$14,3,FALSE))),1,0)</f>
        <v>0</v>
      </c>
      <c r="U7">
        <f>IF(AND(VLOOKUP(U$1,'40Trips'!$A$3:$I$42,8,FALSE) - VLOOKUP($B7,'40Trips'!$A$3:$I$42,9,FALSE) &gt;= ('40Trips'!$B$43+VLOOKUP(VLOOKUP($B7,'40Trips'!$A$3:$I$42,4,FALSE),'40Trips'!$J$11:$P$14,3,FALSE))),1,0)</f>
        <v>0</v>
      </c>
      <c r="V7">
        <f>IF(AND(VLOOKUP(V$1,'40Trips'!$A$3:$I$42,8,FALSE) - VLOOKUP($B7,'40Trips'!$A$3:$I$42,9,FALSE) &gt;= ('40Trips'!$B$43+VLOOKUP(VLOOKUP($B7,'40Trips'!$A$3:$I$42,4,FALSE),'40Trips'!$J$11:$P$14,3,FALSE))),1,0)</f>
        <v>1</v>
      </c>
      <c r="W7">
        <f>IF(AND(VLOOKUP(W$1,'40Trips'!$A$3:$I$42,8,FALSE) - VLOOKUP($B7,'40Trips'!$A$3:$I$42,9,FALSE) &gt;= ('40Trips'!$B$43+VLOOKUP(VLOOKUP($B7,'40Trips'!$A$3:$I$42,4,FALSE),'40Trips'!$J$11:$P$14,3,FALSE))),1,0)</f>
        <v>1</v>
      </c>
      <c r="X7">
        <f>IF(AND(VLOOKUP(X$1,'40Trips'!$A$3:$I$42,8,FALSE) - VLOOKUP($B7,'40Trips'!$A$3:$I$42,9,FALSE) &gt;= ('40Trips'!$B$43+VLOOKUP(VLOOKUP($B7,'40Trips'!$A$3:$I$42,4,FALSE),'40Trips'!$J$11:$P$14,3,FALSE))),1,0)</f>
        <v>0</v>
      </c>
      <c r="Y7">
        <f>IF(AND(VLOOKUP(Y$1,'40Trips'!$A$3:$I$42,8,FALSE) - VLOOKUP($B7,'40Trips'!$A$3:$I$42,9,FALSE) &gt;= ('40Trips'!$B$43+VLOOKUP(VLOOKUP($B7,'40Trips'!$A$3:$I$42,4,FALSE),'40Trips'!$J$11:$P$14,3,FALSE))),1,0)</f>
        <v>0</v>
      </c>
      <c r="Z7">
        <f>IF(AND(VLOOKUP(Z$1,'40Trips'!$A$3:$I$42,8,FALSE) - VLOOKUP($B7,'40Trips'!$A$3:$I$42,9,FALSE) &gt;= ('40Trips'!$B$43+VLOOKUP(VLOOKUP($B7,'40Trips'!$A$3:$I$42,4,FALSE),'40Trips'!$J$11:$P$14,3,FALSE))),1,0)</f>
        <v>1</v>
      </c>
      <c r="AA7">
        <f>IF(AND(VLOOKUP(AA$1,'40Trips'!$A$3:$I$42,8,FALSE) - VLOOKUP($B7,'40Trips'!$A$3:$I$42,9,FALSE) &gt;= ('40Trips'!$B$43+VLOOKUP(VLOOKUP($B7,'40Trips'!$A$3:$I$42,4,FALSE),'40Trips'!$J$11:$P$14,3,FALSE))),1,0)</f>
        <v>1</v>
      </c>
      <c r="AB7">
        <f>IF(AND(VLOOKUP(AB$1,'40Trips'!$A$3:$I$42,8,FALSE) - VLOOKUP($B7,'40Trips'!$A$3:$I$42,9,FALSE) &gt;= ('40Trips'!$B$43+VLOOKUP(VLOOKUP($B7,'40Trips'!$A$3:$I$42,4,FALSE),'40Trips'!$J$11:$P$14,3,FALSE))),1,0)</f>
        <v>0</v>
      </c>
      <c r="AC7">
        <f>IF(AND(VLOOKUP(AC$1,'40Trips'!$A$3:$I$42,8,FALSE) - VLOOKUP($B7,'40Trips'!$A$3:$I$42,9,FALSE) &gt;= ('40Trips'!$B$43+VLOOKUP(VLOOKUP($B7,'40Trips'!$A$3:$I$42,4,FALSE),'40Trips'!$J$11:$P$14,3,FALSE))),1,0)</f>
        <v>0</v>
      </c>
      <c r="AD7">
        <f>IF(AND(VLOOKUP(AD$1,'40Trips'!$A$3:$I$42,8,FALSE) - VLOOKUP($B7,'40Trips'!$A$3:$I$42,9,FALSE) &gt;= ('40Trips'!$B$43+VLOOKUP(VLOOKUP($B7,'40Trips'!$A$3:$I$42,4,FALSE),'40Trips'!$J$11:$P$14,3,FALSE))),1,0)</f>
        <v>1</v>
      </c>
      <c r="AE7">
        <f>IF(AND(VLOOKUP(AE$1,'40Trips'!$A$3:$I$42,8,FALSE) - VLOOKUP($B7,'40Trips'!$A$3:$I$42,9,FALSE) &gt;= ('40Trips'!$B$43+VLOOKUP(VLOOKUP($B7,'40Trips'!$A$3:$I$42,4,FALSE),'40Trips'!$J$11:$P$14,3,FALSE))),1,0)</f>
        <v>1</v>
      </c>
      <c r="AF7">
        <f>IF(AND(VLOOKUP(AF$1,'40Trips'!$A$3:$I$42,8,FALSE) - VLOOKUP($B7,'40Trips'!$A$3:$I$42,9,FALSE) &gt;= ('40Trips'!$B$43+VLOOKUP(VLOOKUP($B7,'40Trips'!$A$3:$I$42,4,FALSE),'40Trips'!$J$11:$P$14,3,FALSE))),1,0)</f>
        <v>0</v>
      </c>
      <c r="AG7">
        <f>IF(AND(VLOOKUP(AG$1,'40Trips'!$A$3:$I$42,8,FALSE) - VLOOKUP($B7,'40Trips'!$A$3:$I$42,9,FALSE) &gt;= ('40Trips'!$B$43+VLOOKUP(VLOOKUP($B7,'40Trips'!$A$3:$I$42,4,FALSE),'40Trips'!$J$11:$P$14,3,FALSE))),1,0)</f>
        <v>0</v>
      </c>
      <c r="AH7">
        <f>IF(AND(VLOOKUP(AH$1,'40Trips'!$A$3:$I$42,8,FALSE) - VLOOKUP($B7,'40Trips'!$A$3:$I$42,9,FALSE) &gt;= ('40Trips'!$B$43+VLOOKUP(VLOOKUP($B7,'40Trips'!$A$3:$I$42,4,FALSE),'40Trips'!$J$11:$P$14,3,FALSE))),1,0)</f>
        <v>0</v>
      </c>
      <c r="AI7">
        <f>IF(AND(VLOOKUP(AI$1,'40Trips'!$A$3:$I$42,8,FALSE) - VLOOKUP($B7,'40Trips'!$A$3:$I$42,9,FALSE) &gt;= ('40Trips'!$B$43+VLOOKUP(VLOOKUP($B7,'40Trips'!$A$3:$I$42,4,FALSE),'40Trips'!$J$11:$P$14,3,FALSE))),1,0)</f>
        <v>0</v>
      </c>
      <c r="AJ7">
        <f>IF(AND(VLOOKUP(AJ$1,'40Trips'!$A$3:$I$42,8,FALSE) - VLOOKUP($B7,'40Trips'!$A$3:$I$42,9,FALSE) &gt;= ('40Trips'!$B$43+VLOOKUP(VLOOKUP($B7,'40Trips'!$A$3:$I$42,4,FALSE),'40Trips'!$J$11:$P$14,3,FALSE))),1,0)</f>
        <v>0</v>
      </c>
      <c r="AK7">
        <f>IF(AND(VLOOKUP(AK$1,'40Trips'!$A$3:$I$42,8,FALSE) - VLOOKUP($B7,'40Trips'!$A$3:$I$42,9,FALSE) &gt;= ('40Trips'!$B$43+VLOOKUP(VLOOKUP($B7,'40Trips'!$A$3:$I$42,4,FALSE),'40Trips'!$J$11:$P$14,3,FALSE))),1,0)</f>
        <v>0</v>
      </c>
      <c r="AL7">
        <f>IF(AND(VLOOKUP(AL$1,'40Trips'!$A$3:$I$42,8,FALSE) - VLOOKUP($B7,'40Trips'!$A$3:$I$42,9,FALSE) &gt;= ('40Trips'!$B$43+VLOOKUP(VLOOKUP($B7,'40Trips'!$A$3:$I$42,4,FALSE),'40Trips'!$J$11:$P$14,3,FALSE))),1,0)</f>
        <v>1</v>
      </c>
      <c r="AM7">
        <f>IF(AND(VLOOKUP(AM$1,'40Trips'!$A$3:$I$42,8,FALSE) - VLOOKUP($B7,'40Trips'!$A$3:$I$42,9,FALSE) &gt;= ('40Trips'!$B$43+VLOOKUP(VLOOKUP($B7,'40Trips'!$A$3:$I$42,4,FALSE),'40Trips'!$J$11:$P$14,3,FALSE))),1,0)</f>
        <v>1</v>
      </c>
      <c r="AN7">
        <f>IF(AND(VLOOKUP(AN$1,'40Trips'!$A$3:$I$42,8,FALSE) - VLOOKUP($B7,'40Trips'!$A$3:$I$42,9,FALSE) &gt;= ('40Trips'!$B$43+VLOOKUP(VLOOKUP($B7,'40Trips'!$A$3:$I$42,4,FALSE),'40Trips'!$J$11:$P$14,3,FALSE))),1,0)</f>
        <v>0</v>
      </c>
      <c r="AO7">
        <f>IF(AND(VLOOKUP(AO$1,'40Trips'!$A$3:$I$42,8,FALSE) - VLOOKUP($B7,'40Trips'!$A$3:$I$42,9,FALSE) &gt;= ('40Trips'!$B$43+VLOOKUP(VLOOKUP($B7,'40Trips'!$A$3:$I$42,4,FALSE),'40Trips'!$J$11:$P$14,3,FALSE))),1,0)</f>
        <v>0</v>
      </c>
      <c r="AP7">
        <f>IF(AND(VLOOKUP(AP$1,'40Trips'!$A$3:$I$42,8,FALSE) - VLOOKUP($B7,'40Trips'!$A$3:$I$42,9,FALSE) &gt;= ('40Trips'!$B$43+VLOOKUP(VLOOKUP($B7,'40Trips'!$A$3:$I$42,4,FALSE),'40Trips'!$J$11:$P$14,3,FALSE))),1,0)</f>
        <v>1</v>
      </c>
      <c r="AQ7">
        <f>IF(AND(VLOOKUP(AQ$1,'40Trips'!$A$3:$I$42,8,FALSE) - VLOOKUP($B7,'40Trips'!$A$3:$I$42,9,FALSE) &gt;= ('40Trips'!$B$43+VLOOKUP(VLOOKUP($B7,'40Trips'!$A$3:$I$42,4,FALSE),'40Trips'!$J$11:$P$14,3,FALSE))),1,0)</f>
        <v>1</v>
      </c>
    </row>
    <row r="8" spans="1:43" x14ac:dyDescent="0.25">
      <c r="A8" t="s">
        <v>48</v>
      </c>
      <c r="B8" t="s">
        <v>20</v>
      </c>
      <c r="C8">
        <v>0</v>
      </c>
      <c r="D8">
        <f>IF(AND(VLOOKUP(D$1,'40Trips'!$A$3:$I$42,8,FALSE) - VLOOKUP($B8,'40Trips'!$A$3:$I$42,9,FALSE) &gt;= ('40Trips'!$B$43+VLOOKUP(VLOOKUP($B8,'40Trips'!$A$3:$I$42,4,FALSE),'40Trips'!$J$11:$P$14,3,FALSE))),1,0)</f>
        <v>0</v>
      </c>
      <c r="E8">
        <f>IF(AND(VLOOKUP(E$1,'40Trips'!$A$3:$I$42,8,FALSE) - VLOOKUP($B8,'40Trips'!$A$3:$I$42,9,FALSE) &gt;= ('40Trips'!$B$43+VLOOKUP(VLOOKUP($B8,'40Trips'!$A$3:$I$42,4,FALSE),'40Trips'!$J$11:$P$14,3,FALSE))),1,0)</f>
        <v>0</v>
      </c>
      <c r="F8">
        <f>IF(AND(VLOOKUP(F$1,'40Trips'!$A$3:$I$42,8,FALSE) - VLOOKUP($B8,'40Trips'!$A$3:$I$42,9,FALSE) &gt;= ('40Trips'!$B$43+VLOOKUP(VLOOKUP($B8,'40Trips'!$A$3:$I$42,4,FALSE),'40Trips'!$J$11:$P$14,3,FALSE))),1,0)</f>
        <v>0</v>
      </c>
      <c r="G8">
        <f>IF(AND(VLOOKUP(G$1,'40Trips'!$A$3:$I$42,8,FALSE) - VLOOKUP($B8,'40Trips'!$A$3:$I$42,9,FALSE) &gt;= ('40Trips'!$B$43+VLOOKUP(VLOOKUP($B8,'40Trips'!$A$3:$I$42,4,FALSE),'40Trips'!$J$11:$P$14,3,FALSE))),1,0)</f>
        <v>1</v>
      </c>
      <c r="H8">
        <f>IF(AND(VLOOKUP(H$1,'40Trips'!$A$3:$I$42,8,FALSE) - VLOOKUP($B8,'40Trips'!$A$3:$I$42,9,FALSE) &gt;= ('40Trips'!$B$43+VLOOKUP(VLOOKUP($B8,'40Trips'!$A$3:$I$42,4,FALSE),'40Trips'!$J$11:$P$14,3,FALSE))),1,0)</f>
        <v>0</v>
      </c>
      <c r="I8">
        <f>IF(AND(VLOOKUP(I$1,'40Trips'!$A$3:$I$42,8,FALSE) - VLOOKUP($B8,'40Trips'!$A$3:$I$42,9,FALSE) &gt;= ('40Trips'!$B$43+VLOOKUP(VLOOKUP($B8,'40Trips'!$A$3:$I$42,4,FALSE),'40Trips'!$J$11:$P$14,3,FALSE))),1,0)</f>
        <v>0</v>
      </c>
      <c r="J8">
        <f>IF(AND(VLOOKUP(J$1,'40Trips'!$A$3:$I$42,8,FALSE) - VLOOKUP($B8,'40Trips'!$A$3:$I$42,9,FALSE) &gt;= ('40Trips'!$B$43+VLOOKUP(VLOOKUP($B8,'40Trips'!$A$3:$I$42,4,FALSE),'40Trips'!$J$11:$P$14,3,FALSE))),1,0)</f>
        <v>0</v>
      </c>
      <c r="K8">
        <f>IF(AND(VLOOKUP(K$1,'40Trips'!$A$3:$I$42,8,FALSE) - VLOOKUP($B8,'40Trips'!$A$3:$I$42,9,FALSE) &gt;= ('40Trips'!$B$43+VLOOKUP(VLOOKUP($B8,'40Trips'!$A$3:$I$42,4,FALSE),'40Trips'!$J$11:$P$14,3,FALSE))),1,0)</f>
        <v>1</v>
      </c>
      <c r="L8">
        <f>IF(AND(VLOOKUP(L$1,'40Trips'!$A$3:$I$42,8,FALSE) - VLOOKUP($B8,'40Trips'!$A$3:$I$42,9,FALSE) &gt;= ('40Trips'!$B$43+VLOOKUP(VLOOKUP($B8,'40Trips'!$A$3:$I$42,4,FALSE),'40Trips'!$J$11:$P$14,3,FALSE))),1,0)</f>
        <v>0</v>
      </c>
      <c r="M8">
        <f>IF(AND(VLOOKUP(M$1,'40Trips'!$A$3:$I$42,8,FALSE) - VLOOKUP($B8,'40Trips'!$A$3:$I$42,9,FALSE) &gt;= ('40Trips'!$B$43+VLOOKUP(VLOOKUP($B8,'40Trips'!$A$3:$I$42,4,FALSE),'40Trips'!$J$11:$P$14,3,FALSE))),1,0)</f>
        <v>0</v>
      </c>
      <c r="N8">
        <f>IF(AND(VLOOKUP(N$1,'40Trips'!$A$3:$I$42,8,FALSE) - VLOOKUP($B8,'40Trips'!$A$3:$I$42,9,FALSE) &gt;= ('40Trips'!$B$43+VLOOKUP(VLOOKUP($B8,'40Trips'!$A$3:$I$42,4,FALSE),'40Trips'!$J$11:$P$14,3,FALSE))),1,0)</f>
        <v>0</v>
      </c>
      <c r="O8">
        <f>IF(AND(VLOOKUP(O$1,'40Trips'!$A$3:$I$42,8,FALSE) - VLOOKUP($B8,'40Trips'!$A$3:$I$42,9,FALSE) &gt;= ('40Trips'!$B$43+VLOOKUP(VLOOKUP($B8,'40Trips'!$A$3:$I$42,4,FALSE),'40Trips'!$J$11:$P$14,3,FALSE))),1,0)</f>
        <v>0</v>
      </c>
      <c r="P8">
        <f>IF(AND(VLOOKUP(P$1,'40Trips'!$A$3:$I$42,8,FALSE) - VLOOKUP($B8,'40Trips'!$A$3:$I$42,9,FALSE) &gt;= ('40Trips'!$B$43+VLOOKUP(VLOOKUP($B8,'40Trips'!$A$3:$I$42,4,FALSE),'40Trips'!$J$11:$P$14,3,FALSE))),1,0)</f>
        <v>0</v>
      </c>
      <c r="Q8">
        <f>IF(AND(VLOOKUP(Q$1,'40Trips'!$A$3:$I$42,8,FALSE) - VLOOKUP($B8,'40Trips'!$A$3:$I$42,9,FALSE) &gt;= ('40Trips'!$B$43+VLOOKUP(VLOOKUP($B8,'40Trips'!$A$3:$I$42,4,FALSE),'40Trips'!$J$11:$P$14,3,FALSE))),1,0)</f>
        <v>0</v>
      </c>
      <c r="R8">
        <f>IF(AND(VLOOKUP(R$1,'40Trips'!$A$3:$I$42,8,FALSE) - VLOOKUP($B8,'40Trips'!$A$3:$I$42,9,FALSE) &gt;= ('40Trips'!$B$43+VLOOKUP(VLOOKUP($B8,'40Trips'!$A$3:$I$42,4,FALSE),'40Trips'!$J$11:$P$14,3,FALSE))),1,0)</f>
        <v>0</v>
      </c>
      <c r="S8">
        <f>IF(AND(VLOOKUP(S$1,'40Trips'!$A$3:$I$42,8,FALSE) - VLOOKUP($B8,'40Trips'!$A$3:$I$42,9,FALSE) &gt;= ('40Trips'!$B$43+VLOOKUP(VLOOKUP($B8,'40Trips'!$A$3:$I$42,4,FALSE),'40Trips'!$J$11:$P$14,3,FALSE))),1,0)</f>
        <v>1</v>
      </c>
      <c r="T8">
        <f>IF(AND(VLOOKUP(T$1,'40Trips'!$A$3:$I$42,8,FALSE) - VLOOKUP($B8,'40Trips'!$A$3:$I$42,9,FALSE) &gt;= ('40Trips'!$B$43+VLOOKUP(VLOOKUP($B8,'40Trips'!$A$3:$I$42,4,FALSE),'40Trips'!$J$11:$P$14,3,FALSE))),1,0)</f>
        <v>0</v>
      </c>
      <c r="U8">
        <f>IF(AND(VLOOKUP(U$1,'40Trips'!$A$3:$I$42,8,FALSE) - VLOOKUP($B8,'40Trips'!$A$3:$I$42,9,FALSE) &gt;= ('40Trips'!$B$43+VLOOKUP(VLOOKUP($B8,'40Trips'!$A$3:$I$42,4,FALSE),'40Trips'!$J$11:$P$14,3,FALSE))),1,0)</f>
        <v>0</v>
      </c>
      <c r="V8">
        <f>IF(AND(VLOOKUP(V$1,'40Trips'!$A$3:$I$42,8,FALSE) - VLOOKUP($B8,'40Trips'!$A$3:$I$42,9,FALSE) &gt;= ('40Trips'!$B$43+VLOOKUP(VLOOKUP($B8,'40Trips'!$A$3:$I$42,4,FALSE),'40Trips'!$J$11:$P$14,3,FALSE))),1,0)</f>
        <v>0</v>
      </c>
      <c r="W8">
        <f>IF(AND(VLOOKUP(W$1,'40Trips'!$A$3:$I$42,8,FALSE) - VLOOKUP($B8,'40Trips'!$A$3:$I$42,9,FALSE) &gt;= ('40Trips'!$B$43+VLOOKUP(VLOOKUP($B8,'40Trips'!$A$3:$I$42,4,FALSE),'40Trips'!$J$11:$P$14,3,FALSE))),1,0)</f>
        <v>1</v>
      </c>
      <c r="X8">
        <f>IF(AND(VLOOKUP(X$1,'40Trips'!$A$3:$I$42,8,FALSE) - VLOOKUP($B8,'40Trips'!$A$3:$I$42,9,FALSE) &gt;= ('40Trips'!$B$43+VLOOKUP(VLOOKUP($B8,'40Trips'!$A$3:$I$42,4,FALSE),'40Trips'!$J$11:$P$14,3,FALSE))),1,0)</f>
        <v>0</v>
      </c>
      <c r="Y8">
        <f>IF(AND(VLOOKUP(Y$1,'40Trips'!$A$3:$I$42,8,FALSE) - VLOOKUP($B8,'40Trips'!$A$3:$I$42,9,FALSE) &gt;= ('40Trips'!$B$43+VLOOKUP(VLOOKUP($B8,'40Trips'!$A$3:$I$42,4,FALSE),'40Trips'!$J$11:$P$14,3,FALSE))),1,0)</f>
        <v>0</v>
      </c>
      <c r="Z8">
        <f>IF(AND(VLOOKUP(Z$1,'40Trips'!$A$3:$I$42,8,FALSE) - VLOOKUP($B8,'40Trips'!$A$3:$I$42,9,FALSE) &gt;= ('40Trips'!$B$43+VLOOKUP(VLOOKUP($B8,'40Trips'!$A$3:$I$42,4,FALSE),'40Trips'!$J$11:$P$14,3,FALSE))),1,0)</f>
        <v>0</v>
      </c>
      <c r="AA8">
        <f>IF(AND(VLOOKUP(AA$1,'40Trips'!$A$3:$I$42,8,FALSE) - VLOOKUP($B8,'40Trips'!$A$3:$I$42,9,FALSE) &gt;= ('40Trips'!$B$43+VLOOKUP(VLOOKUP($B8,'40Trips'!$A$3:$I$42,4,FALSE),'40Trips'!$J$11:$P$14,3,FALSE))),1,0)</f>
        <v>1</v>
      </c>
      <c r="AB8">
        <f>IF(AND(VLOOKUP(AB$1,'40Trips'!$A$3:$I$42,8,FALSE) - VLOOKUP($B8,'40Trips'!$A$3:$I$42,9,FALSE) &gt;= ('40Trips'!$B$43+VLOOKUP(VLOOKUP($B8,'40Trips'!$A$3:$I$42,4,FALSE),'40Trips'!$J$11:$P$14,3,FALSE))),1,0)</f>
        <v>0</v>
      </c>
      <c r="AC8">
        <f>IF(AND(VLOOKUP(AC$1,'40Trips'!$A$3:$I$42,8,FALSE) - VLOOKUP($B8,'40Trips'!$A$3:$I$42,9,FALSE) &gt;= ('40Trips'!$B$43+VLOOKUP(VLOOKUP($B8,'40Trips'!$A$3:$I$42,4,FALSE),'40Trips'!$J$11:$P$14,3,FALSE))),1,0)</f>
        <v>0</v>
      </c>
      <c r="AD8">
        <f>IF(AND(VLOOKUP(AD$1,'40Trips'!$A$3:$I$42,8,FALSE) - VLOOKUP($B8,'40Trips'!$A$3:$I$42,9,FALSE) &gt;= ('40Trips'!$B$43+VLOOKUP(VLOOKUP($B8,'40Trips'!$A$3:$I$42,4,FALSE),'40Trips'!$J$11:$P$14,3,FALSE))),1,0)</f>
        <v>1</v>
      </c>
      <c r="AE8">
        <f>IF(AND(VLOOKUP(AE$1,'40Trips'!$A$3:$I$42,8,FALSE) - VLOOKUP($B8,'40Trips'!$A$3:$I$42,9,FALSE) &gt;= ('40Trips'!$B$43+VLOOKUP(VLOOKUP($B8,'40Trips'!$A$3:$I$42,4,FALSE),'40Trips'!$J$11:$P$14,3,FALSE))),1,0)</f>
        <v>1</v>
      </c>
      <c r="AF8">
        <f>IF(AND(VLOOKUP(AF$1,'40Trips'!$A$3:$I$42,8,FALSE) - VLOOKUP($B8,'40Trips'!$A$3:$I$42,9,FALSE) &gt;= ('40Trips'!$B$43+VLOOKUP(VLOOKUP($B8,'40Trips'!$A$3:$I$42,4,FALSE),'40Trips'!$J$11:$P$14,3,FALSE))),1,0)</f>
        <v>0</v>
      </c>
      <c r="AG8">
        <f>IF(AND(VLOOKUP(AG$1,'40Trips'!$A$3:$I$42,8,FALSE) - VLOOKUP($B8,'40Trips'!$A$3:$I$42,9,FALSE) &gt;= ('40Trips'!$B$43+VLOOKUP(VLOOKUP($B8,'40Trips'!$A$3:$I$42,4,FALSE),'40Trips'!$J$11:$P$14,3,FALSE))),1,0)</f>
        <v>0</v>
      </c>
      <c r="AH8">
        <f>IF(AND(VLOOKUP(AH$1,'40Trips'!$A$3:$I$42,8,FALSE) - VLOOKUP($B8,'40Trips'!$A$3:$I$42,9,FALSE) &gt;= ('40Trips'!$B$43+VLOOKUP(VLOOKUP($B8,'40Trips'!$A$3:$I$42,4,FALSE),'40Trips'!$J$11:$P$14,3,FALSE))),1,0)</f>
        <v>0</v>
      </c>
      <c r="AI8">
        <f>IF(AND(VLOOKUP(AI$1,'40Trips'!$A$3:$I$42,8,FALSE) - VLOOKUP($B8,'40Trips'!$A$3:$I$42,9,FALSE) &gt;= ('40Trips'!$B$43+VLOOKUP(VLOOKUP($B8,'40Trips'!$A$3:$I$42,4,FALSE),'40Trips'!$J$11:$P$14,3,FALSE))),1,0)</f>
        <v>0</v>
      </c>
      <c r="AJ8">
        <f>IF(AND(VLOOKUP(AJ$1,'40Trips'!$A$3:$I$42,8,FALSE) - VLOOKUP($B8,'40Trips'!$A$3:$I$42,9,FALSE) &gt;= ('40Trips'!$B$43+VLOOKUP(VLOOKUP($B8,'40Trips'!$A$3:$I$42,4,FALSE),'40Trips'!$J$11:$P$14,3,FALSE))),1,0)</f>
        <v>0</v>
      </c>
      <c r="AK8">
        <f>IF(AND(VLOOKUP(AK$1,'40Trips'!$A$3:$I$42,8,FALSE) - VLOOKUP($B8,'40Trips'!$A$3:$I$42,9,FALSE) &gt;= ('40Trips'!$B$43+VLOOKUP(VLOOKUP($B8,'40Trips'!$A$3:$I$42,4,FALSE),'40Trips'!$J$11:$P$14,3,FALSE))),1,0)</f>
        <v>0</v>
      </c>
      <c r="AL8">
        <f>IF(AND(VLOOKUP(AL$1,'40Trips'!$A$3:$I$42,8,FALSE) - VLOOKUP($B8,'40Trips'!$A$3:$I$42,9,FALSE) &gt;= ('40Trips'!$B$43+VLOOKUP(VLOOKUP($B8,'40Trips'!$A$3:$I$42,4,FALSE),'40Trips'!$J$11:$P$14,3,FALSE))),1,0)</f>
        <v>0</v>
      </c>
      <c r="AM8">
        <f>IF(AND(VLOOKUP(AM$1,'40Trips'!$A$3:$I$42,8,FALSE) - VLOOKUP($B8,'40Trips'!$A$3:$I$42,9,FALSE) &gt;= ('40Trips'!$B$43+VLOOKUP(VLOOKUP($B8,'40Trips'!$A$3:$I$42,4,FALSE),'40Trips'!$J$11:$P$14,3,FALSE))),1,0)</f>
        <v>1</v>
      </c>
      <c r="AN8">
        <f>IF(AND(VLOOKUP(AN$1,'40Trips'!$A$3:$I$42,8,FALSE) - VLOOKUP($B8,'40Trips'!$A$3:$I$42,9,FALSE) &gt;= ('40Trips'!$B$43+VLOOKUP(VLOOKUP($B8,'40Trips'!$A$3:$I$42,4,FALSE),'40Trips'!$J$11:$P$14,3,FALSE))),1,0)</f>
        <v>0</v>
      </c>
      <c r="AO8">
        <f>IF(AND(VLOOKUP(AO$1,'40Trips'!$A$3:$I$42,8,FALSE) - VLOOKUP($B8,'40Trips'!$A$3:$I$42,9,FALSE) &gt;= ('40Trips'!$B$43+VLOOKUP(VLOOKUP($B8,'40Trips'!$A$3:$I$42,4,FALSE),'40Trips'!$J$11:$P$14,3,FALSE))),1,0)</f>
        <v>0</v>
      </c>
      <c r="AP8">
        <f>IF(AND(VLOOKUP(AP$1,'40Trips'!$A$3:$I$42,8,FALSE) - VLOOKUP($B8,'40Trips'!$A$3:$I$42,9,FALSE) &gt;= ('40Trips'!$B$43+VLOOKUP(VLOOKUP($B8,'40Trips'!$A$3:$I$42,4,FALSE),'40Trips'!$J$11:$P$14,3,FALSE))),1,0)</f>
        <v>0</v>
      </c>
      <c r="AQ8">
        <f>IF(AND(VLOOKUP(AQ$1,'40Trips'!$A$3:$I$42,8,FALSE) - VLOOKUP($B8,'40Trips'!$A$3:$I$42,9,FALSE) &gt;= ('40Trips'!$B$43+VLOOKUP(VLOOKUP($B8,'40Trips'!$A$3:$I$42,4,FALSE),'40Trips'!$J$11:$P$14,3,FALSE))),1,0)</f>
        <v>1</v>
      </c>
    </row>
    <row r="9" spans="1:43" x14ac:dyDescent="0.25">
      <c r="A9" t="s">
        <v>48</v>
      </c>
      <c r="B9" t="s">
        <v>21</v>
      </c>
      <c r="C9">
        <v>0</v>
      </c>
      <c r="D9">
        <f>IF(AND(VLOOKUP(D$1,'40Trips'!$A$3:$I$42,8,FALSE) - VLOOKUP($B9,'40Trips'!$A$3:$I$42,9,FALSE) &gt;= ('40Trips'!$B$43+VLOOKUP(VLOOKUP($B9,'40Trips'!$A$3:$I$42,4,FALSE),'40Trips'!$J$11:$P$14,3,FALSE))),1,0)</f>
        <v>0</v>
      </c>
      <c r="E9">
        <f>IF(AND(VLOOKUP(E$1,'40Trips'!$A$3:$I$42,8,FALSE) - VLOOKUP($B9,'40Trips'!$A$3:$I$42,9,FALSE) &gt;= ('40Trips'!$B$43+VLOOKUP(VLOOKUP($B9,'40Trips'!$A$3:$I$42,4,FALSE),'40Trips'!$J$11:$P$14,3,FALSE))),1,0)</f>
        <v>0</v>
      </c>
      <c r="F9">
        <f>IF(AND(VLOOKUP(F$1,'40Trips'!$A$3:$I$42,8,FALSE) - VLOOKUP($B9,'40Trips'!$A$3:$I$42,9,FALSE) &gt;= ('40Trips'!$B$43+VLOOKUP(VLOOKUP($B9,'40Trips'!$A$3:$I$42,4,FALSE),'40Trips'!$J$11:$P$14,3,FALSE))),1,0)</f>
        <v>0</v>
      </c>
      <c r="G9">
        <f>IF(AND(VLOOKUP(G$1,'40Trips'!$A$3:$I$42,8,FALSE) - VLOOKUP($B9,'40Trips'!$A$3:$I$42,9,FALSE) &gt;= ('40Trips'!$B$43+VLOOKUP(VLOOKUP($B9,'40Trips'!$A$3:$I$42,4,FALSE),'40Trips'!$J$11:$P$14,3,FALSE))),1,0)</f>
        <v>0</v>
      </c>
      <c r="H9">
        <f>IF(AND(VLOOKUP(H$1,'40Trips'!$A$3:$I$42,8,FALSE) - VLOOKUP($B9,'40Trips'!$A$3:$I$42,9,FALSE) &gt;= ('40Trips'!$B$43+VLOOKUP(VLOOKUP($B9,'40Trips'!$A$3:$I$42,4,FALSE),'40Trips'!$J$11:$P$14,3,FALSE))),1,0)</f>
        <v>0</v>
      </c>
      <c r="I9">
        <f>IF(AND(VLOOKUP(I$1,'40Trips'!$A$3:$I$42,8,FALSE) - VLOOKUP($B9,'40Trips'!$A$3:$I$42,9,FALSE) &gt;= ('40Trips'!$B$43+VLOOKUP(VLOOKUP($B9,'40Trips'!$A$3:$I$42,4,FALSE),'40Trips'!$J$11:$P$14,3,FALSE))),1,0)</f>
        <v>0</v>
      </c>
      <c r="J9">
        <f>IF(AND(VLOOKUP(J$1,'40Trips'!$A$3:$I$42,8,FALSE) - VLOOKUP($B9,'40Trips'!$A$3:$I$42,9,FALSE) &gt;= ('40Trips'!$B$43+VLOOKUP(VLOOKUP($B9,'40Trips'!$A$3:$I$42,4,FALSE),'40Trips'!$J$11:$P$14,3,FALSE))),1,0)</f>
        <v>0</v>
      </c>
      <c r="K9">
        <f>IF(AND(VLOOKUP(K$1,'40Trips'!$A$3:$I$42,8,FALSE) - VLOOKUP($B9,'40Trips'!$A$3:$I$42,9,FALSE) &gt;= ('40Trips'!$B$43+VLOOKUP(VLOOKUP($B9,'40Trips'!$A$3:$I$42,4,FALSE),'40Trips'!$J$11:$P$14,3,FALSE))),1,0)</f>
        <v>1</v>
      </c>
      <c r="L9">
        <f>IF(AND(VLOOKUP(L$1,'40Trips'!$A$3:$I$42,8,FALSE) - VLOOKUP($B9,'40Trips'!$A$3:$I$42,9,FALSE) &gt;= ('40Trips'!$B$43+VLOOKUP(VLOOKUP($B9,'40Trips'!$A$3:$I$42,4,FALSE),'40Trips'!$J$11:$P$14,3,FALSE))),1,0)</f>
        <v>0</v>
      </c>
      <c r="M9">
        <f>IF(AND(VLOOKUP(M$1,'40Trips'!$A$3:$I$42,8,FALSE) - VLOOKUP($B9,'40Trips'!$A$3:$I$42,9,FALSE) &gt;= ('40Trips'!$B$43+VLOOKUP(VLOOKUP($B9,'40Trips'!$A$3:$I$42,4,FALSE),'40Trips'!$J$11:$P$14,3,FALSE))),1,0)</f>
        <v>0</v>
      </c>
      <c r="N9">
        <f>IF(AND(VLOOKUP(N$1,'40Trips'!$A$3:$I$42,8,FALSE) - VLOOKUP($B9,'40Trips'!$A$3:$I$42,9,FALSE) &gt;= ('40Trips'!$B$43+VLOOKUP(VLOOKUP($B9,'40Trips'!$A$3:$I$42,4,FALSE),'40Trips'!$J$11:$P$14,3,FALSE))),1,0)</f>
        <v>0</v>
      </c>
      <c r="O9">
        <f>IF(AND(VLOOKUP(O$1,'40Trips'!$A$3:$I$42,8,FALSE) - VLOOKUP($B9,'40Trips'!$A$3:$I$42,9,FALSE) &gt;= ('40Trips'!$B$43+VLOOKUP(VLOOKUP($B9,'40Trips'!$A$3:$I$42,4,FALSE),'40Trips'!$J$11:$P$14,3,FALSE))),1,0)</f>
        <v>0</v>
      </c>
      <c r="P9">
        <f>IF(AND(VLOOKUP(P$1,'40Trips'!$A$3:$I$42,8,FALSE) - VLOOKUP($B9,'40Trips'!$A$3:$I$42,9,FALSE) &gt;= ('40Trips'!$B$43+VLOOKUP(VLOOKUP($B9,'40Trips'!$A$3:$I$42,4,FALSE),'40Trips'!$J$11:$P$14,3,FALSE))),1,0)</f>
        <v>0</v>
      </c>
      <c r="Q9">
        <f>IF(AND(VLOOKUP(Q$1,'40Trips'!$A$3:$I$42,8,FALSE) - VLOOKUP($B9,'40Trips'!$A$3:$I$42,9,FALSE) &gt;= ('40Trips'!$B$43+VLOOKUP(VLOOKUP($B9,'40Trips'!$A$3:$I$42,4,FALSE),'40Trips'!$J$11:$P$14,3,FALSE))),1,0)</f>
        <v>0</v>
      </c>
      <c r="R9">
        <f>IF(AND(VLOOKUP(R$1,'40Trips'!$A$3:$I$42,8,FALSE) - VLOOKUP($B9,'40Trips'!$A$3:$I$42,9,FALSE) &gt;= ('40Trips'!$B$43+VLOOKUP(VLOOKUP($B9,'40Trips'!$A$3:$I$42,4,FALSE),'40Trips'!$J$11:$P$14,3,FALSE))),1,0)</f>
        <v>0</v>
      </c>
      <c r="S9">
        <f>IF(AND(VLOOKUP(S$1,'40Trips'!$A$3:$I$42,8,FALSE) - VLOOKUP($B9,'40Trips'!$A$3:$I$42,9,FALSE) &gt;= ('40Trips'!$B$43+VLOOKUP(VLOOKUP($B9,'40Trips'!$A$3:$I$42,4,FALSE),'40Trips'!$J$11:$P$14,3,FALSE))),1,0)</f>
        <v>0</v>
      </c>
      <c r="T9">
        <f>IF(AND(VLOOKUP(T$1,'40Trips'!$A$3:$I$42,8,FALSE) - VLOOKUP($B9,'40Trips'!$A$3:$I$42,9,FALSE) &gt;= ('40Trips'!$B$43+VLOOKUP(VLOOKUP($B9,'40Trips'!$A$3:$I$42,4,FALSE),'40Trips'!$J$11:$P$14,3,FALSE))),1,0)</f>
        <v>0</v>
      </c>
      <c r="U9">
        <f>IF(AND(VLOOKUP(U$1,'40Trips'!$A$3:$I$42,8,FALSE) - VLOOKUP($B9,'40Trips'!$A$3:$I$42,9,FALSE) &gt;= ('40Trips'!$B$43+VLOOKUP(VLOOKUP($B9,'40Trips'!$A$3:$I$42,4,FALSE),'40Trips'!$J$11:$P$14,3,FALSE))),1,0)</f>
        <v>0</v>
      </c>
      <c r="V9">
        <f>IF(AND(VLOOKUP(V$1,'40Trips'!$A$3:$I$42,8,FALSE) - VLOOKUP($B9,'40Trips'!$A$3:$I$42,9,FALSE) &gt;= ('40Trips'!$B$43+VLOOKUP(VLOOKUP($B9,'40Trips'!$A$3:$I$42,4,FALSE),'40Trips'!$J$11:$P$14,3,FALSE))),1,0)</f>
        <v>0</v>
      </c>
      <c r="W9">
        <f>IF(AND(VLOOKUP(W$1,'40Trips'!$A$3:$I$42,8,FALSE) - VLOOKUP($B9,'40Trips'!$A$3:$I$42,9,FALSE) &gt;= ('40Trips'!$B$43+VLOOKUP(VLOOKUP($B9,'40Trips'!$A$3:$I$42,4,FALSE),'40Trips'!$J$11:$P$14,3,FALSE))),1,0)</f>
        <v>0</v>
      </c>
      <c r="X9">
        <f>IF(AND(VLOOKUP(X$1,'40Trips'!$A$3:$I$42,8,FALSE) - VLOOKUP($B9,'40Trips'!$A$3:$I$42,9,FALSE) &gt;= ('40Trips'!$B$43+VLOOKUP(VLOOKUP($B9,'40Trips'!$A$3:$I$42,4,FALSE),'40Trips'!$J$11:$P$14,3,FALSE))),1,0)</f>
        <v>0</v>
      </c>
      <c r="Y9">
        <f>IF(AND(VLOOKUP(Y$1,'40Trips'!$A$3:$I$42,8,FALSE) - VLOOKUP($B9,'40Trips'!$A$3:$I$42,9,FALSE) &gt;= ('40Trips'!$B$43+VLOOKUP(VLOOKUP($B9,'40Trips'!$A$3:$I$42,4,FALSE),'40Trips'!$J$11:$P$14,3,FALSE))),1,0)</f>
        <v>0</v>
      </c>
      <c r="Z9">
        <f>IF(AND(VLOOKUP(Z$1,'40Trips'!$A$3:$I$42,8,FALSE) - VLOOKUP($B9,'40Trips'!$A$3:$I$42,9,FALSE) &gt;= ('40Trips'!$B$43+VLOOKUP(VLOOKUP($B9,'40Trips'!$A$3:$I$42,4,FALSE),'40Trips'!$J$11:$P$14,3,FALSE))),1,0)</f>
        <v>0</v>
      </c>
      <c r="AA9">
        <f>IF(AND(VLOOKUP(AA$1,'40Trips'!$A$3:$I$42,8,FALSE) - VLOOKUP($B9,'40Trips'!$A$3:$I$42,9,FALSE) &gt;= ('40Trips'!$B$43+VLOOKUP(VLOOKUP($B9,'40Trips'!$A$3:$I$42,4,FALSE),'40Trips'!$J$11:$P$14,3,FALSE))),1,0)</f>
        <v>0</v>
      </c>
      <c r="AB9">
        <f>IF(AND(VLOOKUP(AB$1,'40Trips'!$A$3:$I$42,8,FALSE) - VLOOKUP($B9,'40Trips'!$A$3:$I$42,9,FALSE) &gt;= ('40Trips'!$B$43+VLOOKUP(VLOOKUP($B9,'40Trips'!$A$3:$I$42,4,FALSE),'40Trips'!$J$11:$P$14,3,FALSE))),1,0)</f>
        <v>0</v>
      </c>
      <c r="AC9">
        <f>IF(AND(VLOOKUP(AC$1,'40Trips'!$A$3:$I$42,8,FALSE) - VLOOKUP($B9,'40Trips'!$A$3:$I$42,9,FALSE) &gt;= ('40Trips'!$B$43+VLOOKUP(VLOOKUP($B9,'40Trips'!$A$3:$I$42,4,FALSE),'40Trips'!$J$11:$P$14,3,FALSE))),1,0)</f>
        <v>0</v>
      </c>
      <c r="AD9">
        <f>IF(AND(VLOOKUP(AD$1,'40Trips'!$A$3:$I$42,8,FALSE) - VLOOKUP($B9,'40Trips'!$A$3:$I$42,9,FALSE) &gt;= ('40Trips'!$B$43+VLOOKUP(VLOOKUP($B9,'40Trips'!$A$3:$I$42,4,FALSE),'40Trips'!$J$11:$P$14,3,FALSE))),1,0)</f>
        <v>0</v>
      </c>
      <c r="AE9">
        <f>IF(AND(VLOOKUP(AE$1,'40Trips'!$A$3:$I$42,8,FALSE) - VLOOKUP($B9,'40Trips'!$A$3:$I$42,9,FALSE) &gt;= ('40Trips'!$B$43+VLOOKUP(VLOOKUP($B9,'40Trips'!$A$3:$I$42,4,FALSE),'40Trips'!$J$11:$P$14,3,FALSE))),1,0)</f>
        <v>0</v>
      </c>
      <c r="AF9">
        <f>IF(AND(VLOOKUP(AF$1,'40Trips'!$A$3:$I$42,8,FALSE) - VLOOKUP($B9,'40Trips'!$A$3:$I$42,9,FALSE) &gt;= ('40Trips'!$B$43+VLOOKUP(VLOOKUP($B9,'40Trips'!$A$3:$I$42,4,FALSE),'40Trips'!$J$11:$P$14,3,FALSE))),1,0)</f>
        <v>0</v>
      </c>
      <c r="AG9">
        <f>IF(AND(VLOOKUP(AG$1,'40Trips'!$A$3:$I$42,8,FALSE) - VLOOKUP($B9,'40Trips'!$A$3:$I$42,9,FALSE) &gt;= ('40Trips'!$B$43+VLOOKUP(VLOOKUP($B9,'40Trips'!$A$3:$I$42,4,FALSE),'40Trips'!$J$11:$P$14,3,FALSE))),1,0)</f>
        <v>0</v>
      </c>
      <c r="AH9">
        <f>IF(AND(VLOOKUP(AH$1,'40Trips'!$A$3:$I$42,8,FALSE) - VLOOKUP($B9,'40Trips'!$A$3:$I$42,9,FALSE) &gt;= ('40Trips'!$B$43+VLOOKUP(VLOOKUP($B9,'40Trips'!$A$3:$I$42,4,FALSE),'40Trips'!$J$11:$P$14,3,FALSE))),1,0)</f>
        <v>0</v>
      </c>
      <c r="AI9">
        <f>IF(AND(VLOOKUP(AI$1,'40Trips'!$A$3:$I$42,8,FALSE) - VLOOKUP($B9,'40Trips'!$A$3:$I$42,9,FALSE) &gt;= ('40Trips'!$B$43+VLOOKUP(VLOOKUP($B9,'40Trips'!$A$3:$I$42,4,FALSE),'40Trips'!$J$11:$P$14,3,FALSE))),1,0)</f>
        <v>0</v>
      </c>
      <c r="AJ9">
        <f>IF(AND(VLOOKUP(AJ$1,'40Trips'!$A$3:$I$42,8,FALSE) - VLOOKUP($B9,'40Trips'!$A$3:$I$42,9,FALSE) &gt;= ('40Trips'!$B$43+VLOOKUP(VLOOKUP($B9,'40Trips'!$A$3:$I$42,4,FALSE),'40Trips'!$J$11:$P$14,3,FALSE))),1,0)</f>
        <v>0</v>
      </c>
      <c r="AK9">
        <f>IF(AND(VLOOKUP(AK$1,'40Trips'!$A$3:$I$42,8,FALSE) - VLOOKUP($B9,'40Trips'!$A$3:$I$42,9,FALSE) &gt;= ('40Trips'!$B$43+VLOOKUP(VLOOKUP($B9,'40Trips'!$A$3:$I$42,4,FALSE),'40Trips'!$J$11:$P$14,3,FALSE))),1,0)</f>
        <v>0</v>
      </c>
      <c r="AL9">
        <f>IF(AND(VLOOKUP(AL$1,'40Trips'!$A$3:$I$42,8,FALSE) - VLOOKUP($B9,'40Trips'!$A$3:$I$42,9,FALSE) &gt;= ('40Trips'!$B$43+VLOOKUP(VLOOKUP($B9,'40Trips'!$A$3:$I$42,4,FALSE),'40Trips'!$J$11:$P$14,3,FALSE))),1,0)</f>
        <v>0</v>
      </c>
      <c r="AM9">
        <f>IF(AND(VLOOKUP(AM$1,'40Trips'!$A$3:$I$42,8,FALSE) - VLOOKUP($B9,'40Trips'!$A$3:$I$42,9,FALSE) &gt;= ('40Trips'!$B$43+VLOOKUP(VLOOKUP($B9,'40Trips'!$A$3:$I$42,4,FALSE),'40Trips'!$J$11:$P$14,3,FALSE))),1,0)</f>
        <v>0</v>
      </c>
      <c r="AN9">
        <f>IF(AND(VLOOKUP(AN$1,'40Trips'!$A$3:$I$42,8,FALSE) - VLOOKUP($B9,'40Trips'!$A$3:$I$42,9,FALSE) &gt;= ('40Trips'!$B$43+VLOOKUP(VLOOKUP($B9,'40Trips'!$A$3:$I$42,4,FALSE),'40Trips'!$J$11:$P$14,3,FALSE))),1,0)</f>
        <v>0</v>
      </c>
      <c r="AO9">
        <f>IF(AND(VLOOKUP(AO$1,'40Trips'!$A$3:$I$42,8,FALSE) - VLOOKUP($B9,'40Trips'!$A$3:$I$42,9,FALSE) &gt;= ('40Trips'!$B$43+VLOOKUP(VLOOKUP($B9,'40Trips'!$A$3:$I$42,4,FALSE),'40Trips'!$J$11:$P$14,3,FALSE))),1,0)</f>
        <v>0</v>
      </c>
      <c r="AP9">
        <f>IF(AND(VLOOKUP(AP$1,'40Trips'!$A$3:$I$42,8,FALSE) - VLOOKUP($B9,'40Trips'!$A$3:$I$42,9,FALSE) &gt;= ('40Trips'!$B$43+VLOOKUP(VLOOKUP($B9,'40Trips'!$A$3:$I$42,4,FALSE),'40Trips'!$J$11:$P$14,3,FALSE))),1,0)</f>
        <v>0</v>
      </c>
      <c r="AQ9">
        <f>IF(AND(VLOOKUP(AQ$1,'40Trips'!$A$3:$I$42,8,FALSE) - VLOOKUP($B9,'40Trips'!$A$3:$I$42,9,FALSE) &gt;= ('40Trips'!$B$43+VLOOKUP(VLOOKUP($B9,'40Trips'!$A$3:$I$42,4,FALSE),'40Trips'!$J$11:$P$14,3,FALSE))),1,0)</f>
        <v>0</v>
      </c>
    </row>
    <row r="10" spans="1:43" x14ac:dyDescent="0.25">
      <c r="A10" t="s">
        <v>48</v>
      </c>
      <c r="B10" t="s">
        <v>22</v>
      </c>
      <c r="C10">
        <v>0</v>
      </c>
      <c r="D10">
        <f>IF(AND(VLOOKUP(D$1,'40Trips'!$A$3:$I$42,8,FALSE) - VLOOKUP($B10,'40Trips'!$A$3:$I$42,9,FALSE) &gt;= ('40Trips'!$B$43+VLOOKUP(VLOOKUP($B10,'40Trips'!$A$3:$I$42,4,FALSE),'40Trips'!$J$11:$P$14,3,FALSE))),1,0)</f>
        <v>0</v>
      </c>
      <c r="E10">
        <f>IF(AND(VLOOKUP(E$1,'40Trips'!$A$3:$I$42,8,FALSE) - VLOOKUP($B10,'40Trips'!$A$3:$I$42,9,FALSE) &gt;= ('40Trips'!$B$43+VLOOKUP(VLOOKUP($B10,'40Trips'!$A$3:$I$42,4,FALSE),'40Trips'!$J$11:$P$14,3,FALSE))),1,0)</f>
        <v>0</v>
      </c>
      <c r="F10">
        <f>IF(AND(VLOOKUP(F$1,'40Trips'!$A$3:$I$42,8,FALSE) - VLOOKUP($B10,'40Trips'!$A$3:$I$42,9,FALSE) &gt;= ('40Trips'!$B$43+VLOOKUP(VLOOKUP($B10,'40Trips'!$A$3:$I$42,4,FALSE),'40Trips'!$J$11:$P$14,3,FALSE))),1,0)</f>
        <v>0</v>
      </c>
      <c r="G10">
        <f>IF(AND(VLOOKUP(G$1,'40Trips'!$A$3:$I$42,8,FALSE) - VLOOKUP($B10,'40Trips'!$A$3:$I$42,9,FALSE) &gt;= ('40Trips'!$B$43+VLOOKUP(VLOOKUP($B10,'40Trips'!$A$3:$I$42,4,FALSE),'40Trips'!$J$11:$P$14,3,FALSE))),1,0)</f>
        <v>0</v>
      </c>
      <c r="H10">
        <f>IF(AND(VLOOKUP(H$1,'40Trips'!$A$3:$I$42,8,FALSE) - VLOOKUP($B10,'40Trips'!$A$3:$I$42,9,FALSE) &gt;= ('40Trips'!$B$43+VLOOKUP(VLOOKUP($B10,'40Trips'!$A$3:$I$42,4,FALSE),'40Trips'!$J$11:$P$14,3,FALSE))),1,0)</f>
        <v>0</v>
      </c>
      <c r="I10">
        <f>IF(AND(VLOOKUP(I$1,'40Trips'!$A$3:$I$42,8,FALSE) - VLOOKUP($B10,'40Trips'!$A$3:$I$42,9,FALSE) &gt;= ('40Trips'!$B$43+VLOOKUP(VLOOKUP($B10,'40Trips'!$A$3:$I$42,4,FALSE),'40Trips'!$J$11:$P$14,3,FALSE))),1,0)</f>
        <v>0</v>
      </c>
      <c r="J10">
        <f>IF(AND(VLOOKUP(J$1,'40Trips'!$A$3:$I$42,8,FALSE) - VLOOKUP($B10,'40Trips'!$A$3:$I$42,9,FALSE) &gt;= ('40Trips'!$B$43+VLOOKUP(VLOOKUP($B10,'40Trips'!$A$3:$I$42,4,FALSE),'40Trips'!$J$11:$P$14,3,FALSE))),1,0)</f>
        <v>0</v>
      </c>
      <c r="K10">
        <f>IF(AND(VLOOKUP(K$1,'40Trips'!$A$3:$I$42,8,FALSE) - VLOOKUP($B10,'40Trips'!$A$3:$I$42,9,FALSE) &gt;= ('40Trips'!$B$43+VLOOKUP(VLOOKUP($B10,'40Trips'!$A$3:$I$42,4,FALSE),'40Trips'!$J$11:$P$14,3,FALSE))),1,0)</f>
        <v>0</v>
      </c>
      <c r="L10">
        <f>IF(AND(VLOOKUP(L$1,'40Trips'!$A$3:$I$42,8,FALSE) - VLOOKUP($B10,'40Trips'!$A$3:$I$42,9,FALSE) &gt;= ('40Trips'!$B$43+VLOOKUP(VLOOKUP($B10,'40Trips'!$A$3:$I$42,4,FALSE),'40Trips'!$J$11:$P$14,3,FALSE))),1,0)</f>
        <v>0</v>
      </c>
      <c r="M10">
        <f>IF(AND(VLOOKUP(M$1,'40Trips'!$A$3:$I$42,8,FALSE) - VLOOKUP($B10,'40Trips'!$A$3:$I$42,9,FALSE) &gt;= ('40Trips'!$B$43+VLOOKUP(VLOOKUP($B10,'40Trips'!$A$3:$I$42,4,FALSE),'40Trips'!$J$11:$P$14,3,FALSE))),1,0)</f>
        <v>0</v>
      </c>
      <c r="N10">
        <f>IF(AND(VLOOKUP(N$1,'40Trips'!$A$3:$I$42,8,FALSE) - VLOOKUP($B10,'40Trips'!$A$3:$I$42,9,FALSE) &gt;= ('40Trips'!$B$43+VLOOKUP(VLOOKUP($B10,'40Trips'!$A$3:$I$42,4,FALSE),'40Trips'!$J$11:$P$14,3,FALSE))),1,0)</f>
        <v>0</v>
      </c>
      <c r="O10">
        <f>IF(AND(VLOOKUP(O$1,'40Trips'!$A$3:$I$42,8,FALSE) - VLOOKUP($B10,'40Trips'!$A$3:$I$42,9,FALSE) &gt;= ('40Trips'!$B$43+VLOOKUP(VLOOKUP($B10,'40Trips'!$A$3:$I$42,4,FALSE),'40Trips'!$J$11:$P$14,3,FALSE))),1,0)</f>
        <v>0</v>
      </c>
      <c r="P10">
        <f>IF(AND(VLOOKUP(P$1,'40Trips'!$A$3:$I$42,8,FALSE) - VLOOKUP($B10,'40Trips'!$A$3:$I$42,9,FALSE) &gt;= ('40Trips'!$B$43+VLOOKUP(VLOOKUP($B10,'40Trips'!$A$3:$I$42,4,FALSE),'40Trips'!$J$11:$P$14,3,FALSE))),1,0)</f>
        <v>0</v>
      </c>
      <c r="Q10">
        <f>IF(AND(VLOOKUP(Q$1,'40Trips'!$A$3:$I$42,8,FALSE) - VLOOKUP($B10,'40Trips'!$A$3:$I$42,9,FALSE) &gt;= ('40Trips'!$B$43+VLOOKUP(VLOOKUP($B10,'40Trips'!$A$3:$I$42,4,FALSE),'40Trips'!$J$11:$P$14,3,FALSE))),1,0)</f>
        <v>0</v>
      </c>
      <c r="R10">
        <f>IF(AND(VLOOKUP(R$1,'40Trips'!$A$3:$I$42,8,FALSE) - VLOOKUP($B10,'40Trips'!$A$3:$I$42,9,FALSE) &gt;= ('40Trips'!$B$43+VLOOKUP(VLOOKUP($B10,'40Trips'!$A$3:$I$42,4,FALSE),'40Trips'!$J$11:$P$14,3,FALSE))),1,0)</f>
        <v>0</v>
      </c>
      <c r="S10">
        <f>IF(AND(VLOOKUP(S$1,'40Trips'!$A$3:$I$42,8,FALSE) - VLOOKUP($B10,'40Trips'!$A$3:$I$42,9,FALSE) &gt;= ('40Trips'!$B$43+VLOOKUP(VLOOKUP($B10,'40Trips'!$A$3:$I$42,4,FALSE),'40Trips'!$J$11:$P$14,3,FALSE))),1,0)</f>
        <v>0</v>
      </c>
      <c r="T10">
        <f>IF(AND(VLOOKUP(T$1,'40Trips'!$A$3:$I$42,8,FALSE) - VLOOKUP($B10,'40Trips'!$A$3:$I$42,9,FALSE) &gt;= ('40Trips'!$B$43+VLOOKUP(VLOOKUP($B10,'40Trips'!$A$3:$I$42,4,FALSE),'40Trips'!$J$11:$P$14,3,FALSE))),1,0)</f>
        <v>0</v>
      </c>
      <c r="U10">
        <f>IF(AND(VLOOKUP(U$1,'40Trips'!$A$3:$I$42,8,FALSE) - VLOOKUP($B10,'40Trips'!$A$3:$I$42,9,FALSE) &gt;= ('40Trips'!$B$43+VLOOKUP(VLOOKUP($B10,'40Trips'!$A$3:$I$42,4,FALSE),'40Trips'!$J$11:$P$14,3,FALSE))),1,0)</f>
        <v>0</v>
      </c>
      <c r="V10">
        <f>IF(AND(VLOOKUP(V$1,'40Trips'!$A$3:$I$42,8,FALSE) - VLOOKUP($B10,'40Trips'!$A$3:$I$42,9,FALSE) &gt;= ('40Trips'!$B$43+VLOOKUP(VLOOKUP($B10,'40Trips'!$A$3:$I$42,4,FALSE),'40Trips'!$J$11:$P$14,3,FALSE))),1,0)</f>
        <v>0</v>
      </c>
      <c r="W10">
        <f>IF(AND(VLOOKUP(W$1,'40Trips'!$A$3:$I$42,8,FALSE) - VLOOKUP($B10,'40Trips'!$A$3:$I$42,9,FALSE) &gt;= ('40Trips'!$B$43+VLOOKUP(VLOOKUP($B10,'40Trips'!$A$3:$I$42,4,FALSE),'40Trips'!$J$11:$P$14,3,FALSE))),1,0)</f>
        <v>0</v>
      </c>
      <c r="X10">
        <f>IF(AND(VLOOKUP(X$1,'40Trips'!$A$3:$I$42,8,FALSE) - VLOOKUP($B10,'40Trips'!$A$3:$I$42,9,FALSE) &gt;= ('40Trips'!$B$43+VLOOKUP(VLOOKUP($B10,'40Trips'!$A$3:$I$42,4,FALSE),'40Trips'!$J$11:$P$14,3,FALSE))),1,0)</f>
        <v>0</v>
      </c>
      <c r="Y10">
        <f>IF(AND(VLOOKUP(Y$1,'40Trips'!$A$3:$I$42,8,FALSE) - VLOOKUP($B10,'40Trips'!$A$3:$I$42,9,FALSE) &gt;= ('40Trips'!$B$43+VLOOKUP(VLOOKUP($B10,'40Trips'!$A$3:$I$42,4,FALSE),'40Trips'!$J$11:$P$14,3,FALSE))),1,0)</f>
        <v>0</v>
      </c>
      <c r="Z10">
        <f>IF(AND(VLOOKUP(Z$1,'40Trips'!$A$3:$I$42,8,FALSE) - VLOOKUP($B10,'40Trips'!$A$3:$I$42,9,FALSE) &gt;= ('40Trips'!$B$43+VLOOKUP(VLOOKUP($B10,'40Trips'!$A$3:$I$42,4,FALSE),'40Trips'!$J$11:$P$14,3,FALSE))),1,0)</f>
        <v>0</v>
      </c>
      <c r="AA10">
        <f>IF(AND(VLOOKUP(AA$1,'40Trips'!$A$3:$I$42,8,FALSE) - VLOOKUP($B10,'40Trips'!$A$3:$I$42,9,FALSE) &gt;= ('40Trips'!$B$43+VLOOKUP(VLOOKUP($B10,'40Trips'!$A$3:$I$42,4,FALSE),'40Trips'!$J$11:$P$14,3,FALSE))),1,0)</f>
        <v>0</v>
      </c>
      <c r="AB10">
        <f>IF(AND(VLOOKUP(AB$1,'40Trips'!$A$3:$I$42,8,FALSE) - VLOOKUP($B10,'40Trips'!$A$3:$I$42,9,FALSE) &gt;= ('40Trips'!$B$43+VLOOKUP(VLOOKUP($B10,'40Trips'!$A$3:$I$42,4,FALSE),'40Trips'!$J$11:$P$14,3,FALSE))),1,0)</f>
        <v>0</v>
      </c>
      <c r="AC10">
        <f>IF(AND(VLOOKUP(AC$1,'40Trips'!$A$3:$I$42,8,FALSE) - VLOOKUP($B10,'40Trips'!$A$3:$I$42,9,FALSE) &gt;= ('40Trips'!$B$43+VLOOKUP(VLOOKUP($B10,'40Trips'!$A$3:$I$42,4,FALSE),'40Trips'!$J$11:$P$14,3,FALSE))),1,0)</f>
        <v>0</v>
      </c>
      <c r="AD10">
        <f>IF(AND(VLOOKUP(AD$1,'40Trips'!$A$3:$I$42,8,FALSE) - VLOOKUP($B10,'40Trips'!$A$3:$I$42,9,FALSE) &gt;= ('40Trips'!$B$43+VLOOKUP(VLOOKUP($B10,'40Trips'!$A$3:$I$42,4,FALSE),'40Trips'!$J$11:$P$14,3,FALSE))),1,0)</f>
        <v>0</v>
      </c>
      <c r="AE10">
        <f>IF(AND(VLOOKUP(AE$1,'40Trips'!$A$3:$I$42,8,FALSE) - VLOOKUP($B10,'40Trips'!$A$3:$I$42,9,FALSE) &gt;= ('40Trips'!$B$43+VLOOKUP(VLOOKUP($B10,'40Trips'!$A$3:$I$42,4,FALSE),'40Trips'!$J$11:$P$14,3,FALSE))),1,0)</f>
        <v>0</v>
      </c>
      <c r="AF10">
        <f>IF(AND(VLOOKUP(AF$1,'40Trips'!$A$3:$I$42,8,FALSE) - VLOOKUP($B10,'40Trips'!$A$3:$I$42,9,FALSE) &gt;= ('40Trips'!$B$43+VLOOKUP(VLOOKUP($B10,'40Trips'!$A$3:$I$42,4,FALSE),'40Trips'!$J$11:$P$14,3,FALSE))),1,0)</f>
        <v>0</v>
      </c>
      <c r="AG10">
        <f>IF(AND(VLOOKUP(AG$1,'40Trips'!$A$3:$I$42,8,FALSE) - VLOOKUP($B10,'40Trips'!$A$3:$I$42,9,FALSE) &gt;= ('40Trips'!$B$43+VLOOKUP(VLOOKUP($B10,'40Trips'!$A$3:$I$42,4,FALSE),'40Trips'!$J$11:$P$14,3,FALSE))),1,0)</f>
        <v>0</v>
      </c>
      <c r="AH10">
        <f>IF(AND(VLOOKUP(AH$1,'40Trips'!$A$3:$I$42,8,FALSE) - VLOOKUP($B10,'40Trips'!$A$3:$I$42,9,FALSE) &gt;= ('40Trips'!$B$43+VLOOKUP(VLOOKUP($B10,'40Trips'!$A$3:$I$42,4,FALSE),'40Trips'!$J$11:$P$14,3,FALSE))),1,0)</f>
        <v>0</v>
      </c>
      <c r="AI10">
        <f>IF(AND(VLOOKUP(AI$1,'40Trips'!$A$3:$I$42,8,FALSE) - VLOOKUP($B10,'40Trips'!$A$3:$I$42,9,FALSE) &gt;= ('40Trips'!$B$43+VLOOKUP(VLOOKUP($B10,'40Trips'!$A$3:$I$42,4,FALSE),'40Trips'!$J$11:$P$14,3,FALSE))),1,0)</f>
        <v>0</v>
      </c>
      <c r="AJ10">
        <f>IF(AND(VLOOKUP(AJ$1,'40Trips'!$A$3:$I$42,8,FALSE) - VLOOKUP($B10,'40Trips'!$A$3:$I$42,9,FALSE) &gt;= ('40Trips'!$B$43+VLOOKUP(VLOOKUP($B10,'40Trips'!$A$3:$I$42,4,FALSE),'40Trips'!$J$11:$P$14,3,FALSE))),1,0)</f>
        <v>0</v>
      </c>
      <c r="AK10">
        <f>IF(AND(VLOOKUP(AK$1,'40Trips'!$A$3:$I$42,8,FALSE) - VLOOKUP($B10,'40Trips'!$A$3:$I$42,9,FALSE) &gt;= ('40Trips'!$B$43+VLOOKUP(VLOOKUP($B10,'40Trips'!$A$3:$I$42,4,FALSE),'40Trips'!$J$11:$P$14,3,FALSE))),1,0)</f>
        <v>0</v>
      </c>
      <c r="AL10">
        <f>IF(AND(VLOOKUP(AL$1,'40Trips'!$A$3:$I$42,8,FALSE) - VLOOKUP($B10,'40Trips'!$A$3:$I$42,9,FALSE) &gt;= ('40Trips'!$B$43+VLOOKUP(VLOOKUP($B10,'40Trips'!$A$3:$I$42,4,FALSE),'40Trips'!$J$11:$P$14,3,FALSE))),1,0)</f>
        <v>0</v>
      </c>
      <c r="AM10">
        <f>IF(AND(VLOOKUP(AM$1,'40Trips'!$A$3:$I$42,8,FALSE) - VLOOKUP($B10,'40Trips'!$A$3:$I$42,9,FALSE) &gt;= ('40Trips'!$B$43+VLOOKUP(VLOOKUP($B10,'40Trips'!$A$3:$I$42,4,FALSE),'40Trips'!$J$11:$P$14,3,FALSE))),1,0)</f>
        <v>0</v>
      </c>
      <c r="AN10">
        <f>IF(AND(VLOOKUP(AN$1,'40Trips'!$A$3:$I$42,8,FALSE) - VLOOKUP($B10,'40Trips'!$A$3:$I$42,9,FALSE) &gt;= ('40Trips'!$B$43+VLOOKUP(VLOOKUP($B10,'40Trips'!$A$3:$I$42,4,FALSE),'40Trips'!$J$11:$P$14,3,FALSE))),1,0)</f>
        <v>0</v>
      </c>
      <c r="AO10">
        <f>IF(AND(VLOOKUP(AO$1,'40Trips'!$A$3:$I$42,8,FALSE) - VLOOKUP($B10,'40Trips'!$A$3:$I$42,9,FALSE) &gt;= ('40Trips'!$B$43+VLOOKUP(VLOOKUP($B10,'40Trips'!$A$3:$I$42,4,FALSE),'40Trips'!$J$11:$P$14,3,FALSE))),1,0)</f>
        <v>0</v>
      </c>
      <c r="AP10">
        <f>IF(AND(VLOOKUP(AP$1,'40Trips'!$A$3:$I$42,8,FALSE) - VLOOKUP($B10,'40Trips'!$A$3:$I$42,9,FALSE) &gt;= ('40Trips'!$B$43+VLOOKUP(VLOOKUP($B10,'40Trips'!$A$3:$I$42,4,FALSE),'40Trips'!$J$11:$P$14,3,FALSE))),1,0)</f>
        <v>0</v>
      </c>
      <c r="AQ10">
        <f>IF(AND(VLOOKUP(AQ$1,'40Trips'!$A$3:$I$42,8,FALSE) - VLOOKUP($B10,'40Trips'!$A$3:$I$42,9,FALSE) &gt;= ('40Trips'!$B$43+VLOOKUP(VLOOKUP($B10,'40Trips'!$A$3:$I$42,4,FALSE),'40Trips'!$J$11:$P$14,3,FALSE))),1,0)</f>
        <v>0</v>
      </c>
    </row>
    <row r="11" spans="1:43" x14ac:dyDescent="0.25">
      <c r="A11" t="s">
        <v>48</v>
      </c>
      <c r="B11" t="s">
        <v>24</v>
      </c>
      <c r="C11">
        <v>0</v>
      </c>
      <c r="D11">
        <f>IF(AND(VLOOKUP(D$1,'40Trips'!$A$3:$I$42,8,FALSE) - VLOOKUP($B11,'40Trips'!$A$3:$I$42,9,FALSE) &gt;= ('40Trips'!$B$43+VLOOKUP(VLOOKUP($B11,'40Trips'!$A$3:$I$42,4,FALSE),'40Trips'!$J$11:$P$14,3,FALSE))),1,0)</f>
        <v>0</v>
      </c>
      <c r="E11">
        <f>IF(AND(VLOOKUP(E$1,'40Trips'!$A$3:$I$42,8,FALSE) - VLOOKUP($B11,'40Trips'!$A$3:$I$42,9,FALSE) &gt;= ('40Trips'!$B$43+VLOOKUP(VLOOKUP($B11,'40Trips'!$A$3:$I$42,4,FALSE),'40Trips'!$J$11:$P$14,3,FALSE))),1,0)</f>
        <v>0</v>
      </c>
      <c r="F11">
        <f>IF(AND(VLOOKUP(F$1,'40Trips'!$A$3:$I$42,8,FALSE) - VLOOKUP($B11,'40Trips'!$A$3:$I$42,9,FALSE) &gt;= ('40Trips'!$B$43+VLOOKUP(VLOOKUP($B11,'40Trips'!$A$3:$I$42,4,FALSE),'40Trips'!$J$11:$P$14,3,FALSE))),1,0)</f>
        <v>1</v>
      </c>
      <c r="G11">
        <f>IF(AND(VLOOKUP(G$1,'40Trips'!$A$3:$I$42,8,FALSE) - VLOOKUP($B11,'40Trips'!$A$3:$I$42,9,FALSE) &gt;= ('40Trips'!$B$43+VLOOKUP(VLOOKUP($B11,'40Trips'!$A$3:$I$42,4,FALSE),'40Trips'!$J$11:$P$14,3,FALSE))),1,0)</f>
        <v>1</v>
      </c>
      <c r="H11">
        <f>IF(AND(VLOOKUP(H$1,'40Trips'!$A$3:$I$42,8,FALSE) - VLOOKUP($B11,'40Trips'!$A$3:$I$42,9,FALSE) &gt;= ('40Trips'!$B$43+VLOOKUP(VLOOKUP($B11,'40Trips'!$A$3:$I$42,4,FALSE),'40Trips'!$J$11:$P$14,3,FALSE))),1,0)</f>
        <v>0</v>
      </c>
      <c r="I11">
        <f>IF(AND(VLOOKUP(I$1,'40Trips'!$A$3:$I$42,8,FALSE) - VLOOKUP($B11,'40Trips'!$A$3:$I$42,9,FALSE) &gt;= ('40Trips'!$B$43+VLOOKUP(VLOOKUP($B11,'40Trips'!$A$3:$I$42,4,FALSE),'40Trips'!$J$11:$P$14,3,FALSE))),1,0)</f>
        <v>0</v>
      </c>
      <c r="J11">
        <f>IF(AND(VLOOKUP(J$1,'40Trips'!$A$3:$I$42,8,FALSE) - VLOOKUP($B11,'40Trips'!$A$3:$I$42,9,FALSE) &gt;= ('40Trips'!$B$43+VLOOKUP(VLOOKUP($B11,'40Trips'!$A$3:$I$42,4,FALSE),'40Trips'!$J$11:$P$14,3,FALSE))),1,0)</f>
        <v>1</v>
      </c>
      <c r="K11">
        <f>IF(AND(VLOOKUP(K$1,'40Trips'!$A$3:$I$42,8,FALSE) - VLOOKUP($B11,'40Trips'!$A$3:$I$42,9,FALSE) &gt;= ('40Trips'!$B$43+VLOOKUP(VLOOKUP($B11,'40Trips'!$A$3:$I$42,4,FALSE),'40Trips'!$J$11:$P$14,3,FALSE))),1,0)</f>
        <v>1</v>
      </c>
      <c r="L11">
        <f>IF(AND(VLOOKUP(L$1,'40Trips'!$A$3:$I$42,8,FALSE) - VLOOKUP($B11,'40Trips'!$A$3:$I$42,9,FALSE) &gt;= ('40Trips'!$B$43+VLOOKUP(VLOOKUP($B11,'40Trips'!$A$3:$I$42,4,FALSE),'40Trips'!$J$11:$P$14,3,FALSE))),1,0)</f>
        <v>0</v>
      </c>
      <c r="M11">
        <f>IF(AND(VLOOKUP(M$1,'40Trips'!$A$3:$I$42,8,FALSE) - VLOOKUP($B11,'40Trips'!$A$3:$I$42,9,FALSE) &gt;= ('40Trips'!$B$43+VLOOKUP(VLOOKUP($B11,'40Trips'!$A$3:$I$42,4,FALSE),'40Trips'!$J$11:$P$14,3,FALSE))),1,0)</f>
        <v>0</v>
      </c>
      <c r="N11">
        <f>IF(AND(VLOOKUP(N$1,'40Trips'!$A$3:$I$42,8,FALSE) - VLOOKUP($B11,'40Trips'!$A$3:$I$42,9,FALSE) &gt;= ('40Trips'!$B$43+VLOOKUP(VLOOKUP($B11,'40Trips'!$A$3:$I$42,4,FALSE),'40Trips'!$J$11:$P$14,3,FALSE))),1,0)</f>
        <v>1</v>
      </c>
      <c r="O11">
        <f>IF(AND(VLOOKUP(O$1,'40Trips'!$A$3:$I$42,8,FALSE) - VLOOKUP($B11,'40Trips'!$A$3:$I$42,9,FALSE) &gt;= ('40Trips'!$B$43+VLOOKUP(VLOOKUP($B11,'40Trips'!$A$3:$I$42,4,FALSE),'40Trips'!$J$11:$P$14,3,FALSE))),1,0)</f>
        <v>0</v>
      </c>
      <c r="P11">
        <f>IF(AND(VLOOKUP(P$1,'40Trips'!$A$3:$I$42,8,FALSE) - VLOOKUP($B11,'40Trips'!$A$3:$I$42,9,FALSE) &gt;= ('40Trips'!$B$43+VLOOKUP(VLOOKUP($B11,'40Trips'!$A$3:$I$42,4,FALSE),'40Trips'!$J$11:$P$14,3,FALSE))),1,0)</f>
        <v>0</v>
      </c>
      <c r="Q11">
        <f>IF(AND(VLOOKUP(Q$1,'40Trips'!$A$3:$I$42,8,FALSE) - VLOOKUP($B11,'40Trips'!$A$3:$I$42,9,FALSE) &gt;= ('40Trips'!$B$43+VLOOKUP(VLOOKUP($B11,'40Trips'!$A$3:$I$42,4,FALSE),'40Trips'!$J$11:$P$14,3,FALSE))),1,0)</f>
        <v>0</v>
      </c>
      <c r="R11">
        <f>IF(AND(VLOOKUP(R$1,'40Trips'!$A$3:$I$42,8,FALSE) - VLOOKUP($B11,'40Trips'!$A$3:$I$42,9,FALSE) &gt;= ('40Trips'!$B$43+VLOOKUP(VLOOKUP($B11,'40Trips'!$A$3:$I$42,4,FALSE),'40Trips'!$J$11:$P$14,3,FALSE))),1,0)</f>
        <v>1</v>
      </c>
      <c r="S11">
        <f>IF(AND(VLOOKUP(S$1,'40Trips'!$A$3:$I$42,8,FALSE) - VLOOKUP($B11,'40Trips'!$A$3:$I$42,9,FALSE) &gt;= ('40Trips'!$B$43+VLOOKUP(VLOOKUP($B11,'40Trips'!$A$3:$I$42,4,FALSE),'40Trips'!$J$11:$P$14,3,FALSE))),1,0)</f>
        <v>1</v>
      </c>
      <c r="T11">
        <f>IF(AND(VLOOKUP(T$1,'40Trips'!$A$3:$I$42,8,FALSE) - VLOOKUP($B11,'40Trips'!$A$3:$I$42,9,FALSE) &gt;= ('40Trips'!$B$43+VLOOKUP(VLOOKUP($B11,'40Trips'!$A$3:$I$42,4,FALSE),'40Trips'!$J$11:$P$14,3,FALSE))),1,0)</f>
        <v>0</v>
      </c>
      <c r="U11">
        <f>IF(AND(VLOOKUP(U$1,'40Trips'!$A$3:$I$42,8,FALSE) - VLOOKUP($B11,'40Trips'!$A$3:$I$42,9,FALSE) &gt;= ('40Trips'!$B$43+VLOOKUP(VLOOKUP($B11,'40Trips'!$A$3:$I$42,4,FALSE),'40Trips'!$J$11:$P$14,3,FALSE))),1,0)</f>
        <v>0</v>
      </c>
      <c r="V11">
        <f>IF(AND(VLOOKUP(V$1,'40Trips'!$A$3:$I$42,8,FALSE) - VLOOKUP($B11,'40Trips'!$A$3:$I$42,9,FALSE) &gt;= ('40Trips'!$B$43+VLOOKUP(VLOOKUP($B11,'40Trips'!$A$3:$I$42,4,FALSE),'40Trips'!$J$11:$P$14,3,FALSE))),1,0)</f>
        <v>1</v>
      </c>
      <c r="W11">
        <f>IF(AND(VLOOKUP(W$1,'40Trips'!$A$3:$I$42,8,FALSE) - VLOOKUP($B11,'40Trips'!$A$3:$I$42,9,FALSE) &gt;= ('40Trips'!$B$43+VLOOKUP(VLOOKUP($B11,'40Trips'!$A$3:$I$42,4,FALSE),'40Trips'!$J$11:$P$14,3,FALSE))),1,0)</f>
        <v>1</v>
      </c>
      <c r="X11">
        <f>IF(AND(VLOOKUP(X$1,'40Trips'!$A$3:$I$42,8,FALSE) - VLOOKUP($B11,'40Trips'!$A$3:$I$42,9,FALSE) &gt;= ('40Trips'!$B$43+VLOOKUP(VLOOKUP($B11,'40Trips'!$A$3:$I$42,4,FALSE),'40Trips'!$J$11:$P$14,3,FALSE))),1,0)</f>
        <v>0</v>
      </c>
      <c r="Y11">
        <f>IF(AND(VLOOKUP(Y$1,'40Trips'!$A$3:$I$42,8,FALSE) - VLOOKUP($B11,'40Trips'!$A$3:$I$42,9,FALSE) &gt;= ('40Trips'!$B$43+VLOOKUP(VLOOKUP($B11,'40Trips'!$A$3:$I$42,4,FALSE),'40Trips'!$J$11:$P$14,3,FALSE))),1,0)</f>
        <v>0</v>
      </c>
      <c r="Z11">
        <f>IF(AND(VLOOKUP(Z$1,'40Trips'!$A$3:$I$42,8,FALSE) - VLOOKUP($B11,'40Trips'!$A$3:$I$42,9,FALSE) &gt;= ('40Trips'!$B$43+VLOOKUP(VLOOKUP($B11,'40Trips'!$A$3:$I$42,4,FALSE),'40Trips'!$J$11:$P$14,3,FALSE))),1,0)</f>
        <v>1</v>
      </c>
      <c r="AA11">
        <f>IF(AND(VLOOKUP(AA$1,'40Trips'!$A$3:$I$42,8,FALSE) - VLOOKUP($B11,'40Trips'!$A$3:$I$42,9,FALSE) &gt;= ('40Trips'!$B$43+VLOOKUP(VLOOKUP($B11,'40Trips'!$A$3:$I$42,4,FALSE),'40Trips'!$J$11:$P$14,3,FALSE))),1,0)</f>
        <v>1</v>
      </c>
      <c r="AB11">
        <f>IF(AND(VLOOKUP(AB$1,'40Trips'!$A$3:$I$42,8,FALSE) - VLOOKUP($B11,'40Trips'!$A$3:$I$42,9,FALSE) &gt;= ('40Trips'!$B$43+VLOOKUP(VLOOKUP($B11,'40Trips'!$A$3:$I$42,4,FALSE),'40Trips'!$J$11:$P$14,3,FALSE))),1,0)</f>
        <v>0</v>
      </c>
      <c r="AC11">
        <f>IF(AND(VLOOKUP(AC$1,'40Trips'!$A$3:$I$42,8,FALSE) - VLOOKUP($B11,'40Trips'!$A$3:$I$42,9,FALSE) &gt;= ('40Trips'!$B$43+VLOOKUP(VLOOKUP($B11,'40Trips'!$A$3:$I$42,4,FALSE),'40Trips'!$J$11:$P$14,3,FALSE))),1,0)</f>
        <v>0</v>
      </c>
      <c r="AD11">
        <f>IF(AND(VLOOKUP(AD$1,'40Trips'!$A$3:$I$42,8,FALSE) - VLOOKUP($B11,'40Trips'!$A$3:$I$42,9,FALSE) &gt;= ('40Trips'!$B$43+VLOOKUP(VLOOKUP($B11,'40Trips'!$A$3:$I$42,4,FALSE),'40Trips'!$J$11:$P$14,3,FALSE))),1,0)</f>
        <v>1</v>
      </c>
      <c r="AE11">
        <f>IF(AND(VLOOKUP(AE$1,'40Trips'!$A$3:$I$42,8,FALSE) - VLOOKUP($B11,'40Trips'!$A$3:$I$42,9,FALSE) &gt;= ('40Trips'!$B$43+VLOOKUP(VLOOKUP($B11,'40Trips'!$A$3:$I$42,4,FALSE),'40Trips'!$J$11:$P$14,3,FALSE))),1,0)</f>
        <v>1</v>
      </c>
      <c r="AF11">
        <f>IF(AND(VLOOKUP(AF$1,'40Trips'!$A$3:$I$42,8,FALSE) - VLOOKUP($B11,'40Trips'!$A$3:$I$42,9,FALSE) &gt;= ('40Trips'!$B$43+VLOOKUP(VLOOKUP($B11,'40Trips'!$A$3:$I$42,4,FALSE),'40Trips'!$J$11:$P$14,3,FALSE))),1,0)</f>
        <v>0</v>
      </c>
      <c r="AG11">
        <f>IF(AND(VLOOKUP(AG$1,'40Trips'!$A$3:$I$42,8,FALSE) - VLOOKUP($B11,'40Trips'!$A$3:$I$42,9,FALSE) &gt;= ('40Trips'!$B$43+VLOOKUP(VLOOKUP($B11,'40Trips'!$A$3:$I$42,4,FALSE),'40Trips'!$J$11:$P$14,3,FALSE))),1,0)</f>
        <v>0</v>
      </c>
      <c r="AH11">
        <f>IF(AND(VLOOKUP(AH$1,'40Trips'!$A$3:$I$42,8,FALSE) - VLOOKUP($B11,'40Trips'!$A$3:$I$42,9,FALSE) &gt;= ('40Trips'!$B$43+VLOOKUP(VLOOKUP($B11,'40Trips'!$A$3:$I$42,4,FALSE),'40Trips'!$J$11:$P$14,3,FALSE))),1,0)</f>
        <v>0</v>
      </c>
      <c r="AI11">
        <f>IF(AND(VLOOKUP(AI$1,'40Trips'!$A$3:$I$42,8,FALSE) - VLOOKUP($B11,'40Trips'!$A$3:$I$42,9,FALSE) &gt;= ('40Trips'!$B$43+VLOOKUP(VLOOKUP($B11,'40Trips'!$A$3:$I$42,4,FALSE),'40Trips'!$J$11:$P$14,3,FALSE))),1,0)</f>
        <v>0</v>
      </c>
      <c r="AJ11">
        <f>IF(AND(VLOOKUP(AJ$1,'40Trips'!$A$3:$I$42,8,FALSE) - VLOOKUP($B11,'40Trips'!$A$3:$I$42,9,FALSE) &gt;= ('40Trips'!$B$43+VLOOKUP(VLOOKUP($B11,'40Trips'!$A$3:$I$42,4,FALSE),'40Trips'!$J$11:$P$14,3,FALSE))),1,0)</f>
        <v>0</v>
      </c>
      <c r="AK11">
        <f>IF(AND(VLOOKUP(AK$1,'40Trips'!$A$3:$I$42,8,FALSE) - VLOOKUP($B11,'40Trips'!$A$3:$I$42,9,FALSE) &gt;= ('40Trips'!$B$43+VLOOKUP(VLOOKUP($B11,'40Trips'!$A$3:$I$42,4,FALSE),'40Trips'!$J$11:$P$14,3,FALSE))),1,0)</f>
        <v>0</v>
      </c>
      <c r="AL11">
        <f>IF(AND(VLOOKUP(AL$1,'40Trips'!$A$3:$I$42,8,FALSE) - VLOOKUP($B11,'40Trips'!$A$3:$I$42,9,FALSE) &gt;= ('40Trips'!$B$43+VLOOKUP(VLOOKUP($B11,'40Trips'!$A$3:$I$42,4,FALSE),'40Trips'!$J$11:$P$14,3,FALSE))),1,0)</f>
        <v>1</v>
      </c>
      <c r="AM11">
        <f>IF(AND(VLOOKUP(AM$1,'40Trips'!$A$3:$I$42,8,FALSE) - VLOOKUP($B11,'40Trips'!$A$3:$I$42,9,FALSE) &gt;= ('40Trips'!$B$43+VLOOKUP(VLOOKUP($B11,'40Trips'!$A$3:$I$42,4,FALSE),'40Trips'!$J$11:$P$14,3,FALSE))),1,0)</f>
        <v>1</v>
      </c>
      <c r="AN11">
        <f>IF(AND(VLOOKUP(AN$1,'40Trips'!$A$3:$I$42,8,FALSE) - VLOOKUP($B11,'40Trips'!$A$3:$I$42,9,FALSE) &gt;= ('40Trips'!$B$43+VLOOKUP(VLOOKUP($B11,'40Trips'!$A$3:$I$42,4,FALSE),'40Trips'!$J$11:$P$14,3,FALSE))),1,0)</f>
        <v>0</v>
      </c>
      <c r="AO11">
        <f>IF(AND(VLOOKUP(AO$1,'40Trips'!$A$3:$I$42,8,FALSE) - VLOOKUP($B11,'40Trips'!$A$3:$I$42,9,FALSE) &gt;= ('40Trips'!$B$43+VLOOKUP(VLOOKUP($B11,'40Trips'!$A$3:$I$42,4,FALSE),'40Trips'!$J$11:$P$14,3,FALSE))),1,0)</f>
        <v>0</v>
      </c>
      <c r="AP11">
        <f>IF(AND(VLOOKUP(AP$1,'40Trips'!$A$3:$I$42,8,FALSE) - VLOOKUP($B11,'40Trips'!$A$3:$I$42,9,FALSE) &gt;= ('40Trips'!$B$43+VLOOKUP(VLOOKUP($B11,'40Trips'!$A$3:$I$42,4,FALSE),'40Trips'!$J$11:$P$14,3,FALSE))),1,0)</f>
        <v>1</v>
      </c>
      <c r="AQ11">
        <f>IF(AND(VLOOKUP(AQ$1,'40Trips'!$A$3:$I$42,8,FALSE) - VLOOKUP($B11,'40Trips'!$A$3:$I$42,9,FALSE) &gt;= ('40Trips'!$B$43+VLOOKUP(VLOOKUP($B11,'40Trips'!$A$3:$I$42,4,FALSE),'40Trips'!$J$11:$P$14,3,FALSE))),1,0)</f>
        <v>1</v>
      </c>
    </row>
    <row r="12" spans="1:43" x14ac:dyDescent="0.25">
      <c r="A12" t="s">
        <v>48</v>
      </c>
      <c r="B12" t="s">
        <v>73</v>
      </c>
      <c r="C12">
        <v>0</v>
      </c>
      <c r="D12">
        <f>IF(AND(VLOOKUP(D$1,'40Trips'!$A$3:$I$42,8,FALSE) - VLOOKUP($B12,'40Trips'!$A$3:$I$42,9,FALSE) &gt;= ('40Trips'!$B$43+VLOOKUP(VLOOKUP($B12,'40Trips'!$A$3:$I$42,4,FALSE),'40Trips'!$J$11:$P$14,3,FALSE))),1,0)</f>
        <v>0</v>
      </c>
      <c r="E12">
        <f>IF(AND(VLOOKUP(E$1,'40Trips'!$A$3:$I$42,8,FALSE) - VLOOKUP($B12,'40Trips'!$A$3:$I$42,9,FALSE) &gt;= ('40Trips'!$B$43+VLOOKUP(VLOOKUP($B12,'40Trips'!$A$3:$I$42,4,FALSE),'40Trips'!$J$11:$P$14,3,FALSE))),1,0)</f>
        <v>0</v>
      </c>
      <c r="F12">
        <f>IF(AND(VLOOKUP(F$1,'40Trips'!$A$3:$I$42,8,FALSE) - VLOOKUP($B12,'40Trips'!$A$3:$I$42,9,FALSE) &gt;= ('40Trips'!$B$43+VLOOKUP(VLOOKUP($B12,'40Trips'!$A$3:$I$42,4,FALSE),'40Trips'!$J$11:$P$14,3,FALSE))),1,0)</f>
        <v>0</v>
      </c>
      <c r="G12">
        <f>IF(AND(VLOOKUP(G$1,'40Trips'!$A$3:$I$42,8,FALSE) - VLOOKUP($B12,'40Trips'!$A$3:$I$42,9,FALSE) &gt;= ('40Trips'!$B$43+VLOOKUP(VLOOKUP($B12,'40Trips'!$A$3:$I$42,4,FALSE),'40Trips'!$J$11:$P$14,3,FALSE))),1,0)</f>
        <v>1</v>
      </c>
      <c r="H12">
        <f>IF(AND(VLOOKUP(H$1,'40Trips'!$A$3:$I$42,8,FALSE) - VLOOKUP($B12,'40Trips'!$A$3:$I$42,9,FALSE) &gt;= ('40Trips'!$B$43+VLOOKUP(VLOOKUP($B12,'40Trips'!$A$3:$I$42,4,FALSE),'40Trips'!$J$11:$P$14,3,FALSE))),1,0)</f>
        <v>0</v>
      </c>
      <c r="I12">
        <f>IF(AND(VLOOKUP(I$1,'40Trips'!$A$3:$I$42,8,FALSE) - VLOOKUP($B12,'40Trips'!$A$3:$I$42,9,FALSE) &gt;= ('40Trips'!$B$43+VLOOKUP(VLOOKUP($B12,'40Trips'!$A$3:$I$42,4,FALSE),'40Trips'!$J$11:$P$14,3,FALSE))),1,0)</f>
        <v>0</v>
      </c>
      <c r="J12">
        <f>IF(AND(VLOOKUP(J$1,'40Trips'!$A$3:$I$42,8,FALSE) - VLOOKUP($B12,'40Trips'!$A$3:$I$42,9,FALSE) &gt;= ('40Trips'!$B$43+VLOOKUP(VLOOKUP($B12,'40Trips'!$A$3:$I$42,4,FALSE),'40Trips'!$J$11:$P$14,3,FALSE))),1,0)</f>
        <v>0</v>
      </c>
      <c r="K12">
        <f>IF(AND(VLOOKUP(K$1,'40Trips'!$A$3:$I$42,8,FALSE) - VLOOKUP($B12,'40Trips'!$A$3:$I$42,9,FALSE) &gt;= ('40Trips'!$B$43+VLOOKUP(VLOOKUP($B12,'40Trips'!$A$3:$I$42,4,FALSE),'40Trips'!$J$11:$P$14,3,FALSE))),1,0)</f>
        <v>1</v>
      </c>
      <c r="L12">
        <f>IF(AND(VLOOKUP(L$1,'40Trips'!$A$3:$I$42,8,FALSE) - VLOOKUP($B12,'40Trips'!$A$3:$I$42,9,FALSE) &gt;= ('40Trips'!$B$43+VLOOKUP(VLOOKUP($B12,'40Trips'!$A$3:$I$42,4,FALSE),'40Trips'!$J$11:$P$14,3,FALSE))),1,0)</f>
        <v>0</v>
      </c>
      <c r="M12">
        <f>IF(AND(VLOOKUP(M$1,'40Trips'!$A$3:$I$42,8,FALSE) - VLOOKUP($B12,'40Trips'!$A$3:$I$42,9,FALSE) &gt;= ('40Trips'!$B$43+VLOOKUP(VLOOKUP($B12,'40Trips'!$A$3:$I$42,4,FALSE),'40Trips'!$J$11:$P$14,3,FALSE))),1,0)</f>
        <v>0</v>
      </c>
      <c r="N12">
        <f>IF(AND(VLOOKUP(N$1,'40Trips'!$A$3:$I$42,8,FALSE) - VLOOKUP($B12,'40Trips'!$A$3:$I$42,9,FALSE) &gt;= ('40Trips'!$B$43+VLOOKUP(VLOOKUP($B12,'40Trips'!$A$3:$I$42,4,FALSE),'40Trips'!$J$11:$P$14,3,FALSE))),1,0)</f>
        <v>0</v>
      </c>
      <c r="O12">
        <f>IF(AND(VLOOKUP(O$1,'40Trips'!$A$3:$I$42,8,FALSE) - VLOOKUP($B12,'40Trips'!$A$3:$I$42,9,FALSE) &gt;= ('40Trips'!$B$43+VLOOKUP(VLOOKUP($B12,'40Trips'!$A$3:$I$42,4,FALSE),'40Trips'!$J$11:$P$14,3,FALSE))),1,0)</f>
        <v>0</v>
      </c>
      <c r="P12">
        <f>IF(AND(VLOOKUP(P$1,'40Trips'!$A$3:$I$42,8,FALSE) - VLOOKUP($B12,'40Trips'!$A$3:$I$42,9,FALSE) &gt;= ('40Trips'!$B$43+VLOOKUP(VLOOKUP($B12,'40Trips'!$A$3:$I$42,4,FALSE),'40Trips'!$J$11:$P$14,3,FALSE))),1,0)</f>
        <v>0</v>
      </c>
      <c r="Q12">
        <f>IF(AND(VLOOKUP(Q$1,'40Trips'!$A$3:$I$42,8,FALSE) - VLOOKUP($B12,'40Trips'!$A$3:$I$42,9,FALSE) &gt;= ('40Trips'!$B$43+VLOOKUP(VLOOKUP($B12,'40Trips'!$A$3:$I$42,4,FALSE),'40Trips'!$J$11:$P$14,3,FALSE))),1,0)</f>
        <v>0</v>
      </c>
      <c r="R12">
        <f>IF(AND(VLOOKUP(R$1,'40Trips'!$A$3:$I$42,8,FALSE) - VLOOKUP($B12,'40Trips'!$A$3:$I$42,9,FALSE) &gt;= ('40Trips'!$B$43+VLOOKUP(VLOOKUP($B12,'40Trips'!$A$3:$I$42,4,FALSE),'40Trips'!$J$11:$P$14,3,FALSE))),1,0)</f>
        <v>0</v>
      </c>
      <c r="S12">
        <f>IF(AND(VLOOKUP(S$1,'40Trips'!$A$3:$I$42,8,FALSE) - VLOOKUP($B12,'40Trips'!$A$3:$I$42,9,FALSE) &gt;= ('40Trips'!$B$43+VLOOKUP(VLOOKUP($B12,'40Trips'!$A$3:$I$42,4,FALSE),'40Trips'!$J$11:$P$14,3,FALSE))),1,0)</f>
        <v>1</v>
      </c>
      <c r="T12">
        <f>IF(AND(VLOOKUP(T$1,'40Trips'!$A$3:$I$42,8,FALSE) - VLOOKUP($B12,'40Trips'!$A$3:$I$42,9,FALSE) &gt;= ('40Trips'!$B$43+VLOOKUP(VLOOKUP($B12,'40Trips'!$A$3:$I$42,4,FALSE),'40Trips'!$J$11:$P$14,3,FALSE))),1,0)</f>
        <v>0</v>
      </c>
      <c r="U12">
        <f>IF(AND(VLOOKUP(U$1,'40Trips'!$A$3:$I$42,8,FALSE) - VLOOKUP($B12,'40Trips'!$A$3:$I$42,9,FALSE) &gt;= ('40Trips'!$B$43+VLOOKUP(VLOOKUP($B12,'40Trips'!$A$3:$I$42,4,FALSE),'40Trips'!$J$11:$P$14,3,FALSE))),1,0)</f>
        <v>0</v>
      </c>
      <c r="V12">
        <f>IF(AND(VLOOKUP(V$1,'40Trips'!$A$3:$I$42,8,FALSE) - VLOOKUP($B12,'40Trips'!$A$3:$I$42,9,FALSE) &gt;= ('40Trips'!$B$43+VLOOKUP(VLOOKUP($B12,'40Trips'!$A$3:$I$42,4,FALSE),'40Trips'!$J$11:$P$14,3,FALSE))),1,0)</f>
        <v>0</v>
      </c>
      <c r="W12">
        <f>IF(AND(VLOOKUP(W$1,'40Trips'!$A$3:$I$42,8,FALSE) - VLOOKUP($B12,'40Trips'!$A$3:$I$42,9,FALSE) &gt;= ('40Trips'!$B$43+VLOOKUP(VLOOKUP($B12,'40Trips'!$A$3:$I$42,4,FALSE),'40Trips'!$J$11:$P$14,3,FALSE))),1,0)</f>
        <v>1</v>
      </c>
      <c r="X12">
        <f>IF(AND(VLOOKUP(X$1,'40Trips'!$A$3:$I$42,8,FALSE) - VLOOKUP($B12,'40Trips'!$A$3:$I$42,9,FALSE) &gt;= ('40Trips'!$B$43+VLOOKUP(VLOOKUP($B12,'40Trips'!$A$3:$I$42,4,FALSE),'40Trips'!$J$11:$P$14,3,FALSE))),1,0)</f>
        <v>0</v>
      </c>
      <c r="Y12">
        <f>IF(AND(VLOOKUP(Y$1,'40Trips'!$A$3:$I$42,8,FALSE) - VLOOKUP($B12,'40Trips'!$A$3:$I$42,9,FALSE) &gt;= ('40Trips'!$B$43+VLOOKUP(VLOOKUP($B12,'40Trips'!$A$3:$I$42,4,FALSE),'40Trips'!$J$11:$P$14,3,FALSE))),1,0)</f>
        <v>0</v>
      </c>
      <c r="Z12">
        <f>IF(AND(VLOOKUP(Z$1,'40Trips'!$A$3:$I$42,8,FALSE) - VLOOKUP($B12,'40Trips'!$A$3:$I$42,9,FALSE) &gt;= ('40Trips'!$B$43+VLOOKUP(VLOOKUP($B12,'40Trips'!$A$3:$I$42,4,FALSE),'40Trips'!$J$11:$P$14,3,FALSE))),1,0)</f>
        <v>1</v>
      </c>
      <c r="AA12">
        <f>IF(AND(VLOOKUP(AA$1,'40Trips'!$A$3:$I$42,8,FALSE) - VLOOKUP($B12,'40Trips'!$A$3:$I$42,9,FALSE) &gt;= ('40Trips'!$B$43+VLOOKUP(VLOOKUP($B12,'40Trips'!$A$3:$I$42,4,FALSE),'40Trips'!$J$11:$P$14,3,FALSE))),1,0)</f>
        <v>1</v>
      </c>
      <c r="AB12">
        <f>IF(AND(VLOOKUP(AB$1,'40Trips'!$A$3:$I$42,8,FALSE) - VLOOKUP($B12,'40Trips'!$A$3:$I$42,9,FALSE) &gt;= ('40Trips'!$B$43+VLOOKUP(VLOOKUP($B12,'40Trips'!$A$3:$I$42,4,FALSE),'40Trips'!$J$11:$P$14,3,FALSE))),1,0)</f>
        <v>0</v>
      </c>
      <c r="AC12">
        <f>IF(AND(VLOOKUP(AC$1,'40Trips'!$A$3:$I$42,8,FALSE) - VLOOKUP($B12,'40Trips'!$A$3:$I$42,9,FALSE) &gt;= ('40Trips'!$B$43+VLOOKUP(VLOOKUP($B12,'40Trips'!$A$3:$I$42,4,FALSE),'40Trips'!$J$11:$P$14,3,FALSE))),1,0)</f>
        <v>0</v>
      </c>
      <c r="AD12">
        <f>IF(AND(VLOOKUP(AD$1,'40Trips'!$A$3:$I$42,8,FALSE) - VLOOKUP($B12,'40Trips'!$A$3:$I$42,9,FALSE) &gt;= ('40Trips'!$B$43+VLOOKUP(VLOOKUP($B12,'40Trips'!$A$3:$I$42,4,FALSE),'40Trips'!$J$11:$P$14,3,FALSE))),1,0)</f>
        <v>1</v>
      </c>
      <c r="AE12">
        <f>IF(AND(VLOOKUP(AE$1,'40Trips'!$A$3:$I$42,8,FALSE) - VLOOKUP($B12,'40Trips'!$A$3:$I$42,9,FALSE) &gt;= ('40Trips'!$B$43+VLOOKUP(VLOOKUP($B12,'40Trips'!$A$3:$I$42,4,FALSE),'40Trips'!$J$11:$P$14,3,FALSE))),1,0)</f>
        <v>1</v>
      </c>
      <c r="AF12">
        <f>IF(AND(VLOOKUP(AF$1,'40Trips'!$A$3:$I$42,8,FALSE) - VLOOKUP($B12,'40Trips'!$A$3:$I$42,9,FALSE) &gt;= ('40Trips'!$B$43+VLOOKUP(VLOOKUP($B12,'40Trips'!$A$3:$I$42,4,FALSE),'40Trips'!$J$11:$P$14,3,FALSE))),1,0)</f>
        <v>0</v>
      </c>
      <c r="AG12">
        <f>IF(AND(VLOOKUP(AG$1,'40Trips'!$A$3:$I$42,8,FALSE) - VLOOKUP($B12,'40Trips'!$A$3:$I$42,9,FALSE) &gt;= ('40Trips'!$B$43+VLOOKUP(VLOOKUP($B12,'40Trips'!$A$3:$I$42,4,FALSE),'40Trips'!$J$11:$P$14,3,FALSE))),1,0)</f>
        <v>0</v>
      </c>
      <c r="AH12">
        <f>IF(AND(VLOOKUP(AH$1,'40Trips'!$A$3:$I$42,8,FALSE) - VLOOKUP($B12,'40Trips'!$A$3:$I$42,9,FALSE) &gt;= ('40Trips'!$B$43+VLOOKUP(VLOOKUP($B12,'40Trips'!$A$3:$I$42,4,FALSE),'40Trips'!$J$11:$P$14,3,FALSE))),1,0)</f>
        <v>0</v>
      </c>
      <c r="AI12">
        <f>IF(AND(VLOOKUP(AI$1,'40Trips'!$A$3:$I$42,8,FALSE) - VLOOKUP($B12,'40Trips'!$A$3:$I$42,9,FALSE) &gt;= ('40Trips'!$B$43+VLOOKUP(VLOOKUP($B12,'40Trips'!$A$3:$I$42,4,FALSE),'40Trips'!$J$11:$P$14,3,FALSE))),1,0)</f>
        <v>0</v>
      </c>
      <c r="AJ12">
        <f>IF(AND(VLOOKUP(AJ$1,'40Trips'!$A$3:$I$42,8,FALSE) - VLOOKUP($B12,'40Trips'!$A$3:$I$42,9,FALSE) &gt;= ('40Trips'!$B$43+VLOOKUP(VLOOKUP($B12,'40Trips'!$A$3:$I$42,4,FALSE),'40Trips'!$J$11:$P$14,3,FALSE))),1,0)</f>
        <v>0</v>
      </c>
      <c r="AK12">
        <f>IF(AND(VLOOKUP(AK$1,'40Trips'!$A$3:$I$42,8,FALSE) - VLOOKUP($B12,'40Trips'!$A$3:$I$42,9,FALSE) &gt;= ('40Trips'!$B$43+VLOOKUP(VLOOKUP($B12,'40Trips'!$A$3:$I$42,4,FALSE),'40Trips'!$J$11:$P$14,3,FALSE))),1,0)</f>
        <v>0</v>
      </c>
      <c r="AL12">
        <f>IF(AND(VLOOKUP(AL$1,'40Trips'!$A$3:$I$42,8,FALSE) - VLOOKUP($B12,'40Trips'!$A$3:$I$42,9,FALSE) &gt;= ('40Trips'!$B$43+VLOOKUP(VLOOKUP($B12,'40Trips'!$A$3:$I$42,4,FALSE),'40Trips'!$J$11:$P$14,3,FALSE))),1,0)</f>
        <v>0</v>
      </c>
      <c r="AM12">
        <f>IF(AND(VLOOKUP(AM$1,'40Trips'!$A$3:$I$42,8,FALSE) - VLOOKUP($B12,'40Trips'!$A$3:$I$42,9,FALSE) &gt;= ('40Trips'!$B$43+VLOOKUP(VLOOKUP($B12,'40Trips'!$A$3:$I$42,4,FALSE),'40Trips'!$J$11:$P$14,3,FALSE))),1,0)</f>
        <v>1</v>
      </c>
      <c r="AN12">
        <f>IF(AND(VLOOKUP(AN$1,'40Trips'!$A$3:$I$42,8,FALSE) - VLOOKUP($B12,'40Trips'!$A$3:$I$42,9,FALSE) &gt;= ('40Trips'!$B$43+VLOOKUP(VLOOKUP($B12,'40Trips'!$A$3:$I$42,4,FALSE),'40Trips'!$J$11:$P$14,3,FALSE))),1,0)</f>
        <v>0</v>
      </c>
      <c r="AO12">
        <f>IF(AND(VLOOKUP(AO$1,'40Trips'!$A$3:$I$42,8,FALSE) - VLOOKUP($B12,'40Trips'!$A$3:$I$42,9,FALSE) &gt;= ('40Trips'!$B$43+VLOOKUP(VLOOKUP($B12,'40Trips'!$A$3:$I$42,4,FALSE),'40Trips'!$J$11:$P$14,3,FALSE))),1,0)</f>
        <v>0</v>
      </c>
      <c r="AP12">
        <f>IF(AND(VLOOKUP(AP$1,'40Trips'!$A$3:$I$42,8,FALSE) - VLOOKUP($B12,'40Trips'!$A$3:$I$42,9,FALSE) &gt;= ('40Trips'!$B$43+VLOOKUP(VLOOKUP($B12,'40Trips'!$A$3:$I$42,4,FALSE),'40Trips'!$J$11:$P$14,3,FALSE))),1,0)</f>
        <v>0</v>
      </c>
      <c r="AQ12">
        <f>IF(AND(VLOOKUP(AQ$1,'40Trips'!$A$3:$I$42,8,FALSE) - VLOOKUP($B12,'40Trips'!$A$3:$I$42,9,FALSE) &gt;= ('40Trips'!$B$43+VLOOKUP(VLOOKUP($B12,'40Trips'!$A$3:$I$42,4,FALSE),'40Trips'!$J$11:$P$14,3,FALSE))),1,0)</f>
        <v>1</v>
      </c>
    </row>
    <row r="13" spans="1:43" x14ac:dyDescent="0.25">
      <c r="A13" t="s">
        <v>48</v>
      </c>
      <c r="B13" t="s">
        <v>74</v>
      </c>
      <c r="C13">
        <v>0</v>
      </c>
      <c r="D13">
        <f>IF(AND(VLOOKUP(D$1,'40Trips'!$A$3:$I$42,8,FALSE) - VLOOKUP($B13,'40Trips'!$A$3:$I$42,9,FALSE) &gt;= ('40Trips'!$B$43+VLOOKUP(VLOOKUP($B13,'40Trips'!$A$3:$I$42,4,FALSE),'40Trips'!$J$11:$P$14,3,FALSE))),1,0)</f>
        <v>0</v>
      </c>
      <c r="E13">
        <f>IF(AND(VLOOKUP(E$1,'40Trips'!$A$3:$I$42,8,FALSE) - VLOOKUP($B13,'40Trips'!$A$3:$I$42,9,FALSE) &gt;= ('40Trips'!$B$43+VLOOKUP(VLOOKUP($B13,'40Trips'!$A$3:$I$42,4,FALSE),'40Trips'!$J$11:$P$14,3,FALSE))),1,0)</f>
        <v>0</v>
      </c>
      <c r="F13">
        <f>IF(AND(VLOOKUP(F$1,'40Trips'!$A$3:$I$42,8,FALSE) - VLOOKUP($B13,'40Trips'!$A$3:$I$42,9,FALSE) &gt;= ('40Trips'!$B$43+VLOOKUP(VLOOKUP($B13,'40Trips'!$A$3:$I$42,4,FALSE),'40Trips'!$J$11:$P$14,3,FALSE))),1,0)</f>
        <v>0</v>
      </c>
      <c r="G13">
        <f>IF(AND(VLOOKUP(G$1,'40Trips'!$A$3:$I$42,8,FALSE) - VLOOKUP($B13,'40Trips'!$A$3:$I$42,9,FALSE) &gt;= ('40Trips'!$B$43+VLOOKUP(VLOOKUP($B13,'40Trips'!$A$3:$I$42,4,FALSE),'40Trips'!$J$11:$P$14,3,FALSE))),1,0)</f>
        <v>0</v>
      </c>
      <c r="H13">
        <f>IF(AND(VLOOKUP(H$1,'40Trips'!$A$3:$I$42,8,FALSE) - VLOOKUP($B13,'40Trips'!$A$3:$I$42,9,FALSE) &gt;= ('40Trips'!$B$43+VLOOKUP(VLOOKUP($B13,'40Trips'!$A$3:$I$42,4,FALSE),'40Trips'!$J$11:$P$14,3,FALSE))),1,0)</f>
        <v>0</v>
      </c>
      <c r="I13">
        <f>IF(AND(VLOOKUP(I$1,'40Trips'!$A$3:$I$42,8,FALSE) - VLOOKUP($B13,'40Trips'!$A$3:$I$42,9,FALSE) &gt;= ('40Trips'!$B$43+VLOOKUP(VLOOKUP($B13,'40Trips'!$A$3:$I$42,4,FALSE),'40Trips'!$J$11:$P$14,3,FALSE))),1,0)</f>
        <v>0</v>
      </c>
      <c r="J13">
        <f>IF(AND(VLOOKUP(J$1,'40Trips'!$A$3:$I$42,8,FALSE) - VLOOKUP($B13,'40Trips'!$A$3:$I$42,9,FALSE) &gt;= ('40Trips'!$B$43+VLOOKUP(VLOOKUP($B13,'40Trips'!$A$3:$I$42,4,FALSE),'40Trips'!$J$11:$P$14,3,FALSE))),1,0)</f>
        <v>0</v>
      </c>
      <c r="K13">
        <f>IF(AND(VLOOKUP(K$1,'40Trips'!$A$3:$I$42,8,FALSE) - VLOOKUP($B13,'40Trips'!$A$3:$I$42,9,FALSE) &gt;= ('40Trips'!$B$43+VLOOKUP(VLOOKUP($B13,'40Trips'!$A$3:$I$42,4,FALSE),'40Trips'!$J$11:$P$14,3,FALSE))),1,0)</f>
        <v>1</v>
      </c>
      <c r="L13">
        <f>IF(AND(VLOOKUP(L$1,'40Trips'!$A$3:$I$42,8,FALSE) - VLOOKUP($B13,'40Trips'!$A$3:$I$42,9,FALSE) &gt;= ('40Trips'!$B$43+VLOOKUP(VLOOKUP($B13,'40Trips'!$A$3:$I$42,4,FALSE),'40Trips'!$J$11:$P$14,3,FALSE))),1,0)</f>
        <v>0</v>
      </c>
      <c r="M13">
        <f>IF(AND(VLOOKUP(M$1,'40Trips'!$A$3:$I$42,8,FALSE) - VLOOKUP($B13,'40Trips'!$A$3:$I$42,9,FALSE) &gt;= ('40Trips'!$B$43+VLOOKUP(VLOOKUP($B13,'40Trips'!$A$3:$I$42,4,FALSE),'40Trips'!$J$11:$P$14,3,FALSE))),1,0)</f>
        <v>0</v>
      </c>
      <c r="N13">
        <f>IF(AND(VLOOKUP(N$1,'40Trips'!$A$3:$I$42,8,FALSE) - VLOOKUP($B13,'40Trips'!$A$3:$I$42,9,FALSE) &gt;= ('40Trips'!$B$43+VLOOKUP(VLOOKUP($B13,'40Trips'!$A$3:$I$42,4,FALSE),'40Trips'!$J$11:$P$14,3,FALSE))),1,0)</f>
        <v>0</v>
      </c>
      <c r="O13">
        <f>IF(AND(VLOOKUP(O$1,'40Trips'!$A$3:$I$42,8,FALSE) - VLOOKUP($B13,'40Trips'!$A$3:$I$42,9,FALSE) &gt;= ('40Trips'!$B$43+VLOOKUP(VLOOKUP($B13,'40Trips'!$A$3:$I$42,4,FALSE),'40Trips'!$J$11:$P$14,3,FALSE))),1,0)</f>
        <v>0</v>
      </c>
      <c r="P13">
        <f>IF(AND(VLOOKUP(P$1,'40Trips'!$A$3:$I$42,8,FALSE) - VLOOKUP($B13,'40Trips'!$A$3:$I$42,9,FALSE) &gt;= ('40Trips'!$B$43+VLOOKUP(VLOOKUP($B13,'40Trips'!$A$3:$I$42,4,FALSE),'40Trips'!$J$11:$P$14,3,FALSE))),1,0)</f>
        <v>0</v>
      </c>
      <c r="Q13">
        <f>IF(AND(VLOOKUP(Q$1,'40Trips'!$A$3:$I$42,8,FALSE) - VLOOKUP($B13,'40Trips'!$A$3:$I$42,9,FALSE) &gt;= ('40Trips'!$B$43+VLOOKUP(VLOOKUP($B13,'40Trips'!$A$3:$I$42,4,FALSE),'40Trips'!$J$11:$P$14,3,FALSE))),1,0)</f>
        <v>0</v>
      </c>
      <c r="R13">
        <f>IF(AND(VLOOKUP(R$1,'40Trips'!$A$3:$I$42,8,FALSE) - VLOOKUP($B13,'40Trips'!$A$3:$I$42,9,FALSE) &gt;= ('40Trips'!$B$43+VLOOKUP(VLOOKUP($B13,'40Trips'!$A$3:$I$42,4,FALSE),'40Trips'!$J$11:$P$14,3,FALSE))),1,0)</f>
        <v>0</v>
      </c>
      <c r="S13">
        <f>IF(AND(VLOOKUP(S$1,'40Trips'!$A$3:$I$42,8,FALSE) - VLOOKUP($B13,'40Trips'!$A$3:$I$42,9,FALSE) &gt;= ('40Trips'!$B$43+VLOOKUP(VLOOKUP($B13,'40Trips'!$A$3:$I$42,4,FALSE),'40Trips'!$J$11:$P$14,3,FALSE))),1,0)</f>
        <v>0</v>
      </c>
      <c r="T13">
        <f>IF(AND(VLOOKUP(T$1,'40Trips'!$A$3:$I$42,8,FALSE) - VLOOKUP($B13,'40Trips'!$A$3:$I$42,9,FALSE) &gt;= ('40Trips'!$B$43+VLOOKUP(VLOOKUP($B13,'40Trips'!$A$3:$I$42,4,FALSE),'40Trips'!$J$11:$P$14,3,FALSE))),1,0)</f>
        <v>0</v>
      </c>
      <c r="U13">
        <f>IF(AND(VLOOKUP(U$1,'40Trips'!$A$3:$I$42,8,FALSE) - VLOOKUP($B13,'40Trips'!$A$3:$I$42,9,FALSE) &gt;= ('40Trips'!$B$43+VLOOKUP(VLOOKUP($B13,'40Trips'!$A$3:$I$42,4,FALSE),'40Trips'!$J$11:$P$14,3,FALSE))),1,0)</f>
        <v>0</v>
      </c>
      <c r="V13">
        <f>IF(AND(VLOOKUP(V$1,'40Trips'!$A$3:$I$42,8,FALSE) - VLOOKUP($B13,'40Trips'!$A$3:$I$42,9,FALSE) &gt;= ('40Trips'!$B$43+VLOOKUP(VLOOKUP($B13,'40Trips'!$A$3:$I$42,4,FALSE),'40Trips'!$J$11:$P$14,3,FALSE))),1,0)</f>
        <v>0</v>
      </c>
      <c r="W13">
        <f>IF(AND(VLOOKUP(W$1,'40Trips'!$A$3:$I$42,8,FALSE) - VLOOKUP($B13,'40Trips'!$A$3:$I$42,9,FALSE) &gt;= ('40Trips'!$B$43+VLOOKUP(VLOOKUP($B13,'40Trips'!$A$3:$I$42,4,FALSE),'40Trips'!$J$11:$P$14,3,FALSE))),1,0)</f>
        <v>0</v>
      </c>
      <c r="X13">
        <f>IF(AND(VLOOKUP(X$1,'40Trips'!$A$3:$I$42,8,FALSE) - VLOOKUP($B13,'40Trips'!$A$3:$I$42,9,FALSE) &gt;= ('40Trips'!$B$43+VLOOKUP(VLOOKUP($B13,'40Trips'!$A$3:$I$42,4,FALSE),'40Trips'!$J$11:$P$14,3,FALSE))),1,0)</f>
        <v>0</v>
      </c>
      <c r="Y13">
        <f>IF(AND(VLOOKUP(Y$1,'40Trips'!$A$3:$I$42,8,FALSE) - VLOOKUP($B13,'40Trips'!$A$3:$I$42,9,FALSE) &gt;= ('40Trips'!$B$43+VLOOKUP(VLOOKUP($B13,'40Trips'!$A$3:$I$42,4,FALSE),'40Trips'!$J$11:$P$14,3,FALSE))),1,0)</f>
        <v>0</v>
      </c>
      <c r="Z13">
        <f>IF(AND(VLOOKUP(Z$1,'40Trips'!$A$3:$I$42,8,FALSE) - VLOOKUP($B13,'40Trips'!$A$3:$I$42,9,FALSE) &gt;= ('40Trips'!$B$43+VLOOKUP(VLOOKUP($B13,'40Trips'!$A$3:$I$42,4,FALSE),'40Trips'!$J$11:$P$14,3,FALSE))),1,0)</f>
        <v>0</v>
      </c>
      <c r="AA13">
        <f>IF(AND(VLOOKUP(AA$1,'40Trips'!$A$3:$I$42,8,FALSE) - VLOOKUP($B13,'40Trips'!$A$3:$I$42,9,FALSE) &gt;= ('40Trips'!$B$43+VLOOKUP(VLOOKUP($B13,'40Trips'!$A$3:$I$42,4,FALSE),'40Trips'!$J$11:$P$14,3,FALSE))),1,0)</f>
        <v>0</v>
      </c>
      <c r="AB13">
        <f>IF(AND(VLOOKUP(AB$1,'40Trips'!$A$3:$I$42,8,FALSE) - VLOOKUP($B13,'40Trips'!$A$3:$I$42,9,FALSE) &gt;= ('40Trips'!$B$43+VLOOKUP(VLOOKUP($B13,'40Trips'!$A$3:$I$42,4,FALSE),'40Trips'!$J$11:$P$14,3,FALSE))),1,0)</f>
        <v>0</v>
      </c>
      <c r="AC13">
        <f>IF(AND(VLOOKUP(AC$1,'40Trips'!$A$3:$I$42,8,FALSE) - VLOOKUP($B13,'40Trips'!$A$3:$I$42,9,FALSE) &gt;= ('40Trips'!$B$43+VLOOKUP(VLOOKUP($B13,'40Trips'!$A$3:$I$42,4,FALSE),'40Trips'!$J$11:$P$14,3,FALSE))),1,0)</f>
        <v>0</v>
      </c>
      <c r="AD13">
        <f>IF(AND(VLOOKUP(AD$1,'40Trips'!$A$3:$I$42,8,FALSE) - VLOOKUP($B13,'40Trips'!$A$3:$I$42,9,FALSE) &gt;= ('40Trips'!$B$43+VLOOKUP(VLOOKUP($B13,'40Trips'!$A$3:$I$42,4,FALSE),'40Trips'!$J$11:$P$14,3,FALSE))),1,0)</f>
        <v>0</v>
      </c>
      <c r="AE13">
        <f>IF(AND(VLOOKUP(AE$1,'40Trips'!$A$3:$I$42,8,FALSE) - VLOOKUP($B13,'40Trips'!$A$3:$I$42,9,FALSE) &gt;= ('40Trips'!$B$43+VLOOKUP(VLOOKUP($B13,'40Trips'!$A$3:$I$42,4,FALSE),'40Trips'!$J$11:$P$14,3,FALSE))),1,0)</f>
        <v>0</v>
      </c>
      <c r="AF13">
        <f>IF(AND(VLOOKUP(AF$1,'40Trips'!$A$3:$I$42,8,FALSE) - VLOOKUP($B13,'40Trips'!$A$3:$I$42,9,FALSE) &gt;= ('40Trips'!$B$43+VLOOKUP(VLOOKUP($B13,'40Trips'!$A$3:$I$42,4,FALSE),'40Trips'!$J$11:$P$14,3,FALSE))),1,0)</f>
        <v>0</v>
      </c>
      <c r="AG13">
        <f>IF(AND(VLOOKUP(AG$1,'40Trips'!$A$3:$I$42,8,FALSE) - VLOOKUP($B13,'40Trips'!$A$3:$I$42,9,FALSE) &gt;= ('40Trips'!$B$43+VLOOKUP(VLOOKUP($B13,'40Trips'!$A$3:$I$42,4,FALSE),'40Trips'!$J$11:$P$14,3,FALSE))),1,0)</f>
        <v>0</v>
      </c>
      <c r="AH13">
        <f>IF(AND(VLOOKUP(AH$1,'40Trips'!$A$3:$I$42,8,FALSE) - VLOOKUP($B13,'40Trips'!$A$3:$I$42,9,FALSE) &gt;= ('40Trips'!$B$43+VLOOKUP(VLOOKUP($B13,'40Trips'!$A$3:$I$42,4,FALSE),'40Trips'!$J$11:$P$14,3,FALSE))),1,0)</f>
        <v>0</v>
      </c>
      <c r="AI13">
        <f>IF(AND(VLOOKUP(AI$1,'40Trips'!$A$3:$I$42,8,FALSE) - VLOOKUP($B13,'40Trips'!$A$3:$I$42,9,FALSE) &gt;= ('40Trips'!$B$43+VLOOKUP(VLOOKUP($B13,'40Trips'!$A$3:$I$42,4,FALSE),'40Trips'!$J$11:$P$14,3,FALSE))),1,0)</f>
        <v>0</v>
      </c>
      <c r="AJ13">
        <f>IF(AND(VLOOKUP(AJ$1,'40Trips'!$A$3:$I$42,8,FALSE) - VLOOKUP($B13,'40Trips'!$A$3:$I$42,9,FALSE) &gt;= ('40Trips'!$B$43+VLOOKUP(VLOOKUP($B13,'40Trips'!$A$3:$I$42,4,FALSE),'40Trips'!$J$11:$P$14,3,FALSE))),1,0)</f>
        <v>0</v>
      </c>
      <c r="AK13">
        <f>IF(AND(VLOOKUP(AK$1,'40Trips'!$A$3:$I$42,8,FALSE) - VLOOKUP($B13,'40Trips'!$A$3:$I$42,9,FALSE) &gt;= ('40Trips'!$B$43+VLOOKUP(VLOOKUP($B13,'40Trips'!$A$3:$I$42,4,FALSE),'40Trips'!$J$11:$P$14,3,FALSE))),1,0)</f>
        <v>0</v>
      </c>
      <c r="AL13">
        <f>IF(AND(VLOOKUP(AL$1,'40Trips'!$A$3:$I$42,8,FALSE) - VLOOKUP($B13,'40Trips'!$A$3:$I$42,9,FALSE) &gt;= ('40Trips'!$B$43+VLOOKUP(VLOOKUP($B13,'40Trips'!$A$3:$I$42,4,FALSE),'40Trips'!$J$11:$P$14,3,FALSE))),1,0)</f>
        <v>0</v>
      </c>
      <c r="AM13">
        <f>IF(AND(VLOOKUP(AM$1,'40Trips'!$A$3:$I$42,8,FALSE) - VLOOKUP($B13,'40Trips'!$A$3:$I$42,9,FALSE) &gt;= ('40Trips'!$B$43+VLOOKUP(VLOOKUP($B13,'40Trips'!$A$3:$I$42,4,FALSE),'40Trips'!$J$11:$P$14,3,FALSE))),1,0)</f>
        <v>0</v>
      </c>
      <c r="AN13">
        <f>IF(AND(VLOOKUP(AN$1,'40Trips'!$A$3:$I$42,8,FALSE) - VLOOKUP($B13,'40Trips'!$A$3:$I$42,9,FALSE) &gt;= ('40Trips'!$B$43+VLOOKUP(VLOOKUP($B13,'40Trips'!$A$3:$I$42,4,FALSE),'40Trips'!$J$11:$P$14,3,FALSE))),1,0)</f>
        <v>0</v>
      </c>
      <c r="AO13">
        <f>IF(AND(VLOOKUP(AO$1,'40Trips'!$A$3:$I$42,8,FALSE) - VLOOKUP($B13,'40Trips'!$A$3:$I$42,9,FALSE) &gt;= ('40Trips'!$B$43+VLOOKUP(VLOOKUP($B13,'40Trips'!$A$3:$I$42,4,FALSE),'40Trips'!$J$11:$P$14,3,FALSE))),1,0)</f>
        <v>0</v>
      </c>
      <c r="AP13">
        <f>IF(AND(VLOOKUP(AP$1,'40Trips'!$A$3:$I$42,8,FALSE) - VLOOKUP($B13,'40Trips'!$A$3:$I$42,9,FALSE) &gt;= ('40Trips'!$B$43+VLOOKUP(VLOOKUP($B13,'40Trips'!$A$3:$I$42,4,FALSE),'40Trips'!$J$11:$P$14,3,FALSE))),1,0)</f>
        <v>0</v>
      </c>
      <c r="AQ13">
        <f>IF(AND(VLOOKUP(AQ$1,'40Trips'!$A$3:$I$42,8,FALSE) - VLOOKUP($B13,'40Trips'!$A$3:$I$42,9,FALSE) &gt;= ('40Trips'!$B$43+VLOOKUP(VLOOKUP($B13,'40Trips'!$A$3:$I$42,4,FALSE),'40Trips'!$J$11:$P$14,3,FALSE))),1,0)</f>
        <v>0</v>
      </c>
    </row>
    <row r="14" spans="1:43" x14ac:dyDescent="0.25">
      <c r="A14" t="s">
        <v>48</v>
      </c>
      <c r="B14" t="s">
        <v>26</v>
      </c>
      <c r="C14">
        <v>0</v>
      </c>
      <c r="D14">
        <f>IF(AND(VLOOKUP(D$1,'40Trips'!$A$3:$I$42,8,FALSE) - VLOOKUP($B14,'40Trips'!$A$3:$I$42,9,FALSE) &gt;= ('40Trips'!$B$43+VLOOKUP(VLOOKUP($B14,'40Trips'!$A$3:$I$42,4,FALSE),'40Trips'!$J$11:$P$14,3,FALSE))),1,0)</f>
        <v>0</v>
      </c>
      <c r="E14">
        <f>IF(AND(VLOOKUP(E$1,'40Trips'!$A$3:$I$42,8,FALSE) - VLOOKUP($B14,'40Trips'!$A$3:$I$42,9,FALSE) &gt;= ('40Trips'!$B$43+VLOOKUP(VLOOKUP($B14,'40Trips'!$A$3:$I$42,4,FALSE),'40Trips'!$J$11:$P$14,3,FALSE))),1,0)</f>
        <v>0</v>
      </c>
      <c r="F14">
        <f>IF(AND(VLOOKUP(F$1,'40Trips'!$A$3:$I$42,8,FALSE) - VLOOKUP($B14,'40Trips'!$A$3:$I$42,9,FALSE) &gt;= ('40Trips'!$B$43+VLOOKUP(VLOOKUP($B14,'40Trips'!$A$3:$I$42,4,FALSE),'40Trips'!$J$11:$P$14,3,FALSE))),1,0)</f>
        <v>1</v>
      </c>
      <c r="G14">
        <f>IF(AND(VLOOKUP(G$1,'40Trips'!$A$3:$I$42,8,FALSE) - VLOOKUP($B14,'40Trips'!$A$3:$I$42,9,FALSE) &gt;= ('40Trips'!$B$43+VLOOKUP(VLOOKUP($B14,'40Trips'!$A$3:$I$42,4,FALSE),'40Trips'!$J$11:$P$14,3,FALSE))),1,0)</f>
        <v>1</v>
      </c>
      <c r="H14">
        <f>IF(AND(VLOOKUP(H$1,'40Trips'!$A$3:$I$42,8,FALSE) - VLOOKUP($B14,'40Trips'!$A$3:$I$42,9,FALSE) &gt;= ('40Trips'!$B$43+VLOOKUP(VLOOKUP($B14,'40Trips'!$A$3:$I$42,4,FALSE),'40Trips'!$J$11:$P$14,3,FALSE))),1,0)</f>
        <v>0</v>
      </c>
      <c r="I14">
        <f>IF(AND(VLOOKUP(I$1,'40Trips'!$A$3:$I$42,8,FALSE) - VLOOKUP($B14,'40Trips'!$A$3:$I$42,9,FALSE) &gt;= ('40Trips'!$B$43+VLOOKUP(VLOOKUP($B14,'40Trips'!$A$3:$I$42,4,FALSE),'40Trips'!$J$11:$P$14,3,FALSE))),1,0)</f>
        <v>0</v>
      </c>
      <c r="J14">
        <f>IF(AND(VLOOKUP(J$1,'40Trips'!$A$3:$I$42,8,FALSE) - VLOOKUP($B14,'40Trips'!$A$3:$I$42,9,FALSE) &gt;= ('40Trips'!$B$43+VLOOKUP(VLOOKUP($B14,'40Trips'!$A$3:$I$42,4,FALSE),'40Trips'!$J$11:$P$14,3,FALSE))),1,0)</f>
        <v>1</v>
      </c>
      <c r="K14">
        <f>IF(AND(VLOOKUP(K$1,'40Trips'!$A$3:$I$42,8,FALSE) - VLOOKUP($B14,'40Trips'!$A$3:$I$42,9,FALSE) &gt;= ('40Trips'!$B$43+VLOOKUP(VLOOKUP($B14,'40Trips'!$A$3:$I$42,4,FALSE),'40Trips'!$J$11:$P$14,3,FALSE))),1,0)</f>
        <v>1</v>
      </c>
      <c r="L14">
        <f>IF(AND(VLOOKUP(L$1,'40Trips'!$A$3:$I$42,8,FALSE) - VLOOKUP($B14,'40Trips'!$A$3:$I$42,9,FALSE) &gt;= ('40Trips'!$B$43+VLOOKUP(VLOOKUP($B14,'40Trips'!$A$3:$I$42,4,FALSE),'40Trips'!$J$11:$P$14,3,FALSE))),1,0)</f>
        <v>0</v>
      </c>
      <c r="M14">
        <f>IF(AND(VLOOKUP(M$1,'40Trips'!$A$3:$I$42,8,FALSE) - VLOOKUP($B14,'40Trips'!$A$3:$I$42,9,FALSE) &gt;= ('40Trips'!$B$43+VLOOKUP(VLOOKUP($B14,'40Trips'!$A$3:$I$42,4,FALSE),'40Trips'!$J$11:$P$14,3,FALSE))),1,0)</f>
        <v>0</v>
      </c>
      <c r="N14">
        <f>IF(AND(VLOOKUP(N$1,'40Trips'!$A$3:$I$42,8,FALSE) - VLOOKUP($B14,'40Trips'!$A$3:$I$42,9,FALSE) &gt;= ('40Trips'!$B$43+VLOOKUP(VLOOKUP($B14,'40Trips'!$A$3:$I$42,4,FALSE),'40Trips'!$J$11:$P$14,3,FALSE))),1,0)</f>
        <v>1</v>
      </c>
      <c r="O14">
        <f>IF(AND(VLOOKUP(O$1,'40Trips'!$A$3:$I$42,8,FALSE) - VLOOKUP($B14,'40Trips'!$A$3:$I$42,9,FALSE) &gt;= ('40Trips'!$B$43+VLOOKUP(VLOOKUP($B14,'40Trips'!$A$3:$I$42,4,FALSE),'40Trips'!$J$11:$P$14,3,FALSE))),1,0)</f>
        <v>0</v>
      </c>
      <c r="P14">
        <f>IF(AND(VLOOKUP(P$1,'40Trips'!$A$3:$I$42,8,FALSE) - VLOOKUP($B14,'40Trips'!$A$3:$I$42,9,FALSE) &gt;= ('40Trips'!$B$43+VLOOKUP(VLOOKUP($B14,'40Trips'!$A$3:$I$42,4,FALSE),'40Trips'!$J$11:$P$14,3,FALSE))),1,0)</f>
        <v>0</v>
      </c>
      <c r="Q14">
        <f>IF(AND(VLOOKUP(Q$1,'40Trips'!$A$3:$I$42,8,FALSE) - VLOOKUP($B14,'40Trips'!$A$3:$I$42,9,FALSE) &gt;= ('40Trips'!$B$43+VLOOKUP(VLOOKUP($B14,'40Trips'!$A$3:$I$42,4,FALSE),'40Trips'!$J$11:$P$14,3,FALSE))),1,0)</f>
        <v>0</v>
      </c>
      <c r="R14">
        <f>IF(AND(VLOOKUP(R$1,'40Trips'!$A$3:$I$42,8,FALSE) - VLOOKUP($B14,'40Trips'!$A$3:$I$42,9,FALSE) &gt;= ('40Trips'!$B$43+VLOOKUP(VLOOKUP($B14,'40Trips'!$A$3:$I$42,4,FALSE),'40Trips'!$J$11:$P$14,3,FALSE))),1,0)</f>
        <v>1</v>
      </c>
      <c r="S14">
        <f>IF(AND(VLOOKUP(S$1,'40Trips'!$A$3:$I$42,8,FALSE) - VLOOKUP($B14,'40Trips'!$A$3:$I$42,9,FALSE) &gt;= ('40Trips'!$B$43+VLOOKUP(VLOOKUP($B14,'40Trips'!$A$3:$I$42,4,FALSE),'40Trips'!$J$11:$P$14,3,FALSE))),1,0)</f>
        <v>1</v>
      </c>
      <c r="T14">
        <f>IF(AND(VLOOKUP(T$1,'40Trips'!$A$3:$I$42,8,FALSE) - VLOOKUP($B14,'40Trips'!$A$3:$I$42,9,FALSE) &gt;= ('40Trips'!$B$43+VLOOKUP(VLOOKUP($B14,'40Trips'!$A$3:$I$42,4,FALSE),'40Trips'!$J$11:$P$14,3,FALSE))),1,0)</f>
        <v>0</v>
      </c>
      <c r="U14">
        <f>IF(AND(VLOOKUP(U$1,'40Trips'!$A$3:$I$42,8,FALSE) - VLOOKUP($B14,'40Trips'!$A$3:$I$42,9,FALSE) &gt;= ('40Trips'!$B$43+VLOOKUP(VLOOKUP($B14,'40Trips'!$A$3:$I$42,4,FALSE),'40Trips'!$J$11:$P$14,3,FALSE))),1,0)</f>
        <v>0</v>
      </c>
      <c r="V14">
        <f>IF(AND(VLOOKUP(V$1,'40Trips'!$A$3:$I$42,8,FALSE) - VLOOKUP($B14,'40Trips'!$A$3:$I$42,9,FALSE) &gt;= ('40Trips'!$B$43+VLOOKUP(VLOOKUP($B14,'40Trips'!$A$3:$I$42,4,FALSE),'40Trips'!$J$11:$P$14,3,FALSE))),1,0)</f>
        <v>1</v>
      </c>
      <c r="W14">
        <f>IF(AND(VLOOKUP(W$1,'40Trips'!$A$3:$I$42,8,FALSE) - VLOOKUP($B14,'40Trips'!$A$3:$I$42,9,FALSE) &gt;= ('40Trips'!$B$43+VLOOKUP(VLOOKUP($B14,'40Trips'!$A$3:$I$42,4,FALSE),'40Trips'!$J$11:$P$14,3,FALSE))),1,0)</f>
        <v>1</v>
      </c>
      <c r="X14">
        <f>IF(AND(VLOOKUP(X$1,'40Trips'!$A$3:$I$42,8,FALSE) - VLOOKUP($B14,'40Trips'!$A$3:$I$42,9,FALSE) &gt;= ('40Trips'!$B$43+VLOOKUP(VLOOKUP($B14,'40Trips'!$A$3:$I$42,4,FALSE),'40Trips'!$J$11:$P$14,3,FALSE))),1,0)</f>
        <v>0</v>
      </c>
      <c r="Y14">
        <f>IF(AND(VLOOKUP(Y$1,'40Trips'!$A$3:$I$42,8,FALSE) - VLOOKUP($B14,'40Trips'!$A$3:$I$42,9,FALSE) &gt;= ('40Trips'!$B$43+VLOOKUP(VLOOKUP($B14,'40Trips'!$A$3:$I$42,4,FALSE),'40Trips'!$J$11:$P$14,3,FALSE))),1,0)</f>
        <v>0</v>
      </c>
      <c r="Z14">
        <f>IF(AND(VLOOKUP(Z$1,'40Trips'!$A$3:$I$42,8,FALSE) - VLOOKUP($B14,'40Trips'!$A$3:$I$42,9,FALSE) &gt;= ('40Trips'!$B$43+VLOOKUP(VLOOKUP($B14,'40Trips'!$A$3:$I$42,4,FALSE),'40Trips'!$J$11:$P$14,3,FALSE))),1,0)</f>
        <v>1</v>
      </c>
      <c r="AA14">
        <f>IF(AND(VLOOKUP(AA$1,'40Trips'!$A$3:$I$42,8,FALSE) - VLOOKUP($B14,'40Trips'!$A$3:$I$42,9,FALSE) &gt;= ('40Trips'!$B$43+VLOOKUP(VLOOKUP($B14,'40Trips'!$A$3:$I$42,4,FALSE),'40Trips'!$J$11:$P$14,3,FALSE))),1,0)</f>
        <v>1</v>
      </c>
      <c r="AB14">
        <f>IF(AND(VLOOKUP(AB$1,'40Trips'!$A$3:$I$42,8,FALSE) - VLOOKUP($B14,'40Trips'!$A$3:$I$42,9,FALSE) &gt;= ('40Trips'!$B$43+VLOOKUP(VLOOKUP($B14,'40Trips'!$A$3:$I$42,4,FALSE),'40Trips'!$J$11:$P$14,3,FALSE))),1,0)</f>
        <v>0</v>
      </c>
      <c r="AC14">
        <f>IF(AND(VLOOKUP(AC$1,'40Trips'!$A$3:$I$42,8,FALSE) - VLOOKUP($B14,'40Trips'!$A$3:$I$42,9,FALSE) &gt;= ('40Trips'!$B$43+VLOOKUP(VLOOKUP($B14,'40Trips'!$A$3:$I$42,4,FALSE),'40Trips'!$J$11:$P$14,3,FALSE))),1,0)</f>
        <v>0</v>
      </c>
      <c r="AD14">
        <f>IF(AND(VLOOKUP(AD$1,'40Trips'!$A$3:$I$42,8,FALSE) - VLOOKUP($B14,'40Trips'!$A$3:$I$42,9,FALSE) &gt;= ('40Trips'!$B$43+VLOOKUP(VLOOKUP($B14,'40Trips'!$A$3:$I$42,4,FALSE),'40Trips'!$J$11:$P$14,3,FALSE))),1,0)</f>
        <v>1</v>
      </c>
      <c r="AE14">
        <f>IF(AND(VLOOKUP(AE$1,'40Trips'!$A$3:$I$42,8,FALSE) - VLOOKUP($B14,'40Trips'!$A$3:$I$42,9,FALSE) &gt;= ('40Trips'!$B$43+VLOOKUP(VLOOKUP($B14,'40Trips'!$A$3:$I$42,4,FALSE),'40Trips'!$J$11:$P$14,3,FALSE))),1,0)</f>
        <v>1</v>
      </c>
      <c r="AF14">
        <f>IF(AND(VLOOKUP(AF$1,'40Trips'!$A$3:$I$42,8,FALSE) - VLOOKUP($B14,'40Trips'!$A$3:$I$42,9,FALSE) &gt;= ('40Trips'!$B$43+VLOOKUP(VLOOKUP($B14,'40Trips'!$A$3:$I$42,4,FALSE),'40Trips'!$J$11:$P$14,3,FALSE))),1,0)</f>
        <v>0</v>
      </c>
      <c r="AG14">
        <f>IF(AND(VLOOKUP(AG$1,'40Trips'!$A$3:$I$42,8,FALSE) - VLOOKUP($B14,'40Trips'!$A$3:$I$42,9,FALSE) &gt;= ('40Trips'!$B$43+VLOOKUP(VLOOKUP($B14,'40Trips'!$A$3:$I$42,4,FALSE),'40Trips'!$J$11:$P$14,3,FALSE))),1,0)</f>
        <v>0</v>
      </c>
      <c r="AH14">
        <f>IF(AND(VLOOKUP(AH$1,'40Trips'!$A$3:$I$42,8,FALSE) - VLOOKUP($B14,'40Trips'!$A$3:$I$42,9,FALSE) &gt;= ('40Trips'!$B$43+VLOOKUP(VLOOKUP($B14,'40Trips'!$A$3:$I$42,4,FALSE),'40Trips'!$J$11:$P$14,3,FALSE))),1,0)</f>
        <v>0</v>
      </c>
      <c r="AI14">
        <f>IF(AND(VLOOKUP(AI$1,'40Trips'!$A$3:$I$42,8,FALSE) - VLOOKUP($B14,'40Trips'!$A$3:$I$42,9,FALSE) &gt;= ('40Trips'!$B$43+VLOOKUP(VLOOKUP($B14,'40Trips'!$A$3:$I$42,4,FALSE),'40Trips'!$J$11:$P$14,3,FALSE))),1,0)</f>
        <v>1</v>
      </c>
      <c r="AJ14">
        <f>IF(AND(VLOOKUP(AJ$1,'40Trips'!$A$3:$I$42,8,FALSE) - VLOOKUP($B14,'40Trips'!$A$3:$I$42,9,FALSE) &gt;= ('40Trips'!$B$43+VLOOKUP(VLOOKUP($B14,'40Trips'!$A$3:$I$42,4,FALSE),'40Trips'!$J$11:$P$14,3,FALSE))),1,0)</f>
        <v>0</v>
      </c>
      <c r="AK14">
        <f>IF(AND(VLOOKUP(AK$1,'40Trips'!$A$3:$I$42,8,FALSE) - VLOOKUP($B14,'40Trips'!$A$3:$I$42,9,FALSE) &gt;= ('40Trips'!$B$43+VLOOKUP(VLOOKUP($B14,'40Trips'!$A$3:$I$42,4,FALSE),'40Trips'!$J$11:$P$14,3,FALSE))),1,0)</f>
        <v>0</v>
      </c>
      <c r="AL14">
        <f>IF(AND(VLOOKUP(AL$1,'40Trips'!$A$3:$I$42,8,FALSE) - VLOOKUP($B14,'40Trips'!$A$3:$I$42,9,FALSE) &gt;= ('40Trips'!$B$43+VLOOKUP(VLOOKUP($B14,'40Trips'!$A$3:$I$42,4,FALSE),'40Trips'!$J$11:$P$14,3,FALSE))),1,0)</f>
        <v>1</v>
      </c>
      <c r="AM14">
        <f>IF(AND(VLOOKUP(AM$1,'40Trips'!$A$3:$I$42,8,FALSE) - VLOOKUP($B14,'40Trips'!$A$3:$I$42,9,FALSE) &gt;= ('40Trips'!$B$43+VLOOKUP(VLOOKUP($B14,'40Trips'!$A$3:$I$42,4,FALSE),'40Trips'!$J$11:$P$14,3,FALSE))),1,0)</f>
        <v>1</v>
      </c>
      <c r="AN14">
        <f>IF(AND(VLOOKUP(AN$1,'40Trips'!$A$3:$I$42,8,FALSE) - VLOOKUP($B14,'40Trips'!$A$3:$I$42,9,FALSE) &gt;= ('40Trips'!$B$43+VLOOKUP(VLOOKUP($B14,'40Trips'!$A$3:$I$42,4,FALSE),'40Trips'!$J$11:$P$14,3,FALSE))),1,0)</f>
        <v>0</v>
      </c>
      <c r="AO14">
        <f>IF(AND(VLOOKUP(AO$1,'40Trips'!$A$3:$I$42,8,FALSE) - VLOOKUP($B14,'40Trips'!$A$3:$I$42,9,FALSE) &gt;= ('40Trips'!$B$43+VLOOKUP(VLOOKUP($B14,'40Trips'!$A$3:$I$42,4,FALSE),'40Trips'!$J$11:$P$14,3,FALSE))),1,0)</f>
        <v>1</v>
      </c>
      <c r="AP14">
        <f>IF(AND(VLOOKUP(AP$1,'40Trips'!$A$3:$I$42,8,FALSE) - VLOOKUP($B14,'40Trips'!$A$3:$I$42,9,FALSE) &gt;= ('40Trips'!$B$43+VLOOKUP(VLOOKUP($B14,'40Trips'!$A$3:$I$42,4,FALSE),'40Trips'!$J$11:$P$14,3,FALSE))),1,0)</f>
        <v>1</v>
      </c>
      <c r="AQ14">
        <f>IF(AND(VLOOKUP(AQ$1,'40Trips'!$A$3:$I$42,8,FALSE) - VLOOKUP($B14,'40Trips'!$A$3:$I$42,9,FALSE) &gt;= ('40Trips'!$B$43+VLOOKUP(VLOOKUP($B14,'40Trips'!$A$3:$I$42,4,FALSE),'40Trips'!$J$11:$P$14,3,FALSE))),1,0)</f>
        <v>1</v>
      </c>
    </row>
    <row r="15" spans="1:43" x14ac:dyDescent="0.25">
      <c r="A15" t="s">
        <v>48</v>
      </c>
      <c r="B15" t="s">
        <v>27</v>
      </c>
      <c r="C15">
        <v>0</v>
      </c>
      <c r="D15">
        <f>IF(AND(VLOOKUP(D$1,'40Trips'!$A$3:$I$42,8,FALSE) - VLOOKUP($B15,'40Trips'!$A$3:$I$42,9,FALSE) &gt;= ('40Trips'!$B$43+VLOOKUP(VLOOKUP($B15,'40Trips'!$A$3:$I$42,4,FALSE),'40Trips'!$J$11:$P$14,3,FALSE))),1,0)</f>
        <v>0</v>
      </c>
      <c r="E15">
        <f>IF(AND(VLOOKUP(E$1,'40Trips'!$A$3:$I$42,8,FALSE) - VLOOKUP($B15,'40Trips'!$A$3:$I$42,9,FALSE) &gt;= ('40Trips'!$B$43+VLOOKUP(VLOOKUP($B15,'40Trips'!$A$3:$I$42,4,FALSE),'40Trips'!$J$11:$P$14,3,FALSE))),1,0)</f>
        <v>0</v>
      </c>
      <c r="F15">
        <f>IF(AND(VLOOKUP(F$1,'40Trips'!$A$3:$I$42,8,FALSE) - VLOOKUP($B15,'40Trips'!$A$3:$I$42,9,FALSE) &gt;= ('40Trips'!$B$43+VLOOKUP(VLOOKUP($B15,'40Trips'!$A$3:$I$42,4,FALSE),'40Trips'!$J$11:$P$14,3,FALSE))),1,0)</f>
        <v>0</v>
      </c>
      <c r="G15">
        <f>IF(AND(VLOOKUP(G$1,'40Trips'!$A$3:$I$42,8,FALSE) - VLOOKUP($B15,'40Trips'!$A$3:$I$42,9,FALSE) &gt;= ('40Trips'!$B$43+VLOOKUP(VLOOKUP($B15,'40Trips'!$A$3:$I$42,4,FALSE),'40Trips'!$J$11:$P$14,3,FALSE))),1,0)</f>
        <v>1</v>
      </c>
      <c r="H15">
        <f>IF(AND(VLOOKUP(H$1,'40Trips'!$A$3:$I$42,8,FALSE) - VLOOKUP($B15,'40Trips'!$A$3:$I$42,9,FALSE) &gt;= ('40Trips'!$B$43+VLOOKUP(VLOOKUP($B15,'40Trips'!$A$3:$I$42,4,FALSE),'40Trips'!$J$11:$P$14,3,FALSE))),1,0)</f>
        <v>0</v>
      </c>
      <c r="I15">
        <f>IF(AND(VLOOKUP(I$1,'40Trips'!$A$3:$I$42,8,FALSE) - VLOOKUP($B15,'40Trips'!$A$3:$I$42,9,FALSE) &gt;= ('40Trips'!$B$43+VLOOKUP(VLOOKUP($B15,'40Trips'!$A$3:$I$42,4,FALSE),'40Trips'!$J$11:$P$14,3,FALSE))),1,0)</f>
        <v>0</v>
      </c>
      <c r="J15">
        <f>IF(AND(VLOOKUP(J$1,'40Trips'!$A$3:$I$42,8,FALSE) - VLOOKUP($B15,'40Trips'!$A$3:$I$42,9,FALSE) &gt;= ('40Trips'!$B$43+VLOOKUP(VLOOKUP($B15,'40Trips'!$A$3:$I$42,4,FALSE),'40Trips'!$J$11:$P$14,3,FALSE))),1,0)</f>
        <v>0</v>
      </c>
      <c r="K15">
        <f>IF(AND(VLOOKUP(K$1,'40Trips'!$A$3:$I$42,8,FALSE) - VLOOKUP($B15,'40Trips'!$A$3:$I$42,9,FALSE) &gt;= ('40Trips'!$B$43+VLOOKUP(VLOOKUP($B15,'40Trips'!$A$3:$I$42,4,FALSE),'40Trips'!$J$11:$P$14,3,FALSE))),1,0)</f>
        <v>1</v>
      </c>
      <c r="L15">
        <f>IF(AND(VLOOKUP(L$1,'40Trips'!$A$3:$I$42,8,FALSE) - VLOOKUP($B15,'40Trips'!$A$3:$I$42,9,FALSE) &gt;= ('40Trips'!$B$43+VLOOKUP(VLOOKUP($B15,'40Trips'!$A$3:$I$42,4,FALSE),'40Trips'!$J$11:$P$14,3,FALSE))),1,0)</f>
        <v>0</v>
      </c>
      <c r="M15">
        <f>IF(AND(VLOOKUP(M$1,'40Trips'!$A$3:$I$42,8,FALSE) - VLOOKUP($B15,'40Trips'!$A$3:$I$42,9,FALSE) &gt;= ('40Trips'!$B$43+VLOOKUP(VLOOKUP($B15,'40Trips'!$A$3:$I$42,4,FALSE),'40Trips'!$J$11:$P$14,3,FALSE))),1,0)</f>
        <v>0</v>
      </c>
      <c r="N15">
        <f>IF(AND(VLOOKUP(N$1,'40Trips'!$A$3:$I$42,8,FALSE) - VLOOKUP($B15,'40Trips'!$A$3:$I$42,9,FALSE) &gt;= ('40Trips'!$B$43+VLOOKUP(VLOOKUP($B15,'40Trips'!$A$3:$I$42,4,FALSE),'40Trips'!$J$11:$P$14,3,FALSE))),1,0)</f>
        <v>0</v>
      </c>
      <c r="O15">
        <f>IF(AND(VLOOKUP(O$1,'40Trips'!$A$3:$I$42,8,FALSE) - VLOOKUP($B15,'40Trips'!$A$3:$I$42,9,FALSE) &gt;= ('40Trips'!$B$43+VLOOKUP(VLOOKUP($B15,'40Trips'!$A$3:$I$42,4,FALSE),'40Trips'!$J$11:$P$14,3,FALSE))),1,0)</f>
        <v>0</v>
      </c>
      <c r="P15">
        <f>IF(AND(VLOOKUP(P$1,'40Trips'!$A$3:$I$42,8,FALSE) - VLOOKUP($B15,'40Trips'!$A$3:$I$42,9,FALSE) &gt;= ('40Trips'!$B$43+VLOOKUP(VLOOKUP($B15,'40Trips'!$A$3:$I$42,4,FALSE),'40Trips'!$J$11:$P$14,3,FALSE))),1,0)</f>
        <v>0</v>
      </c>
      <c r="Q15">
        <f>IF(AND(VLOOKUP(Q$1,'40Trips'!$A$3:$I$42,8,FALSE) - VLOOKUP($B15,'40Trips'!$A$3:$I$42,9,FALSE) &gt;= ('40Trips'!$B$43+VLOOKUP(VLOOKUP($B15,'40Trips'!$A$3:$I$42,4,FALSE),'40Trips'!$J$11:$P$14,3,FALSE))),1,0)</f>
        <v>0</v>
      </c>
      <c r="R15">
        <f>IF(AND(VLOOKUP(R$1,'40Trips'!$A$3:$I$42,8,FALSE) - VLOOKUP($B15,'40Trips'!$A$3:$I$42,9,FALSE) &gt;= ('40Trips'!$B$43+VLOOKUP(VLOOKUP($B15,'40Trips'!$A$3:$I$42,4,FALSE),'40Trips'!$J$11:$P$14,3,FALSE))),1,0)</f>
        <v>0</v>
      </c>
      <c r="S15">
        <f>IF(AND(VLOOKUP(S$1,'40Trips'!$A$3:$I$42,8,FALSE) - VLOOKUP($B15,'40Trips'!$A$3:$I$42,9,FALSE) &gt;= ('40Trips'!$B$43+VLOOKUP(VLOOKUP($B15,'40Trips'!$A$3:$I$42,4,FALSE),'40Trips'!$J$11:$P$14,3,FALSE))),1,0)</f>
        <v>1</v>
      </c>
      <c r="T15">
        <f>IF(AND(VLOOKUP(T$1,'40Trips'!$A$3:$I$42,8,FALSE) - VLOOKUP($B15,'40Trips'!$A$3:$I$42,9,FALSE) &gt;= ('40Trips'!$B$43+VLOOKUP(VLOOKUP($B15,'40Trips'!$A$3:$I$42,4,FALSE),'40Trips'!$J$11:$P$14,3,FALSE))),1,0)</f>
        <v>0</v>
      </c>
      <c r="U15">
        <f>IF(AND(VLOOKUP(U$1,'40Trips'!$A$3:$I$42,8,FALSE) - VLOOKUP($B15,'40Trips'!$A$3:$I$42,9,FALSE) &gt;= ('40Trips'!$B$43+VLOOKUP(VLOOKUP($B15,'40Trips'!$A$3:$I$42,4,FALSE),'40Trips'!$J$11:$P$14,3,FALSE))),1,0)</f>
        <v>0</v>
      </c>
      <c r="V15">
        <f>IF(AND(VLOOKUP(V$1,'40Trips'!$A$3:$I$42,8,FALSE) - VLOOKUP($B15,'40Trips'!$A$3:$I$42,9,FALSE) &gt;= ('40Trips'!$B$43+VLOOKUP(VLOOKUP($B15,'40Trips'!$A$3:$I$42,4,FALSE),'40Trips'!$J$11:$P$14,3,FALSE))),1,0)</f>
        <v>0</v>
      </c>
      <c r="W15">
        <f>IF(AND(VLOOKUP(W$1,'40Trips'!$A$3:$I$42,8,FALSE) - VLOOKUP($B15,'40Trips'!$A$3:$I$42,9,FALSE) &gt;= ('40Trips'!$B$43+VLOOKUP(VLOOKUP($B15,'40Trips'!$A$3:$I$42,4,FALSE),'40Trips'!$J$11:$P$14,3,FALSE))),1,0)</f>
        <v>1</v>
      </c>
      <c r="X15">
        <f>IF(AND(VLOOKUP(X$1,'40Trips'!$A$3:$I$42,8,FALSE) - VLOOKUP($B15,'40Trips'!$A$3:$I$42,9,FALSE) &gt;= ('40Trips'!$B$43+VLOOKUP(VLOOKUP($B15,'40Trips'!$A$3:$I$42,4,FALSE),'40Trips'!$J$11:$P$14,3,FALSE))),1,0)</f>
        <v>0</v>
      </c>
      <c r="Y15">
        <f>IF(AND(VLOOKUP(Y$1,'40Trips'!$A$3:$I$42,8,FALSE) - VLOOKUP($B15,'40Trips'!$A$3:$I$42,9,FALSE) &gt;= ('40Trips'!$B$43+VLOOKUP(VLOOKUP($B15,'40Trips'!$A$3:$I$42,4,FALSE),'40Trips'!$J$11:$P$14,3,FALSE))),1,0)</f>
        <v>0</v>
      </c>
      <c r="Z15">
        <f>IF(AND(VLOOKUP(Z$1,'40Trips'!$A$3:$I$42,8,FALSE) - VLOOKUP($B15,'40Trips'!$A$3:$I$42,9,FALSE) &gt;= ('40Trips'!$B$43+VLOOKUP(VLOOKUP($B15,'40Trips'!$A$3:$I$42,4,FALSE),'40Trips'!$J$11:$P$14,3,FALSE))),1,0)</f>
        <v>1</v>
      </c>
      <c r="AA15">
        <f>IF(AND(VLOOKUP(AA$1,'40Trips'!$A$3:$I$42,8,FALSE) - VLOOKUP($B15,'40Trips'!$A$3:$I$42,9,FALSE) &gt;= ('40Trips'!$B$43+VLOOKUP(VLOOKUP($B15,'40Trips'!$A$3:$I$42,4,FALSE),'40Trips'!$J$11:$P$14,3,FALSE))),1,0)</f>
        <v>1</v>
      </c>
      <c r="AB15">
        <f>IF(AND(VLOOKUP(AB$1,'40Trips'!$A$3:$I$42,8,FALSE) - VLOOKUP($B15,'40Trips'!$A$3:$I$42,9,FALSE) &gt;= ('40Trips'!$B$43+VLOOKUP(VLOOKUP($B15,'40Trips'!$A$3:$I$42,4,FALSE),'40Trips'!$J$11:$P$14,3,FALSE))),1,0)</f>
        <v>0</v>
      </c>
      <c r="AC15">
        <f>IF(AND(VLOOKUP(AC$1,'40Trips'!$A$3:$I$42,8,FALSE) - VLOOKUP($B15,'40Trips'!$A$3:$I$42,9,FALSE) &gt;= ('40Trips'!$B$43+VLOOKUP(VLOOKUP($B15,'40Trips'!$A$3:$I$42,4,FALSE),'40Trips'!$J$11:$P$14,3,FALSE))),1,0)</f>
        <v>0</v>
      </c>
      <c r="AD15">
        <f>IF(AND(VLOOKUP(AD$1,'40Trips'!$A$3:$I$42,8,FALSE) - VLOOKUP($B15,'40Trips'!$A$3:$I$42,9,FALSE) &gt;= ('40Trips'!$B$43+VLOOKUP(VLOOKUP($B15,'40Trips'!$A$3:$I$42,4,FALSE),'40Trips'!$J$11:$P$14,3,FALSE))),1,0)</f>
        <v>1</v>
      </c>
      <c r="AE15">
        <f>IF(AND(VLOOKUP(AE$1,'40Trips'!$A$3:$I$42,8,FALSE) - VLOOKUP($B15,'40Trips'!$A$3:$I$42,9,FALSE) &gt;= ('40Trips'!$B$43+VLOOKUP(VLOOKUP($B15,'40Trips'!$A$3:$I$42,4,FALSE),'40Trips'!$J$11:$P$14,3,FALSE))),1,0)</f>
        <v>1</v>
      </c>
      <c r="AF15">
        <f>IF(AND(VLOOKUP(AF$1,'40Trips'!$A$3:$I$42,8,FALSE) - VLOOKUP($B15,'40Trips'!$A$3:$I$42,9,FALSE) &gt;= ('40Trips'!$B$43+VLOOKUP(VLOOKUP($B15,'40Trips'!$A$3:$I$42,4,FALSE),'40Trips'!$J$11:$P$14,3,FALSE))),1,0)</f>
        <v>0</v>
      </c>
      <c r="AG15">
        <f>IF(AND(VLOOKUP(AG$1,'40Trips'!$A$3:$I$42,8,FALSE) - VLOOKUP($B15,'40Trips'!$A$3:$I$42,9,FALSE) &gt;= ('40Trips'!$B$43+VLOOKUP(VLOOKUP($B15,'40Trips'!$A$3:$I$42,4,FALSE),'40Trips'!$J$11:$P$14,3,FALSE))),1,0)</f>
        <v>0</v>
      </c>
      <c r="AH15">
        <f>IF(AND(VLOOKUP(AH$1,'40Trips'!$A$3:$I$42,8,FALSE) - VLOOKUP($B15,'40Trips'!$A$3:$I$42,9,FALSE) &gt;= ('40Trips'!$B$43+VLOOKUP(VLOOKUP($B15,'40Trips'!$A$3:$I$42,4,FALSE),'40Trips'!$J$11:$P$14,3,FALSE))),1,0)</f>
        <v>0</v>
      </c>
      <c r="AI15">
        <f>IF(AND(VLOOKUP(AI$1,'40Trips'!$A$3:$I$42,8,FALSE) - VLOOKUP($B15,'40Trips'!$A$3:$I$42,9,FALSE) &gt;= ('40Trips'!$B$43+VLOOKUP(VLOOKUP($B15,'40Trips'!$A$3:$I$42,4,FALSE),'40Trips'!$J$11:$P$14,3,FALSE))),1,0)</f>
        <v>0</v>
      </c>
      <c r="AJ15">
        <f>IF(AND(VLOOKUP(AJ$1,'40Trips'!$A$3:$I$42,8,FALSE) - VLOOKUP($B15,'40Trips'!$A$3:$I$42,9,FALSE) &gt;= ('40Trips'!$B$43+VLOOKUP(VLOOKUP($B15,'40Trips'!$A$3:$I$42,4,FALSE),'40Trips'!$J$11:$P$14,3,FALSE))),1,0)</f>
        <v>0</v>
      </c>
      <c r="AK15">
        <f>IF(AND(VLOOKUP(AK$1,'40Trips'!$A$3:$I$42,8,FALSE) - VLOOKUP($B15,'40Trips'!$A$3:$I$42,9,FALSE) &gt;= ('40Trips'!$B$43+VLOOKUP(VLOOKUP($B15,'40Trips'!$A$3:$I$42,4,FALSE),'40Trips'!$J$11:$P$14,3,FALSE))),1,0)</f>
        <v>0</v>
      </c>
      <c r="AL15">
        <f>IF(AND(VLOOKUP(AL$1,'40Trips'!$A$3:$I$42,8,FALSE) - VLOOKUP($B15,'40Trips'!$A$3:$I$42,9,FALSE) &gt;= ('40Trips'!$B$43+VLOOKUP(VLOOKUP($B15,'40Trips'!$A$3:$I$42,4,FALSE),'40Trips'!$J$11:$P$14,3,FALSE))),1,0)</f>
        <v>0</v>
      </c>
      <c r="AM15">
        <f>IF(AND(VLOOKUP(AM$1,'40Trips'!$A$3:$I$42,8,FALSE) - VLOOKUP($B15,'40Trips'!$A$3:$I$42,9,FALSE) &gt;= ('40Trips'!$B$43+VLOOKUP(VLOOKUP($B15,'40Trips'!$A$3:$I$42,4,FALSE),'40Trips'!$J$11:$P$14,3,FALSE))),1,0)</f>
        <v>1</v>
      </c>
      <c r="AN15">
        <f>IF(AND(VLOOKUP(AN$1,'40Trips'!$A$3:$I$42,8,FALSE) - VLOOKUP($B15,'40Trips'!$A$3:$I$42,9,FALSE) &gt;= ('40Trips'!$B$43+VLOOKUP(VLOOKUP($B15,'40Trips'!$A$3:$I$42,4,FALSE),'40Trips'!$J$11:$P$14,3,FALSE))),1,0)</f>
        <v>0</v>
      </c>
      <c r="AO15">
        <f>IF(AND(VLOOKUP(AO$1,'40Trips'!$A$3:$I$42,8,FALSE) - VLOOKUP($B15,'40Trips'!$A$3:$I$42,9,FALSE) &gt;= ('40Trips'!$B$43+VLOOKUP(VLOOKUP($B15,'40Trips'!$A$3:$I$42,4,FALSE),'40Trips'!$J$11:$P$14,3,FALSE))),1,0)</f>
        <v>0</v>
      </c>
      <c r="AP15">
        <f>IF(AND(VLOOKUP(AP$1,'40Trips'!$A$3:$I$42,8,FALSE) - VLOOKUP($B15,'40Trips'!$A$3:$I$42,9,FALSE) &gt;= ('40Trips'!$B$43+VLOOKUP(VLOOKUP($B15,'40Trips'!$A$3:$I$42,4,FALSE),'40Trips'!$J$11:$P$14,3,FALSE))),1,0)</f>
        <v>0</v>
      </c>
      <c r="AQ15">
        <f>IF(AND(VLOOKUP(AQ$1,'40Trips'!$A$3:$I$42,8,FALSE) - VLOOKUP($B15,'40Trips'!$A$3:$I$42,9,FALSE) &gt;= ('40Trips'!$B$43+VLOOKUP(VLOOKUP($B15,'40Trips'!$A$3:$I$42,4,FALSE),'40Trips'!$J$11:$P$14,3,FALSE))),1,0)</f>
        <v>1</v>
      </c>
    </row>
    <row r="16" spans="1:43" x14ac:dyDescent="0.25">
      <c r="A16" t="s">
        <v>48</v>
      </c>
      <c r="B16" t="s">
        <v>28</v>
      </c>
      <c r="C16">
        <v>0</v>
      </c>
      <c r="D16">
        <f>IF(AND(VLOOKUP(D$1,'40Trips'!$A$3:$I$42,8,FALSE) - VLOOKUP($B16,'40Trips'!$A$3:$I$42,9,FALSE) &gt;= ('40Trips'!$B$43+VLOOKUP(VLOOKUP($B16,'40Trips'!$A$3:$I$42,4,FALSE),'40Trips'!$J$11:$P$14,3,FALSE))),1,0)</f>
        <v>0</v>
      </c>
      <c r="E16">
        <f>IF(AND(VLOOKUP(E$1,'40Trips'!$A$3:$I$42,8,FALSE) - VLOOKUP($B16,'40Trips'!$A$3:$I$42,9,FALSE) &gt;= ('40Trips'!$B$43+VLOOKUP(VLOOKUP($B16,'40Trips'!$A$3:$I$42,4,FALSE),'40Trips'!$J$11:$P$14,3,FALSE))),1,0)</f>
        <v>0</v>
      </c>
      <c r="F16">
        <f>IF(AND(VLOOKUP(F$1,'40Trips'!$A$3:$I$42,8,FALSE) - VLOOKUP($B16,'40Trips'!$A$3:$I$42,9,FALSE) &gt;= ('40Trips'!$B$43+VLOOKUP(VLOOKUP($B16,'40Trips'!$A$3:$I$42,4,FALSE),'40Trips'!$J$11:$P$14,3,FALSE))),1,0)</f>
        <v>0</v>
      </c>
      <c r="G16">
        <f>IF(AND(VLOOKUP(G$1,'40Trips'!$A$3:$I$42,8,FALSE) - VLOOKUP($B16,'40Trips'!$A$3:$I$42,9,FALSE) &gt;= ('40Trips'!$B$43+VLOOKUP(VLOOKUP($B16,'40Trips'!$A$3:$I$42,4,FALSE),'40Trips'!$J$11:$P$14,3,FALSE))),1,0)</f>
        <v>0</v>
      </c>
      <c r="H16">
        <f>IF(AND(VLOOKUP(H$1,'40Trips'!$A$3:$I$42,8,FALSE) - VLOOKUP($B16,'40Trips'!$A$3:$I$42,9,FALSE) &gt;= ('40Trips'!$B$43+VLOOKUP(VLOOKUP($B16,'40Trips'!$A$3:$I$42,4,FALSE),'40Trips'!$J$11:$P$14,3,FALSE))),1,0)</f>
        <v>0</v>
      </c>
      <c r="I16">
        <f>IF(AND(VLOOKUP(I$1,'40Trips'!$A$3:$I$42,8,FALSE) - VLOOKUP($B16,'40Trips'!$A$3:$I$42,9,FALSE) &gt;= ('40Trips'!$B$43+VLOOKUP(VLOOKUP($B16,'40Trips'!$A$3:$I$42,4,FALSE),'40Trips'!$J$11:$P$14,3,FALSE))),1,0)</f>
        <v>0</v>
      </c>
      <c r="J16">
        <f>IF(AND(VLOOKUP(J$1,'40Trips'!$A$3:$I$42,8,FALSE) - VLOOKUP($B16,'40Trips'!$A$3:$I$42,9,FALSE) &gt;= ('40Trips'!$B$43+VLOOKUP(VLOOKUP($B16,'40Trips'!$A$3:$I$42,4,FALSE),'40Trips'!$J$11:$P$14,3,FALSE))),1,0)</f>
        <v>0</v>
      </c>
      <c r="K16">
        <f>IF(AND(VLOOKUP(K$1,'40Trips'!$A$3:$I$42,8,FALSE) - VLOOKUP($B16,'40Trips'!$A$3:$I$42,9,FALSE) &gt;= ('40Trips'!$B$43+VLOOKUP(VLOOKUP($B16,'40Trips'!$A$3:$I$42,4,FALSE),'40Trips'!$J$11:$P$14,3,FALSE))),1,0)</f>
        <v>1</v>
      </c>
      <c r="L16">
        <f>IF(AND(VLOOKUP(L$1,'40Trips'!$A$3:$I$42,8,FALSE) - VLOOKUP($B16,'40Trips'!$A$3:$I$42,9,FALSE) &gt;= ('40Trips'!$B$43+VLOOKUP(VLOOKUP($B16,'40Trips'!$A$3:$I$42,4,FALSE),'40Trips'!$J$11:$P$14,3,FALSE))),1,0)</f>
        <v>0</v>
      </c>
      <c r="M16">
        <f>IF(AND(VLOOKUP(M$1,'40Trips'!$A$3:$I$42,8,FALSE) - VLOOKUP($B16,'40Trips'!$A$3:$I$42,9,FALSE) &gt;= ('40Trips'!$B$43+VLOOKUP(VLOOKUP($B16,'40Trips'!$A$3:$I$42,4,FALSE),'40Trips'!$J$11:$P$14,3,FALSE))),1,0)</f>
        <v>0</v>
      </c>
      <c r="N16">
        <f>IF(AND(VLOOKUP(N$1,'40Trips'!$A$3:$I$42,8,FALSE) - VLOOKUP($B16,'40Trips'!$A$3:$I$42,9,FALSE) &gt;= ('40Trips'!$B$43+VLOOKUP(VLOOKUP($B16,'40Trips'!$A$3:$I$42,4,FALSE),'40Trips'!$J$11:$P$14,3,FALSE))),1,0)</f>
        <v>0</v>
      </c>
      <c r="O16">
        <f>IF(AND(VLOOKUP(O$1,'40Trips'!$A$3:$I$42,8,FALSE) - VLOOKUP($B16,'40Trips'!$A$3:$I$42,9,FALSE) &gt;= ('40Trips'!$B$43+VLOOKUP(VLOOKUP($B16,'40Trips'!$A$3:$I$42,4,FALSE),'40Trips'!$J$11:$P$14,3,FALSE))),1,0)</f>
        <v>0</v>
      </c>
      <c r="P16">
        <f>IF(AND(VLOOKUP(P$1,'40Trips'!$A$3:$I$42,8,FALSE) - VLOOKUP($B16,'40Trips'!$A$3:$I$42,9,FALSE) &gt;= ('40Trips'!$B$43+VLOOKUP(VLOOKUP($B16,'40Trips'!$A$3:$I$42,4,FALSE),'40Trips'!$J$11:$P$14,3,FALSE))),1,0)</f>
        <v>0</v>
      </c>
      <c r="Q16">
        <f>IF(AND(VLOOKUP(Q$1,'40Trips'!$A$3:$I$42,8,FALSE) - VLOOKUP($B16,'40Trips'!$A$3:$I$42,9,FALSE) &gt;= ('40Trips'!$B$43+VLOOKUP(VLOOKUP($B16,'40Trips'!$A$3:$I$42,4,FALSE),'40Trips'!$J$11:$P$14,3,FALSE))),1,0)</f>
        <v>0</v>
      </c>
      <c r="R16">
        <f>IF(AND(VLOOKUP(R$1,'40Trips'!$A$3:$I$42,8,FALSE) - VLOOKUP($B16,'40Trips'!$A$3:$I$42,9,FALSE) &gt;= ('40Trips'!$B$43+VLOOKUP(VLOOKUP($B16,'40Trips'!$A$3:$I$42,4,FALSE),'40Trips'!$J$11:$P$14,3,FALSE))),1,0)</f>
        <v>0</v>
      </c>
      <c r="S16">
        <f>IF(AND(VLOOKUP(S$1,'40Trips'!$A$3:$I$42,8,FALSE) - VLOOKUP($B16,'40Trips'!$A$3:$I$42,9,FALSE) &gt;= ('40Trips'!$B$43+VLOOKUP(VLOOKUP($B16,'40Trips'!$A$3:$I$42,4,FALSE),'40Trips'!$J$11:$P$14,3,FALSE))),1,0)</f>
        <v>0</v>
      </c>
      <c r="T16">
        <f>IF(AND(VLOOKUP(T$1,'40Trips'!$A$3:$I$42,8,FALSE) - VLOOKUP($B16,'40Trips'!$A$3:$I$42,9,FALSE) &gt;= ('40Trips'!$B$43+VLOOKUP(VLOOKUP($B16,'40Trips'!$A$3:$I$42,4,FALSE),'40Trips'!$J$11:$P$14,3,FALSE))),1,0)</f>
        <v>0</v>
      </c>
      <c r="U16">
        <f>IF(AND(VLOOKUP(U$1,'40Trips'!$A$3:$I$42,8,FALSE) - VLOOKUP($B16,'40Trips'!$A$3:$I$42,9,FALSE) &gt;= ('40Trips'!$B$43+VLOOKUP(VLOOKUP($B16,'40Trips'!$A$3:$I$42,4,FALSE),'40Trips'!$J$11:$P$14,3,FALSE))),1,0)</f>
        <v>0</v>
      </c>
      <c r="V16">
        <f>IF(AND(VLOOKUP(V$1,'40Trips'!$A$3:$I$42,8,FALSE) - VLOOKUP($B16,'40Trips'!$A$3:$I$42,9,FALSE) &gt;= ('40Trips'!$B$43+VLOOKUP(VLOOKUP($B16,'40Trips'!$A$3:$I$42,4,FALSE),'40Trips'!$J$11:$P$14,3,FALSE))),1,0)</f>
        <v>0</v>
      </c>
      <c r="W16">
        <f>IF(AND(VLOOKUP(W$1,'40Trips'!$A$3:$I$42,8,FALSE) - VLOOKUP($B16,'40Trips'!$A$3:$I$42,9,FALSE) &gt;= ('40Trips'!$B$43+VLOOKUP(VLOOKUP($B16,'40Trips'!$A$3:$I$42,4,FALSE),'40Trips'!$J$11:$P$14,3,FALSE))),1,0)</f>
        <v>1</v>
      </c>
      <c r="X16">
        <f>IF(AND(VLOOKUP(X$1,'40Trips'!$A$3:$I$42,8,FALSE) - VLOOKUP($B16,'40Trips'!$A$3:$I$42,9,FALSE) &gt;= ('40Trips'!$B$43+VLOOKUP(VLOOKUP($B16,'40Trips'!$A$3:$I$42,4,FALSE),'40Trips'!$J$11:$P$14,3,FALSE))),1,0)</f>
        <v>0</v>
      </c>
      <c r="Y16">
        <f>IF(AND(VLOOKUP(Y$1,'40Trips'!$A$3:$I$42,8,FALSE) - VLOOKUP($B16,'40Trips'!$A$3:$I$42,9,FALSE) &gt;= ('40Trips'!$B$43+VLOOKUP(VLOOKUP($B16,'40Trips'!$A$3:$I$42,4,FALSE),'40Trips'!$J$11:$P$14,3,FALSE))),1,0)</f>
        <v>0</v>
      </c>
      <c r="Z16">
        <f>IF(AND(VLOOKUP(Z$1,'40Trips'!$A$3:$I$42,8,FALSE) - VLOOKUP($B16,'40Trips'!$A$3:$I$42,9,FALSE) &gt;= ('40Trips'!$B$43+VLOOKUP(VLOOKUP($B16,'40Trips'!$A$3:$I$42,4,FALSE),'40Trips'!$J$11:$P$14,3,FALSE))),1,0)</f>
        <v>0</v>
      </c>
      <c r="AA16">
        <f>IF(AND(VLOOKUP(AA$1,'40Trips'!$A$3:$I$42,8,FALSE) - VLOOKUP($B16,'40Trips'!$A$3:$I$42,9,FALSE) &gt;= ('40Trips'!$B$43+VLOOKUP(VLOOKUP($B16,'40Trips'!$A$3:$I$42,4,FALSE),'40Trips'!$J$11:$P$14,3,FALSE))),1,0)</f>
        <v>0</v>
      </c>
      <c r="AB16">
        <f>IF(AND(VLOOKUP(AB$1,'40Trips'!$A$3:$I$42,8,FALSE) - VLOOKUP($B16,'40Trips'!$A$3:$I$42,9,FALSE) &gt;= ('40Trips'!$B$43+VLOOKUP(VLOOKUP($B16,'40Trips'!$A$3:$I$42,4,FALSE),'40Trips'!$J$11:$P$14,3,FALSE))),1,0)</f>
        <v>0</v>
      </c>
      <c r="AC16">
        <f>IF(AND(VLOOKUP(AC$1,'40Trips'!$A$3:$I$42,8,FALSE) - VLOOKUP($B16,'40Trips'!$A$3:$I$42,9,FALSE) &gt;= ('40Trips'!$B$43+VLOOKUP(VLOOKUP($B16,'40Trips'!$A$3:$I$42,4,FALSE),'40Trips'!$J$11:$P$14,3,FALSE))),1,0)</f>
        <v>0</v>
      </c>
      <c r="AD16">
        <f>IF(AND(VLOOKUP(AD$1,'40Trips'!$A$3:$I$42,8,FALSE) - VLOOKUP($B16,'40Trips'!$A$3:$I$42,9,FALSE) &gt;= ('40Trips'!$B$43+VLOOKUP(VLOOKUP($B16,'40Trips'!$A$3:$I$42,4,FALSE),'40Trips'!$J$11:$P$14,3,FALSE))),1,0)</f>
        <v>0</v>
      </c>
      <c r="AE16">
        <f>IF(AND(VLOOKUP(AE$1,'40Trips'!$A$3:$I$42,8,FALSE) - VLOOKUP($B16,'40Trips'!$A$3:$I$42,9,FALSE) &gt;= ('40Trips'!$B$43+VLOOKUP(VLOOKUP($B16,'40Trips'!$A$3:$I$42,4,FALSE),'40Trips'!$J$11:$P$14,3,FALSE))),1,0)</f>
        <v>1</v>
      </c>
      <c r="AF16">
        <f>IF(AND(VLOOKUP(AF$1,'40Trips'!$A$3:$I$42,8,FALSE) - VLOOKUP($B16,'40Trips'!$A$3:$I$42,9,FALSE) &gt;= ('40Trips'!$B$43+VLOOKUP(VLOOKUP($B16,'40Trips'!$A$3:$I$42,4,FALSE),'40Trips'!$J$11:$P$14,3,FALSE))),1,0)</f>
        <v>0</v>
      </c>
      <c r="AG16">
        <f>IF(AND(VLOOKUP(AG$1,'40Trips'!$A$3:$I$42,8,FALSE) - VLOOKUP($B16,'40Trips'!$A$3:$I$42,9,FALSE) &gt;= ('40Trips'!$B$43+VLOOKUP(VLOOKUP($B16,'40Trips'!$A$3:$I$42,4,FALSE),'40Trips'!$J$11:$P$14,3,FALSE))),1,0)</f>
        <v>0</v>
      </c>
      <c r="AH16">
        <f>IF(AND(VLOOKUP(AH$1,'40Trips'!$A$3:$I$42,8,FALSE) - VLOOKUP($B16,'40Trips'!$A$3:$I$42,9,FALSE) &gt;= ('40Trips'!$B$43+VLOOKUP(VLOOKUP($B16,'40Trips'!$A$3:$I$42,4,FALSE),'40Trips'!$J$11:$P$14,3,FALSE))),1,0)</f>
        <v>0</v>
      </c>
      <c r="AI16">
        <f>IF(AND(VLOOKUP(AI$1,'40Trips'!$A$3:$I$42,8,FALSE) - VLOOKUP($B16,'40Trips'!$A$3:$I$42,9,FALSE) &gt;= ('40Trips'!$B$43+VLOOKUP(VLOOKUP($B16,'40Trips'!$A$3:$I$42,4,FALSE),'40Trips'!$J$11:$P$14,3,FALSE))),1,0)</f>
        <v>0</v>
      </c>
      <c r="AJ16">
        <f>IF(AND(VLOOKUP(AJ$1,'40Trips'!$A$3:$I$42,8,FALSE) - VLOOKUP($B16,'40Trips'!$A$3:$I$42,9,FALSE) &gt;= ('40Trips'!$B$43+VLOOKUP(VLOOKUP($B16,'40Trips'!$A$3:$I$42,4,FALSE),'40Trips'!$J$11:$P$14,3,FALSE))),1,0)</f>
        <v>0</v>
      </c>
      <c r="AK16">
        <f>IF(AND(VLOOKUP(AK$1,'40Trips'!$A$3:$I$42,8,FALSE) - VLOOKUP($B16,'40Trips'!$A$3:$I$42,9,FALSE) &gt;= ('40Trips'!$B$43+VLOOKUP(VLOOKUP($B16,'40Trips'!$A$3:$I$42,4,FALSE),'40Trips'!$J$11:$P$14,3,FALSE))),1,0)</f>
        <v>0</v>
      </c>
      <c r="AL16">
        <f>IF(AND(VLOOKUP(AL$1,'40Trips'!$A$3:$I$42,8,FALSE) - VLOOKUP($B16,'40Trips'!$A$3:$I$42,9,FALSE) &gt;= ('40Trips'!$B$43+VLOOKUP(VLOOKUP($B16,'40Trips'!$A$3:$I$42,4,FALSE),'40Trips'!$J$11:$P$14,3,FALSE))),1,0)</f>
        <v>0</v>
      </c>
      <c r="AM16">
        <f>IF(AND(VLOOKUP(AM$1,'40Trips'!$A$3:$I$42,8,FALSE) - VLOOKUP($B16,'40Trips'!$A$3:$I$42,9,FALSE) &gt;= ('40Trips'!$B$43+VLOOKUP(VLOOKUP($B16,'40Trips'!$A$3:$I$42,4,FALSE),'40Trips'!$J$11:$P$14,3,FALSE))),1,0)</f>
        <v>1</v>
      </c>
      <c r="AN16">
        <f>IF(AND(VLOOKUP(AN$1,'40Trips'!$A$3:$I$42,8,FALSE) - VLOOKUP($B16,'40Trips'!$A$3:$I$42,9,FALSE) &gt;= ('40Trips'!$B$43+VLOOKUP(VLOOKUP($B16,'40Trips'!$A$3:$I$42,4,FALSE),'40Trips'!$J$11:$P$14,3,FALSE))),1,0)</f>
        <v>0</v>
      </c>
      <c r="AO16">
        <f>IF(AND(VLOOKUP(AO$1,'40Trips'!$A$3:$I$42,8,FALSE) - VLOOKUP($B16,'40Trips'!$A$3:$I$42,9,FALSE) &gt;= ('40Trips'!$B$43+VLOOKUP(VLOOKUP($B16,'40Trips'!$A$3:$I$42,4,FALSE),'40Trips'!$J$11:$P$14,3,FALSE))),1,0)</f>
        <v>0</v>
      </c>
      <c r="AP16">
        <f>IF(AND(VLOOKUP(AP$1,'40Trips'!$A$3:$I$42,8,FALSE) - VLOOKUP($B16,'40Trips'!$A$3:$I$42,9,FALSE) &gt;= ('40Trips'!$B$43+VLOOKUP(VLOOKUP($B16,'40Trips'!$A$3:$I$42,4,FALSE),'40Trips'!$J$11:$P$14,3,FALSE))),1,0)</f>
        <v>0</v>
      </c>
      <c r="AQ16">
        <f>IF(AND(VLOOKUP(AQ$1,'40Trips'!$A$3:$I$42,8,FALSE) - VLOOKUP($B16,'40Trips'!$A$3:$I$42,9,FALSE) &gt;= ('40Trips'!$B$43+VLOOKUP(VLOOKUP($B16,'40Trips'!$A$3:$I$42,4,FALSE),'40Trips'!$J$11:$P$14,3,FALSE))),1,0)</f>
        <v>1</v>
      </c>
    </row>
    <row r="17" spans="1:43" x14ac:dyDescent="0.25">
      <c r="A17" t="s">
        <v>48</v>
      </c>
      <c r="B17" t="s">
        <v>29</v>
      </c>
      <c r="C17">
        <v>0</v>
      </c>
      <c r="D17">
        <f>IF(AND(VLOOKUP(D$1,'40Trips'!$A$3:$I$42,8,FALSE) - VLOOKUP($B17,'40Trips'!$A$3:$I$42,9,FALSE) &gt;= ('40Trips'!$B$43+VLOOKUP(VLOOKUP($B17,'40Trips'!$A$3:$I$42,4,FALSE),'40Trips'!$J$11:$P$14,3,FALSE))),1,0)</f>
        <v>0</v>
      </c>
      <c r="E17">
        <f>IF(AND(VLOOKUP(E$1,'40Trips'!$A$3:$I$42,8,FALSE) - VLOOKUP($B17,'40Trips'!$A$3:$I$42,9,FALSE) &gt;= ('40Trips'!$B$43+VLOOKUP(VLOOKUP($B17,'40Trips'!$A$3:$I$42,4,FALSE),'40Trips'!$J$11:$P$14,3,FALSE))),1,0)</f>
        <v>0</v>
      </c>
      <c r="F17">
        <f>IF(AND(VLOOKUP(F$1,'40Trips'!$A$3:$I$42,8,FALSE) - VLOOKUP($B17,'40Trips'!$A$3:$I$42,9,FALSE) &gt;= ('40Trips'!$B$43+VLOOKUP(VLOOKUP($B17,'40Trips'!$A$3:$I$42,4,FALSE),'40Trips'!$J$11:$P$14,3,FALSE))),1,0)</f>
        <v>0</v>
      </c>
      <c r="G17">
        <f>IF(AND(VLOOKUP(G$1,'40Trips'!$A$3:$I$42,8,FALSE) - VLOOKUP($B17,'40Trips'!$A$3:$I$42,9,FALSE) &gt;= ('40Trips'!$B$43+VLOOKUP(VLOOKUP($B17,'40Trips'!$A$3:$I$42,4,FALSE),'40Trips'!$J$11:$P$14,3,FALSE))),1,0)</f>
        <v>0</v>
      </c>
      <c r="H17">
        <f>IF(AND(VLOOKUP(H$1,'40Trips'!$A$3:$I$42,8,FALSE) - VLOOKUP($B17,'40Trips'!$A$3:$I$42,9,FALSE) &gt;= ('40Trips'!$B$43+VLOOKUP(VLOOKUP($B17,'40Trips'!$A$3:$I$42,4,FALSE),'40Trips'!$J$11:$P$14,3,FALSE))),1,0)</f>
        <v>0</v>
      </c>
      <c r="I17">
        <f>IF(AND(VLOOKUP(I$1,'40Trips'!$A$3:$I$42,8,FALSE) - VLOOKUP($B17,'40Trips'!$A$3:$I$42,9,FALSE) &gt;= ('40Trips'!$B$43+VLOOKUP(VLOOKUP($B17,'40Trips'!$A$3:$I$42,4,FALSE),'40Trips'!$J$11:$P$14,3,FALSE))),1,0)</f>
        <v>0</v>
      </c>
      <c r="J17">
        <f>IF(AND(VLOOKUP(J$1,'40Trips'!$A$3:$I$42,8,FALSE) - VLOOKUP($B17,'40Trips'!$A$3:$I$42,9,FALSE) &gt;= ('40Trips'!$B$43+VLOOKUP(VLOOKUP($B17,'40Trips'!$A$3:$I$42,4,FALSE),'40Trips'!$J$11:$P$14,3,FALSE))),1,0)</f>
        <v>0</v>
      </c>
      <c r="K17">
        <f>IF(AND(VLOOKUP(K$1,'40Trips'!$A$3:$I$42,8,FALSE) - VLOOKUP($B17,'40Trips'!$A$3:$I$42,9,FALSE) &gt;= ('40Trips'!$B$43+VLOOKUP(VLOOKUP($B17,'40Trips'!$A$3:$I$42,4,FALSE),'40Trips'!$J$11:$P$14,3,FALSE))),1,0)</f>
        <v>1</v>
      </c>
      <c r="L17">
        <f>IF(AND(VLOOKUP(L$1,'40Trips'!$A$3:$I$42,8,FALSE) - VLOOKUP($B17,'40Trips'!$A$3:$I$42,9,FALSE) &gt;= ('40Trips'!$B$43+VLOOKUP(VLOOKUP($B17,'40Trips'!$A$3:$I$42,4,FALSE),'40Trips'!$J$11:$P$14,3,FALSE))),1,0)</f>
        <v>0</v>
      </c>
      <c r="M17">
        <f>IF(AND(VLOOKUP(M$1,'40Trips'!$A$3:$I$42,8,FALSE) - VLOOKUP($B17,'40Trips'!$A$3:$I$42,9,FALSE) &gt;= ('40Trips'!$B$43+VLOOKUP(VLOOKUP($B17,'40Trips'!$A$3:$I$42,4,FALSE),'40Trips'!$J$11:$P$14,3,FALSE))),1,0)</f>
        <v>0</v>
      </c>
      <c r="N17">
        <f>IF(AND(VLOOKUP(N$1,'40Trips'!$A$3:$I$42,8,FALSE) - VLOOKUP($B17,'40Trips'!$A$3:$I$42,9,FALSE) &gt;= ('40Trips'!$B$43+VLOOKUP(VLOOKUP($B17,'40Trips'!$A$3:$I$42,4,FALSE),'40Trips'!$J$11:$P$14,3,FALSE))),1,0)</f>
        <v>0</v>
      </c>
      <c r="O17">
        <f>IF(AND(VLOOKUP(O$1,'40Trips'!$A$3:$I$42,8,FALSE) - VLOOKUP($B17,'40Trips'!$A$3:$I$42,9,FALSE) &gt;= ('40Trips'!$B$43+VLOOKUP(VLOOKUP($B17,'40Trips'!$A$3:$I$42,4,FALSE),'40Trips'!$J$11:$P$14,3,FALSE))),1,0)</f>
        <v>0</v>
      </c>
      <c r="P17">
        <f>IF(AND(VLOOKUP(P$1,'40Trips'!$A$3:$I$42,8,FALSE) - VLOOKUP($B17,'40Trips'!$A$3:$I$42,9,FALSE) &gt;= ('40Trips'!$B$43+VLOOKUP(VLOOKUP($B17,'40Trips'!$A$3:$I$42,4,FALSE),'40Trips'!$J$11:$P$14,3,FALSE))),1,0)</f>
        <v>0</v>
      </c>
      <c r="Q17">
        <f>IF(AND(VLOOKUP(Q$1,'40Trips'!$A$3:$I$42,8,FALSE) - VLOOKUP($B17,'40Trips'!$A$3:$I$42,9,FALSE) &gt;= ('40Trips'!$B$43+VLOOKUP(VLOOKUP($B17,'40Trips'!$A$3:$I$42,4,FALSE),'40Trips'!$J$11:$P$14,3,FALSE))),1,0)</f>
        <v>0</v>
      </c>
      <c r="R17">
        <f>IF(AND(VLOOKUP(R$1,'40Trips'!$A$3:$I$42,8,FALSE) - VLOOKUP($B17,'40Trips'!$A$3:$I$42,9,FALSE) &gt;= ('40Trips'!$B$43+VLOOKUP(VLOOKUP($B17,'40Trips'!$A$3:$I$42,4,FALSE),'40Trips'!$J$11:$P$14,3,FALSE))),1,0)</f>
        <v>0</v>
      </c>
      <c r="S17">
        <f>IF(AND(VLOOKUP(S$1,'40Trips'!$A$3:$I$42,8,FALSE) - VLOOKUP($B17,'40Trips'!$A$3:$I$42,9,FALSE) &gt;= ('40Trips'!$B$43+VLOOKUP(VLOOKUP($B17,'40Trips'!$A$3:$I$42,4,FALSE),'40Trips'!$J$11:$P$14,3,FALSE))),1,0)</f>
        <v>0</v>
      </c>
      <c r="T17">
        <f>IF(AND(VLOOKUP(T$1,'40Trips'!$A$3:$I$42,8,FALSE) - VLOOKUP($B17,'40Trips'!$A$3:$I$42,9,FALSE) &gt;= ('40Trips'!$B$43+VLOOKUP(VLOOKUP($B17,'40Trips'!$A$3:$I$42,4,FALSE),'40Trips'!$J$11:$P$14,3,FALSE))),1,0)</f>
        <v>0</v>
      </c>
      <c r="U17">
        <f>IF(AND(VLOOKUP(U$1,'40Trips'!$A$3:$I$42,8,FALSE) - VLOOKUP($B17,'40Trips'!$A$3:$I$42,9,FALSE) &gt;= ('40Trips'!$B$43+VLOOKUP(VLOOKUP($B17,'40Trips'!$A$3:$I$42,4,FALSE),'40Trips'!$J$11:$P$14,3,FALSE))),1,0)</f>
        <v>0</v>
      </c>
      <c r="V17">
        <f>IF(AND(VLOOKUP(V$1,'40Trips'!$A$3:$I$42,8,FALSE) - VLOOKUP($B17,'40Trips'!$A$3:$I$42,9,FALSE) &gt;= ('40Trips'!$B$43+VLOOKUP(VLOOKUP($B17,'40Trips'!$A$3:$I$42,4,FALSE),'40Trips'!$J$11:$P$14,3,FALSE))),1,0)</f>
        <v>0</v>
      </c>
      <c r="W17">
        <f>IF(AND(VLOOKUP(W$1,'40Trips'!$A$3:$I$42,8,FALSE) - VLOOKUP($B17,'40Trips'!$A$3:$I$42,9,FALSE) &gt;= ('40Trips'!$B$43+VLOOKUP(VLOOKUP($B17,'40Trips'!$A$3:$I$42,4,FALSE),'40Trips'!$J$11:$P$14,3,FALSE))),1,0)</f>
        <v>0</v>
      </c>
      <c r="X17">
        <f>IF(AND(VLOOKUP(X$1,'40Trips'!$A$3:$I$42,8,FALSE) - VLOOKUP($B17,'40Trips'!$A$3:$I$42,9,FALSE) &gt;= ('40Trips'!$B$43+VLOOKUP(VLOOKUP($B17,'40Trips'!$A$3:$I$42,4,FALSE),'40Trips'!$J$11:$P$14,3,FALSE))),1,0)</f>
        <v>0</v>
      </c>
      <c r="Y17">
        <f>IF(AND(VLOOKUP(Y$1,'40Trips'!$A$3:$I$42,8,FALSE) - VLOOKUP($B17,'40Trips'!$A$3:$I$42,9,FALSE) &gt;= ('40Trips'!$B$43+VLOOKUP(VLOOKUP($B17,'40Trips'!$A$3:$I$42,4,FALSE),'40Trips'!$J$11:$P$14,3,FALSE))),1,0)</f>
        <v>0</v>
      </c>
      <c r="Z17">
        <f>IF(AND(VLOOKUP(Z$1,'40Trips'!$A$3:$I$42,8,FALSE) - VLOOKUP($B17,'40Trips'!$A$3:$I$42,9,FALSE) &gt;= ('40Trips'!$B$43+VLOOKUP(VLOOKUP($B17,'40Trips'!$A$3:$I$42,4,FALSE),'40Trips'!$J$11:$P$14,3,FALSE))),1,0)</f>
        <v>0</v>
      </c>
      <c r="AA17">
        <f>IF(AND(VLOOKUP(AA$1,'40Trips'!$A$3:$I$42,8,FALSE) - VLOOKUP($B17,'40Trips'!$A$3:$I$42,9,FALSE) &gt;= ('40Trips'!$B$43+VLOOKUP(VLOOKUP($B17,'40Trips'!$A$3:$I$42,4,FALSE),'40Trips'!$J$11:$P$14,3,FALSE))),1,0)</f>
        <v>0</v>
      </c>
      <c r="AB17">
        <f>IF(AND(VLOOKUP(AB$1,'40Trips'!$A$3:$I$42,8,FALSE) - VLOOKUP($B17,'40Trips'!$A$3:$I$42,9,FALSE) &gt;= ('40Trips'!$B$43+VLOOKUP(VLOOKUP($B17,'40Trips'!$A$3:$I$42,4,FALSE),'40Trips'!$J$11:$P$14,3,FALSE))),1,0)</f>
        <v>0</v>
      </c>
      <c r="AC17">
        <f>IF(AND(VLOOKUP(AC$1,'40Trips'!$A$3:$I$42,8,FALSE) - VLOOKUP($B17,'40Trips'!$A$3:$I$42,9,FALSE) &gt;= ('40Trips'!$B$43+VLOOKUP(VLOOKUP($B17,'40Trips'!$A$3:$I$42,4,FALSE),'40Trips'!$J$11:$P$14,3,FALSE))),1,0)</f>
        <v>0</v>
      </c>
      <c r="AD17">
        <f>IF(AND(VLOOKUP(AD$1,'40Trips'!$A$3:$I$42,8,FALSE) - VLOOKUP($B17,'40Trips'!$A$3:$I$42,9,FALSE) &gt;= ('40Trips'!$B$43+VLOOKUP(VLOOKUP($B17,'40Trips'!$A$3:$I$42,4,FALSE),'40Trips'!$J$11:$P$14,3,FALSE))),1,0)</f>
        <v>0</v>
      </c>
      <c r="AE17">
        <f>IF(AND(VLOOKUP(AE$1,'40Trips'!$A$3:$I$42,8,FALSE) - VLOOKUP($B17,'40Trips'!$A$3:$I$42,9,FALSE) &gt;= ('40Trips'!$B$43+VLOOKUP(VLOOKUP($B17,'40Trips'!$A$3:$I$42,4,FALSE),'40Trips'!$J$11:$P$14,3,FALSE))),1,0)</f>
        <v>0</v>
      </c>
      <c r="AF17">
        <f>IF(AND(VLOOKUP(AF$1,'40Trips'!$A$3:$I$42,8,FALSE) - VLOOKUP($B17,'40Trips'!$A$3:$I$42,9,FALSE) &gt;= ('40Trips'!$B$43+VLOOKUP(VLOOKUP($B17,'40Trips'!$A$3:$I$42,4,FALSE),'40Trips'!$J$11:$P$14,3,FALSE))),1,0)</f>
        <v>0</v>
      </c>
      <c r="AG17">
        <f>IF(AND(VLOOKUP(AG$1,'40Trips'!$A$3:$I$42,8,FALSE) - VLOOKUP($B17,'40Trips'!$A$3:$I$42,9,FALSE) &gt;= ('40Trips'!$B$43+VLOOKUP(VLOOKUP($B17,'40Trips'!$A$3:$I$42,4,FALSE),'40Trips'!$J$11:$P$14,3,FALSE))),1,0)</f>
        <v>0</v>
      </c>
      <c r="AH17">
        <f>IF(AND(VLOOKUP(AH$1,'40Trips'!$A$3:$I$42,8,FALSE) - VLOOKUP($B17,'40Trips'!$A$3:$I$42,9,FALSE) &gt;= ('40Trips'!$B$43+VLOOKUP(VLOOKUP($B17,'40Trips'!$A$3:$I$42,4,FALSE),'40Trips'!$J$11:$P$14,3,FALSE))),1,0)</f>
        <v>0</v>
      </c>
      <c r="AI17">
        <f>IF(AND(VLOOKUP(AI$1,'40Trips'!$A$3:$I$42,8,FALSE) - VLOOKUP($B17,'40Trips'!$A$3:$I$42,9,FALSE) &gt;= ('40Trips'!$B$43+VLOOKUP(VLOOKUP($B17,'40Trips'!$A$3:$I$42,4,FALSE),'40Trips'!$J$11:$P$14,3,FALSE))),1,0)</f>
        <v>0</v>
      </c>
      <c r="AJ17">
        <f>IF(AND(VLOOKUP(AJ$1,'40Trips'!$A$3:$I$42,8,FALSE) - VLOOKUP($B17,'40Trips'!$A$3:$I$42,9,FALSE) &gt;= ('40Trips'!$B$43+VLOOKUP(VLOOKUP($B17,'40Trips'!$A$3:$I$42,4,FALSE),'40Trips'!$J$11:$P$14,3,FALSE))),1,0)</f>
        <v>0</v>
      </c>
      <c r="AK17">
        <f>IF(AND(VLOOKUP(AK$1,'40Trips'!$A$3:$I$42,8,FALSE) - VLOOKUP($B17,'40Trips'!$A$3:$I$42,9,FALSE) &gt;= ('40Trips'!$B$43+VLOOKUP(VLOOKUP($B17,'40Trips'!$A$3:$I$42,4,FALSE),'40Trips'!$J$11:$P$14,3,FALSE))),1,0)</f>
        <v>0</v>
      </c>
      <c r="AL17">
        <f>IF(AND(VLOOKUP(AL$1,'40Trips'!$A$3:$I$42,8,FALSE) - VLOOKUP($B17,'40Trips'!$A$3:$I$42,9,FALSE) &gt;= ('40Trips'!$B$43+VLOOKUP(VLOOKUP($B17,'40Trips'!$A$3:$I$42,4,FALSE),'40Trips'!$J$11:$P$14,3,FALSE))),1,0)</f>
        <v>0</v>
      </c>
      <c r="AM17">
        <f>IF(AND(VLOOKUP(AM$1,'40Trips'!$A$3:$I$42,8,FALSE) - VLOOKUP($B17,'40Trips'!$A$3:$I$42,9,FALSE) &gt;= ('40Trips'!$B$43+VLOOKUP(VLOOKUP($B17,'40Trips'!$A$3:$I$42,4,FALSE),'40Trips'!$J$11:$P$14,3,FALSE))),1,0)</f>
        <v>0</v>
      </c>
      <c r="AN17">
        <f>IF(AND(VLOOKUP(AN$1,'40Trips'!$A$3:$I$42,8,FALSE) - VLOOKUP($B17,'40Trips'!$A$3:$I$42,9,FALSE) &gt;= ('40Trips'!$B$43+VLOOKUP(VLOOKUP($B17,'40Trips'!$A$3:$I$42,4,FALSE),'40Trips'!$J$11:$P$14,3,FALSE))),1,0)</f>
        <v>0</v>
      </c>
      <c r="AO17">
        <f>IF(AND(VLOOKUP(AO$1,'40Trips'!$A$3:$I$42,8,FALSE) - VLOOKUP($B17,'40Trips'!$A$3:$I$42,9,FALSE) &gt;= ('40Trips'!$B$43+VLOOKUP(VLOOKUP($B17,'40Trips'!$A$3:$I$42,4,FALSE),'40Trips'!$J$11:$P$14,3,FALSE))),1,0)</f>
        <v>0</v>
      </c>
      <c r="AP17">
        <f>IF(AND(VLOOKUP(AP$1,'40Trips'!$A$3:$I$42,8,FALSE) - VLOOKUP($B17,'40Trips'!$A$3:$I$42,9,FALSE) &gt;= ('40Trips'!$B$43+VLOOKUP(VLOOKUP($B17,'40Trips'!$A$3:$I$42,4,FALSE),'40Trips'!$J$11:$P$14,3,FALSE))),1,0)</f>
        <v>0</v>
      </c>
      <c r="AQ17">
        <f>IF(AND(VLOOKUP(AQ$1,'40Trips'!$A$3:$I$42,8,FALSE) - VLOOKUP($B17,'40Trips'!$A$3:$I$42,9,FALSE) &gt;= ('40Trips'!$B$43+VLOOKUP(VLOOKUP($B17,'40Trips'!$A$3:$I$42,4,FALSE),'40Trips'!$J$11:$P$14,3,FALSE))),1,0)</f>
        <v>0</v>
      </c>
    </row>
    <row r="18" spans="1:43" x14ac:dyDescent="0.25">
      <c r="A18" t="s">
        <v>48</v>
      </c>
      <c r="B18" t="s">
        <v>30</v>
      </c>
      <c r="C18">
        <v>0</v>
      </c>
      <c r="D18">
        <f>IF(AND(VLOOKUP(D$1,'40Trips'!$A$3:$I$42,8,FALSE) - VLOOKUP($B18,'40Trips'!$A$3:$I$42,9,FALSE) &gt;= ('40Trips'!$B$43+VLOOKUP(VLOOKUP($B18,'40Trips'!$A$3:$I$42,4,FALSE),'40Trips'!$J$11:$P$14,3,FALSE))),1,0)</f>
        <v>0</v>
      </c>
      <c r="E18">
        <f>IF(AND(VLOOKUP(E$1,'40Trips'!$A$3:$I$42,8,FALSE) - VLOOKUP($B18,'40Trips'!$A$3:$I$42,9,FALSE) &gt;= ('40Trips'!$B$43+VLOOKUP(VLOOKUP($B18,'40Trips'!$A$3:$I$42,4,FALSE),'40Trips'!$J$11:$P$14,3,FALSE))),1,0)</f>
        <v>0</v>
      </c>
      <c r="F18">
        <f>IF(AND(VLOOKUP(F$1,'40Trips'!$A$3:$I$42,8,FALSE) - VLOOKUP($B18,'40Trips'!$A$3:$I$42,9,FALSE) &gt;= ('40Trips'!$B$43+VLOOKUP(VLOOKUP($B18,'40Trips'!$A$3:$I$42,4,FALSE),'40Trips'!$J$11:$P$14,3,FALSE))),1,0)</f>
        <v>0</v>
      </c>
      <c r="G18">
        <f>IF(AND(VLOOKUP(G$1,'40Trips'!$A$3:$I$42,8,FALSE) - VLOOKUP($B18,'40Trips'!$A$3:$I$42,9,FALSE) &gt;= ('40Trips'!$B$43+VLOOKUP(VLOOKUP($B18,'40Trips'!$A$3:$I$42,4,FALSE),'40Trips'!$J$11:$P$14,3,FALSE))),1,0)</f>
        <v>0</v>
      </c>
      <c r="H18">
        <f>IF(AND(VLOOKUP(H$1,'40Trips'!$A$3:$I$42,8,FALSE) - VLOOKUP($B18,'40Trips'!$A$3:$I$42,9,FALSE) &gt;= ('40Trips'!$B$43+VLOOKUP(VLOOKUP($B18,'40Trips'!$A$3:$I$42,4,FALSE),'40Trips'!$J$11:$P$14,3,FALSE))),1,0)</f>
        <v>0</v>
      </c>
      <c r="I18">
        <f>IF(AND(VLOOKUP(I$1,'40Trips'!$A$3:$I$42,8,FALSE) - VLOOKUP($B18,'40Trips'!$A$3:$I$42,9,FALSE) &gt;= ('40Trips'!$B$43+VLOOKUP(VLOOKUP($B18,'40Trips'!$A$3:$I$42,4,FALSE),'40Trips'!$J$11:$P$14,3,FALSE))),1,0)</f>
        <v>0</v>
      </c>
      <c r="J18">
        <f>IF(AND(VLOOKUP(J$1,'40Trips'!$A$3:$I$42,8,FALSE) - VLOOKUP($B18,'40Trips'!$A$3:$I$42,9,FALSE) &gt;= ('40Trips'!$B$43+VLOOKUP(VLOOKUP($B18,'40Trips'!$A$3:$I$42,4,FALSE),'40Trips'!$J$11:$P$14,3,FALSE))),1,0)</f>
        <v>0</v>
      </c>
      <c r="K18">
        <f>IF(AND(VLOOKUP(K$1,'40Trips'!$A$3:$I$42,8,FALSE) - VLOOKUP($B18,'40Trips'!$A$3:$I$42,9,FALSE) &gt;= ('40Trips'!$B$43+VLOOKUP(VLOOKUP($B18,'40Trips'!$A$3:$I$42,4,FALSE),'40Trips'!$J$11:$P$14,3,FALSE))),1,0)</f>
        <v>1</v>
      </c>
      <c r="L18">
        <f>IF(AND(VLOOKUP(L$1,'40Trips'!$A$3:$I$42,8,FALSE) - VLOOKUP($B18,'40Trips'!$A$3:$I$42,9,FALSE) &gt;= ('40Trips'!$B$43+VLOOKUP(VLOOKUP($B18,'40Trips'!$A$3:$I$42,4,FALSE),'40Trips'!$J$11:$P$14,3,FALSE))),1,0)</f>
        <v>0</v>
      </c>
      <c r="M18">
        <f>IF(AND(VLOOKUP(M$1,'40Trips'!$A$3:$I$42,8,FALSE) - VLOOKUP($B18,'40Trips'!$A$3:$I$42,9,FALSE) &gt;= ('40Trips'!$B$43+VLOOKUP(VLOOKUP($B18,'40Trips'!$A$3:$I$42,4,FALSE),'40Trips'!$J$11:$P$14,3,FALSE))),1,0)</f>
        <v>0</v>
      </c>
      <c r="N18">
        <f>IF(AND(VLOOKUP(N$1,'40Trips'!$A$3:$I$42,8,FALSE) - VLOOKUP($B18,'40Trips'!$A$3:$I$42,9,FALSE) &gt;= ('40Trips'!$B$43+VLOOKUP(VLOOKUP($B18,'40Trips'!$A$3:$I$42,4,FALSE),'40Trips'!$J$11:$P$14,3,FALSE))),1,0)</f>
        <v>0</v>
      </c>
      <c r="O18">
        <f>IF(AND(VLOOKUP(O$1,'40Trips'!$A$3:$I$42,8,FALSE) - VLOOKUP($B18,'40Trips'!$A$3:$I$42,9,FALSE) &gt;= ('40Trips'!$B$43+VLOOKUP(VLOOKUP($B18,'40Trips'!$A$3:$I$42,4,FALSE),'40Trips'!$J$11:$P$14,3,FALSE))),1,0)</f>
        <v>0</v>
      </c>
      <c r="P18">
        <f>IF(AND(VLOOKUP(P$1,'40Trips'!$A$3:$I$42,8,FALSE) - VLOOKUP($B18,'40Trips'!$A$3:$I$42,9,FALSE) &gt;= ('40Trips'!$B$43+VLOOKUP(VLOOKUP($B18,'40Trips'!$A$3:$I$42,4,FALSE),'40Trips'!$J$11:$P$14,3,FALSE))),1,0)</f>
        <v>0</v>
      </c>
      <c r="Q18">
        <f>IF(AND(VLOOKUP(Q$1,'40Trips'!$A$3:$I$42,8,FALSE) - VLOOKUP($B18,'40Trips'!$A$3:$I$42,9,FALSE) &gt;= ('40Trips'!$B$43+VLOOKUP(VLOOKUP($B18,'40Trips'!$A$3:$I$42,4,FALSE),'40Trips'!$J$11:$P$14,3,FALSE))),1,0)</f>
        <v>0</v>
      </c>
      <c r="R18">
        <f>IF(AND(VLOOKUP(R$1,'40Trips'!$A$3:$I$42,8,FALSE) - VLOOKUP($B18,'40Trips'!$A$3:$I$42,9,FALSE) &gt;= ('40Trips'!$B$43+VLOOKUP(VLOOKUP($B18,'40Trips'!$A$3:$I$42,4,FALSE),'40Trips'!$J$11:$P$14,3,FALSE))),1,0)</f>
        <v>0</v>
      </c>
      <c r="S18">
        <f>IF(AND(VLOOKUP(S$1,'40Trips'!$A$3:$I$42,8,FALSE) - VLOOKUP($B18,'40Trips'!$A$3:$I$42,9,FALSE) &gt;= ('40Trips'!$B$43+VLOOKUP(VLOOKUP($B18,'40Trips'!$A$3:$I$42,4,FALSE),'40Trips'!$J$11:$P$14,3,FALSE))),1,0)</f>
        <v>0</v>
      </c>
      <c r="T18">
        <f>IF(AND(VLOOKUP(T$1,'40Trips'!$A$3:$I$42,8,FALSE) - VLOOKUP($B18,'40Trips'!$A$3:$I$42,9,FALSE) &gt;= ('40Trips'!$B$43+VLOOKUP(VLOOKUP($B18,'40Trips'!$A$3:$I$42,4,FALSE),'40Trips'!$J$11:$P$14,3,FALSE))),1,0)</f>
        <v>0</v>
      </c>
      <c r="U18">
        <f>IF(AND(VLOOKUP(U$1,'40Trips'!$A$3:$I$42,8,FALSE) - VLOOKUP($B18,'40Trips'!$A$3:$I$42,9,FALSE) &gt;= ('40Trips'!$B$43+VLOOKUP(VLOOKUP($B18,'40Trips'!$A$3:$I$42,4,FALSE),'40Trips'!$J$11:$P$14,3,FALSE))),1,0)</f>
        <v>0</v>
      </c>
      <c r="V18">
        <f>IF(AND(VLOOKUP(V$1,'40Trips'!$A$3:$I$42,8,FALSE) - VLOOKUP($B18,'40Trips'!$A$3:$I$42,9,FALSE) &gt;= ('40Trips'!$B$43+VLOOKUP(VLOOKUP($B18,'40Trips'!$A$3:$I$42,4,FALSE),'40Trips'!$J$11:$P$14,3,FALSE))),1,0)</f>
        <v>0</v>
      </c>
      <c r="W18">
        <f>IF(AND(VLOOKUP(W$1,'40Trips'!$A$3:$I$42,8,FALSE) - VLOOKUP($B18,'40Trips'!$A$3:$I$42,9,FALSE) &gt;= ('40Trips'!$B$43+VLOOKUP(VLOOKUP($B18,'40Trips'!$A$3:$I$42,4,FALSE),'40Trips'!$J$11:$P$14,3,FALSE))),1,0)</f>
        <v>0</v>
      </c>
      <c r="X18">
        <f>IF(AND(VLOOKUP(X$1,'40Trips'!$A$3:$I$42,8,FALSE) - VLOOKUP($B18,'40Trips'!$A$3:$I$42,9,FALSE) &gt;= ('40Trips'!$B$43+VLOOKUP(VLOOKUP($B18,'40Trips'!$A$3:$I$42,4,FALSE),'40Trips'!$J$11:$P$14,3,FALSE))),1,0)</f>
        <v>0</v>
      </c>
      <c r="Y18">
        <f>IF(AND(VLOOKUP(Y$1,'40Trips'!$A$3:$I$42,8,FALSE) - VLOOKUP($B18,'40Trips'!$A$3:$I$42,9,FALSE) &gt;= ('40Trips'!$B$43+VLOOKUP(VLOOKUP($B18,'40Trips'!$A$3:$I$42,4,FALSE),'40Trips'!$J$11:$P$14,3,FALSE))),1,0)</f>
        <v>0</v>
      </c>
      <c r="Z18">
        <f>IF(AND(VLOOKUP(Z$1,'40Trips'!$A$3:$I$42,8,FALSE) - VLOOKUP($B18,'40Trips'!$A$3:$I$42,9,FALSE) &gt;= ('40Trips'!$B$43+VLOOKUP(VLOOKUP($B18,'40Trips'!$A$3:$I$42,4,FALSE),'40Trips'!$J$11:$P$14,3,FALSE))),1,0)</f>
        <v>0</v>
      </c>
      <c r="AA18">
        <f>IF(AND(VLOOKUP(AA$1,'40Trips'!$A$3:$I$42,8,FALSE) - VLOOKUP($B18,'40Trips'!$A$3:$I$42,9,FALSE) &gt;= ('40Trips'!$B$43+VLOOKUP(VLOOKUP($B18,'40Trips'!$A$3:$I$42,4,FALSE),'40Trips'!$J$11:$P$14,3,FALSE))),1,0)</f>
        <v>0</v>
      </c>
      <c r="AB18">
        <f>IF(AND(VLOOKUP(AB$1,'40Trips'!$A$3:$I$42,8,FALSE) - VLOOKUP($B18,'40Trips'!$A$3:$I$42,9,FALSE) &gt;= ('40Trips'!$B$43+VLOOKUP(VLOOKUP($B18,'40Trips'!$A$3:$I$42,4,FALSE),'40Trips'!$J$11:$P$14,3,FALSE))),1,0)</f>
        <v>0</v>
      </c>
      <c r="AC18">
        <f>IF(AND(VLOOKUP(AC$1,'40Trips'!$A$3:$I$42,8,FALSE) - VLOOKUP($B18,'40Trips'!$A$3:$I$42,9,FALSE) &gt;= ('40Trips'!$B$43+VLOOKUP(VLOOKUP($B18,'40Trips'!$A$3:$I$42,4,FALSE),'40Trips'!$J$11:$P$14,3,FALSE))),1,0)</f>
        <v>0</v>
      </c>
      <c r="AD18">
        <f>IF(AND(VLOOKUP(AD$1,'40Trips'!$A$3:$I$42,8,FALSE) - VLOOKUP($B18,'40Trips'!$A$3:$I$42,9,FALSE) &gt;= ('40Trips'!$B$43+VLOOKUP(VLOOKUP($B18,'40Trips'!$A$3:$I$42,4,FALSE),'40Trips'!$J$11:$P$14,3,FALSE))),1,0)</f>
        <v>0</v>
      </c>
      <c r="AE18">
        <f>IF(AND(VLOOKUP(AE$1,'40Trips'!$A$3:$I$42,8,FALSE) - VLOOKUP($B18,'40Trips'!$A$3:$I$42,9,FALSE) &gt;= ('40Trips'!$B$43+VLOOKUP(VLOOKUP($B18,'40Trips'!$A$3:$I$42,4,FALSE),'40Trips'!$J$11:$P$14,3,FALSE))),1,0)</f>
        <v>0</v>
      </c>
      <c r="AF18">
        <f>IF(AND(VLOOKUP(AF$1,'40Trips'!$A$3:$I$42,8,FALSE) - VLOOKUP($B18,'40Trips'!$A$3:$I$42,9,FALSE) &gt;= ('40Trips'!$B$43+VLOOKUP(VLOOKUP($B18,'40Trips'!$A$3:$I$42,4,FALSE),'40Trips'!$J$11:$P$14,3,FALSE))),1,0)</f>
        <v>0</v>
      </c>
      <c r="AG18">
        <f>IF(AND(VLOOKUP(AG$1,'40Trips'!$A$3:$I$42,8,FALSE) - VLOOKUP($B18,'40Trips'!$A$3:$I$42,9,FALSE) &gt;= ('40Trips'!$B$43+VLOOKUP(VLOOKUP($B18,'40Trips'!$A$3:$I$42,4,FALSE),'40Trips'!$J$11:$P$14,3,FALSE))),1,0)</f>
        <v>0</v>
      </c>
      <c r="AH18">
        <f>IF(AND(VLOOKUP(AH$1,'40Trips'!$A$3:$I$42,8,FALSE) - VLOOKUP($B18,'40Trips'!$A$3:$I$42,9,FALSE) &gt;= ('40Trips'!$B$43+VLOOKUP(VLOOKUP($B18,'40Trips'!$A$3:$I$42,4,FALSE),'40Trips'!$J$11:$P$14,3,FALSE))),1,0)</f>
        <v>0</v>
      </c>
      <c r="AI18">
        <f>IF(AND(VLOOKUP(AI$1,'40Trips'!$A$3:$I$42,8,FALSE) - VLOOKUP($B18,'40Trips'!$A$3:$I$42,9,FALSE) &gt;= ('40Trips'!$B$43+VLOOKUP(VLOOKUP($B18,'40Trips'!$A$3:$I$42,4,FALSE),'40Trips'!$J$11:$P$14,3,FALSE))),1,0)</f>
        <v>0</v>
      </c>
      <c r="AJ18">
        <f>IF(AND(VLOOKUP(AJ$1,'40Trips'!$A$3:$I$42,8,FALSE) - VLOOKUP($B18,'40Trips'!$A$3:$I$42,9,FALSE) &gt;= ('40Trips'!$B$43+VLOOKUP(VLOOKUP($B18,'40Trips'!$A$3:$I$42,4,FALSE),'40Trips'!$J$11:$P$14,3,FALSE))),1,0)</f>
        <v>0</v>
      </c>
      <c r="AK18">
        <f>IF(AND(VLOOKUP(AK$1,'40Trips'!$A$3:$I$42,8,FALSE) - VLOOKUP($B18,'40Trips'!$A$3:$I$42,9,FALSE) &gt;= ('40Trips'!$B$43+VLOOKUP(VLOOKUP($B18,'40Trips'!$A$3:$I$42,4,FALSE),'40Trips'!$J$11:$P$14,3,FALSE))),1,0)</f>
        <v>0</v>
      </c>
      <c r="AL18">
        <f>IF(AND(VLOOKUP(AL$1,'40Trips'!$A$3:$I$42,8,FALSE) - VLOOKUP($B18,'40Trips'!$A$3:$I$42,9,FALSE) &gt;= ('40Trips'!$B$43+VLOOKUP(VLOOKUP($B18,'40Trips'!$A$3:$I$42,4,FALSE),'40Trips'!$J$11:$P$14,3,FALSE))),1,0)</f>
        <v>0</v>
      </c>
      <c r="AM18">
        <f>IF(AND(VLOOKUP(AM$1,'40Trips'!$A$3:$I$42,8,FALSE) - VLOOKUP($B18,'40Trips'!$A$3:$I$42,9,FALSE) &gt;= ('40Trips'!$B$43+VLOOKUP(VLOOKUP($B18,'40Trips'!$A$3:$I$42,4,FALSE),'40Trips'!$J$11:$P$14,3,FALSE))),1,0)</f>
        <v>0</v>
      </c>
      <c r="AN18">
        <f>IF(AND(VLOOKUP(AN$1,'40Trips'!$A$3:$I$42,8,FALSE) - VLOOKUP($B18,'40Trips'!$A$3:$I$42,9,FALSE) &gt;= ('40Trips'!$B$43+VLOOKUP(VLOOKUP($B18,'40Trips'!$A$3:$I$42,4,FALSE),'40Trips'!$J$11:$P$14,3,FALSE))),1,0)</f>
        <v>0</v>
      </c>
      <c r="AO18">
        <f>IF(AND(VLOOKUP(AO$1,'40Trips'!$A$3:$I$42,8,FALSE) - VLOOKUP($B18,'40Trips'!$A$3:$I$42,9,FALSE) &gt;= ('40Trips'!$B$43+VLOOKUP(VLOOKUP($B18,'40Trips'!$A$3:$I$42,4,FALSE),'40Trips'!$J$11:$P$14,3,FALSE))),1,0)</f>
        <v>0</v>
      </c>
      <c r="AP18">
        <f>IF(AND(VLOOKUP(AP$1,'40Trips'!$A$3:$I$42,8,FALSE) - VLOOKUP($B18,'40Trips'!$A$3:$I$42,9,FALSE) &gt;= ('40Trips'!$B$43+VLOOKUP(VLOOKUP($B18,'40Trips'!$A$3:$I$42,4,FALSE),'40Trips'!$J$11:$P$14,3,FALSE))),1,0)</f>
        <v>0</v>
      </c>
      <c r="AQ18">
        <f>IF(AND(VLOOKUP(AQ$1,'40Trips'!$A$3:$I$42,8,FALSE) - VLOOKUP($B18,'40Trips'!$A$3:$I$42,9,FALSE) &gt;= ('40Trips'!$B$43+VLOOKUP(VLOOKUP($B18,'40Trips'!$A$3:$I$42,4,FALSE),'40Trips'!$J$11:$P$14,3,FALSE))),1,0)</f>
        <v>0</v>
      </c>
    </row>
    <row r="19" spans="1:43" x14ac:dyDescent="0.25">
      <c r="A19" t="s">
        <v>48</v>
      </c>
      <c r="B19" t="s">
        <v>75</v>
      </c>
      <c r="C19">
        <v>0</v>
      </c>
      <c r="D19">
        <f>IF(AND(VLOOKUP(D$1,'40Trips'!$A$3:$I$42,8,FALSE) - VLOOKUP($B19,'40Trips'!$A$3:$I$42,9,FALSE) &gt;= ('40Trips'!$B$43+VLOOKUP(VLOOKUP($B19,'40Trips'!$A$3:$I$42,4,FALSE),'40Trips'!$J$11:$P$14,3,FALSE))),1,0)</f>
        <v>1</v>
      </c>
      <c r="E19">
        <f>IF(AND(VLOOKUP(E$1,'40Trips'!$A$3:$I$42,8,FALSE) - VLOOKUP($B19,'40Trips'!$A$3:$I$42,9,FALSE) &gt;= ('40Trips'!$B$43+VLOOKUP(VLOOKUP($B19,'40Trips'!$A$3:$I$42,4,FALSE),'40Trips'!$J$11:$P$14,3,FALSE))),1,0)</f>
        <v>1</v>
      </c>
      <c r="F19">
        <f>IF(AND(VLOOKUP(F$1,'40Trips'!$A$3:$I$42,8,FALSE) - VLOOKUP($B19,'40Trips'!$A$3:$I$42,9,FALSE) &gt;= ('40Trips'!$B$43+VLOOKUP(VLOOKUP($B19,'40Trips'!$A$3:$I$42,4,FALSE),'40Trips'!$J$11:$P$14,3,FALSE))),1,0)</f>
        <v>1</v>
      </c>
      <c r="G19">
        <f>IF(AND(VLOOKUP(G$1,'40Trips'!$A$3:$I$42,8,FALSE) - VLOOKUP($B19,'40Trips'!$A$3:$I$42,9,FALSE) &gt;= ('40Trips'!$B$43+VLOOKUP(VLOOKUP($B19,'40Trips'!$A$3:$I$42,4,FALSE),'40Trips'!$J$11:$P$14,3,FALSE))),1,0)</f>
        <v>1</v>
      </c>
      <c r="H19">
        <f>IF(AND(VLOOKUP(H$1,'40Trips'!$A$3:$I$42,8,FALSE) - VLOOKUP($B19,'40Trips'!$A$3:$I$42,9,FALSE) &gt;= ('40Trips'!$B$43+VLOOKUP(VLOOKUP($B19,'40Trips'!$A$3:$I$42,4,FALSE),'40Trips'!$J$11:$P$14,3,FALSE))),1,0)</f>
        <v>1</v>
      </c>
      <c r="I19">
        <f>IF(AND(VLOOKUP(I$1,'40Trips'!$A$3:$I$42,8,FALSE) - VLOOKUP($B19,'40Trips'!$A$3:$I$42,9,FALSE) &gt;= ('40Trips'!$B$43+VLOOKUP(VLOOKUP($B19,'40Trips'!$A$3:$I$42,4,FALSE),'40Trips'!$J$11:$P$14,3,FALSE))),1,0)</f>
        <v>1</v>
      </c>
      <c r="J19">
        <f>IF(AND(VLOOKUP(J$1,'40Trips'!$A$3:$I$42,8,FALSE) - VLOOKUP($B19,'40Trips'!$A$3:$I$42,9,FALSE) &gt;= ('40Trips'!$B$43+VLOOKUP(VLOOKUP($B19,'40Trips'!$A$3:$I$42,4,FALSE),'40Trips'!$J$11:$P$14,3,FALSE))),1,0)</f>
        <v>1</v>
      </c>
      <c r="K19">
        <f>IF(AND(VLOOKUP(K$1,'40Trips'!$A$3:$I$42,8,FALSE) - VLOOKUP($B19,'40Trips'!$A$3:$I$42,9,FALSE) &gt;= ('40Trips'!$B$43+VLOOKUP(VLOOKUP($B19,'40Trips'!$A$3:$I$42,4,FALSE),'40Trips'!$J$11:$P$14,3,FALSE))),1,0)</f>
        <v>1</v>
      </c>
      <c r="L19">
        <f>IF(AND(VLOOKUP(L$1,'40Trips'!$A$3:$I$42,8,FALSE) - VLOOKUP($B19,'40Trips'!$A$3:$I$42,9,FALSE) &gt;= ('40Trips'!$B$43+VLOOKUP(VLOOKUP($B19,'40Trips'!$A$3:$I$42,4,FALSE),'40Trips'!$J$11:$P$14,3,FALSE))),1,0)</f>
        <v>1</v>
      </c>
      <c r="M19">
        <f>IF(AND(VLOOKUP(M$1,'40Trips'!$A$3:$I$42,8,FALSE) - VLOOKUP($B19,'40Trips'!$A$3:$I$42,9,FALSE) &gt;= ('40Trips'!$B$43+VLOOKUP(VLOOKUP($B19,'40Trips'!$A$3:$I$42,4,FALSE),'40Trips'!$J$11:$P$14,3,FALSE))),1,0)</f>
        <v>1</v>
      </c>
      <c r="N19">
        <f>IF(AND(VLOOKUP(N$1,'40Trips'!$A$3:$I$42,8,FALSE) - VLOOKUP($B19,'40Trips'!$A$3:$I$42,9,FALSE) &gt;= ('40Trips'!$B$43+VLOOKUP(VLOOKUP($B19,'40Trips'!$A$3:$I$42,4,FALSE),'40Trips'!$J$11:$P$14,3,FALSE))),1,0)</f>
        <v>1</v>
      </c>
      <c r="O19">
        <f>IF(AND(VLOOKUP(O$1,'40Trips'!$A$3:$I$42,8,FALSE) - VLOOKUP($B19,'40Trips'!$A$3:$I$42,9,FALSE) &gt;= ('40Trips'!$B$43+VLOOKUP(VLOOKUP($B19,'40Trips'!$A$3:$I$42,4,FALSE),'40Trips'!$J$11:$P$14,3,FALSE))),1,0)</f>
        <v>1</v>
      </c>
      <c r="P19">
        <f>IF(AND(VLOOKUP(P$1,'40Trips'!$A$3:$I$42,8,FALSE) - VLOOKUP($B19,'40Trips'!$A$3:$I$42,9,FALSE) &gt;= ('40Trips'!$B$43+VLOOKUP(VLOOKUP($B19,'40Trips'!$A$3:$I$42,4,FALSE),'40Trips'!$J$11:$P$14,3,FALSE))),1,0)</f>
        <v>1</v>
      </c>
      <c r="Q19">
        <f>IF(AND(VLOOKUP(Q$1,'40Trips'!$A$3:$I$42,8,FALSE) - VLOOKUP($B19,'40Trips'!$A$3:$I$42,9,FALSE) &gt;= ('40Trips'!$B$43+VLOOKUP(VLOOKUP($B19,'40Trips'!$A$3:$I$42,4,FALSE),'40Trips'!$J$11:$P$14,3,FALSE))),1,0)</f>
        <v>1</v>
      </c>
      <c r="R19">
        <f>IF(AND(VLOOKUP(R$1,'40Trips'!$A$3:$I$42,8,FALSE) - VLOOKUP($B19,'40Trips'!$A$3:$I$42,9,FALSE) &gt;= ('40Trips'!$B$43+VLOOKUP(VLOOKUP($B19,'40Trips'!$A$3:$I$42,4,FALSE),'40Trips'!$J$11:$P$14,3,FALSE))),1,0)</f>
        <v>1</v>
      </c>
      <c r="S19">
        <f>IF(AND(VLOOKUP(S$1,'40Trips'!$A$3:$I$42,8,FALSE) - VLOOKUP($B19,'40Trips'!$A$3:$I$42,9,FALSE) &gt;= ('40Trips'!$B$43+VLOOKUP(VLOOKUP($B19,'40Trips'!$A$3:$I$42,4,FALSE),'40Trips'!$J$11:$P$14,3,FALSE))),1,0)</f>
        <v>1</v>
      </c>
      <c r="T19">
        <f>IF(AND(VLOOKUP(T$1,'40Trips'!$A$3:$I$42,8,FALSE) - VLOOKUP($B19,'40Trips'!$A$3:$I$42,9,FALSE) &gt;= ('40Trips'!$B$43+VLOOKUP(VLOOKUP($B19,'40Trips'!$A$3:$I$42,4,FALSE),'40Trips'!$J$11:$P$14,3,FALSE))),1,0)</f>
        <v>0</v>
      </c>
      <c r="U19">
        <f>IF(AND(VLOOKUP(U$1,'40Trips'!$A$3:$I$42,8,FALSE) - VLOOKUP($B19,'40Trips'!$A$3:$I$42,9,FALSE) &gt;= ('40Trips'!$B$43+VLOOKUP(VLOOKUP($B19,'40Trips'!$A$3:$I$42,4,FALSE),'40Trips'!$J$11:$P$14,3,FALSE))),1,0)</f>
        <v>1</v>
      </c>
      <c r="V19">
        <f>IF(AND(VLOOKUP(V$1,'40Trips'!$A$3:$I$42,8,FALSE) - VLOOKUP($B19,'40Trips'!$A$3:$I$42,9,FALSE) &gt;= ('40Trips'!$B$43+VLOOKUP(VLOOKUP($B19,'40Trips'!$A$3:$I$42,4,FALSE),'40Trips'!$J$11:$P$14,3,FALSE))),1,0)</f>
        <v>1</v>
      </c>
      <c r="W19">
        <f>IF(AND(VLOOKUP(W$1,'40Trips'!$A$3:$I$42,8,FALSE) - VLOOKUP($B19,'40Trips'!$A$3:$I$42,9,FALSE) &gt;= ('40Trips'!$B$43+VLOOKUP(VLOOKUP($B19,'40Trips'!$A$3:$I$42,4,FALSE),'40Trips'!$J$11:$P$14,3,FALSE))),1,0)</f>
        <v>1</v>
      </c>
      <c r="X19">
        <f>IF(AND(VLOOKUP(X$1,'40Trips'!$A$3:$I$42,8,FALSE) - VLOOKUP($B19,'40Trips'!$A$3:$I$42,9,FALSE) &gt;= ('40Trips'!$B$43+VLOOKUP(VLOOKUP($B19,'40Trips'!$A$3:$I$42,4,FALSE),'40Trips'!$J$11:$P$14,3,FALSE))),1,0)</f>
        <v>1</v>
      </c>
      <c r="Y19">
        <f>IF(AND(VLOOKUP(Y$1,'40Trips'!$A$3:$I$42,8,FALSE) - VLOOKUP($B19,'40Trips'!$A$3:$I$42,9,FALSE) &gt;= ('40Trips'!$B$43+VLOOKUP(VLOOKUP($B19,'40Trips'!$A$3:$I$42,4,FALSE),'40Trips'!$J$11:$P$14,3,FALSE))),1,0)</f>
        <v>1</v>
      </c>
      <c r="Z19">
        <f>IF(AND(VLOOKUP(Z$1,'40Trips'!$A$3:$I$42,8,FALSE) - VLOOKUP($B19,'40Trips'!$A$3:$I$42,9,FALSE) &gt;= ('40Trips'!$B$43+VLOOKUP(VLOOKUP($B19,'40Trips'!$A$3:$I$42,4,FALSE),'40Trips'!$J$11:$P$14,3,FALSE))),1,0)</f>
        <v>1</v>
      </c>
      <c r="AA19">
        <f>IF(AND(VLOOKUP(AA$1,'40Trips'!$A$3:$I$42,8,FALSE) - VLOOKUP($B19,'40Trips'!$A$3:$I$42,9,FALSE) &gt;= ('40Trips'!$B$43+VLOOKUP(VLOOKUP($B19,'40Trips'!$A$3:$I$42,4,FALSE),'40Trips'!$J$11:$P$14,3,FALSE))),1,0)</f>
        <v>1</v>
      </c>
      <c r="AB19">
        <f>IF(AND(VLOOKUP(AB$1,'40Trips'!$A$3:$I$42,8,FALSE) - VLOOKUP($B19,'40Trips'!$A$3:$I$42,9,FALSE) &gt;= ('40Trips'!$B$43+VLOOKUP(VLOOKUP($B19,'40Trips'!$A$3:$I$42,4,FALSE),'40Trips'!$J$11:$P$14,3,FALSE))),1,0)</f>
        <v>1</v>
      </c>
      <c r="AC19">
        <f>IF(AND(VLOOKUP(AC$1,'40Trips'!$A$3:$I$42,8,FALSE) - VLOOKUP($B19,'40Trips'!$A$3:$I$42,9,FALSE) &gt;= ('40Trips'!$B$43+VLOOKUP(VLOOKUP($B19,'40Trips'!$A$3:$I$42,4,FALSE),'40Trips'!$J$11:$P$14,3,FALSE))),1,0)</f>
        <v>1</v>
      </c>
      <c r="AD19">
        <f>IF(AND(VLOOKUP(AD$1,'40Trips'!$A$3:$I$42,8,FALSE) - VLOOKUP($B19,'40Trips'!$A$3:$I$42,9,FALSE) &gt;= ('40Trips'!$B$43+VLOOKUP(VLOOKUP($B19,'40Trips'!$A$3:$I$42,4,FALSE),'40Trips'!$J$11:$P$14,3,FALSE))),1,0)</f>
        <v>1</v>
      </c>
      <c r="AE19">
        <f>IF(AND(VLOOKUP(AE$1,'40Trips'!$A$3:$I$42,8,FALSE) - VLOOKUP($B19,'40Trips'!$A$3:$I$42,9,FALSE) &gt;= ('40Trips'!$B$43+VLOOKUP(VLOOKUP($B19,'40Trips'!$A$3:$I$42,4,FALSE),'40Trips'!$J$11:$P$14,3,FALSE))),1,0)</f>
        <v>1</v>
      </c>
      <c r="AF19">
        <f>IF(AND(VLOOKUP(AF$1,'40Trips'!$A$3:$I$42,8,FALSE) - VLOOKUP($B19,'40Trips'!$A$3:$I$42,9,FALSE) &gt;= ('40Trips'!$B$43+VLOOKUP(VLOOKUP($B19,'40Trips'!$A$3:$I$42,4,FALSE),'40Trips'!$J$11:$P$14,3,FALSE))),1,0)</f>
        <v>0</v>
      </c>
      <c r="AG19">
        <f>IF(AND(VLOOKUP(AG$1,'40Trips'!$A$3:$I$42,8,FALSE) - VLOOKUP($B19,'40Trips'!$A$3:$I$42,9,FALSE) &gt;= ('40Trips'!$B$43+VLOOKUP(VLOOKUP($B19,'40Trips'!$A$3:$I$42,4,FALSE),'40Trips'!$J$11:$P$14,3,FALSE))),1,0)</f>
        <v>1</v>
      </c>
      <c r="AH19">
        <f>IF(AND(VLOOKUP(AH$1,'40Trips'!$A$3:$I$42,8,FALSE) - VLOOKUP($B19,'40Trips'!$A$3:$I$42,9,FALSE) &gt;= ('40Trips'!$B$43+VLOOKUP(VLOOKUP($B19,'40Trips'!$A$3:$I$42,4,FALSE),'40Trips'!$J$11:$P$14,3,FALSE))),1,0)</f>
        <v>1</v>
      </c>
      <c r="AI19">
        <f>IF(AND(VLOOKUP(AI$1,'40Trips'!$A$3:$I$42,8,FALSE) - VLOOKUP($B19,'40Trips'!$A$3:$I$42,9,FALSE) &gt;= ('40Trips'!$B$43+VLOOKUP(VLOOKUP($B19,'40Trips'!$A$3:$I$42,4,FALSE),'40Trips'!$J$11:$P$14,3,FALSE))),1,0)</f>
        <v>1</v>
      </c>
      <c r="AJ19">
        <f>IF(AND(VLOOKUP(AJ$1,'40Trips'!$A$3:$I$42,8,FALSE) - VLOOKUP($B19,'40Trips'!$A$3:$I$42,9,FALSE) &gt;= ('40Trips'!$B$43+VLOOKUP(VLOOKUP($B19,'40Trips'!$A$3:$I$42,4,FALSE),'40Trips'!$J$11:$P$14,3,FALSE))),1,0)</f>
        <v>1</v>
      </c>
      <c r="AK19">
        <f>IF(AND(VLOOKUP(AK$1,'40Trips'!$A$3:$I$42,8,FALSE) - VLOOKUP($B19,'40Trips'!$A$3:$I$42,9,FALSE) &gt;= ('40Trips'!$B$43+VLOOKUP(VLOOKUP($B19,'40Trips'!$A$3:$I$42,4,FALSE),'40Trips'!$J$11:$P$14,3,FALSE))),1,0)</f>
        <v>1</v>
      </c>
      <c r="AL19">
        <f>IF(AND(VLOOKUP(AL$1,'40Trips'!$A$3:$I$42,8,FALSE) - VLOOKUP($B19,'40Trips'!$A$3:$I$42,9,FALSE) &gt;= ('40Trips'!$B$43+VLOOKUP(VLOOKUP($B19,'40Trips'!$A$3:$I$42,4,FALSE),'40Trips'!$J$11:$P$14,3,FALSE))),1,0)</f>
        <v>1</v>
      </c>
      <c r="AM19">
        <f>IF(AND(VLOOKUP(AM$1,'40Trips'!$A$3:$I$42,8,FALSE) - VLOOKUP($B19,'40Trips'!$A$3:$I$42,9,FALSE) &gt;= ('40Trips'!$B$43+VLOOKUP(VLOOKUP($B19,'40Trips'!$A$3:$I$42,4,FALSE),'40Trips'!$J$11:$P$14,3,FALSE))),1,0)</f>
        <v>1</v>
      </c>
      <c r="AN19">
        <f>IF(AND(VLOOKUP(AN$1,'40Trips'!$A$3:$I$42,8,FALSE) - VLOOKUP($B19,'40Trips'!$A$3:$I$42,9,FALSE) &gt;= ('40Trips'!$B$43+VLOOKUP(VLOOKUP($B19,'40Trips'!$A$3:$I$42,4,FALSE),'40Trips'!$J$11:$P$14,3,FALSE))),1,0)</f>
        <v>1</v>
      </c>
      <c r="AO19">
        <f>IF(AND(VLOOKUP(AO$1,'40Trips'!$A$3:$I$42,8,FALSE) - VLOOKUP($B19,'40Trips'!$A$3:$I$42,9,FALSE) &gt;= ('40Trips'!$B$43+VLOOKUP(VLOOKUP($B19,'40Trips'!$A$3:$I$42,4,FALSE),'40Trips'!$J$11:$P$14,3,FALSE))),1,0)</f>
        <v>1</v>
      </c>
      <c r="AP19">
        <f>IF(AND(VLOOKUP(AP$1,'40Trips'!$A$3:$I$42,8,FALSE) - VLOOKUP($B19,'40Trips'!$A$3:$I$42,9,FALSE) &gt;= ('40Trips'!$B$43+VLOOKUP(VLOOKUP($B19,'40Trips'!$A$3:$I$42,4,FALSE),'40Trips'!$J$11:$P$14,3,FALSE))),1,0)</f>
        <v>1</v>
      </c>
      <c r="AQ19">
        <f>IF(AND(VLOOKUP(AQ$1,'40Trips'!$A$3:$I$42,8,FALSE) - VLOOKUP($B19,'40Trips'!$A$3:$I$42,9,FALSE) &gt;= ('40Trips'!$B$43+VLOOKUP(VLOOKUP($B19,'40Trips'!$A$3:$I$42,4,FALSE),'40Trips'!$J$11:$P$14,3,FALSE))),1,0)</f>
        <v>1</v>
      </c>
    </row>
    <row r="20" spans="1:43" x14ac:dyDescent="0.25">
      <c r="A20" t="s">
        <v>48</v>
      </c>
      <c r="B20" t="s">
        <v>76</v>
      </c>
      <c r="C20">
        <v>0</v>
      </c>
      <c r="D20">
        <f>IF(AND(VLOOKUP(D$1,'40Trips'!$A$3:$I$42,8,FALSE) - VLOOKUP($B20,'40Trips'!$A$3:$I$42,9,FALSE) &gt;= ('40Trips'!$B$43+VLOOKUP(VLOOKUP($B20,'40Trips'!$A$3:$I$42,4,FALSE),'40Trips'!$J$11:$P$14,3,FALSE))),1,0)</f>
        <v>0</v>
      </c>
      <c r="E20">
        <f>IF(AND(VLOOKUP(E$1,'40Trips'!$A$3:$I$42,8,FALSE) - VLOOKUP($B20,'40Trips'!$A$3:$I$42,9,FALSE) &gt;= ('40Trips'!$B$43+VLOOKUP(VLOOKUP($B20,'40Trips'!$A$3:$I$42,4,FALSE),'40Trips'!$J$11:$P$14,3,FALSE))),1,0)</f>
        <v>0</v>
      </c>
      <c r="F20">
        <f>IF(AND(VLOOKUP(F$1,'40Trips'!$A$3:$I$42,8,FALSE) - VLOOKUP($B20,'40Trips'!$A$3:$I$42,9,FALSE) &gt;= ('40Trips'!$B$43+VLOOKUP(VLOOKUP($B20,'40Trips'!$A$3:$I$42,4,FALSE),'40Trips'!$J$11:$P$14,3,FALSE))),1,0)</f>
        <v>1</v>
      </c>
      <c r="G20">
        <f>IF(AND(VLOOKUP(G$1,'40Trips'!$A$3:$I$42,8,FALSE) - VLOOKUP($B20,'40Trips'!$A$3:$I$42,9,FALSE) &gt;= ('40Trips'!$B$43+VLOOKUP(VLOOKUP($B20,'40Trips'!$A$3:$I$42,4,FALSE),'40Trips'!$J$11:$P$14,3,FALSE))),1,0)</f>
        <v>1</v>
      </c>
      <c r="H20">
        <f>IF(AND(VLOOKUP(H$1,'40Trips'!$A$3:$I$42,8,FALSE) - VLOOKUP($B20,'40Trips'!$A$3:$I$42,9,FALSE) &gt;= ('40Trips'!$B$43+VLOOKUP(VLOOKUP($B20,'40Trips'!$A$3:$I$42,4,FALSE),'40Trips'!$J$11:$P$14,3,FALSE))),1,0)</f>
        <v>0</v>
      </c>
      <c r="I20">
        <f>IF(AND(VLOOKUP(I$1,'40Trips'!$A$3:$I$42,8,FALSE) - VLOOKUP($B20,'40Trips'!$A$3:$I$42,9,FALSE) &gt;= ('40Trips'!$B$43+VLOOKUP(VLOOKUP($B20,'40Trips'!$A$3:$I$42,4,FALSE),'40Trips'!$J$11:$P$14,3,FALSE))),1,0)</f>
        <v>0</v>
      </c>
      <c r="J20">
        <f>IF(AND(VLOOKUP(J$1,'40Trips'!$A$3:$I$42,8,FALSE) - VLOOKUP($B20,'40Trips'!$A$3:$I$42,9,FALSE) &gt;= ('40Trips'!$B$43+VLOOKUP(VLOOKUP($B20,'40Trips'!$A$3:$I$42,4,FALSE),'40Trips'!$J$11:$P$14,3,FALSE))),1,0)</f>
        <v>0</v>
      </c>
      <c r="K20">
        <f>IF(AND(VLOOKUP(K$1,'40Trips'!$A$3:$I$42,8,FALSE) - VLOOKUP($B20,'40Trips'!$A$3:$I$42,9,FALSE) &gt;= ('40Trips'!$B$43+VLOOKUP(VLOOKUP($B20,'40Trips'!$A$3:$I$42,4,FALSE),'40Trips'!$J$11:$P$14,3,FALSE))),1,0)</f>
        <v>1</v>
      </c>
      <c r="L20">
        <f>IF(AND(VLOOKUP(L$1,'40Trips'!$A$3:$I$42,8,FALSE) - VLOOKUP($B20,'40Trips'!$A$3:$I$42,9,FALSE) &gt;= ('40Trips'!$B$43+VLOOKUP(VLOOKUP($B20,'40Trips'!$A$3:$I$42,4,FALSE),'40Trips'!$J$11:$P$14,3,FALSE))),1,0)</f>
        <v>0</v>
      </c>
      <c r="M20">
        <f>IF(AND(VLOOKUP(M$1,'40Trips'!$A$3:$I$42,8,FALSE) - VLOOKUP($B20,'40Trips'!$A$3:$I$42,9,FALSE) &gt;= ('40Trips'!$B$43+VLOOKUP(VLOOKUP($B20,'40Trips'!$A$3:$I$42,4,FALSE),'40Trips'!$J$11:$P$14,3,FALSE))),1,0)</f>
        <v>0</v>
      </c>
      <c r="N20">
        <f>IF(AND(VLOOKUP(N$1,'40Trips'!$A$3:$I$42,8,FALSE) - VLOOKUP($B20,'40Trips'!$A$3:$I$42,9,FALSE) &gt;= ('40Trips'!$B$43+VLOOKUP(VLOOKUP($B20,'40Trips'!$A$3:$I$42,4,FALSE),'40Trips'!$J$11:$P$14,3,FALSE))),1,0)</f>
        <v>0</v>
      </c>
      <c r="O20">
        <f>IF(AND(VLOOKUP(O$1,'40Trips'!$A$3:$I$42,8,FALSE) - VLOOKUP($B20,'40Trips'!$A$3:$I$42,9,FALSE) &gt;= ('40Trips'!$B$43+VLOOKUP(VLOOKUP($B20,'40Trips'!$A$3:$I$42,4,FALSE),'40Trips'!$J$11:$P$14,3,FALSE))),1,0)</f>
        <v>0</v>
      </c>
      <c r="P20">
        <f>IF(AND(VLOOKUP(P$1,'40Trips'!$A$3:$I$42,8,FALSE) - VLOOKUP($B20,'40Trips'!$A$3:$I$42,9,FALSE) &gt;= ('40Trips'!$B$43+VLOOKUP(VLOOKUP($B20,'40Trips'!$A$3:$I$42,4,FALSE),'40Trips'!$J$11:$P$14,3,FALSE))),1,0)</f>
        <v>0</v>
      </c>
      <c r="Q20">
        <f>IF(AND(VLOOKUP(Q$1,'40Trips'!$A$3:$I$42,8,FALSE) - VLOOKUP($B20,'40Trips'!$A$3:$I$42,9,FALSE) &gt;= ('40Trips'!$B$43+VLOOKUP(VLOOKUP($B20,'40Trips'!$A$3:$I$42,4,FALSE),'40Trips'!$J$11:$P$14,3,FALSE))),1,0)</f>
        <v>0</v>
      </c>
      <c r="R20">
        <f>IF(AND(VLOOKUP(R$1,'40Trips'!$A$3:$I$42,8,FALSE) - VLOOKUP($B20,'40Trips'!$A$3:$I$42,9,FALSE) &gt;= ('40Trips'!$B$43+VLOOKUP(VLOOKUP($B20,'40Trips'!$A$3:$I$42,4,FALSE),'40Trips'!$J$11:$P$14,3,FALSE))),1,0)</f>
        <v>0</v>
      </c>
      <c r="S20">
        <f>IF(AND(VLOOKUP(S$1,'40Trips'!$A$3:$I$42,8,FALSE) - VLOOKUP($B20,'40Trips'!$A$3:$I$42,9,FALSE) &gt;= ('40Trips'!$B$43+VLOOKUP(VLOOKUP($B20,'40Trips'!$A$3:$I$42,4,FALSE),'40Trips'!$J$11:$P$14,3,FALSE))),1,0)</f>
        <v>1</v>
      </c>
      <c r="T20">
        <f>IF(AND(VLOOKUP(T$1,'40Trips'!$A$3:$I$42,8,FALSE) - VLOOKUP($B20,'40Trips'!$A$3:$I$42,9,FALSE) &gt;= ('40Trips'!$B$43+VLOOKUP(VLOOKUP($B20,'40Trips'!$A$3:$I$42,4,FALSE),'40Trips'!$J$11:$P$14,3,FALSE))),1,0)</f>
        <v>0</v>
      </c>
      <c r="U20">
        <f>IF(AND(VLOOKUP(U$1,'40Trips'!$A$3:$I$42,8,FALSE) - VLOOKUP($B20,'40Trips'!$A$3:$I$42,9,FALSE) &gt;= ('40Trips'!$B$43+VLOOKUP(VLOOKUP($B20,'40Trips'!$A$3:$I$42,4,FALSE),'40Trips'!$J$11:$P$14,3,FALSE))),1,0)</f>
        <v>0</v>
      </c>
      <c r="V20">
        <f>IF(AND(VLOOKUP(V$1,'40Trips'!$A$3:$I$42,8,FALSE) - VLOOKUP($B20,'40Trips'!$A$3:$I$42,9,FALSE) &gt;= ('40Trips'!$B$43+VLOOKUP(VLOOKUP($B20,'40Trips'!$A$3:$I$42,4,FALSE),'40Trips'!$J$11:$P$14,3,FALSE))),1,0)</f>
        <v>0</v>
      </c>
      <c r="W20">
        <f>IF(AND(VLOOKUP(W$1,'40Trips'!$A$3:$I$42,8,FALSE) - VLOOKUP($B20,'40Trips'!$A$3:$I$42,9,FALSE) &gt;= ('40Trips'!$B$43+VLOOKUP(VLOOKUP($B20,'40Trips'!$A$3:$I$42,4,FALSE),'40Trips'!$J$11:$P$14,3,FALSE))),1,0)</f>
        <v>1</v>
      </c>
      <c r="X20">
        <f>IF(AND(VLOOKUP(X$1,'40Trips'!$A$3:$I$42,8,FALSE) - VLOOKUP($B20,'40Trips'!$A$3:$I$42,9,FALSE) &gt;= ('40Trips'!$B$43+VLOOKUP(VLOOKUP($B20,'40Trips'!$A$3:$I$42,4,FALSE),'40Trips'!$J$11:$P$14,3,FALSE))),1,0)</f>
        <v>0</v>
      </c>
      <c r="Y20">
        <f>IF(AND(VLOOKUP(Y$1,'40Trips'!$A$3:$I$42,8,FALSE) - VLOOKUP($B20,'40Trips'!$A$3:$I$42,9,FALSE) &gt;= ('40Trips'!$B$43+VLOOKUP(VLOOKUP($B20,'40Trips'!$A$3:$I$42,4,FALSE),'40Trips'!$J$11:$P$14,3,FALSE))),1,0)</f>
        <v>0</v>
      </c>
      <c r="Z20">
        <f>IF(AND(VLOOKUP(Z$1,'40Trips'!$A$3:$I$42,8,FALSE) - VLOOKUP($B20,'40Trips'!$A$3:$I$42,9,FALSE) &gt;= ('40Trips'!$B$43+VLOOKUP(VLOOKUP($B20,'40Trips'!$A$3:$I$42,4,FALSE),'40Trips'!$J$11:$P$14,3,FALSE))),1,0)</f>
        <v>1</v>
      </c>
      <c r="AA20">
        <f>IF(AND(VLOOKUP(AA$1,'40Trips'!$A$3:$I$42,8,FALSE) - VLOOKUP($B20,'40Trips'!$A$3:$I$42,9,FALSE) &gt;= ('40Trips'!$B$43+VLOOKUP(VLOOKUP($B20,'40Trips'!$A$3:$I$42,4,FALSE),'40Trips'!$J$11:$P$14,3,FALSE))),1,0)</f>
        <v>1</v>
      </c>
      <c r="AB20">
        <f>IF(AND(VLOOKUP(AB$1,'40Trips'!$A$3:$I$42,8,FALSE) - VLOOKUP($B20,'40Trips'!$A$3:$I$42,9,FALSE) &gt;= ('40Trips'!$B$43+VLOOKUP(VLOOKUP($B20,'40Trips'!$A$3:$I$42,4,FALSE),'40Trips'!$J$11:$P$14,3,FALSE))),1,0)</f>
        <v>0</v>
      </c>
      <c r="AC20">
        <f>IF(AND(VLOOKUP(AC$1,'40Trips'!$A$3:$I$42,8,FALSE) - VLOOKUP($B20,'40Trips'!$A$3:$I$42,9,FALSE) &gt;= ('40Trips'!$B$43+VLOOKUP(VLOOKUP($B20,'40Trips'!$A$3:$I$42,4,FALSE),'40Trips'!$J$11:$P$14,3,FALSE))),1,0)</f>
        <v>0</v>
      </c>
      <c r="AD20">
        <f>IF(AND(VLOOKUP(AD$1,'40Trips'!$A$3:$I$42,8,FALSE) - VLOOKUP($B20,'40Trips'!$A$3:$I$42,9,FALSE) &gt;= ('40Trips'!$B$43+VLOOKUP(VLOOKUP($B20,'40Trips'!$A$3:$I$42,4,FALSE),'40Trips'!$J$11:$P$14,3,FALSE))),1,0)</f>
        <v>1</v>
      </c>
      <c r="AE20">
        <f>IF(AND(VLOOKUP(AE$1,'40Trips'!$A$3:$I$42,8,FALSE) - VLOOKUP($B20,'40Trips'!$A$3:$I$42,9,FALSE) &gt;= ('40Trips'!$B$43+VLOOKUP(VLOOKUP($B20,'40Trips'!$A$3:$I$42,4,FALSE),'40Trips'!$J$11:$P$14,3,FALSE))),1,0)</f>
        <v>1</v>
      </c>
      <c r="AF20">
        <f>IF(AND(VLOOKUP(AF$1,'40Trips'!$A$3:$I$42,8,FALSE) - VLOOKUP($B20,'40Trips'!$A$3:$I$42,9,FALSE) &gt;= ('40Trips'!$B$43+VLOOKUP(VLOOKUP($B20,'40Trips'!$A$3:$I$42,4,FALSE),'40Trips'!$J$11:$P$14,3,FALSE))),1,0)</f>
        <v>0</v>
      </c>
      <c r="AG20">
        <f>IF(AND(VLOOKUP(AG$1,'40Trips'!$A$3:$I$42,8,FALSE) - VLOOKUP($B20,'40Trips'!$A$3:$I$42,9,FALSE) &gt;= ('40Trips'!$B$43+VLOOKUP(VLOOKUP($B20,'40Trips'!$A$3:$I$42,4,FALSE),'40Trips'!$J$11:$P$14,3,FALSE))),1,0)</f>
        <v>0</v>
      </c>
      <c r="AH20">
        <f>IF(AND(VLOOKUP(AH$1,'40Trips'!$A$3:$I$42,8,FALSE) - VLOOKUP($B20,'40Trips'!$A$3:$I$42,9,FALSE) &gt;= ('40Trips'!$B$43+VLOOKUP(VLOOKUP($B20,'40Trips'!$A$3:$I$42,4,FALSE),'40Trips'!$J$11:$P$14,3,FALSE))),1,0)</f>
        <v>0</v>
      </c>
      <c r="AI20">
        <f>IF(AND(VLOOKUP(AI$1,'40Trips'!$A$3:$I$42,8,FALSE) - VLOOKUP($B20,'40Trips'!$A$3:$I$42,9,FALSE) &gt;= ('40Trips'!$B$43+VLOOKUP(VLOOKUP($B20,'40Trips'!$A$3:$I$42,4,FALSE),'40Trips'!$J$11:$P$14,3,FALSE))),1,0)</f>
        <v>0</v>
      </c>
      <c r="AJ20">
        <f>IF(AND(VLOOKUP(AJ$1,'40Trips'!$A$3:$I$42,8,FALSE) - VLOOKUP($B20,'40Trips'!$A$3:$I$42,9,FALSE) &gt;= ('40Trips'!$B$43+VLOOKUP(VLOOKUP($B20,'40Trips'!$A$3:$I$42,4,FALSE),'40Trips'!$J$11:$P$14,3,FALSE))),1,0)</f>
        <v>0</v>
      </c>
      <c r="AK20">
        <f>IF(AND(VLOOKUP(AK$1,'40Trips'!$A$3:$I$42,8,FALSE) - VLOOKUP($B20,'40Trips'!$A$3:$I$42,9,FALSE) &gt;= ('40Trips'!$B$43+VLOOKUP(VLOOKUP($B20,'40Trips'!$A$3:$I$42,4,FALSE),'40Trips'!$J$11:$P$14,3,FALSE))),1,0)</f>
        <v>0</v>
      </c>
      <c r="AL20">
        <f>IF(AND(VLOOKUP(AL$1,'40Trips'!$A$3:$I$42,8,FALSE) - VLOOKUP($B20,'40Trips'!$A$3:$I$42,9,FALSE) &gt;= ('40Trips'!$B$43+VLOOKUP(VLOOKUP($B20,'40Trips'!$A$3:$I$42,4,FALSE),'40Trips'!$J$11:$P$14,3,FALSE))),1,0)</f>
        <v>0</v>
      </c>
      <c r="AM20">
        <f>IF(AND(VLOOKUP(AM$1,'40Trips'!$A$3:$I$42,8,FALSE) - VLOOKUP($B20,'40Trips'!$A$3:$I$42,9,FALSE) &gt;= ('40Trips'!$B$43+VLOOKUP(VLOOKUP($B20,'40Trips'!$A$3:$I$42,4,FALSE),'40Trips'!$J$11:$P$14,3,FALSE))),1,0)</f>
        <v>1</v>
      </c>
      <c r="AN20">
        <f>IF(AND(VLOOKUP(AN$1,'40Trips'!$A$3:$I$42,8,FALSE) - VLOOKUP($B20,'40Trips'!$A$3:$I$42,9,FALSE) &gt;= ('40Trips'!$B$43+VLOOKUP(VLOOKUP($B20,'40Trips'!$A$3:$I$42,4,FALSE),'40Trips'!$J$11:$P$14,3,FALSE))),1,0)</f>
        <v>0</v>
      </c>
      <c r="AO20">
        <f>IF(AND(VLOOKUP(AO$1,'40Trips'!$A$3:$I$42,8,FALSE) - VLOOKUP($B20,'40Trips'!$A$3:$I$42,9,FALSE) &gt;= ('40Trips'!$B$43+VLOOKUP(VLOOKUP($B20,'40Trips'!$A$3:$I$42,4,FALSE),'40Trips'!$J$11:$P$14,3,FALSE))),1,0)</f>
        <v>0</v>
      </c>
      <c r="AP20">
        <f>IF(AND(VLOOKUP(AP$1,'40Trips'!$A$3:$I$42,8,FALSE) - VLOOKUP($B20,'40Trips'!$A$3:$I$42,9,FALSE) &gt;= ('40Trips'!$B$43+VLOOKUP(VLOOKUP($B20,'40Trips'!$A$3:$I$42,4,FALSE),'40Trips'!$J$11:$P$14,3,FALSE))),1,0)</f>
        <v>0</v>
      </c>
      <c r="AQ20">
        <f>IF(AND(VLOOKUP(AQ$1,'40Trips'!$A$3:$I$42,8,FALSE) - VLOOKUP($B20,'40Trips'!$A$3:$I$42,9,FALSE) &gt;= ('40Trips'!$B$43+VLOOKUP(VLOOKUP($B20,'40Trips'!$A$3:$I$42,4,FALSE),'40Trips'!$J$11:$P$14,3,FALSE))),1,0)</f>
        <v>1</v>
      </c>
    </row>
    <row r="21" spans="1:43" x14ac:dyDescent="0.25">
      <c r="A21" t="s">
        <v>48</v>
      </c>
      <c r="B21" t="s">
        <v>77</v>
      </c>
      <c r="C21">
        <v>0</v>
      </c>
      <c r="D21">
        <f>IF(AND(VLOOKUP(D$1,'40Trips'!$A$3:$I$42,8,FALSE) - VLOOKUP($B21,'40Trips'!$A$3:$I$42,9,FALSE) &gt;= ('40Trips'!$B$43+VLOOKUP(VLOOKUP($B21,'40Trips'!$A$3:$I$42,4,FALSE),'40Trips'!$J$11:$P$14,3,FALSE))),1,0)</f>
        <v>0</v>
      </c>
      <c r="E21">
        <f>IF(AND(VLOOKUP(E$1,'40Trips'!$A$3:$I$42,8,FALSE) - VLOOKUP($B21,'40Trips'!$A$3:$I$42,9,FALSE) &gt;= ('40Trips'!$B$43+VLOOKUP(VLOOKUP($B21,'40Trips'!$A$3:$I$42,4,FALSE),'40Trips'!$J$11:$P$14,3,FALSE))),1,0)</f>
        <v>0</v>
      </c>
      <c r="F21">
        <f>IF(AND(VLOOKUP(F$1,'40Trips'!$A$3:$I$42,8,FALSE) - VLOOKUP($B21,'40Trips'!$A$3:$I$42,9,FALSE) &gt;= ('40Trips'!$B$43+VLOOKUP(VLOOKUP($B21,'40Trips'!$A$3:$I$42,4,FALSE),'40Trips'!$J$11:$P$14,3,FALSE))),1,0)</f>
        <v>0</v>
      </c>
      <c r="G21">
        <f>IF(AND(VLOOKUP(G$1,'40Trips'!$A$3:$I$42,8,FALSE) - VLOOKUP($B21,'40Trips'!$A$3:$I$42,9,FALSE) &gt;= ('40Trips'!$B$43+VLOOKUP(VLOOKUP($B21,'40Trips'!$A$3:$I$42,4,FALSE),'40Trips'!$J$11:$P$14,3,FALSE))),1,0)</f>
        <v>0</v>
      </c>
      <c r="H21">
        <f>IF(AND(VLOOKUP(H$1,'40Trips'!$A$3:$I$42,8,FALSE) - VLOOKUP($B21,'40Trips'!$A$3:$I$42,9,FALSE) &gt;= ('40Trips'!$B$43+VLOOKUP(VLOOKUP($B21,'40Trips'!$A$3:$I$42,4,FALSE),'40Trips'!$J$11:$P$14,3,FALSE))),1,0)</f>
        <v>0</v>
      </c>
      <c r="I21">
        <f>IF(AND(VLOOKUP(I$1,'40Trips'!$A$3:$I$42,8,FALSE) - VLOOKUP($B21,'40Trips'!$A$3:$I$42,9,FALSE) &gt;= ('40Trips'!$B$43+VLOOKUP(VLOOKUP($B21,'40Trips'!$A$3:$I$42,4,FALSE),'40Trips'!$J$11:$P$14,3,FALSE))),1,0)</f>
        <v>0</v>
      </c>
      <c r="J21">
        <f>IF(AND(VLOOKUP(J$1,'40Trips'!$A$3:$I$42,8,FALSE) - VLOOKUP($B21,'40Trips'!$A$3:$I$42,9,FALSE) &gt;= ('40Trips'!$B$43+VLOOKUP(VLOOKUP($B21,'40Trips'!$A$3:$I$42,4,FALSE),'40Trips'!$J$11:$P$14,3,FALSE))),1,0)</f>
        <v>0</v>
      </c>
      <c r="K21">
        <f>IF(AND(VLOOKUP(K$1,'40Trips'!$A$3:$I$42,8,FALSE) - VLOOKUP($B21,'40Trips'!$A$3:$I$42,9,FALSE) &gt;= ('40Trips'!$B$43+VLOOKUP(VLOOKUP($B21,'40Trips'!$A$3:$I$42,4,FALSE),'40Trips'!$J$11:$P$14,3,FALSE))),1,0)</f>
        <v>1</v>
      </c>
      <c r="L21">
        <f>IF(AND(VLOOKUP(L$1,'40Trips'!$A$3:$I$42,8,FALSE) - VLOOKUP($B21,'40Trips'!$A$3:$I$42,9,FALSE) &gt;= ('40Trips'!$B$43+VLOOKUP(VLOOKUP($B21,'40Trips'!$A$3:$I$42,4,FALSE),'40Trips'!$J$11:$P$14,3,FALSE))),1,0)</f>
        <v>0</v>
      </c>
      <c r="M21">
        <f>IF(AND(VLOOKUP(M$1,'40Trips'!$A$3:$I$42,8,FALSE) - VLOOKUP($B21,'40Trips'!$A$3:$I$42,9,FALSE) &gt;= ('40Trips'!$B$43+VLOOKUP(VLOOKUP($B21,'40Trips'!$A$3:$I$42,4,FALSE),'40Trips'!$J$11:$P$14,3,FALSE))),1,0)</f>
        <v>0</v>
      </c>
      <c r="N21">
        <f>IF(AND(VLOOKUP(N$1,'40Trips'!$A$3:$I$42,8,FALSE) - VLOOKUP($B21,'40Trips'!$A$3:$I$42,9,FALSE) &gt;= ('40Trips'!$B$43+VLOOKUP(VLOOKUP($B21,'40Trips'!$A$3:$I$42,4,FALSE),'40Trips'!$J$11:$P$14,3,FALSE))),1,0)</f>
        <v>0</v>
      </c>
      <c r="O21">
        <f>IF(AND(VLOOKUP(O$1,'40Trips'!$A$3:$I$42,8,FALSE) - VLOOKUP($B21,'40Trips'!$A$3:$I$42,9,FALSE) &gt;= ('40Trips'!$B$43+VLOOKUP(VLOOKUP($B21,'40Trips'!$A$3:$I$42,4,FALSE),'40Trips'!$J$11:$P$14,3,FALSE))),1,0)</f>
        <v>0</v>
      </c>
      <c r="P21">
        <f>IF(AND(VLOOKUP(P$1,'40Trips'!$A$3:$I$42,8,FALSE) - VLOOKUP($B21,'40Trips'!$A$3:$I$42,9,FALSE) &gt;= ('40Trips'!$B$43+VLOOKUP(VLOOKUP($B21,'40Trips'!$A$3:$I$42,4,FALSE),'40Trips'!$J$11:$P$14,3,FALSE))),1,0)</f>
        <v>0</v>
      </c>
      <c r="Q21">
        <f>IF(AND(VLOOKUP(Q$1,'40Trips'!$A$3:$I$42,8,FALSE) - VLOOKUP($B21,'40Trips'!$A$3:$I$42,9,FALSE) &gt;= ('40Trips'!$B$43+VLOOKUP(VLOOKUP($B21,'40Trips'!$A$3:$I$42,4,FALSE),'40Trips'!$J$11:$P$14,3,FALSE))),1,0)</f>
        <v>0</v>
      </c>
      <c r="R21">
        <f>IF(AND(VLOOKUP(R$1,'40Trips'!$A$3:$I$42,8,FALSE) - VLOOKUP($B21,'40Trips'!$A$3:$I$42,9,FALSE) &gt;= ('40Trips'!$B$43+VLOOKUP(VLOOKUP($B21,'40Trips'!$A$3:$I$42,4,FALSE),'40Trips'!$J$11:$P$14,3,FALSE))),1,0)</f>
        <v>0</v>
      </c>
      <c r="S21">
        <f>IF(AND(VLOOKUP(S$1,'40Trips'!$A$3:$I$42,8,FALSE) - VLOOKUP($B21,'40Trips'!$A$3:$I$42,9,FALSE) &gt;= ('40Trips'!$B$43+VLOOKUP(VLOOKUP($B21,'40Trips'!$A$3:$I$42,4,FALSE),'40Trips'!$J$11:$P$14,3,FALSE))),1,0)</f>
        <v>0</v>
      </c>
      <c r="T21">
        <f>IF(AND(VLOOKUP(T$1,'40Trips'!$A$3:$I$42,8,FALSE) - VLOOKUP($B21,'40Trips'!$A$3:$I$42,9,FALSE) &gt;= ('40Trips'!$B$43+VLOOKUP(VLOOKUP($B21,'40Trips'!$A$3:$I$42,4,FALSE),'40Trips'!$J$11:$P$14,3,FALSE))),1,0)</f>
        <v>0</v>
      </c>
      <c r="U21">
        <f>IF(AND(VLOOKUP(U$1,'40Trips'!$A$3:$I$42,8,FALSE) - VLOOKUP($B21,'40Trips'!$A$3:$I$42,9,FALSE) &gt;= ('40Trips'!$B$43+VLOOKUP(VLOOKUP($B21,'40Trips'!$A$3:$I$42,4,FALSE),'40Trips'!$J$11:$P$14,3,FALSE))),1,0)</f>
        <v>0</v>
      </c>
      <c r="V21">
        <f>IF(AND(VLOOKUP(V$1,'40Trips'!$A$3:$I$42,8,FALSE) - VLOOKUP($B21,'40Trips'!$A$3:$I$42,9,FALSE) &gt;= ('40Trips'!$B$43+VLOOKUP(VLOOKUP($B21,'40Trips'!$A$3:$I$42,4,FALSE),'40Trips'!$J$11:$P$14,3,FALSE))),1,0)</f>
        <v>0</v>
      </c>
      <c r="W21">
        <f>IF(AND(VLOOKUP(W$1,'40Trips'!$A$3:$I$42,8,FALSE) - VLOOKUP($B21,'40Trips'!$A$3:$I$42,9,FALSE) &gt;= ('40Trips'!$B$43+VLOOKUP(VLOOKUP($B21,'40Trips'!$A$3:$I$42,4,FALSE),'40Trips'!$J$11:$P$14,3,FALSE))),1,0)</f>
        <v>0</v>
      </c>
      <c r="X21">
        <f>IF(AND(VLOOKUP(X$1,'40Trips'!$A$3:$I$42,8,FALSE) - VLOOKUP($B21,'40Trips'!$A$3:$I$42,9,FALSE) &gt;= ('40Trips'!$B$43+VLOOKUP(VLOOKUP($B21,'40Trips'!$A$3:$I$42,4,FALSE),'40Trips'!$J$11:$P$14,3,FALSE))),1,0)</f>
        <v>0</v>
      </c>
      <c r="Y21">
        <f>IF(AND(VLOOKUP(Y$1,'40Trips'!$A$3:$I$42,8,FALSE) - VLOOKUP($B21,'40Trips'!$A$3:$I$42,9,FALSE) &gt;= ('40Trips'!$B$43+VLOOKUP(VLOOKUP($B21,'40Trips'!$A$3:$I$42,4,FALSE),'40Trips'!$J$11:$P$14,3,FALSE))),1,0)</f>
        <v>0</v>
      </c>
      <c r="Z21">
        <f>IF(AND(VLOOKUP(Z$1,'40Trips'!$A$3:$I$42,8,FALSE) - VLOOKUP($B21,'40Trips'!$A$3:$I$42,9,FALSE) &gt;= ('40Trips'!$B$43+VLOOKUP(VLOOKUP($B21,'40Trips'!$A$3:$I$42,4,FALSE),'40Trips'!$J$11:$P$14,3,FALSE))),1,0)</f>
        <v>0</v>
      </c>
      <c r="AA21">
        <f>IF(AND(VLOOKUP(AA$1,'40Trips'!$A$3:$I$42,8,FALSE) - VLOOKUP($B21,'40Trips'!$A$3:$I$42,9,FALSE) &gt;= ('40Trips'!$B$43+VLOOKUP(VLOOKUP($B21,'40Trips'!$A$3:$I$42,4,FALSE),'40Trips'!$J$11:$P$14,3,FALSE))),1,0)</f>
        <v>0</v>
      </c>
      <c r="AB21">
        <f>IF(AND(VLOOKUP(AB$1,'40Trips'!$A$3:$I$42,8,FALSE) - VLOOKUP($B21,'40Trips'!$A$3:$I$42,9,FALSE) &gt;= ('40Trips'!$B$43+VLOOKUP(VLOOKUP($B21,'40Trips'!$A$3:$I$42,4,FALSE),'40Trips'!$J$11:$P$14,3,FALSE))),1,0)</f>
        <v>0</v>
      </c>
      <c r="AC21">
        <f>IF(AND(VLOOKUP(AC$1,'40Trips'!$A$3:$I$42,8,FALSE) - VLOOKUP($B21,'40Trips'!$A$3:$I$42,9,FALSE) &gt;= ('40Trips'!$B$43+VLOOKUP(VLOOKUP($B21,'40Trips'!$A$3:$I$42,4,FALSE),'40Trips'!$J$11:$P$14,3,FALSE))),1,0)</f>
        <v>0</v>
      </c>
      <c r="AD21">
        <f>IF(AND(VLOOKUP(AD$1,'40Trips'!$A$3:$I$42,8,FALSE) - VLOOKUP($B21,'40Trips'!$A$3:$I$42,9,FALSE) &gt;= ('40Trips'!$B$43+VLOOKUP(VLOOKUP($B21,'40Trips'!$A$3:$I$42,4,FALSE),'40Trips'!$J$11:$P$14,3,FALSE))),1,0)</f>
        <v>0</v>
      </c>
      <c r="AE21">
        <f>IF(AND(VLOOKUP(AE$1,'40Trips'!$A$3:$I$42,8,FALSE) - VLOOKUP($B21,'40Trips'!$A$3:$I$42,9,FALSE) &gt;= ('40Trips'!$B$43+VLOOKUP(VLOOKUP($B21,'40Trips'!$A$3:$I$42,4,FALSE),'40Trips'!$J$11:$P$14,3,FALSE))),1,0)</f>
        <v>0</v>
      </c>
      <c r="AF21">
        <f>IF(AND(VLOOKUP(AF$1,'40Trips'!$A$3:$I$42,8,FALSE) - VLOOKUP($B21,'40Trips'!$A$3:$I$42,9,FALSE) &gt;= ('40Trips'!$B$43+VLOOKUP(VLOOKUP($B21,'40Trips'!$A$3:$I$42,4,FALSE),'40Trips'!$J$11:$P$14,3,FALSE))),1,0)</f>
        <v>0</v>
      </c>
      <c r="AG21">
        <f>IF(AND(VLOOKUP(AG$1,'40Trips'!$A$3:$I$42,8,FALSE) - VLOOKUP($B21,'40Trips'!$A$3:$I$42,9,FALSE) &gt;= ('40Trips'!$B$43+VLOOKUP(VLOOKUP($B21,'40Trips'!$A$3:$I$42,4,FALSE),'40Trips'!$J$11:$P$14,3,FALSE))),1,0)</f>
        <v>0</v>
      </c>
      <c r="AH21">
        <f>IF(AND(VLOOKUP(AH$1,'40Trips'!$A$3:$I$42,8,FALSE) - VLOOKUP($B21,'40Trips'!$A$3:$I$42,9,FALSE) &gt;= ('40Trips'!$B$43+VLOOKUP(VLOOKUP($B21,'40Trips'!$A$3:$I$42,4,FALSE),'40Trips'!$J$11:$P$14,3,FALSE))),1,0)</f>
        <v>0</v>
      </c>
      <c r="AI21">
        <f>IF(AND(VLOOKUP(AI$1,'40Trips'!$A$3:$I$42,8,FALSE) - VLOOKUP($B21,'40Trips'!$A$3:$I$42,9,FALSE) &gt;= ('40Trips'!$B$43+VLOOKUP(VLOOKUP($B21,'40Trips'!$A$3:$I$42,4,FALSE),'40Trips'!$J$11:$P$14,3,FALSE))),1,0)</f>
        <v>0</v>
      </c>
      <c r="AJ21">
        <f>IF(AND(VLOOKUP(AJ$1,'40Trips'!$A$3:$I$42,8,FALSE) - VLOOKUP($B21,'40Trips'!$A$3:$I$42,9,FALSE) &gt;= ('40Trips'!$B$43+VLOOKUP(VLOOKUP($B21,'40Trips'!$A$3:$I$42,4,FALSE),'40Trips'!$J$11:$P$14,3,FALSE))),1,0)</f>
        <v>0</v>
      </c>
      <c r="AK21">
        <f>IF(AND(VLOOKUP(AK$1,'40Trips'!$A$3:$I$42,8,FALSE) - VLOOKUP($B21,'40Trips'!$A$3:$I$42,9,FALSE) &gt;= ('40Trips'!$B$43+VLOOKUP(VLOOKUP($B21,'40Trips'!$A$3:$I$42,4,FALSE),'40Trips'!$J$11:$P$14,3,FALSE))),1,0)</f>
        <v>0</v>
      </c>
      <c r="AL21">
        <f>IF(AND(VLOOKUP(AL$1,'40Trips'!$A$3:$I$42,8,FALSE) - VLOOKUP($B21,'40Trips'!$A$3:$I$42,9,FALSE) &gt;= ('40Trips'!$B$43+VLOOKUP(VLOOKUP($B21,'40Trips'!$A$3:$I$42,4,FALSE),'40Trips'!$J$11:$P$14,3,FALSE))),1,0)</f>
        <v>0</v>
      </c>
      <c r="AM21">
        <f>IF(AND(VLOOKUP(AM$1,'40Trips'!$A$3:$I$42,8,FALSE) - VLOOKUP($B21,'40Trips'!$A$3:$I$42,9,FALSE) &gt;= ('40Trips'!$B$43+VLOOKUP(VLOOKUP($B21,'40Trips'!$A$3:$I$42,4,FALSE),'40Trips'!$J$11:$P$14,3,FALSE))),1,0)</f>
        <v>1</v>
      </c>
      <c r="AN21">
        <f>IF(AND(VLOOKUP(AN$1,'40Trips'!$A$3:$I$42,8,FALSE) - VLOOKUP($B21,'40Trips'!$A$3:$I$42,9,FALSE) &gt;= ('40Trips'!$B$43+VLOOKUP(VLOOKUP($B21,'40Trips'!$A$3:$I$42,4,FALSE),'40Trips'!$J$11:$P$14,3,FALSE))),1,0)</f>
        <v>0</v>
      </c>
      <c r="AO21">
        <f>IF(AND(VLOOKUP(AO$1,'40Trips'!$A$3:$I$42,8,FALSE) - VLOOKUP($B21,'40Trips'!$A$3:$I$42,9,FALSE) &gt;= ('40Trips'!$B$43+VLOOKUP(VLOOKUP($B21,'40Trips'!$A$3:$I$42,4,FALSE),'40Trips'!$J$11:$P$14,3,FALSE))),1,0)</f>
        <v>0</v>
      </c>
      <c r="AP21">
        <f>IF(AND(VLOOKUP(AP$1,'40Trips'!$A$3:$I$42,8,FALSE) - VLOOKUP($B21,'40Trips'!$A$3:$I$42,9,FALSE) &gt;= ('40Trips'!$B$43+VLOOKUP(VLOOKUP($B21,'40Trips'!$A$3:$I$42,4,FALSE),'40Trips'!$J$11:$P$14,3,FALSE))),1,0)</f>
        <v>0</v>
      </c>
      <c r="AQ21">
        <f>IF(AND(VLOOKUP(AQ$1,'40Trips'!$A$3:$I$42,8,FALSE) - VLOOKUP($B21,'40Trips'!$A$3:$I$42,9,FALSE) &gt;= ('40Trips'!$B$43+VLOOKUP(VLOOKUP($B21,'40Trips'!$A$3:$I$42,4,FALSE),'40Trips'!$J$11:$P$14,3,FALSE))),1,0)</f>
        <v>0</v>
      </c>
    </row>
    <row r="22" spans="1:43" x14ac:dyDescent="0.25">
      <c r="A22" t="s">
        <v>48</v>
      </c>
      <c r="B22" t="s">
        <v>78</v>
      </c>
      <c r="C22">
        <v>0</v>
      </c>
      <c r="D22">
        <f>IF(AND(VLOOKUP(D$1,'40Trips'!$A$3:$I$42,8,FALSE) - VLOOKUP($B22,'40Trips'!$A$3:$I$42,9,FALSE) &gt;= ('40Trips'!$B$43+VLOOKUP(VLOOKUP($B22,'40Trips'!$A$3:$I$42,4,FALSE),'40Trips'!$J$11:$P$14,3,FALSE))),1,0)</f>
        <v>0</v>
      </c>
      <c r="E22">
        <f>IF(AND(VLOOKUP(E$1,'40Trips'!$A$3:$I$42,8,FALSE) - VLOOKUP($B22,'40Trips'!$A$3:$I$42,9,FALSE) &gt;= ('40Trips'!$B$43+VLOOKUP(VLOOKUP($B22,'40Trips'!$A$3:$I$42,4,FALSE),'40Trips'!$J$11:$P$14,3,FALSE))),1,0)</f>
        <v>0</v>
      </c>
      <c r="F22">
        <f>IF(AND(VLOOKUP(F$1,'40Trips'!$A$3:$I$42,8,FALSE) - VLOOKUP($B22,'40Trips'!$A$3:$I$42,9,FALSE) &gt;= ('40Trips'!$B$43+VLOOKUP(VLOOKUP($B22,'40Trips'!$A$3:$I$42,4,FALSE),'40Trips'!$J$11:$P$14,3,FALSE))),1,0)</f>
        <v>0</v>
      </c>
      <c r="G22">
        <f>IF(AND(VLOOKUP(G$1,'40Trips'!$A$3:$I$42,8,FALSE) - VLOOKUP($B22,'40Trips'!$A$3:$I$42,9,FALSE) &gt;= ('40Trips'!$B$43+VLOOKUP(VLOOKUP($B22,'40Trips'!$A$3:$I$42,4,FALSE),'40Trips'!$J$11:$P$14,3,FALSE))),1,0)</f>
        <v>0</v>
      </c>
      <c r="H22">
        <f>IF(AND(VLOOKUP(H$1,'40Trips'!$A$3:$I$42,8,FALSE) - VLOOKUP($B22,'40Trips'!$A$3:$I$42,9,FALSE) &gt;= ('40Trips'!$B$43+VLOOKUP(VLOOKUP($B22,'40Trips'!$A$3:$I$42,4,FALSE),'40Trips'!$J$11:$P$14,3,FALSE))),1,0)</f>
        <v>0</v>
      </c>
      <c r="I22">
        <f>IF(AND(VLOOKUP(I$1,'40Trips'!$A$3:$I$42,8,FALSE) - VLOOKUP($B22,'40Trips'!$A$3:$I$42,9,FALSE) &gt;= ('40Trips'!$B$43+VLOOKUP(VLOOKUP($B22,'40Trips'!$A$3:$I$42,4,FALSE),'40Trips'!$J$11:$P$14,3,FALSE))),1,0)</f>
        <v>0</v>
      </c>
      <c r="J22">
        <f>IF(AND(VLOOKUP(J$1,'40Trips'!$A$3:$I$42,8,FALSE) - VLOOKUP($B22,'40Trips'!$A$3:$I$42,9,FALSE) &gt;= ('40Trips'!$B$43+VLOOKUP(VLOOKUP($B22,'40Trips'!$A$3:$I$42,4,FALSE),'40Trips'!$J$11:$P$14,3,FALSE))),1,0)</f>
        <v>0</v>
      </c>
      <c r="K22">
        <f>IF(AND(VLOOKUP(K$1,'40Trips'!$A$3:$I$42,8,FALSE) - VLOOKUP($B22,'40Trips'!$A$3:$I$42,9,FALSE) &gt;= ('40Trips'!$B$43+VLOOKUP(VLOOKUP($B22,'40Trips'!$A$3:$I$42,4,FALSE),'40Trips'!$J$11:$P$14,3,FALSE))),1,0)</f>
        <v>0</v>
      </c>
      <c r="L22">
        <f>IF(AND(VLOOKUP(L$1,'40Trips'!$A$3:$I$42,8,FALSE) - VLOOKUP($B22,'40Trips'!$A$3:$I$42,9,FALSE) &gt;= ('40Trips'!$B$43+VLOOKUP(VLOOKUP($B22,'40Trips'!$A$3:$I$42,4,FALSE),'40Trips'!$J$11:$P$14,3,FALSE))),1,0)</f>
        <v>0</v>
      </c>
      <c r="M22">
        <f>IF(AND(VLOOKUP(M$1,'40Trips'!$A$3:$I$42,8,FALSE) - VLOOKUP($B22,'40Trips'!$A$3:$I$42,9,FALSE) &gt;= ('40Trips'!$B$43+VLOOKUP(VLOOKUP($B22,'40Trips'!$A$3:$I$42,4,FALSE),'40Trips'!$J$11:$P$14,3,FALSE))),1,0)</f>
        <v>0</v>
      </c>
      <c r="N22">
        <f>IF(AND(VLOOKUP(N$1,'40Trips'!$A$3:$I$42,8,FALSE) - VLOOKUP($B22,'40Trips'!$A$3:$I$42,9,FALSE) &gt;= ('40Trips'!$B$43+VLOOKUP(VLOOKUP($B22,'40Trips'!$A$3:$I$42,4,FALSE),'40Trips'!$J$11:$P$14,3,FALSE))),1,0)</f>
        <v>0</v>
      </c>
      <c r="O22">
        <f>IF(AND(VLOOKUP(O$1,'40Trips'!$A$3:$I$42,8,FALSE) - VLOOKUP($B22,'40Trips'!$A$3:$I$42,9,FALSE) &gt;= ('40Trips'!$B$43+VLOOKUP(VLOOKUP($B22,'40Trips'!$A$3:$I$42,4,FALSE),'40Trips'!$J$11:$P$14,3,FALSE))),1,0)</f>
        <v>0</v>
      </c>
      <c r="P22">
        <f>IF(AND(VLOOKUP(P$1,'40Trips'!$A$3:$I$42,8,FALSE) - VLOOKUP($B22,'40Trips'!$A$3:$I$42,9,FALSE) &gt;= ('40Trips'!$B$43+VLOOKUP(VLOOKUP($B22,'40Trips'!$A$3:$I$42,4,FALSE),'40Trips'!$J$11:$P$14,3,FALSE))),1,0)</f>
        <v>0</v>
      </c>
      <c r="Q22">
        <f>IF(AND(VLOOKUP(Q$1,'40Trips'!$A$3:$I$42,8,FALSE) - VLOOKUP($B22,'40Trips'!$A$3:$I$42,9,FALSE) &gt;= ('40Trips'!$B$43+VLOOKUP(VLOOKUP($B22,'40Trips'!$A$3:$I$42,4,FALSE),'40Trips'!$J$11:$P$14,3,FALSE))),1,0)</f>
        <v>0</v>
      </c>
      <c r="R22">
        <f>IF(AND(VLOOKUP(R$1,'40Trips'!$A$3:$I$42,8,FALSE) - VLOOKUP($B22,'40Trips'!$A$3:$I$42,9,FALSE) &gt;= ('40Trips'!$B$43+VLOOKUP(VLOOKUP($B22,'40Trips'!$A$3:$I$42,4,FALSE),'40Trips'!$J$11:$P$14,3,FALSE))),1,0)</f>
        <v>0</v>
      </c>
      <c r="S22">
        <f>IF(AND(VLOOKUP(S$1,'40Trips'!$A$3:$I$42,8,FALSE) - VLOOKUP($B22,'40Trips'!$A$3:$I$42,9,FALSE) &gt;= ('40Trips'!$B$43+VLOOKUP(VLOOKUP($B22,'40Trips'!$A$3:$I$42,4,FALSE),'40Trips'!$J$11:$P$14,3,FALSE))),1,0)</f>
        <v>0</v>
      </c>
      <c r="T22">
        <f>IF(AND(VLOOKUP(T$1,'40Trips'!$A$3:$I$42,8,FALSE) - VLOOKUP($B22,'40Trips'!$A$3:$I$42,9,FALSE) &gt;= ('40Trips'!$B$43+VLOOKUP(VLOOKUP($B22,'40Trips'!$A$3:$I$42,4,FALSE),'40Trips'!$J$11:$P$14,3,FALSE))),1,0)</f>
        <v>0</v>
      </c>
      <c r="U22">
        <f>IF(AND(VLOOKUP(U$1,'40Trips'!$A$3:$I$42,8,FALSE) - VLOOKUP($B22,'40Trips'!$A$3:$I$42,9,FALSE) &gt;= ('40Trips'!$B$43+VLOOKUP(VLOOKUP($B22,'40Trips'!$A$3:$I$42,4,FALSE),'40Trips'!$J$11:$P$14,3,FALSE))),1,0)</f>
        <v>0</v>
      </c>
      <c r="V22">
        <f>IF(AND(VLOOKUP(V$1,'40Trips'!$A$3:$I$42,8,FALSE) - VLOOKUP($B22,'40Trips'!$A$3:$I$42,9,FALSE) &gt;= ('40Trips'!$B$43+VLOOKUP(VLOOKUP($B22,'40Trips'!$A$3:$I$42,4,FALSE),'40Trips'!$J$11:$P$14,3,FALSE))),1,0)</f>
        <v>0</v>
      </c>
      <c r="W22">
        <f>IF(AND(VLOOKUP(W$1,'40Trips'!$A$3:$I$42,8,FALSE) - VLOOKUP($B22,'40Trips'!$A$3:$I$42,9,FALSE) &gt;= ('40Trips'!$B$43+VLOOKUP(VLOOKUP($B22,'40Trips'!$A$3:$I$42,4,FALSE),'40Trips'!$J$11:$P$14,3,FALSE))),1,0)</f>
        <v>0</v>
      </c>
      <c r="X22">
        <f>IF(AND(VLOOKUP(X$1,'40Trips'!$A$3:$I$42,8,FALSE) - VLOOKUP($B22,'40Trips'!$A$3:$I$42,9,FALSE) &gt;= ('40Trips'!$B$43+VLOOKUP(VLOOKUP($B22,'40Trips'!$A$3:$I$42,4,FALSE),'40Trips'!$J$11:$P$14,3,FALSE))),1,0)</f>
        <v>0</v>
      </c>
      <c r="Y22">
        <f>IF(AND(VLOOKUP(Y$1,'40Trips'!$A$3:$I$42,8,FALSE) - VLOOKUP($B22,'40Trips'!$A$3:$I$42,9,FALSE) &gt;= ('40Trips'!$B$43+VLOOKUP(VLOOKUP($B22,'40Trips'!$A$3:$I$42,4,FALSE),'40Trips'!$J$11:$P$14,3,FALSE))),1,0)</f>
        <v>0</v>
      </c>
      <c r="Z22">
        <f>IF(AND(VLOOKUP(Z$1,'40Trips'!$A$3:$I$42,8,FALSE) - VLOOKUP($B22,'40Trips'!$A$3:$I$42,9,FALSE) &gt;= ('40Trips'!$B$43+VLOOKUP(VLOOKUP($B22,'40Trips'!$A$3:$I$42,4,FALSE),'40Trips'!$J$11:$P$14,3,FALSE))),1,0)</f>
        <v>0</v>
      </c>
      <c r="AA22">
        <f>IF(AND(VLOOKUP(AA$1,'40Trips'!$A$3:$I$42,8,FALSE) - VLOOKUP($B22,'40Trips'!$A$3:$I$42,9,FALSE) &gt;= ('40Trips'!$B$43+VLOOKUP(VLOOKUP($B22,'40Trips'!$A$3:$I$42,4,FALSE),'40Trips'!$J$11:$P$14,3,FALSE))),1,0)</f>
        <v>0</v>
      </c>
      <c r="AB22">
        <f>IF(AND(VLOOKUP(AB$1,'40Trips'!$A$3:$I$42,8,FALSE) - VLOOKUP($B22,'40Trips'!$A$3:$I$42,9,FALSE) &gt;= ('40Trips'!$B$43+VLOOKUP(VLOOKUP($B22,'40Trips'!$A$3:$I$42,4,FALSE),'40Trips'!$J$11:$P$14,3,FALSE))),1,0)</f>
        <v>0</v>
      </c>
      <c r="AC22">
        <f>IF(AND(VLOOKUP(AC$1,'40Trips'!$A$3:$I$42,8,FALSE) - VLOOKUP($B22,'40Trips'!$A$3:$I$42,9,FALSE) &gt;= ('40Trips'!$B$43+VLOOKUP(VLOOKUP($B22,'40Trips'!$A$3:$I$42,4,FALSE),'40Trips'!$J$11:$P$14,3,FALSE))),1,0)</f>
        <v>0</v>
      </c>
      <c r="AD22">
        <f>IF(AND(VLOOKUP(AD$1,'40Trips'!$A$3:$I$42,8,FALSE) - VLOOKUP($B22,'40Trips'!$A$3:$I$42,9,FALSE) &gt;= ('40Trips'!$B$43+VLOOKUP(VLOOKUP($B22,'40Trips'!$A$3:$I$42,4,FALSE),'40Trips'!$J$11:$P$14,3,FALSE))),1,0)</f>
        <v>0</v>
      </c>
      <c r="AE22">
        <f>IF(AND(VLOOKUP(AE$1,'40Trips'!$A$3:$I$42,8,FALSE) - VLOOKUP($B22,'40Trips'!$A$3:$I$42,9,FALSE) &gt;= ('40Trips'!$B$43+VLOOKUP(VLOOKUP($B22,'40Trips'!$A$3:$I$42,4,FALSE),'40Trips'!$J$11:$P$14,3,FALSE))),1,0)</f>
        <v>0</v>
      </c>
      <c r="AF22">
        <f>IF(AND(VLOOKUP(AF$1,'40Trips'!$A$3:$I$42,8,FALSE) - VLOOKUP($B22,'40Trips'!$A$3:$I$42,9,FALSE) &gt;= ('40Trips'!$B$43+VLOOKUP(VLOOKUP($B22,'40Trips'!$A$3:$I$42,4,FALSE),'40Trips'!$J$11:$P$14,3,FALSE))),1,0)</f>
        <v>0</v>
      </c>
      <c r="AG22">
        <f>IF(AND(VLOOKUP(AG$1,'40Trips'!$A$3:$I$42,8,FALSE) - VLOOKUP($B22,'40Trips'!$A$3:$I$42,9,FALSE) &gt;= ('40Trips'!$B$43+VLOOKUP(VLOOKUP($B22,'40Trips'!$A$3:$I$42,4,FALSE),'40Trips'!$J$11:$P$14,3,FALSE))),1,0)</f>
        <v>0</v>
      </c>
      <c r="AH22">
        <f>IF(AND(VLOOKUP(AH$1,'40Trips'!$A$3:$I$42,8,FALSE) - VLOOKUP($B22,'40Trips'!$A$3:$I$42,9,FALSE) &gt;= ('40Trips'!$B$43+VLOOKUP(VLOOKUP($B22,'40Trips'!$A$3:$I$42,4,FALSE),'40Trips'!$J$11:$P$14,3,FALSE))),1,0)</f>
        <v>0</v>
      </c>
      <c r="AI22">
        <f>IF(AND(VLOOKUP(AI$1,'40Trips'!$A$3:$I$42,8,FALSE) - VLOOKUP($B22,'40Trips'!$A$3:$I$42,9,FALSE) &gt;= ('40Trips'!$B$43+VLOOKUP(VLOOKUP($B22,'40Trips'!$A$3:$I$42,4,FALSE),'40Trips'!$J$11:$P$14,3,FALSE))),1,0)</f>
        <v>0</v>
      </c>
      <c r="AJ22">
        <f>IF(AND(VLOOKUP(AJ$1,'40Trips'!$A$3:$I$42,8,FALSE) - VLOOKUP($B22,'40Trips'!$A$3:$I$42,9,FALSE) &gt;= ('40Trips'!$B$43+VLOOKUP(VLOOKUP($B22,'40Trips'!$A$3:$I$42,4,FALSE),'40Trips'!$J$11:$P$14,3,FALSE))),1,0)</f>
        <v>0</v>
      </c>
      <c r="AK22">
        <f>IF(AND(VLOOKUP(AK$1,'40Trips'!$A$3:$I$42,8,FALSE) - VLOOKUP($B22,'40Trips'!$A$3:$I$42,9,FALSE) &gt;= ('40Trips'!$B$43+VLOOKUP(VLOOKUP($B22,'40Trips'!$A$3:$I$42,4,FALSE),'40Trips'!$J$11:$P$14,3,FALSE))),1,0)</f>
        <v>0</v>
      </c>
      <c r="AL22">
        <f>IF(AND(VLOOKUP(AL$1,'40Trips'!$A$3:$I$42,8,FALSE) - VLOOKUP($B22,'40Trips'!$A$3:$I$42,9,FALSE) &gt;= ('40Trips'!$B$43+VLOOKUP(VLOOKUP($B22,'40Trips'!$A$3:$I$42,4,FALSE),'40Trips'!$J$11:$P$14,3,FALSE))),1,0)</f>
        <v>0</v>
      </c>
      <c r="AM22">
        <f>IF(AND(VLOOKUP(AM$1,'40Trips'!$A$3:$I$42,8,FALSE) - VLOOKUP($B22,'40Trips'!$A$3:$I$42,9,FALSE) &gt;= ('40Trips'!$B$43+VLOOKUP(VLOOKUP($B22,'40Trips'!$A$3:$I$42,4,FALSE),'40Trips'!$J$11:$P$14,3,FALSE))),1,0)</f>
        <v>0</v>
      </c>
      <c r="AN22">
        <f>IF(AND(VLOOKUP(AN$1,'40Trips'!$A$3:$I$42,8,FALSE) - VLOOKUP($B22,'40Trips'!$A$3:$I$42,9,FALSE) &gt;= ('40Trips'!$B$43+VLOOKUP(VLOOKUP($B22,'40Trips'!$A$3:$I$42,4,FALSE),'40Trips'!$J$11:$P$14,3,FALSE))),1,0)</f>
        <v>0</v>
      </c>
      <c r="AO22">
        <f>IF(AND(VLOOKUP(AO$1,'40Trips'!$A$3:$I$42,8,FALSE) - VLOOKUP($B22,'40Trips'!$A$3:$I$42,9,FALSE) &gt;= ('40Trips'!$B$43+VLOOKUP(VLOOKUP($B22,'40Trips'!$A$3:$I$42,4,FALSE),'40Trips'!$J$11:$P$14,3,FALSE))),1,0)</f>
        <v>0</v>
      </c>
      <c r="AP22">
        <f>IF(AND(VLOOKUP(AP$1,'40Trips'!$A$3:$I$42,8,FALSE) - VLOOKUP($B22,'40Trips'!$A$3:$I$42,9,FALSE) &gt;= ('40Trips'!$B$43+VLOOKUP(VLOOKUP($B22,'40Trips'!$A$3:$I$42,4,FALSE),'40Trips'!$J$11:$P$14,3,FALSE))),1,0)</f>
        <v>0</v>
      </c>
      <c r="AQ22">
        <f>IF(AND(VLOOKUP(AQ$1,'40Trips'!$A$3:$I$42,8,FALSE) - VLOOKUP($B22,'40Trips'!$A$3:$I$42,9,FALSE) &gt;= ('40Trips'!$B$43+VLOOKUP(VLOOKUP($B22,'40Trips'!$A$3:$I$42,4,FALSE),'40Trips'!$J$11:$P$14,3,FALSE))),1,0)</f>
        <v>0</v>
      </c>
    </row>
    <row r="23" spans="1:43" x14ac:dyDescent="0.25">
      <c r="A23" t="s">
        <v>48</v>
      </c>
      <c r="B23" t="s">
        <v>34</v>
      </c>
      <c r="C23">
        <v>0</v>
      </c>
      <c r="D23">
        <f>IF(AND(VLOOKUP(D$1,'40Trips'!$A$3:$I$42,8,FALSE) - VLOOKUP($B23,'40Trips'!$A$3:$I$42,9,FALSE) &gt;= ('40Trips'!$B$43+VLOOKUP(VLOOKUP($B23,'40Trips'!$A$3:$I$42,4,FALSE),'40Trips'!$J$11:$P$14,3,FALSE))),1,0)</f>
        <v>0</v>
      </c>
      <c r="E23">
        <f>IF(AND(VLOOKUP(E$1,'40Trips'!$A$3:$I$42,8,FALSE) - VLOOKUP($B23,'40Trips'!$A$3:$I$42,9,FALSE) &gt;= ('40Trips'!$B$43+VLOOKUP(VLOOKUP($B23,'40Trips'!$A$3:$I$42,4,FALSE),'40Trips'!$J$11:$P$14,3,FALSE))),1,0)</f>
        <v>0</v>
      </c>
      <c r="F23">
        <f>IF(AND(VLOOKUP(F$1,'40Trips'!$A$3:$I$42,8,FALSE) - VLOOKUP($B23,'40Trips'!$A$3:$I$42,9,FALSE) &gt;= ('40Trips'!$B$43+VLOOKUP(VLOOKUP($B23,'40Trips'!$A$3:$I$42,4,FALSE),'40Trips'!$J$11:$P$14,3,FALSE))),1,0)</f>
        <v>1</v>
      </c>
      <c r="G23">
        <f>IF(AND(VLOOKUP(G$1,'40Trips'!$A$3:$I$42,8,FALSE) - VLOOKUP($B23,'40Trips'!$A$3:$I$42,9,FALSE) &gt;= ('40Trips'!$B$43+VLOOKUP(VLOOKUP($B23,'40Trips'!$A$3:$I$42,4,FALSE),'40Trips'!$J$11:$P$14,3,FALSE))),1,0)</f>
        <v>1</v>
      </c>
      <c r="H23">
        <f>IF(AND(VLOOKUP(H$1,'40Trips'!$A$3:$I$42,8,FALSE) - VLOOKUP($B23,'40Trips'!$A$3:$I$42,9,FALSE) &gt;= ('40Trips'!$B$43+VLOOKUP(VLOOKUP($B23,'40Trips'!$A$3:$I$42,4,FALSE),'40Trips'!$J$11:$P$14,3,FALSE))),1,0)</f>
        <v>0</v>
      </c>
      <c r="I23">
        <f>IF(AND(VLOOKUP(I$1,'40Trips'!$A$3:$I$42,8,FALSE) - VLOOKUP($B23,'40Trips'!$A$3:$I$42,9,FALSE) &gt;= ('40Trips'!$B$43+VLOOKUP(VLOOKUP($B23,'40Trips'!$A$3:$I$42,4,FALSE),'40Trips'!$J$11:$P$14,3,FALSE))),1,0)</f>
        <v>0</v>
      </c>
      <c r="J23">
        <f>IF(AND(VLOOKUP(J$1,'40Trips'!$A$3:$I$42,8,FALSE) - VLOOKUP($B23,'40Trips'!$A$3:$I$42,9,FALSE) &gt;= ('40Trips'!$B$43+VLOOKUP(VLOOKUP($B23,'40Trips'!$A$3:$I$42,4,FALSE),'40Trips'!$J$11:$P$14,3,FALSE))),1,0)</f>
        <v>1</v>
      </c>
      <c r="K23">
        <f>IF(AND(VLOOKUP(K$1,'40Trips'!$A$3:$I$42,8,FALSE) - VLOOKUP($B23,'40Trips'!$A$3:$I$42,9,FALSE) &gt;= ('40Trips'!$B$43+VLOOKUP(VLOOKUP($B23,'40Trips'!$A$3:$I$42,4,FALSE),'40Trips'!$J$11:$P$14,3,FALSE))),1,0)</f>
        <v>1</v>
      </c>
      <c r="L23">
        <f>IF(AND(VLOOKUP(L$1,'40Trips'!$A$3:$I$42,8,FALSE) - VLOOKUP($B23,'40Trips'!$A$3:$I$42,9,FALSE) &gt;= ('40Trips'!$B$43+VLOOKUP(VLOOKUP($B23,'40Trips'!$A$3:$I$42,4,FALSE),'40Trips'!$J$11:$P$14,3,FALSE))),1,0)</f>
        <v>0</v>
      </c>
      <c r="M23">
        <f>IF(AND(VLOOKUP(M$1,'40Trips'!$A$3:$I$42,8,FALSE) - VLOOKUP($B23,'40Trips'!$A$3:$I$42,9,FALSE) &gt;= ('40Trips'!$B$43+VLOOKUP(VLOOKUP($B23,'40Trips'!$A$3:$I$42,4,FALSE),'40Trips'!$J$11:$P$14,3,FALSE))),1,0)</f>
        <v>0</v>
      </c>
      <c r="N23">
        <f>IF(AND(VLOOKUP(N$1,'40Trips'!$A$3:$I$42,8,FALSE) - VLOOKUP($B23,'40Trips'!$A$3:$I$42,9,FALSE) &gt;= ('40Trips'!$B$43+VLOOKUP(VLOOKUP($B23,'40Trips'!$A$3:$I$42,4,FALSE),'40Trips'!$J$11:$P$14,3,FALSE))),1,0)</f>
        <v>1</v>
      </c>
      <c r="O23">
        <f>IF(AND(VLOOKUP(O$1,'40Trips'!$A$3:$I$42,8,FALSE) - VLOOKUP($B23,'40Trips'!$A$3:$I$42,9,FALSE) &gt;= ('40Trips'!$B$43+VLOOKUP(VLOOKUP($B23,'40Trips'!$A$3:$I$42,4,FALSE),'40Trips'!$J$11:$P$14,3,FALSE))),1,0)</f>
        <v>0</v>
      </c>
      <c r="P23">
        <f>IF(AND(VLOOKUP(P$1,'40Trips'!$A$3:$I$42,8,FALSE) - VLOOKUP($B23,'40Trips'!$A$3:$I$42,9,FALSE) &gt;= ('40Trips'!$B$43+VLOOKUP(VLOOKUP($B23,'40Trips'!$A$3:$I$42,4,FALSE),'40Trips'!$J$11:$P$14,3,FALSE))),1,0)</f>
        <v>0</v>
      </c>
      <c r="Q23">
        <f>IF(AND(VLOOKUP(Q$1,'40Trips'!$A$3:$I$42,8,FALSE) - VLOOKUP($B23,'40Trips'!$A$3:$I$42,9,FALSE) &gt;= ('40Trips'!$B$43+VLOOKUP(VLOOKUP($B23,'40Trips'!$A$3:$I$42,4,FALSE),'40Trips'!$J$11:$P$14,3,FALSE))),1,0)</f>
        <v>0</v>
      </c>
      <c r="R23">
        <f>IF(AND(VLOOKUP(R$1,'40Trips'!$A$3:$I$42,8,FALSE) - VLOOKUP($B23,'40Trips'!$A$3:$I$42,9,FALSE) &gt;= ('40Trips'!$B$43+VLOOKUP(VLOOKUP($B23,'40Trips'!$A$3:$I$42,4,FALSE),'40Trips'!$J$11:$P$14,3,FALSE))),1,0)</f>
        <v>1</v>
      </c>
      <c r="S23">
        <f>IF(AND(VLOOKUP(S$1,'40Trips'!$A$3:$I$42,8,FALSE) - VLOOKUP($B23,'40Trips'!$A$3:$I$42,9,FALSE) &gt;= ('40Trips'!$B$43+VLOOKUP(VLOOKUP($B23,'40Trips'!$A$3:$I$42,4,FALSE),'40Trips'!$J$11:$P$14,3,FALSE))),1,0)</f>
        <v>1</v>
      </c>
      <c r="T23">
        <f>IF(AND(VLOOKUP(T$1,'40Trips'!$A$3:$I$42,8,FALSE) - VLOOKUP($B23,'40Trips'!$A$3:$I$42,9,FALSE) &gt;= ('40Trips'!$B$43+VLOOKUP(VLOOKUP($B23,'40Trips'!$A$3:$I$42,4,FALSE),'40Trips'!$J$11:$P$14,3,FALSE))),1,0)</f>
        <v>0</v>
      </c>
      <c r="U23">
        <f>IF(AND(VLOOKUP(U$1,'40Trips'!$A$3:$I$42,8,FALSE) - VLOOKUP($B23,'40Trips'!$A$3:$I$42,9,FALSE) &gt;= ('40Trips'!$B$43+VLOOKUP(VLOOKUP($B23,'40Trips'!$A$3:$I$42,4,FALSE),'40Trips'!$J$11:$P$14,3,FALSE))),1,0)</f>
        <v>0</v>
      </c>
      <c r="V23">
        <f>IF(AND(VLOOKUP(V$1,'40Trips'!$A$3:$I$42,8,FALSE) - VLOOKUP($B23,'40Trips'!$A$3:$I$42,9,FALSE) &gt;= ('40Trips'!$B$43+VLOOKUP(VLOOKUP($B23,'40Trips'!$A$3:$I$42,4,FALSE),'40Trips'!$J$11:$P$14,3,FALSE))),1,0)</f>
        <v>1</v>
      </c>
      <c r="W23">
        <f>IF(AND(VLOOKUP(W$1,'40Trips'!$A$3:$I$42,8,FALSE) - VLOOKUP($B23,'40Trips'!$A$3:$I$42,9,FALSE) &gt;= ('40Trips'!$B$43+VLOOKUP(VLOOKUP($B23,'40Trips'!$A$3:$I$42,4,FALSE),'40Trips'!$J$11:$P$14,3,FALSE))),1,0)</f>
        <v>1</v>
      </c>
      <c r="X23">
        <f>IF(AND(VLOOKUP(X$1,'40Trips'!$A$3:$I$42,8,FALSE) - VLOOKUP($B23,'40Trips'!$A$3:$I$42,9,FALSE) &gt;= ('40Trips'!$B$43+VLOOKUP(VLOOKUP($B23,'40Trips'!$A$3:$I$42,4,FALSE),'40Trips'!$J$11:$P$14,3,FALSE))),1,0)</f>
        <v>0</v>
      </c>
      <c r="Y23">
        <f>IF(AND(VLOOKUP(Y$1,'40Trips'!$A$3:$I$42,8,FALSE) - VLOOKUP($B23,'40Trips'!$A$3:$I$42,9,FALSE) &gt;= ('40Trips'!$B$43+VLOOKUP(VLOOKUP($B23,'40Trips'!$A$3:$I$42,4,FALSE),'40Trips'!$J$11:$P$14,3,FALSE))),1,0)</f>
        <v>0</v>
      </c>
      <c r="Z23">
        <f>IF(AND(VLOOKUP(Z$1,'40Trips'!$A$3:$I$42,8,FALSE) - VLOOKUP($B23,'40Trips'!$A$3:$I$42,9,FALSE) &gt;= ('40Trips'!$B$43+VLOOKUP(VLOOKUP($B23,'40Trips'!$A$3:$I$42,4,FALSE),'40Trips'!$J$11:$P$14,3,FALSE))),1,0)</f>
        <v>1</v>
      </c>
      <c r="AA23">
        <f>IF(AND(VLOOKUP(AA$1,'40Trips'!$A$3:$I$42,8,FALSE) - VLOOKUP($B23,'40Trips'!$A$3:$I$42,9,FALSE) &gt;= ('40Trips'!$B$43+VLOOKUP(VLOOKUP($B23,'40Trips'!$A$3:$I$42,4,FALSE),'40Trips'!$J$11:$P$14,3,FALSE))),1,0)</f>
        <v>1</v>
      </c>
      <c r="AB23">
        <f>IF(AND(VLOOKUP(AB$1,'40Trips'!$A$3:$I$42,8,FALSE) - VLOOKUP($B23,'40Trips'!$A$3:$I$42,9,FALSE) &gt;= ('40Trips'!$B$43+VLOOKUP(VLOOKUP($B23,'40Trips'!$A$3:$I$42,4,FALSE),'40Trips'!$J$11:$P$14,3,FALSE))),1,0)</f>
        <v>0</v>
      </c>
      <c r="AC23">
        <f>IF(AND(VLOOKUP(AC$1,'40Trips'!$A$3:$I$42,8,FALSE) - VLOOKUP($B23,'40Trips'!$A$3:$I$42,9,FALSE) &gt;= ('40Trips'!$B$43+VLOOKUP(VLOOKUP($B23,'40Trips'!$A$3:$I$42,4,FALSE),'40Trips'!$J$11:$P$14,3,FALSE))),1,0)</f>
        <v>0</v>
      </c>
      <c r="AD23">
        <f>IF(AND(VLOOKUP(AD$1,'40Trips'!$A$3:$I$42,8,FALSE) - VLOOKUP($B23,'40Trips'!$A$3:$I$42,9,FALSE) &gt;= ('40Trips'!$B$43+VLOOKUP(VLOOKUP($B23,'40Trips'!$A$3:$I$42,4,FALSE),'40Trips'!$J$11:$P$14,3,FALSE))),1,0)</f>
        <v>1</v>
      </c>
      <c r="AE23">
        <f>IF(AND(VLOOKUP(AE$1,'40Trips'!$A$3:$I$42,8,FALSE) - VLOOKUP($B23,'40Trips'!$A$3:$I$42,9,FALSE) &gt;= ('40Trips'!$B$43+VLOOKUP(VLOOKUP($B23,'40Trips'!$A$3:$I$42,4,FALSE),'40Trips'!$J$11:$P$14,3,FALSE))),1,0)</f>
        <v>1</v>
      </c>
      <c r="AF23">
        <f>IF(AND(VLOOKUP(AF$1,'40Trips'!$A$3:$I$42,8,FALSE) - VLOOKUP($B23,'40Trips'!$A$3:$I$42,9,FALSE) &gt;= ('40Trips'!$B$43+VLOOKUP(VLOOKUP($B23,'40Trips'!$A$3:$I$42,4,FALSE),'40Trips'!$J$11:$P$14,3,FALSE))),1,0)</f>
        <v>0</v>
      </c>
      <c r="AG23">
        <f>IF(AND(VLOOKUP(AG$1,'40Trips'!$A$3:$I$42,8,FALSE) - VLOOKUP($B23,'40Trips'!$A$3:$I$42,9,FALSE) &gt;= ('40Trips'!$B$43+VLOOKUP(VLOOKUP($B23,'40Trips'!$A$3:$I$42,4,FALSE),'40Trips'!$J$11:$P$14,3,FALSE))),1,0)</f>
        <v>0</v>
      </c>
      <c r="AH23">
        <f>IF(AND(VLOOKUP(AH$1,'40Trips'!$A$3:$I$42,8,FALSE) - VLOOKUP($B23,'40Trips'!$A$3:$I$42,9,FALSE) &gt;= ('40Trips'!$B$43+VLOOKUP(VLOOKUP($B23,'40Trips'!$A$3:$I$42,4,FALSE),'40Trips'!$J$11:$P$14,3,FALSE))),1,0)</f>
        <v>0</v>
      </c>
      <c r="AI23">
        <f>IF(AND(VLOOKUP(AI$1,'40Trips'!$A$3:$I$42,8,FALSE) - VLOOKUP($B23,'40Trips'!$A$3:$I$42,9,FALSE) &gt;= ('40Trips'!$B$43+VLOOKUP(VLOOKUP($B23,'40Trips'!$A$3:$I$42,4,FALSE),'40Trips'!$J$11:$P$14,3,FALSE))),1,0)</f>
        <v>0</v>
      </c>
      <c r="AJ23">
        <f>IF(AND(VLOOKUP(AJ$1,'40Trips'!$A$3:$I$42,8,FALSE) - VLOOKUP($B23,'40Trips'!$A$3:$I$42,9,FALSE) &gt;= ('40Trips'!$B$43+VLOOKUP(VLOOKUP($B23,'40Trips'!$A$3:$I$42,4,FALSE),'40Trips'!$J$11:$P$14,3,FALSE))),1,0)</f>
        <v>0</v>
      </c>
      <c r="AK23">
        <f>IF(AND(VLOOKUP(AK$1,'40Trips'!$A$3:$I$42,8,FALSE) - VLOOKUP($B23,'40Trips'!$A$3:$I$42,9,FALSE) &gt;= ('40Trips'!$B$43+VLOOKUP(VLOOKUP($B23,'40Trips'!$A$3:$I$42,4,FALSE),'40Trips'!$J$11:$P$14,3,FALSE))),1,0)</f>
        <v>0</v>
      </c>
      <c r="AL23">
        <f>IF(AND(VLOOKUP(AL$1,'40Trips'!$A$3:$I$42,8,FALSE) - VLOOKUP($B23,'40Trips'!$A$3:$I$42,9,FALSE) &gt;= ('40Trips'!$B$43+VLOOKUP(VLOOKUP($B23,'40Trips'!$A$3:$I$42,4,FALSE),'40Trips'!$J$11:$P$14,3,FALSE))),1,0)</f>
        <v>1</v>
      </c>
      <c r="AM23">
        <f>IF(AND(VLOOKUP(AM$1,'40Trips'!$A$3:$I$42,8,FALSE) - VLOOKUP($B23,'40Trips'!$A$3:$I$42,9,FALSE) &gt;= ('40Trips'!$B$43+VLOOKUP(VLOOKUP($B23,'40Trips'!$A$3:$I$42,4,FALSE),'40Trips'!$J$11:$P$14,3,FALSE))),1,0)</f>
        <v>1</v>
      </c>
      <c r="AN23">
        <f>IF(AND(VLOOKUP(AN$1,'40Trips'!$A$3:$I$42,8,FALSE) - VLOOKUP($B23,'40Trips'!$A$3:$I$42,9,FALSE) &gt;= ('40Trips'!$B$43+VLOOKUP(VLOOKUP($B23,'40Trips'!$A$3:$I$42,4,FALSE),'40Trips'!$J$11:$P$14,3,FALSE))),1,0)</f>
        <v>0</v>
      </c>
      <c r="AO23">
        <f>IF(AND(VLOOKUP(AO$1,'40Trips'!$A$3:$I$42,8,FALSE) - VLOOKUP($B23,'40Trips'!$A$3:$I$42,9,FALSE) &gt;= ('40Trips'!$B$43+VLOOKUP(VLOOKUP($B23,'40Trips'!$A$3:$I$42,4,FALSE),'40Trips'!$J$11:$P$14,3,FALSE))),1,0)</f>
        <v>0</v>
      </c>
      <c r="AP23">
        <f>IF(AND(VLOOKUP(AP$1,'40Trips'!$A$3:$I$42,8,FALSE) - VLOOKUP($B23,'40Trips'!$A$3:$I$42,9,FALSE) &gt;= ('40Trips'!$B$43+VLOOKUP(VLOOKUP($B23,'40Trips'!$A$3:$I$42,4,FALSE),'40Trips'!$J$11:$P$14,3,FALSE))),1,0)</f>
        <v>0</v>
      </c>
      <c r="AQ23">
        <f>IF(AND(VLOOKUP(AQ$1,'40Trips'!$A$3:$I$42,8,FALSE) - VLOOKUP($B23,'40Trips'!$A$3:$I$42,9,FALSE) &gt;= ('40Trips'!$B$43+VLOOKUP(VLOOKUP($B23,'40Trips'!$A$3:$I$42,4,FALSE),'40Trips'!$J$11:$P$14,3,FALSE))),1,0)</f>
        <v>1</v>
      </c>
    </row>
    <row r="24" spans="1:43" x14ac:dyDescent="0.25">
      <c r="A24" t="s">
        <v>48</v>
      </c>
      <c r="B24" t="s">
        <v>35</v>
      </c>
      <c r="C24">
        <v>0</v>
      </c>
      <c r="D24">
        <f>IF(AND(VLOOKUP(D$1,'40Trips'!$A$3:$I$42,8,FALSE) - VLOOKUP($B24,'40Trips'!$A$3:$I$42,9,FALSE) &gt;= ('40Trips'!$B$43+VLOOKUP(VLOOKUP($B24,'40Trips'!$A$3:$I$42,4,FALSE),'40Trips'!$J$11:$P$14,3,FALSE))),1,0)</f>
        <v>0</v>
      </c>
      <c r="E24">
        <f>IF(AND(VLOOKUP(E$1,'40Trips'!$A$3:$I$42,8,FALSE) - VLOOKUP($B24,'40Trips'!$A$3:$I$42,9,FALSE) &gt;= ('40Trips'!$B$43+VLOOKUP(VLOOKUP($B24,'40Trips'!$A$3:$I$42,4,FALSE),'40Trips'!$J$11:$P$14,3,FALSE))),1,0)</f>
        <v>0</v>
      </c>
      <c r="F24">
        <f>IF(AND(VLOOKUP(F$1,'40Trips'!$A$3:$I$42,8,FALSE) - VLOOKUP($B24,'40Trips'!$A$3:$I$42,9,FALSE) &gt;= ('40Trips'!$B$43+VLOOKUP(VLOOKUP($B24,'40Trips'!$A$3:$I$42,4,FALSE),'40Trips'!$J$11:$P$14,3,FALSE))),1,0)</f>
        <v>0</v>
      </c>
      <c r="G24">
        <f>IF(AND(VLOOKUP(G$1,'40Trips'!$A$3:$I$42,8,FALSE) - VLOOKUP($B24,'40Trips'!$A$3:$I$42,9,FALSE) &gt;= ('40Trips'!$B$43+VLOOKUP(VLOOKUP($B24,'40Trips'!$A$3:$I$42,4,FALSE),'40Trips'!$J$11:$P$14,3,FALSE))),1,0)</f>
        <v>0</v>
      </c>
      <c r="H24">
        <f>IF(AND(VLOOKUP(H$1,'40Trips'!$A$3:$I$42,8,FALSE) - VLOOKUP($B24,'40Trips'!$A$3:$I$42,9,FALSE) &gt;= ('40Trips'!$B$43+VLOOKUP(VLOOKUP($B24,'40Trips'!$A$3:$I$42,4,FALSE),'40Trips'!$J$11:$P$14,3,FALSE))),1,0)</f>
        <v>0</v>
      </c>
      <c r="I24">
        <f>IF(AND(VLOOKUP(I$1,'40Trips'!$A$3:$I$42,8,FALSE) - VLOOKUP($B24,'40Trips'!$A$3:$I$42,9,FALSE) &gt;= ('40Trips'!$B$43+VLOOKUP(VLOOKUP($B24,'40Trips'!$A$3:$I$42,4,FALSE),'40Trips'!$J$11:$P$14,3,FALSE))),1,0)</f>
        <v>0</v>
      </c>
      <c r="J24">
        <f>IF(AND(VLOOKUP(J$1,'40Trips'!$A$3:$I$42,8,FALSE) - VLOOKUP($B24,'40Trips'!$A$3:$I$42,9,FALSE) &gt;= ('40Trips'!$B$43+VLOOKUP(VLOOKUP($B24,'40Trips'!$A$3:$I$42,4,FALSE),'40Trips'!$J$11:$P$14,3,FALSE))),1,0)</f>
        <v>0</v>
      </c>
      <c r="K24">
        <f>IF(AND(VLOOKUP(K$1,'40Trips'!$A$3:$I$42,8,FALSE) - VLOOKUP($B24,'40Trips'!$A$3:$I$42,9,FALSE) &gt;= ('40Trips'!$B$43+VLOOKUP(VLOOKUP($B24,'40Trips'!$A$3:$I$42,4,FALSE),'40Trips'!$J$11:$P$14,3,FALSE))),1,0)</f>
        <v>1</v>
      </c>
      <c r="L24">
        <f>IF(AND(VLOOKUP(L$1,'40Trips'!$A$3:$I$42,8,FALSE) - VLOOKUP($B24,'40Trips'!$A$3:$I$42,9,FALSE) &gt;= ('40Trips'!$B$43+VLOOKUP(VLOOKUP($B24,'40Trips'!$A$3:$I$42,4,FALSE),'40Trips'!$J$11:$P$14,3,FALSE))),1,0)</f>
        <v>0</v>
      </c>
      <c r="M24">
        <f>IF(AND(VLOOKUP(M$1,'40Trips'!$A$3:$I$42,8,FALSE) - VLOOKUP($B24,'40Trips'!$A$3:$I$42,9,FALSE) &gt;= ('40Trips'!$B$43+VLOOKUP(VLOOKUP($B24,'40Trips'!$A$3:$I$42,4,FALSE),'40Trips'!$J$11:$P$14,3,FALSE))),1,0)</f>
        <v>0</v>
      </c>
      <c r="N24">
        <f>IF(AND(VLOOKUP(N$1,'40Trips'!$A$3:$I$42,8,FALSE) - VLOOKUP($B24,'40Trips'!$A$3:$I$42,9,FALSE) &gt;= ('40Trips'!$B$43+VLOOKUP(VLOOKUP($B24,'40Trips'!$A$3:$I$42,4,FALSE),'40Trips'!$J$11:$P$14,3,FALSE))),1,0)</f>
        <v>0</v>
      </c>
      <c r="O24">
        <f>IF(AND(VLOOKUP(O$1,'40Trips'!$A$3:$I$42,8,FALSE) - VLOOKUP($B24,'40Trips'!$A$3:$I$42,9,FALSE) &gt;= ('40Trips'!$B$43+VLOOKUP(VLOOKUP($B24,'40Trips'!$A$3:$I$42,4,FALSE),'40Trips'!$J$11:$P$14,3,FALSE))),1,0)</f>
        <v>0</v>
      </c>
      <c r="P24">
        <f>IF(AND(VLOOKUP(P$1,'40Trips'!$A$3:$I$42,8,FALSE) - VLOOKUP($B24,'40Trips'!$A$3:$I$42,9,FALSE) &gt;= ('40Trips'!$B$43+VLOOKUP(VLOOKUP($B24,'40Trips'!$A$3:$I$42,4,FALSE),'40Trips'!$J$11:$P$14,3,FALSE))),1,0)</f>
        <v>0</v>
      </c>
      <c r="Q24">
        <f>IF(AND(VLOOKUP(Q$1,'40Trips'!$A$3:$I$42,8,FALSE) - VLOOKUP($B24,'40Trips'!$A$3:$I$42,9,FALSE) &gt;= ('40Trips'!$B$43+VLOOKUP(VLOOKUP($B24,'40Trips'!$A$3:$I$42,4,FALSE),'40Trips'!$J$11:$P$14,3,FALSE))),1,0)</f>
        <v>0</v>
      </c>
      <c r="R24">
        <f>IF(AND(VLOOKUP(R$1,'40Trips'!$A$3:$I$42,8,FALSE) - VLOOKUP($B24,'40Trips'!$A$3:$I$42,9,FALSE) &gt;= ('40Trips'!$B$43+VLOOKUP(VLOOKUP($B24,'40Trips'!$A$3:$I$42,4,FALSE),'40Trips'!$J$11:$P$14,3,FALSE))),1,0)</f>
        <v>0</v>
      </c>
      <c r="S24">
        <f>IF(AND(VLOOKUP(S$1,'40Trips'!$A$3:$I$42,8,FALSE) - VLOOKUP($B24,'40Trips'!$A$3:$I$42,9,FALSE) &gt;= ('40Trips'!$B$43+VLOOKUP(VLOOKUP($B24,'40Trips'!$A$3:$I$42,4,FALSE),'40Trips'!$J$11:$P$14,3,FALSE))),1,0)</f>
        <v>0</v>
      </c>
      <c r="T24">
        <f>IF(AND(VLOOKUP(T$1,'40Trips'!$A$3:$I$42,8,FALSE) - VLOOKUP($B24,'40Trips'!$A$3:$I$42,9,FALSE) &gt;= ('40Trips'!$B$43+VLOOKUP(VLOOKUP($B24,'40Trips'!$A$3:$I$42,4,FALSE),'40Trips'!$J$11:$P$14,3,FALSE))),1,0)</f>
        <v>0</v>
      </c>
      <c r="U24">
        <f>IF(AND(VLOOKUP(U$1,'40Trips'!$A$3:$I$42,8,FALSE) - VLOOKUP($B24,'40Trips'!$A$3:$I$42,9,FALSE) &gt;= ('40Trips'!$B$43+VLOOKUP(VLOOKUP($B24,'40Trips'!$A$3:$I$42,4,FALSE),'40Trips'!$J$11:$P$14,3,FALSE))),1,0)</f>
        <v>0</v>
      </c>
      <c r="V24">
        <f>IF(AND(VLOOKUP(V$1,'40Trips'!$A$3:$I$42,8,FALSE) - VLOOKUP($B24,'40Trips'!$A$3:$I$42,9,FALSE) &gt;= ('40Trips'!$B$43+VLOOKUP(VLOOKUP($B24,'40Trips'!$A$3:$I$42,4,FALSE),'40Trips'!$J$11:$P$14,3,FALSE))),1,0)</f>
        <v>0</v>
      </c>
      <c r="W24">
        <f>IF(AND(VLOOKUP(W$1,'40Trips'!$A$3:$I$42,8,FALSE) - VLOOKUP($B24,'40Trips'!$A$3:$I$42,9,FALSE) &gt;= ('40Trips'!$B$43+VLOOKUP(VLOOKUP($B24,'40Trips'!$A$3:$I$42,4,FALSE),'40Trips'!$J$11:$P$14,3,FALSE))),1,0)</f>
        <v>0</v>
      </c>
      <c r="X24">
        <f>IF(AND(VLOOKUP(X$1,'40Trips'!$A$3:$I$42,8,FALSE) - VLOOKUP($B24,'40Trips'!$A$3:$I$42,9,FALSE) &gt;= ('40Trips'!$B$43+VLOOKUP(VLOOKUP($B24,'40Trips'!$A$3:$I$42,4,FALSE),'40Trips'!$J$11:$P$14,3,FALSE))),1,0)</f>
        <v>0</v>
      </c>
      <c r="Y24">
        <f>IF(AND(VLOOKUP(Y$1,'40Trips'!$A$3:$I$42,8,FALSE) - VLOOKUP($B24,'40Trips'!$A$3:$I$42,9,FALSE) &gt;= ('40Trips'!$B$43+VLOOKUP(VLOOKUP($B24,'40Trips'!$A$3:$I$42,4,FALSE),'40Trips'!$J$11:$P$14,3,FALSE))),1,0)</f>
        <v>0</v>
      </c>
      <c r="Z24">
        <f>IF(AND(VLOOKUP(Z$1,'40Trips'!$A$3:$I$42,8,FALSE) - VLOOKUP($B24,'40Trips'!$A$3:$I$42,9,FALSE) &gt;= ('40Trips'!$B$43+VLOOKUP(VLOOKUP($B24,'40Trips'!$A$3:$I$42,4,FALSE),'40Trips'!$J$11:$P$14,3,FALSE))),1,0)</f>
        <v>0</v>
      </c>
      <c r="AA24">
        <f>IF(AND(VLOOKUP(AA$1,'40Trips'!$A$3:$I$42,8,FALSE) - VLOOKUP($B24,'40Trips'!$A$3:$I$42,9,FALSE) &gt;= ('40Trips'!$B$43+VLOOKUP(VLOOKUP($B24,'40Trips'!$A$3:$I$42,4,FALSE),'40Trips'!$J$11:$P$14,3,FALSE))),1,0)</f>
        <v>0</v>
      </c>
      <c r="AB24">
        <f>IF(AND(VLOOKUP(AB$1,'40Trips'!$A$3:$I$42,8,FALSE) - VLOOKUP($B24,'40Trips'!$A$3:$I$42,9,FALSE) &gt;= ('40Trips'!$B$43+VLOOKUP(VLOOKUP($B24,'40Trips'!$A$3:$I$42,4,FALSE),'40Trips'!$J$11:$P$14,3,FALSE))),1,0)</f>
        <v>0</v>
      </c>
      <c r="AC24">
        <f>IF(AND(VLOOKUP(AC$1,'40Trips'!$A$3:$I$42,8,FALSE) - VLOOKUP($B24,'40Trips'!$A$3:$I$42,9,FALSE) &gt;= ('40Trips'!$B$43+VLOOKUP(VLOOKUP($B24,'40Trips'!$A$3:$I$42,4,FALSE),'40Trips'!$J$11:$P$14,3,FALSE))),1,0)</f>
        <v>0</v>
      </c>
      <c r="AD24">
        <f>IF(AND(VLOOKUP(AD$1,'40Trips'!$A$3:$I$42,8,FALSE) - VLOOKUP($B24,'40Trips'!$A$3:$I$42,9,FALSE) &gt;= ('40Trips'!$B$43+VLOOKUP(VLOOKUP($B24,'40Trips'!$A$3:$I$42,4,FALSE),'40Trips'!$J$11:$P$14,3,FALSE))),1,0)</f>
        <v>0</v>
      </c>
      <c r="AE24">
        <f>IF(AND(VLOOKUP(AE$1,'40Trips'!$A$3:$I$42,8,FALSE) - VLOOKUP($B24,'40Trips'!$A$3:$I$42,9,FALSE) &gt;= ('40Trips'!$B$43+VLOOKUP(VLOOKUP($B24,'40Trips'!$A$3:$I$42,4,FALSE),'40Trips'!$J$11:$P$14,3,FALSE))),1,0)</f>
        <v>0</v>
      </c>
      <c r="AF24">
        <f>IF(AND(VLOOKUP(AF$1,'40Trips'!$A$3:$I$42,8,FALSE) - VLOOKUP($B24,'40Trips'!$A$3:$I$42,9,FALSE) &gt;= ('40Trips'!$B$43+VLOOKUP(VLOOKUP($B24,'40Trips'!$A$3:$I$42,4,FALSE),'40Trips'!$J$11:$P$14,3,FALSE))),1,0)</f>
        <v>0</v>
      </c>
      <c r="AG24">
        <f>IF(AND(VLOOKUP(AG$1,'40Trips'!$A$3:$I$42,8,FALSE) - VLOOKUP($B24,'40Trips'!$A$3:$I$42,9,FALSE) &gt;= ('40Trips'!$B$43+VLOOKUP(VLOOKUP($B24,'40Trips'!$A$3:$I$42,4,FALSE),'40Trips'!$J$11:$P$14,3,FALSE))),1,0)</f>
        <v>0</v>
      </c>
      <c r="AH24">
        <f>IF(AND(VLOOKUP(AH$1,'40Trips'!$A$3:$I$42,8,FALSE) - VLOOKUP($B24,'40Trips'!$A$3:$I$42,9,FALSE) &gt;= ('40Trips'!$B$43+VLOOKUP(VLOOKUP($B24,'40Trips'!$A$3:$I$42,4,FALSE),'40Trips'!$J$11:$P$14,3,FALSE))),1,0)</f>
        <v>0</v>
      </c>
      <c r="AI24">
        <f>IF(AND(VLOOKUP(AI$1,'40Trips'!$A$3:$I$42,8,FALSE) - VLOOKUP($B24,'40Trips'!$A$3:$I$42,9,FALSE) &gt;= ('40Trips'!$B$43+VLOOKUP(VLOOKUP($B24,'40Trips'!$A$3:$I$42,4,FALSE),'40Trips'!$J$11:$P$14,3,FALSE))),1,0)</f>
        <v>0</v>
      </c>
      <c r="AJ24">
        <f>IF(AND(VLOOKUP(AJ$1,'40Trips'!$A$3:$I$42,8,FALSE) - VLOOKUP($B24,'40Trips'!$A$3:$I$42,9,FALSE) &gt;= ('40Trips'!$B$43+VLOOKUP(VLOOKUP($B24,'40Trips'!$A$3:$I$42,4,FALSE),'40Trips'!$J$11:$P$14,3,FALSE))),1,0)</f>
        <v>0</v>
      </c>
      <c r="AK24">
        <f>IF(AND(VLOOKUP(AK$1,'40Trips'!$A$3:$I$42,8,FALSE) - VLOOKUP($B24,'40Trips'!$A$3:$I$42,9,FALSE) &gt;= ('40Trips'!$B$43+VLOOKUP(VLOOKUP($B24,'40Trips'!$A$3:$I$42,4,FALSE),'40Trips'!$J$11:$P$14,3,FALSE))),1,0)</f>
        <v>0</v>
      </c>
      <c r="AL24">
        <f>IF(AND(VLOOKUP(AL$1,'40Trips'!$A$3:$I$42,8,FALSE) - VLOOKUP($B24,'40Trips'!$A$3:$I$42,9,FALSE) &gt;= ('40Trips'!$B$43+VLOOKUP(VLOOKUP($B24,'40Trips'!$A$3:$I$42,4,FALSE),'40Trips'!$J$11:$P$14,3,FALSE))),1,0)</f>
        <v>0</v>
      </c>
      <c r="AM24">
        <f>IF(AND(VLOOKUP(AM$1,'40Trips'!$A$3:$I$42,8,FALSE) - VLOOKUP($B24,'40Trips'!$A$3:$I$42,9,FALSE) &gt;= ('40Trips'!$B$43+VLOOKUP(VLOOKUP($B24,'40Trips'!$A$3:$I$42,4,FALSE),'40Trips'!$J$11:$P$14,3,FALSE))),1,0)</f>
        <v>1</v>
      </c>
      <c r="AN24">
        <f>IF(AND(VLOOKUP(AN$1,'40Trips'!$A$3:$I$42,8,FALSE) - VLOOKUP($B24,'40Trips'!$A$3:$I$42,9,FALSE) &gt;= ('40Trips'!$B$43+VLOOKUP(VLOOKUP($B24,'40Trips'!$A$3:$I$42,4,FALSE),'40Trips'!$J$11:$P$14,3,FALSE))),1,0)</f>
        <v>0</v>
      </c>
      <c r="AO24">
        <f>IF(AND(VLOOKUP(AO$1,'40Trips'!$A$3:$I$42,8,FALSE) - VLOOKUP($B24,'40Trips'!$A$3:$I$42,9,FALSE) &gt;= ('40Trips'!$B$43+VLOOKUP(VLOOKUP($B24,'40Trips'!$A$3:$I$42,4,FALSE),'40Trips'!$J$11:$P$14,3,FALSE))),1,0)</f>
        <v>0</v>
      </c>
      <c r="AP24">
        <f>IF(AND(VLOOKUP(AP$1,'40Trips'!$A$3:$I$42,8,FALSE) - VLOOKUP($B24,'40Trips'!$A$3:$I$42,9,FALSE) &gt;= ('40Trips'!$B$43+VLOOKUP(VLOOKUP($B24,'40Trips'!$A$3:$I$42,4,FALSE),'40Trips'!$J$11:$P$14,3,FALSE))),1,0)</f>
        <v>0</v>
      </c>
      <c r="AQ24">
        <f>IF(AND(VLOOKUP(AQ$1,'40Trips'!$A$3:$I$42,8,FALSE) - VLOOKUP($B24,'40Trips'!$A$3:$I$42,9,FALSE) &gt;= ('40Trips'!$B$43+VLOOKUP(VLOOKUP($B24,'40Trips'!$A$3:$I$42,4,FALSE),'40Trips'!$J$11:$P$14,3,FALSE))),1,0)</f>
        <v>1</v>
      </c>
    </row>
    <row r="25" spans="1:43" x14ac:dyDescent="0.25">
      <c r="A25" t="s">
        <v>48</v>
      </c>
      <c r="B25" t="s">
        <v>36</v>
      </c>
      <c r="C25">
        <v>0</v>
      </c>
      <c r="D25">
        <f>IF(AND(VLOOKUP(D$1,'40Trips'!$A$3:$I$42,8,FALSE) - VLOOKUP($B25,'40Trips'!$A$3:$I$42,9,FALSE) &gt;= ('40Trips'!$B$43+VLOOKUP(VLOOKUP($B25,'40Trips'!$A$3:$I$42,4,FALSE),'40Trips'!$J$11:$P$14,3,FALSE))),1,0)</f>
        <v>0</v>
      </c>
      <c r="E25">
        <f>IF(AND(VLOOKUP(E$1,'40Trips'!$A$3:$I$42,8,FALSE) - VLOOKUP($B25,'40Trips'!$A$3:$I$42,9,FALSE) &gt;= ('40Trips'!$B$43+VLOOKUP(VLOOKUP($B25,'40Trips'!$A$3:$I$42,4,FALSE),'40Trips'!$J$11:$P$14,3,FALSE))),1,0)</f>
        <v>0</v>
      </c>
      <c r="F25">
        <f>IF(AND(VLOOKUP(F$1,'40Trips'!$A$3:$I$42,8,FALSE) - VLOOKUP($B25,'40Trips'!$A$3:$I$42,9,FALSE) &gt;= ('40Trips'!$B$43+VLOOKUP(VLOOKUP($B25,'40Trips'!$A$3:$I$42,4,FALSE),'40Trips'!$J$11:$P$14,3,FALSE))),1,0)</f>
        <v>0</v>
      </c>
      <c r="G25">
        <f>IF(AND(VLOOKUP(G$1,'40Trips'!$A$3:$I$42,8,FALSE) - VLOOKUP($B25,'40Trips'!$A$3:$I$42,9,FALSE) &gt;= ('40Trips'!$B$43+VLOOKUP(VLOOKUP($B25,'40Trips'!$A$3:$I$42,4,FALSE),'40Trips'!$J$11:$P$14,3,FALSE))),1,0)</f>
        <v>0</v>
      </c>
      <c r="H25">
        <f>IF(AND(VLOOKUP(H$1,'40Trips'!$A$3:$I$42,8,FALSE) - VLOOKUP($B25,'40Trips'!$A$3:$I$42,9,FALSE) &gt;= ('40Trips'!$B$43+VLOOKUP(VLOOKUP($B25,'40Trips'!$A$3:$I$42,4,FALSE),'40Trips'!$J$11:$P$14,3,FALSE))),1,0)</f>
        <v>0</v>
      </c>
      <c r="I25">
        <f>IF(AND(VLOOKUP(I$1,'40Trips'!$A$3:$I$42,8,FALSE) - VLOOKUP($B25,'40Trips'!$A$3:$I$42,9,FALSE) &gt;= ('40Trips'!$B$43+VLOOKUP(VLOOKUP($B25,'40Trips'!$A$3:$I$42,4,FALSE),'40Trips'!$J$11:$P$14,3,FALSE))),1,0)</f>
        <v>0</v>
      </c>
      <c r="J25">
        <f>IF(AND(VLOOKUP(J$1,'40Trips'!$A$3:$I$42,8,FALSE) - VLOOKUP($B25,'40Trips'!$A$3:$I$42,9,FALSE) &gt;= ('40Trips'!$B$43+VLOOKUP(VLOOKUP($B25,'40Trips'!$A$3:$I$42,4,FALSE),'40Trips'!$J$11:$P$14,3,FALSE))),1,0)</f>
        <v>0</v>
      </c>
      <c r="K25">
        <f>IF(AND(VLOOKUP(K$1,'40Trips'!$A$3:$I$42,8,FALSE) - VLOOKUP($B25,'40Trips'!$A$3:$I$42,9,FALSE) &gt;= ('40Trips'!$B$43+VLOOKUP(VLOOKUP($B25,'40Trips'!$A$3:$I$42,4,FALSE),'40Trips'!$J$11:$P$14,3,FALSE))),1,0)</f>
        <v>1</v>
      </c>
      <c r="L25">
        <f>IF(AND(VLOOKUP(L$1,'40Trips'!$A$3:$I$42,8,FALSE) - VLOOKUP($B25,'40Trips'!$A$3:$I$42,9,FALSE) &gt;= ('40Trips'!$B$43+VLOOKUP(VLOOKUP($B25,'40Trips'!$A$3:$I$42,4,FALSE),'40Trips'!$J$11:$P$14,3,FALSE))),1,0)</f>
        <v>0</v>
      </c>
      <c r="M25">
        <f>IF(AND(VLOOKUP(M$1,'40Trips'!$A$3:$I$42,8,FALSE) - VLOOKUP($B25,'40Trips'!$A$3:$I$42,9,FALSE) &gt;= ('40Trips'!$B$43+VLOOKUP(VLOOKUP($B25,'40Trips'!$A$3:$I$42,4,FALSE),'40Trips'!$J$11:$P$14,3,FALSE))),1,0)</f>
        <v>0</v>
      </c>
      <c r="N25">
        <f>IF(AND(VLOOKUP(N$1,'40Trips'!$A$3:$I$42,8,FALSE) - VLOOKUP($B25,'40Trips'!$A$3:$I$42,9,FALSE) &gt;= ('40Trips'!$B$43+VLOOKUP(VLOOKUP($B25,'40Trips'!$A$3:$I$42,4,FALSE),'40Trips'!$J$11:$P$14,3,FALSE))),1,0)</f>
        <v>0</v>
      </c>
      <c r="O25">
        <f>IF(AND(VLOOKUP(O$1,'40Trips'!$A$3:$I$42,8,FALSE) - VLOOKUP($B25,'40Trips'!$A$3:$I$42,9,FALSE) &gt;= ('40Trips'!$B$43+VLOOKUP(VLOOKUP($B25,'40Trips'!$A$3:$I$42,4,FALSE),'40Trips'!$J$11:$P$14,3,FALSE))),1,0)</f>
        <v>0</v>
      </c>
      <c r="P25">
        <f>IF(AND(VLOOKUP(P$1,'40Trips'!$A$3:$I$42,8,FALSE) - VLOOKUP($B25,'40Trips'!$A$3:$I$42,9,FALSE) &gt;= ('40Trips'!$B$43+VLOOKUP(VLOOKUP($B25,'40Trips'!$A$3:$I$42,4,FALSE),'40Trips'!$J$11:$P$14,3,FALSE))),1,0)</f>
        <v>0</v>
      </c>
      <c r="Q25">
        <f>IF(AND(VLOOKUP(Q$1,'40Trips'!$A$3:$I$42,8,FALSE) - VLOOKUP($B25,'40Trips'!$A$3:$I$42,9,FALSE) &gt;= ('40Trips'!$B$43+VLOOKUP(VLOOKUP($B25,'40Trips'!$A$3:$I$42,4,FALSE),'40Trips'!$J$11:$P$14,3,FALSE))),1,0)</f>
        <v>0</v>
      </c>
      <c r="R25">
        <f>IF(AND(VLOOKUP(R$1,'40Trips'!$A$3:$I$42,8,FALSE) - VLOOKUP($B25,'40Trips'!$A$3:$I$42,9,FALSE) &gt;= ('40Trips'!$B$43+VLOOKUP(VLOOKUP($B25,'40Trips'!$A$3:$I$42,4,FALSE),'40Trips'!$J$11:$P$14,3,FALSE))),1,0)</f>
        <v>0</v>
      </c>
      <c r="S25">
        <f>IF(AND(VLOOKUP(S$1,'40Trips'!$A$3:$I$42,8,FALSE) - VLOOKUP($B25,'40Trips'!$A$3:$I$42,9,FALSE) &gt;= ('40Trips'!$B$43+VLOOKUP(VLOOKUP($B25,'40Trips'!$A$3:$I$42,4,FALSE),'40Trips'!$J$11:$P$14,3,FALSE))),1,0)</f>
        <v>0</v>
      </c>
      <c r="T25">
        <f>IF(AND(VLOOKUP(T$1,'40Trips'!$A$3:$I$42,8,FALSE) - VLOOKUP($B25,'40Trips'!$A$3:$I$42,9,FALSE) &gt;= ('40Trips'!$B$43+VLOOKUP(VLOOKUP($B25,'40Trips'!$A$3:$I$42,4,FALSE),'40Trips'!$J$11:$P$14,3,FALSE))),1,0)</f>
        <v>0</v>
      </c>
      <c r="U25">
        <f>IF(AND(VLOOKUP(U$1,'40Trips'!$A$3:$I$42,8,FALSE) - VLOOKUP($B25,'40Trips'!$A$3:$I$42,9,FALSE) &gt;= ('40Trips'!$B$43+VLOOKUP(VLOOKUP($B25,'40Trips'!$A$3:$I$42,4,FALSE),'40Trips'!$J$11:$P$14,3,FALSE))),1,0)</f>
        <v>0</v>
      </c>
      <c r="V25">
        <f>IF(AND(VLOOKUP(V$1,'40Trips'!$A$3:$I$42,8,FALSE) - VLOOKUP($B25,'40Trips'!$A$3:$I$42,9,FALSE) &gt;= ('40Trips'!$B$43+VLOOKUP(VLOOKUP($B25,'40Trips'!$A$3:$I$42,4,FALSE),'40Trips'!$J$11:$P$14,3,FALSE))),1,0)</f>
        <v>0</v>
      </c>
      <c r="W25">
        <f>IF(AND(VLOOKUP(W$1,'40Trips'!$A$3:$I$42,8,FALSE) - VLOOKUP($B25,'40Trips'!$A$3:$I$42,9,FALSE) &gt;= ('40Trips'!$B$43+VLOOKUP(VLOOKUP($B25,'40Trips'!$A$3:$I$42,4,FALSE),'40Trips'!$J$11:$P$14,3,FALSE))),1,0)</f>
        <v>0</v>
      </c>
      <c r="X25">
        <f>IF(AND(VLOOKUP(X$1,'40Trips'!$A$3:$I$42,8,FALSE) - VLOOKUP($B25,'40Trips'!$A$3:$I$42,9,FALSE) &gt;= ('40Trips'!$B$43+VLOOKUP(VLOOKUP($B25,'40Trips'!$A$3:$I$42,4,FALSE),'40Trips'!$J$11:$P$14,3,FALSE))),1,0)</f>
        <v>0</v>
      </c>
      <c r="Y25">
        <f>IF(AND(VLOOKUP(Y$1,'40Trips'!$A$3:$I$42,8,FALSE) - VLOOKUP($B25,'40Trips'!$A$3:$I$42,9,FALSE) &gt;= ('40Trips'!$B$43+VLOOKUP(VLOOKUP($B25,'40Trips'!$A$3:$I$42,4,FALSE),'40Trips'!$J$11:$P$14,3,FALSE))),1,0)</f>
        <v>0</v>
      </c>
      <c r="Z25">
        <f>IF(AND(VLOOKUP(Z$1,'40Trips'!$A$3:$I$42,8,FALSE) - VLOOKUP($B25,'40Trips'!$A$3:$I$42,9,FALSE) &gt;= ('40Trips'!$B$43+VLOOKUP(VLOOKUP($B25,'40Trips'!$A$3:$I$42,4,FALSE),'40Trips'!$J$11:$P$14,3,FALSE))),1,0)</f>
        <v>0</v>
      </c>
      <c r="AA25">
        <f>IF(AND(VLOOKUP(AA$1,'40Trips'!$A$3:$I$42,8,FALSE) - VLOOKUP($B25,'40Trips'!$A$3:$I$42,9,FALSE) &gt;= ('40Trips'!$B$43+VLOOKUP(VLOOKUP($B25,'40Trips'!$A$3:$I$42,4,FALSE),'40Trips'!$J$11:$P$14,3,FALSE))),1,0)</f>
        <v>0</v>
      </c>
      <c r="AB25">
        <f>IF(AND(VLOOKUP(AB$1,'40Trips'!$A$3:$I$42,8,FALSE) - VLOOKUP($B25,'40Trips'!$A$3:$I$42,9,FALSE) &gt;= ('40Trips'!$B$43+VLOOKUP(VLOOKUP($B25,'40Trips'!$A$3:$I$42,4,FALSE),'40Trips'!$J$11:$P$14,3,FALSE))),1,0)</f>
        <v>0</v>
      </c>
      <c r="AC25">
        <f>IF(AND(VLOOKUP(AC$1,'40Trips'!$A$3:$I$42,8,FALSE) - VLOOKUP($B25,'40Trips'!$A$3:$I$42,9,FALSE) &gt;= ('40Trips'!$B$43+VLOOKUP(VLOOKUP($B25,'40Trips'!$A$3:$I$42,4,FALSE),'40Trips'!$J$11:$P$14,3,FALSE))),1,0)</f>
        <v>0</v>
      </c>
      <c r="AD25">
        <f>IF(AND(VLOOKUP(AD$1,'40Trips'!$A$3:$I$42,8,FALSE) - VLOOKUP($B25,'40Trips'!$A$3:$I$42,9,FALSE) &gt;= ('40Trips'!$B$43+VLOOKUP(VLOOKUP($B25,'40Trips'!$A$3:$I$42,4,FALSE),'40Trips'!$J$11:$P$14,3,FALSE))),1,0)</f>
        <v>0</v>
      </c>
      <c r="AE25">
        <f>IF(AND(VLOOKUP(AE$1,'40Trips'!$A$3:$I$42,8,FALSE) - VLOOKUP($B25,'40Trips'!$A$3:$I$42,9,FALSE) &gt;= ('40Trips'!$B$43+VLOOKUP(VLOOKUP($B25,'40Trips'!$A$3:$I$42,4,FALSE),'40Trips'!$J$11:$P$14,3,FALSE))),1,0)</f>
        <v>0</v>
      </c>
      <c r="AF25">
        <f>IF(AND(VLOOKUP(AF$1,'40Trips'!$A$3:$I$42,8,FALSE) - VLOOKUP($B25,'40Trips'!$A$3:$I$42,9,FALSE) &gt;= ('40Trips'!$B$43+VLOOKUP(VLOOKUP($B25,'40Trips'!$A$3:$I$42,4,FALSE),'40Trips'!$J$11:$P$14,3,FALSE))),1,0)</f>
        <v>0</v>
      </c>
      <c r="AG25">
        <f>IF(AND(VLOOKUP(AG$1,'40Trips'!$A$3:$I$42,8,FALSE) - VLOOKUP($B25,'40Trips'!$A$3:$I$42,9,FALSE) &gt;= ('40Trips'!$B$43+VLOOKUP(VLOOKUP($B25,'40Trips'!$A$3:$I$42,4,FALSE),'40Trips'!$J$11:$P$14,3,FALSE))),1,0)</f>
        <v>0</v>
      </c>
      <c r="AH25">
        <f>IF(AND(VLOOKUP(AH$1,'40Trips'!$A$3:$I$42,8,FALSE) - VLOOKUP($B25,'40Trips'!$A$3:$I$42,9,FALSE) &gt;= ('40Trips'!$B$43+VLOOKUP(VLOOKUP($B25,'40Trips'!$A$3:$I$42,4,FALSE),'40Trips'!$J$11:$P$14,3,FALSE))),1,0)</f>
        <v>0</v>
      </c>
      <c r="AI25">
        <f>IF(AND(VLOOKUP(AI$1,'40Trips'!$A$3:$I$42,8,FALSE) - VLOOKUP($B25,'40Trips'!$A$3:$I$42,9,FALSE) &gt;= ('40Trips'!$B$43+VLOOKUP(VLOOKUP($B25,'40Trips'!$A$3:$I$42,4,FALSE),'40Trips'!$J$11:$P$14,3,FALSE))),1,0)</f>
        <v>0</v>
      </c>
      <c r="AJ25">
        <f>IF(AND(VLOOKUP(AJ$1,'40Trips'!$A$3:$I$42,8,FALSE) - VLOOKUP($B25,'40Trips'!$A$3:$I$42,9,FALSE) &gt;= ('40Trips'!$B$43+VLOOKUP(VLOOKUP($B25,'40Trips'!$A$3:$I$42,4,FALSE),'40Trips'!$J$11:$P$14,3,FALSE))),1,0)</f>
        <v>0</v>
      </c>
      <c r="AK25">
        <f>IF(AND(VLOOKUP(AK$1,'40Trips'!$A$3:$I$42,8,FALSE) - VLOOKUP($B25,'40Trips'!$A$3:$I$42,9,FALSE) &gt;= ('40Trips'!$B$43+VLOOKUP(VLOOKUP($B25,'40Trips'!$A$3:$I$42,4,FALSE),'40Trips'!$J$11:$P$14,3,FALSE))),1,0)</f>
        <v>0</v>
      </c>
      <c r="AL25">
        <f>IF(AND(VLOOKUP(AL$1,'40Trips'!$A$3:$I$42,8,FALSE) - VLOOKUP($B25,'40Trips'!$A$3:$I$42,9,FALSE) &gt;= ('40Trips'!$B$43+VLOOKUP(VLOOKUP($B25,'40Trips'!$A$3:$I$42,4,FALSE),'40Trips'!$J$11:$P$14,3,FALSE))),1,0)</f>
        <v>0</v>
      </c>
      <c r="AM25">
        <f>IF(AND(VLOOKUP(AM$1,'40Trips'!$A$3:$I$42,8,FALSE) - VLOOKUP($B25,'40Trips'!$A$3:$I$42,9,FALSE) &gt;= ('40Trips'!$B$43+VLOOKUP(VLOOKUP($B25,'40Trips'!$A$3:$I$42,4,FALSE),'40Trips'!$J$11:$P$14,3,FALSE))),1,0)</f>
        <v>0</v>
      </c>
      <c r="AN25">
        <f>IF(AND(VLOOKUP(AN$1,'40Trips'!$A$3:$I$42,8,FALSE) - VLOOKUP($B25,'40Trips'!$A$3:$I$42,9,FALSE) &gt;= ('40Trips'!$B$43+VLOOKUP(VLOOKUP($B25,'40Trips'!$A$3:$I$42,4,FALSE),'40Trips'!$J$11:$P$14,3,FALSE))),1,0)</f>
        <v>0</v>
      </c>
      <c r="AO25">
        <f>IF(AND(VLOOKUP(AO$1,'40Trips'!$A$3:$I$42,8,FALSE) - VLOOKUP($B25,'40Trips'!$A$3:$I$42,9,FALSE) &gt;= ('40Trips'!$B$43+VLOOKUP(VLOOKUP($B25,'40Trips'!$A$3:$I$42,4,FALSE),'40Trips'!$J$11:$P$14,3,FALSE))),1,0)</f>
        <v>0</v>
      </c>
      <c r="AP25">
        <f>IF(AND(VLOOKUP(AP$1,'40Trips'!$A$3:$I$42,8,FALSE) - VLOOKUP($B25,'40Trips'!$A$3:$I$42,9,FALSE) &gt;= ('40Trips'!$B$43+VLOOKUP(VLOOKUP($B25,'40Trips'!$A$3:$I$42,4,FALSE),'40Trips'!$J$11:$P$14,3,FALSE))),1,0)</f>
        <v>0</v>
      </c>
      <c r="AQ25">
        <f>IF(AND(VLOOKUP(AQ$1,'40Trips'!$A$3:$I$42,8,FALSE) - VLOOKUP($B25,'40Trips'!$A$3:$I$42,9,FALSE) &gt;= ('40Trips'!$B$43+VLOOKUP(VLOOKUP($B25,'40Trips'!$A$3:$I$42,4,FALSE),'40Trips'!$J$11:$P$14,3,FALSE))),1,0)</f>
        <v>0</v>
      </c>
    </row>
    <row r="26" spans="1:43" x14ac:dyDescent="0.25">
      <c r="A26" t="s">
        <v>48</v>
      </c>
      <c r="B26" t="s">
        <v>37</v>
      </c>
      <c r="C26">
        <v>0</v>
      </c>
      <c r="D26">
        <f>IF(AND(VLOOKUP(D$1,'40Trips'!$A$3:$I$42,8,FALSE) - VLOOKUP($B26,'40Trips'!$A$3:$I$42,9,FALSE) &gt;= ('40Trips'!$B$43+VLOOKUP(VLOOKUP($B26,'40Trips'!$A$3:$I$42,4,FALSE),'40Trips'!$J$11:$P$14,3,FALSE))),1,0)</f>
        <v>0</v>
      </c>
      <c r="E26">
        <f>IF(AND(VLOOKUP(E$1,'40Trips'!$A$3:$I$42,8,FALSE) - VLOOKUP($B26,'40Trips'!$A$3:$I$42,9,FALSE) &gt;= ('40Trips'!$B$43+VLOOKUP(VLOOKUP($B26,'40Trips'!$A$3:$I$42,4,FALSE),'40Trips'!$J$11:$P$14,3,FALSE))),1,0)</f>
        <v>0</v>
      </c>
      <c r="F26">
        <f>IF(AND(VLOOKUP(F$1,'40Trips'!$A$3:$I$42,8,FALSE) - VLOOKUP($B26,'40Trips'!$A$3:$I$42,9,FALSE) &gt;= ('40Trips'!$B$43+VLOOKUP(VLOOKUP($B26,'40Trips'!$A$3:$I$42,4,FALSE),'40Trips'!$J$11:$P$14,3,FALSE))),1,0)</f>
        <v>0</v>
      </c>
      <c r="G26">
        <f>IF(AND(VLOOKUP(G$1,'40Trips'!$A$3:$I$42,8,FALSE) - VLOOKUP($B26,'40Trips'!$A$3:$I$42,9,FALSE) &gt;= ('40Trips'!$B$43+VLOOKUP(VLOOKUP($B26,'40Trips'!$A$3:$I$42,4,FALSE),'40Trips'!$J$11:$P$14,3,FALSE))),1,0)</f>
        <v>0</v>
      </c>
      <c r="H26">
        <f>IF(AND(VLOOKUP(H$1,'40Trips'!$A$3:$I$42,8,FALSE) - VLOOKUP($B26,'40Trips'!$A$3:$I$42,9,FALSE) &gt;= ('40Trips'!$B$43+VLOOKUP(VLOOKUP($B26,'40Trips'!$A$3:$I$42,4,FALSE),'40Trips'!$J$11:$P$14,3,FALSE))),1,0)</f>
        <v>0</v>
      </c>
      <c r="I26">
        <f>IF(AND(VLOOKUP(I$1,'40Trips'!$A$3:$I$42,8,FALSE) - VLOOKUP($B26,'40Trips'!$A$3:$I$42,9,FALSE) &gt;= ('40Trips'!$B$43+VLOOKUP(VLOOKUP($B26,'40Trips'!$A$3:$I$42,4,FALSE),'40Trips'!$J$11:$P$14,3,FALSE))),1,0)</f>
        <v>0</v>
      </c>
      <c r="J26">
        <f>IF(AND(VLOOKUP(J$1,'40Trips'!$A$3:$I$42,8,FALSE) - VLOOKUP($B26,'40Trips'!$A$3:$I$42,9,FALSE) &gt;= ('40Trips'!$B$43+VLOOKUP(VLOOKUP($B26,'40Trips'!$A$3:$I$42,4,FALSE),'40Trips'!$J$11:$P$14,3,FALSE))),1,0)</f>
        <v>0</v>
      </c>
      <c r="K26">
        <f>IF(AND(VLOOKUP(K$1,'40Trips'!$A$3:$I$42,8,FALSE) - VLOOKUP($B26,'40Trips'!$A$3:$I$42,9,FALSE) &gt;= ('40Trips'!$B$43+VLOOKUP(VLOOKUP($B26,'40Trips'!$A$3:$I$42,4,FALSE),'40Trips'!$J$11:$P$14,3,FALSE))),1,0)</f>
        <v>1</v>
      </c>
      <c r="L26">
        <f>IF(AND(VLOOKUP(L$1,'40Trips'!$A$3:$I$42,8,FALSE) - VLOOKUP($B26,'40Trips'!$A$3:$I$42,9,FALSE) &gt;= ('40Trips'!$B$43+VLOOKUP(VLOOKUP($B26,'40Trips'!$A$3:$I$42,4,FALSE),'40Trips'!$J$11:$P$14,3,FALSE))),1,0)</f>
        <v>0</v>
      </c>
      <c r="M26">
        <f>IF(AND(VLOOKUP(M$1,'40Trips'!$A$3:$I$42,8,FALSE) - VLOOKUP($B26,'40Trips'!$A$3:$I$42,9,FALSE) &gt;= ('40Trips'!$B$43+VLOOKUP(VLOOKUP($B26,'40Trips'!$A$3:$I$42,4,FALSE),'40Trips'!$J$11:$P$14,3,FALSE))),1,0)</f>
        <v>0</v>
      </c>
      <c r="N26">
        <f>IF(AND(VLOOKUP(N$1,'40Trips'!$A$3:$I$42,8,FALSE) - VLOOKUP($B26,'40Trips'!$A$3:$I$42,9,FALSE) &gt;= ('40Trips'!$B$43+VLOOKUP(VLOOKUP($B26,'40Trips'!$A$3:$I$42,4,FALSE),'40Trips'!$J$11:$P$14,3,FALSE))),1,0)</f>
        <v>0</v>
      </c>
      <c r="O26">
        <f>IF(AND(VLOOKUP(O$1,'40Trips'!$A$3:$I$42,8,FALSE) - VLOOKUP($B26,'40Trips'!$A$3:$I$42,9,FALSE) &gt;= ('40Trips'!$B$43+VLOOKUP(VLOOKUP($B26,'40Trips'!$A$3:$I$42,4,FALSE),'40Trips'!$J$11:$P$14,3,FALSE))),1,0)</f>
        <v>0</v>
      </c>
      <c r="P26">
        <f>IF(AND(VLOOKUP(P$1,'40Trips'!$A$3:$I$42,8,FALSE) - VLOOKUP($B26,'40Trips'!$A$3:$I$42,9,FALSE) &gt;= ('40Trips'!$B$43+VLOOKUP(VLOOKUP($B26,'40Trips'!$A$3:$I$42,4,FALSE),'40Trips'!$J$11:$P$14,3,FALSE))),1,0)</f>
        <v>0</v>
      </c>
      <c r="Q26">
        <f>IF(AND(VLOOKUP(Q$1,'40Trips'!$A$3:$I$42,8,FALSE) - VLOOKUP($B26,'40Trips'!$A$3:$I$42,9,FALSE) &gt;= ('40Trips'!$B$43+VLOOKUP(VLOOKUP($B26,'40Trips'!$A$3:$I$42,4,FALSE),'40Trips'!$J$11:$P$14,3,FALSE))),1,0)</f>
        <v>0</v>
      </c>
      <c r="R26">
        <f>IF(AND(VLOOKUP(R$1,'40Trips'!$A$3:$I$42,8,FALSE) - VLOOKUP($B26,'40Trips'!$A$3:$I$42,9,FALSE) &gt;= ('40Trips'!$B$43+VLOOKUP(VLOOKUP($B26,'40Trips'!$A$3:$I$42,4,FALSE),'40Trips'!$J$11:$P$14,3,FALSE))),1,0)</f>
        <v>0</v>
      </c>
      <c r="S26">
        <f>IF(AND(VLOOKUP(S$1,'40Trips'!$A$3:$I$42,8,FALSE) - VLOOKUP($B26,'40Trips'!$A$3:$I$42,9,FALSE) &gt;= ('40Trips'!$B$43+VLOOKUP(VLOOKUP($B26,'40Trips'!$A$3:$I$42,4,FALSE),'40Trips'!$J$11:$P$14,3,FALSE))),1,0)</f>
        <v>0</v>
      </c>
      <c r="T26">
        <f>IF(AND(VLOOKUP(T$1,'40Trips'!$A$3:$I$42,8,FALSE) - VLOOKUP($B26,'40Trips'!$A$3:$I$42,9,FALSE) &gt;= ('40Trips'!$B$43+VLOOKUP(VLOOKUP($B26,'40Trips'!$A$3:$I$42,4,FALSE),'40Trips'!$J$11:$P$14,3,FALSE))),1,0)</f>
        <v>0</v>
      </c>
      <c r="U26">
        <f>IF(AND(VLOOKUP(U$1,'40Trips'!$A$3:$I$42,8,FALSE) - VLOOKUP($B26,'40Trips'!$A$3:$I$42,9,FALSE) &gt;= ('40Trips'!$B$43+VLOOKUP(VLOOKUP($B26,'40Trips'!$A$3:$I$42,4,FALSE),'40Trips'!$J$11:$P$14,3,FALSE))),1,0)</f>
        <v>0</v>
      </c>
      <c r="V26">
        <f>IF(AND(VLOOKUP(V$1,'40Trips'!$A$3:$I$42,8,FALSE) - VLOOKUP($B26,'40Trips'!$A$3:$I$42,9,FALSE) &gt;= ('40Trips'!$B$43+VLOOKUP(VLOOKUP($B26,'40Trips'!$A$3:$I$42,4,FALSE),'40Trips'!$J$11:$P$14,3,FALSE))),1,0)</f>
        <v>0</v>
      </c>
      <c r="W26">
        <f>IF(AND(VLOOKUP(W$1,'40Trips'!$A$3:$I$42,8,FALSE) - VLOOKUP($B26,'40Trips'!$A$3:$I$42,9,FALSE) &gt;= ('40Trips'!$B$43+VLOOKUP(VLOOKUP($B26,'40Trips'!$A$3:$I$42,4,FALSE),'40Trips'!$J$11:$P$14,3,FALSE))),1,0)</f>
        <v>0</v>
      </c>
      <c r="X26">
        <f>IF(AND(VLOOKUP(X$1,'40Trips'!$A$3:$I$42,8,FALSE) - VLOOKUP($B26,'40Trips'!$A$3:$I$42,9,FALSE) &gt;= ('40Trips'!$B$43+VLOOKUP(VLOOKUP($B26,'40Trips'!$A$3:$I$42,4,FALSE),'40Trips'!$J$11:$P$14,3,FALSE))),1,0)</f>
        <v>0</v>
      </c>
      <c r="Y26">
        <f>IF(AND(VLOOKUP(Y$1,'40Trips'!$A$3:$I$42,8,FALSE) - VLOOKUP($B26,'40Trips'!$A$3:$I$42,9,FALSE) &gt;= ('40Trips'!$B$43+VLOOKUP(VLOOKUP($B26,'40Trips'!$A$3:$I$42,4,FALSE),'40Trips'!$J$11:$P$14,3,FALSE))),1,0)</f>
        <v>0</v>
      </c>
      <c r="Z26">
        <f>IF(AND(VLOOKUP(Z$1,'40Trips'!$A$3:$I$42,8,FALSE) - VLOOKUP($B26,'40Trips'!$A$3:$I$42,9,FALSE) &gt;= ('40Trips'!$B$43+VLOOKUP(VLOOKUP($B26,'40Trips'!$A$3:$I$42,4,FALSE),'40Trips'!$J$11:$P$14,3,FALSE))),1,0)</f>
        <v>0</v>
      </c>
      <c r="AA26">
        <f>IF(AND(VLOOKUP(AA$1,'40Trips'!$A$3:$I$42,8,FALSE) - VLOOKUP($B26,'40Trips'!$A$3:$I$42,9,FALSE) &gt;= ('40Trips'!$B$43+VLOOKUP(VLOOKUP($B26,'40Trips'!$A$3:$I$42,4,FALSE),'40Trips'!$J$11:$P$14,3,FALSE))),1,0)</f>
        <v>0</v>
      </c>
      <c r="AB26">
        <f>IF(AND(VLOOKUP(AB$1,'40Trips'!$A$3:$I$42,8,FALSE) - VLOOKUP($B26,'40Trips'!$A$3:$I$42,9,FALSE) &gt;= ('40Trips'!$B$43+VLOOKUP(VLOOKUP($B26,'40Trips'!$A$3:$I$42,4,FALSE),'40Trips'!$J$11:$P$14,3,FALSE))),1,0)</f>
        <v>0</v>
      </c>
      <c r="AC26">
        <f>IF(AND(VLOOKUP(AC$1,'40Trips'!$A$3:$I$42,8,FALSE) - VLOOKUP($B26,'40Trips'!$A$3:$I$42,9,FALSE) &gt;= ('40Trips'!$B$43+VLOOKUP(VLOOKUP($B26,'40Trips'!$A$3:$I$42,4,FALSE),'40Trips'!$J$11:$P$14,3,FALSE))),1,0)</f>
        <v>0</v>
      </c>
      <c r="AD26">
        <f>IF(AND(VLOOKUP(AD$1,'40Trips'!$A$3:$I$42,8,FALSE) - VLOOKUP($B26,'40Trips'!$A$3:$I$42,9,FALSE) &gt;= ('40Trips'!$B$43+VLOOKUP(VLOOKUP($B26,'40Trips'!$A$3:$I$42,4,FALSE),'40Trips'!$J$11:$P$14,3,FALSE))),1,0)</f>
        <v>0</v>
      </c>
      <c r="AE26">
        <f>IF(AND(VLOOKUP(AE$1,'40Trips'!$A$3:$I$42,8,FALSE) - VLOOKUP($B26,'40Trips'!$A$3:$I$42,9,FALSE) &gt;= ('40Trips'!$B$43+VLOOKUP(VLOOKUP($B26,'40Trips'!$A$3:$I$42,4,FALSE),'40Trips'!$J$11:$P$14,3,FALSE))),1,0)</f>
        <v>0</v>
      </c>
      <c r="AF26">
        <f>IF(AND(VLOOKUP(AF$1,'40Trips'!$A$3:$I$42,8,FALSE) - VLOOKUP($B26,'40Trips'!$A$3:$I$42,9,FALSE) &gt;= ('40Trips'!$B$43+VLOOKUP(VLOOKUP($B26,'40Trips'!$A$3:$I$42,4,FALSE),'40Trips'!$J$11:$P$14,3,FALSE))),1,0)</f>
        <v>0</v>
      </c>
      <c r="AG26">
        <f>IF(AND(VLOOKUP(AG$1,'40Trips'!$A$3:$I$42,8,FALSE) - VLOOKUP($B26,'40Trips'!$A$3:$I$42,9,FALSE) &gt;= ('40Trips'!$B$43+VLOOKUP(VLOOKUP($B26,'40Trips'!$A$3:$I$42,4,FALSE),'40Trips'!$J$11:$P$14,3,FALSE))),1,0)</f>
        <v>0</v>
      </c>
      <c r="AH26">
        <f>IF(AND(VLOOKUP(AH$1,'40Trips'!$A$3:$I$42,8,FALSE) - VLOOKUP($B26,'40Trips'!$A$3:$I$42,9,FALSE) &gt;= ('40Trips'!$B$43+VLOOKUP(VLOOKUP($B26,'40Trips'!$A$3:$I$42,4,FALSE),'40Trips'!$J$11:$P$14,3,FALSE))),1,0)</f>
        <v>0</v>
      </c>
      <c r="AI26">
        <f>IF(AND(VLOOKUP(AI$1,'40Trips'!$A$3:$I$42,8,FALSE) - VLOOKUP($B26,'40Trips'!$A$3:$I$42,9,FALSE) &gt;= ('40Trips'!$B$43+VLOOKUP(VLOOKUP($B26,'40Trips'!$A$3:$I$42,4,FALSE),'40Trips'!$J$11:$P$14,3,FALSE))),1,0)</f>
        <v>0</v>
      </c>
      <c r="AJ26">
        <f>IF(AND(VLOOKUP(AJ$1,'40Trips'!$A$3:$I$42,8,FALSE) - VLOOKUP($B26,'40Trips'!$A$3:$I$42,9,FALSE) &gt;= ('40Trips'!$B$43+VLOOKUP(VLOOKUP($B26,'40Trips'!$A$3:$I$42,4,FALSE),'40Trips'!$J$11:$P$14,3,FALSE))),1,0)</f>
        <v>0</v>
      </c>
      <c r="AK26">
        <f>IF(AND(VLOOKUP(AK$1,'40Trips'!$A$3:$I$42,8,FALSE) - VLOOKUP($B26,'40Trips'!$A$3:$I$42,9,FALSE) &gt;= ('40Trips'!$B$43+VLOOKUP(VLOOKUP($B26,'40Trips'!$A$3:$I$42,4,FALSE),'40Trips'!$J$11:$P$14,3,FALSE))),1,0)</f>
        <v>0</v>
      </c>
      <c r="AL26">
        <f>IF(AND(VLOOKUP(AL$1,'40Trips'!$A$3:$I$42,8,FALSE) - VLOOKUP($B26,'40Trips'!$A$3:$I$42,9,FALSE) &gt;= ('40Trips'!$B$43+VLOOKUP(VLOOKUP($B26,'40Trips'!$A$3:$I$42,4,FALSE),'40Trips'!$J$11:$P$14,3,FALSE))),1,0)</f>
        <v>0</v>
      </c>
      <c r="AM26">
        <f>IF(AND(VLOOKUP(AM$1,'40Trips'!$A$3:$I$42,8,FALSE) - VLOOKUP($B26,'40Trips'!$A$3:$I$42,9,FALSE) &gt;= ('40Trips'!$B$43+VLOOKUP(VLOOKUP($B26,'40Trips'!$A$3:$I$42,4,FALSE),'40Trips'!$J$11:$P$14,3,FALSE))),1,0)</f>
        <v>0</v>
      </c>
      <c r="AN26">
        <f>IF(AND(VLOOKUP(AN$1,'40Trips'!$A$3:$I$42,8,FALSE) - VLOOKUP($B26,'40Trips'!$A$3:$I$42,9,FALSE) &gt;= ('40Trips'!$B$43+VLOOKUP(VLOOKUP($B26,'40Trips'!$A$3:$I$42,4,FALSE),'40Trips'!$J$11:$P$14,3,FALSE))),1,0)</f>
        <v>0</v>
      </c>
      <c r="AO26">
        <f>IF(AND(VLOOKUP(AO$1,'40Trips'!$A$3:$I$42,8,FALSE) - VLOOKUP($B26,'40Trips'!$A$3:$I$42,9,FALSE) &gt;= ('40Trips'!$B$43+VLOOKUP(VLOOKUP($B26,'40Trips'!$A$3:$I$42,4,FALSE),'40Trips'!$J$11:$P$14,3,FALSE))),1,0)</f>
        <v>0</v>
      </c>
      <c r="AP26">
        <f>IF(AND(VLOOKUP(AP$1,'40Trips'!$A$3:$I$42,8,FALSE) - VLOOKUP($B26,'40Trips'!$A$3:$I$42,9,FALSE) &gt;= ('40Trips'!$B$43+VLOOKUP(VLOOKUP($B26,'40Trips'!$A$3:$I$42,4,FALSE),'40Trips'!$J$11:$P$14,3,FALSE))),1,0)</f>
        <v>0</v>
      </c>
      <c r="AQ26">
        <f>IF(AND(VLOOKUP(AQ$1,'40Trips'!$A$3:$I$42,8,FALSE) - VLOOKUP($B26,'40Trips'!$A$3:$I$42,9,FALSE) &gt;= ('40Trips'!$B$43+VLOOKUP(VLOOKUP($B26,'40Trips'!$A$3:$I$42,4,FALSE),'40Trips'!$J$11:$P$14,3,FALSE))),1,0)</f>
        <v>0</v>
      </c>
    </row>
    <row r="27" spans="1:43" x14ac:dyDescent="0.25">
      <c r="A27" t="s">
        <v>48</v>
      </c>
      <c r="B27" t="s">
        <v>79</v>
      </c>
      <c r="C27">
        <v>0</v>
      </c>
      <c r="D27">
        <f>IF(AND(VLOOKUP(D$1,'40Trips'!$A$3:$I$42,8,FALSE) - VLOOKUP($B27,'40Trips'!$A$3:$I$42,9,FALSE) &gt;= ('40Trips'!$B$43+VLOOKUP(VLOOKUP($B27,'40Trips'!$A$3:$I$42,4,FALSE),'40Trips'!$J$11:$P$14,3,FALSE))),1,0)</f>
        <v>0</v>
      </c>
      <c r="E27">
        <f>IF(AND(VLOOKUP(E$1,'40Trips'!$A$3:$I$42,8,FALSE) - VLOOKUP($B27,'40Trips'!$A$3:$I$42,9,FALSE) &gt;= ('40Trips'!$B$43+VLOOKUP(VLOOKUP($B27,'40Trips'!$A$3:$I$42,4,FALSE),'40Trips'!$J$11:$P$14,3,FALSE))),1,0)</f>
        <v>0</v>
      </c>
      <c r="F27">
        <f>IF(AND(VLOOKUP(F$1,'40Trips'!$A$3:$I$42,8,FALSE) - VLOOKUP($B27,'40Trips'!$A$3:$I$42,9,FALSE) &gt;= ('40Trips'!$B$43+VLOOKUP(VLOOKUP($B27,'40Trips'!$A$3:$I$42,4,FALSE),'40Trips'!$J$11:$P$14,3,FALSE))),1,0)</f>
        <v>1</v>
      </c>
      <c r="G27">
        <f>IF(AND(VLOOKUP(G$1,'40Trips'!$A$3:$I$42,8,FALSE) - VLOOKUP($B27,'40Trips'!$A$3:$I$42,9,FALSE) &gt;= ('40Trips'!$B$43+VLOOKUP(VLOOKUP($B27,'40Trips'!$A$3:$I$42,4,FALSE),'40Trips'!$J$11:$P$14,3,FALSE))),1,0)</f>
        <v>1</v>
      </c>
      <c r="H27">
        <f>IF(AND(VLOOKUP(H$1,'40Trips'!$A$3:$I$42,8,FALSE) - VLOOKUP($B27,'40Trips'!$A$3:$I$42,9,FALSE) &gt;= ('40Trips'!$B$43+VLOOKUP(VLOOKUP($B27,'40Trips'!$A$3:$I$42,4,FALSE),'40Trips'!$J$11:$P$14,3,FALSE))),1,0)</f>
        <v>0</v>
      </c>
      <c r="I27">
        <f>IF(AND(VLOOKUP(I$1,'40Trips'!$A$3:$I$42,8,FALSE) - VLOOKUP($B27,'40Trips'!$A$3:$I$42,9,FALSE) &gt;= ('40Trips'!$B$43+VLOOKUP(VLOOKUP($B27,'40Trips'!$A$3:$I$42,4,FALSE),'40Trips'!$J$11:$P$14,3,FALSE))),1,0)</f>
        <v>0</v>
      </c>
      <c r="J27">
        <f>IF(AND(VLOOKUP(J$1,'40Trips'!$A$3:$I$42,8,FALSE) - VLOOKUP($B27,'40Trips'!$A$3:$I$42,9,FALSE) &gt;= ('40Trips'!$B$43+VLOOKUP(VLOOKUP($B27,'40Trips'!$A$3:$I$42,4,FALSE),'40Trips'!$J$11:$P$14,3,FALSE))),1,0)</f>
        <v>1</v>
      </c>
      <c r="K27">
        <f>IF(AND(VLOOKUP(K$1,'40Trips'!$A$3:$I$42,8,FALSE) - VLOOKUP($B27,'40Trips'!$A$3:$I$42,9,FALSE) &gt;= ('40Trips'!$B$43+VLOOKUP(VLOOKUP($B27,'40Trips'!$A$3:$I$42,4,FALSE),'40Trips'!$J$11:$P$14,3,FALSE))),1,0)</f>
        <v>1</v>
      </c>
      <c r="L27">
        <f>IF(AND(VLOOKUP(L$1,'40Trips'!$A$3:$I$42,8,FALSE) - VLOOKUP($B27,'40Trips'!$A$3:$I$42,9,FALSE) &gt;= ('40Trips'!$B$43+VLOOKUP(VLOOKUP($B27,'40Trips'!$A$3:$I$42,4,FALSE),'40Trips'!$J$11:$P$14,3,FALSE))),1,0)</f>
        <v>0</v>
      </c>
      <c r="M27">
        <f>IF(AND(VLOOKUP(M$1,'40Trips'!$A$3:$I$42,8,FALSE) - VLOOKUP($B27,'40Trips'!$A$3:$I$42,9,FALSE) &gt;= ('40Trips'!$B$43+VLOOKUP(VLOOKUP($B27,'40Trips'!$A$3:$I$42,4,FALSE),'40Trips'!$J$11:$P$14,3,FALSE))),1,0)</f>
        <v>0</v>
      </c>
      <c r="N27">
        <f>IF(AND(VLOOKUP(N$1,'40Trips'!$A$3:$I$42,8,FALSE) - VLOOKUP($B27,'40Trips'!$A$3:$I$42,9,FALSE) &gt;= ('40Trips'!$B$43+VLOOKUP(VLOOKUP($B27,'40Trips'!$A$3:$I$42,4,FALSE),'40Trips'!$J$11:$P$14,3,FALSE))),1,0)</f>
        <v>1</v>
      </c>
      <c r="O27">
        <f>IF(AND(VLOOKUP(O$1,'40Trips'!$A$3:$I$42,8,FALSE) - VLOOKUP($B27,'40Trips'!$A$3:$I$42,9,FALSE) &gt;= ('40Trips'!$B$43+VLOOKUP(VLOOKUP($B27,'40Trips'!$A$3:$I$42,4,FALSE),'40Trips'!$J$11:$P$14,3,FALSE))),1,0)</f>
        <v>0</v>
      </c>
      <c r="P27">
        <f>IF(AND(VLOOKUP(P$1,'40Trips'!$A$3:$I$42,8,FALSE) - VLOOKUP($B27,'40Trips'!$A$3:$I$42,9,FALSE) &gt;= ('40Trips'!$B$43+VLOOKUP(VLOOKUP($B27,'40Trips'!$A$3:$I$42,4,FALSE),'40Trips'!$J$11:$P$14,3,FALSE))),1,0)</f>
        <v>0</v>
      </c>
      <c r="Q27">
        <f>IF(AND(VLOOKUP(Q$1,'40Trips'!$A$3:$I$42,8,FALSE) - VLOOKUP($B27,'40Trips'!$A$3:$I$42,9,FALSE) &gt;= ('40Trips'!$B$43+VLOOKUP(VLOOKUP($B27,'40Trips'!$A$3:$I$42,4,FALSE),'40Trips'!$J$11:$P$14,3,FALSE))),1,0)</f>
        <v>0</v>
      </c>
      <c r="R27">
        <f>IF(AND(VLOOKUP(R$1,'40Trips'!$A$3:$I$42,8,FALSE) - VLOOKUP($B27,'40Trips'!$A$3:$I$42,9,FALSE) &gt;= ('40Trips'!$B$43+VLOOKUP(VLOOKUP($B27,'40Trips'!$A$3:$I$42,4,FALSE),'40Trips'!$J$11:$P$14,3,FALSE))),1,0)</f>
        <v>1</v>
      </c>
      <c r="S27">
        <f>IF(AND(VLOOKUP(S$1,'40Trips'!$A$3:$I$42,8,FALSE) - VLOOKUP($B27,'40Trips'!$A$3:$I$42,9,FALSE) &gt;= ('40Trips'!$B$43+VLOOKUP(VLOOKUP($B27,'40Trips'!$A$3:$I$42,4,FALSE),'40Trips'!$J$11:$P$14,3,FALSE))),1,0)</f>
        <v>1</v>
      </c>
      <c r="T27">
        <f>IF(AND(VLOOKUP(T$1,'40Trips'!$A$3:$I$42,8,FALSE) - VLOOKUP($B27,'40Trips'!$A$3:$I$42,9,FALSE) &gt;= ('40Trips'!$B$43+VLOOKUP(VLOOKUP($B27,'40Trips'!$A$3:$I$42,4,FALSE),'40Trips'!$J$11:$P$14,3,FALSE))),1,0)</f>
        <v>0</v>
      </c>
      <c r="U27">
        <f>IF(AND(VLOOKUP(U$1,'40Trips'!$A$3:$I$42,8,FALSE) - VLOOKUP($B27,'40Trips'!$A$3:$I$42,9,FALSE) &gt;= ('40Trips'!$B$43+VLOOKUP(VLOOKUP($B27,'40Trips'!$A$3:$I$42,4,FALSE),'40Trips'!$J$11:$P$14,3,FALSE))),1,0)</f>
        <v>0</v>
      </c>
      <c r="V27">
        <f>IF(AND(VLOOKUP(V$1,'40Trips'!$A$3:$I$42,8,FALSE) - VLOOKUP($B27,'40Trips'!$A$3:$I$42,9,FALSE) &gt;= ('40Trips'!$B$43+VLOOKUP(VLOOKUP($B27,'40Trips'!$A$3:$I$42,4,FALSE),'40Trips'!$J$11:$P$14,3,FALSE))),1,0)</f>
        <v>1</v>
      </c>
      <c r="W27">
        <f>IF(AND(VLOOKUP(W$1,'40Trips'!$A$3:$I$42,8,FALSE) - VLOOKUP($B27,'40Trips'!$A$3:$I$42,9,FALSE) &gt;= ('40Trips'!$B$43+VLOOKUP(VLOOKUP($B27,'40Trips'!$A$3:$I$42,4,FALSE),'40Trips'!$J$11:$P$14,3,FALSE))),1,0)</f>
        <v>1</v>
      </c>
      <c r="X27">
        <f>IF(AND(VLOOKUP(X$1,'40Trips'!$A$3:$I$42,8,FALSE) - VLOOKUP($B27,'40Trips'!$A$3:$I$42,9,FALSE) &gt;= ('40Trips'!$B$43+VLOOKUP(VLOOKUP($B27,'40Trips'!$A$3:$I$42,4,FALSE),'40Trips'!$J$11:$P$14,3,FALSE))),1,0)</f>
        <v>0</v>
      </c>
      <c r="Y27">
        <f>IF(AND(VLOOKUP(Y$1,'40Trips'!$A$3:$I$42,8,FALSE) - VLOOKUP($B27,'40Trips'!$A$3:$I$42,9,FALSE) &gt;= ('40Trips'!$B$43+VLOOKUP(VLOOKUP($B27,'40Trips'!$A$3:$I$42,4,FALSE),'40Trips'!$J$11:$P$14,3,FALSE))),1,0)</f>
        <v>0</v>
      </c>
      <c r="Z27">
        <f>IF(AND(VLOOKUP(Z$1,'40Trips'!$A$3:$I$42,8,FALSE) - VLOOKUP($B27,'40Trips'!$A$3:$I$42,9,FALSE) &gt;= ('40Trips'!$B$43+VLOOKUP(VLOOKUP($B27,'40Trips'!$A$3:$I$42,4,FALSE),'40Trips'!$J$11:$P$14,3,FALSE))),1,0)</f>
        <v>1</v>
      </c>
      <c r="AA27">
        <f>IF(AND(VLOOKUP(AA$1,'40Trips'!$A$3:$I$42,8,FALSE) - VLOOKUP($B27,'40Trips'!$A$3:$I$42,9,FALSE) &gt;= ('40Trips'!$B$43+VLOOKUP(VLOOKUP($B27,'40Trips'!$A$3:$I$42,4,FALSE),'40Trips'!$J$11:$P$14,3,FALSE))),1,0)</f>
        <v>1</v>
      </c>
      <c r="AB27">
        <f>IF(AND(VLOOKUP(AB$1,'40Trips'!$A$3:$I$42,8,FALSE) - VLOOKUP($B27,'40Trips'!$A$3:$I$42,9,FALSE) &gt;= ('40Trips'!$B$43+VLOOKUP(VLOOKUP($B27,'40Trips'!$A$3:$I$42,4,FALSE),'40Trips'!$J$11:$P$14,3,FALSE))),1,0)</f>
        <v>0</v>
      </c>
      <c r="AC27">
        <f>IF(AND(VLOOKUP(AC$1,'40Trips'!$A$3:$I$42,8,FALSE) - VLOOKUP($B27,'40Trips'!$A$3:$I$42,9,FALSE) &gt;= ('40Trips'!$B$43+VLOOKUP(VLOOKUP($B27,'40Trips'!$A$3:$I$42,4,FALSE),'40Trips'!$J$11:$P$14,3,FALSE))),1,0)</f>
        <v>0</v>
      </c>
      <c r="AD27">
        <f>IF(AND(VLOOKUP(AD$1,'40Trips'!$A$3:$I$42,8,FALSE) - VLOOKUP($B27,'40Trips'!$A$3:$I$42,9,FALSE) &gt;= ('40Trips'!$B$43+VLOOKUP(VLOOKUP($B27,'40Trips'!$A$3:$I$42,4,FALSE),'40Trips'!$J$11:$P$14,3,FALSE))),1,0)</f>
        <v>1</v>
      </c>
      <c r="AE27">
        <f>IF(AND(VLOOKUP(AE$1,'40Trips'!$A$3:$I$42,8,FALSE) - VLOOKUP($B27,'40Trips'!$A$3:$I$42,9,FALSE) &gt;= ('40Trips'!$B$43+VLOOKUP(VLOOKUP($B27,'40Trips'!$A$3:$I$42,4,FALSE),'40Trips'!$J$11:$P$14,3,FALSE))),1,0)</f>
        <v>1</v>
      </c>
      <c r="AF27">
        <f>IF(AND(VLOOKUP(AF$1,'40Trips'!$A$3:$I$42,8,FALSE) - VLOOKUP($B27,'40Trips'!$A$3:$I$42,9,FALSE) &gt;= ('40Trips'!$B$43+VLOOKUP(VLOOKUP($B27,'40Trips'!$A$3:$I$42,4,FALSE),'40Trips'!$J$11:$P$14,3,FALSE))),1,0)</f>
        <v>0</v>
      </c>
      <c r="AG27">
        <f>IF(AND(VLOOKUP(AG$1,'40Trips'!$A$3:$I$42,8,FALSE) - VLOOKUP($B27,'40Trips'!$A$3:$I$42,9,FALSE) &gt;= ('40Trips'!$B$43+VLOOKUP(VLOOKUP($B27,'40Trips'!$A$3:$I$42,4,FALSE),'40Trips'!$J$11:$P$14,3,FALSE))),1,0)</f>
        <v>0</v>
      </c>
      <c r="AH27">
        <f>IF(AND(VLOOKUP(AH$1,'40Trips'!$A$3:$I$42,8,FALSE) - VLOOKUP($B27,'40Trips'!$A$3:$I$42,9,FALSE) &gt;= ('40Trips'!$B$43+VLOOKUP(VLOOKUP($B27,'40Trips'!$A$3:$I$42,4,FALSE),'40Trips'!$J$11:$P$14,3,FALSE))),1,0)</f>
        <v>0</v>
      </c>
      <c r="AI27">
        <f>IF(AND(VLOOKUP(AI$1,'40Trips'!$A$3:$I$42,8,FALSE) - VLOOKUP($B27,'40Trips'!$A$3:$I$42,9,FALSE) &gt;= ('40Trips'!$B$43+VLOOKUP(VLOOKUP($B27,'40Trips'!$A$3:$I$42,4,FALSE),'40Trips'!$J$11:$P$14,3,FALSE))),1,0)</f>
        <v>1</v>
      </c>
      <c r="AJ27">
        <f>IF(AND(VLOOKUP(AJ$1,'40Trips'!$A$3:$I$42,8,FALSE) - VLOOKUP($B27,'40Trips'!$A$3:$I$42,9,FALSE) &gt;= ('40Trips'!$B$43+VLOOKUP(VLOOKUP($B27,'40Trips'!$A$3:$I$42,4,FALSE),'40Trips'!$J$11:$P$14,3,FALSE))),1,0)</f>
        <v>0</v>
      </c>
      <c r="AK27">
        <f>IF(AND(VLOOKUP(AK$1,'40Trips'!$A$3:$I$42,8,FALSE) - VLOOKUP($B27,'40Trips'!$A$3:$I$42,9,FALSE) &gt;= ('40Trips'!$B$43+VLOOKUP(VLOOKUP($B27,'40Trips'!$A$3:$I$42,4,FALSE),'40Trips'!$J$11:$P$14,3,FALSE))),1,0)</f>
        <v>0</v>
      </c>
      <c r="AL27">
        <f>IF(AND(VLOOKUP(AL$1,'40Trips'!$A$3:$I$42,8,FALSE) - VLOOKUP($B27,'40Trips'!$A$3:$I$42,9,FALSE) &gt;= ('40Trips'!$B$43+VLOOKUP(VLOOKUP($B27,'40Trips'!$A$3:$I$42,4,FALSE),'40Trips'!$J$11:$P$14,3,FALSE))),1,0)</f>
        <v>1</v>
      </c>
      <c r="AM27">
        <f>IF(AND(VLOOKUP(AM$1,'40Trips'!$A$3:$I$42,8,FALSE) - VLOOKUP($B27,'40Trips'!$A$3:$I$42,9,FALSE) &gt;= ('40Trips'!$B$43+VLOOKUP(VLOOKUP($B27,'40Trips'!$A$3:$I$42,4,FALSE),'40Trips'!$J$11:$P$14,3,FALSE))),1,0)</f>
        <v>1</v>
      </c>
      <c r="AN27">
        <f>IF(AND(VLOOKUP(AN$1,'40Trips'!$A$3:$I$42,8,FALSE) - VLOOKUP($B27,'40Trips'!$A$3:$I$42,9,FALSE) &gt;= ('40Trips'!$B$43+VLOOKUP(VLOOKUP($B27,'40Trips'!$A$3:$I$42,4,FALSE),'40Trips'!$J$11:$P$14,3,FALSE))),1,0)</f>
        <v>0</v>
      </c>
      <c r="AO27">
        <f>IF(AND(VLOOKUP(AO$1,'40Trips'!$A$3:$I$42,8,FALSE) - VLOOKUP($B27,'40Trips'!$A$3:$I$42,9,FALSE) &gt;= ('40Trips'!$B$43+VLOOKUP(VLOOKUP($B27,'40Trips'!$A$3:$I$42,4,FALSE),'40Trips'!$J$11:$P$14,3,FALSE))),1,0)</f>
        <v>1</v>
      </c>
      <c r="AP27">
        <f>IF(AND(VLOOKUP(AP$1,'40Trips'!$A$3:$I$42,8,FALSE) - VLOOKUP($B27,'40Trips'!$A$3:$I$42,9,FALSE) &gt;= ('40Trips'!$B$43+VLOOKUP(VLOOKUP($B27,'40Trips'!$A$3:$I$42,4,FALSE),'40Trips'!$J$11:$P$14,3,FALSE))),1,0)</f>
        <v>1</v>
      </c>
      <c r="AQ27">
        <f>IF(AND(VLOOKUP(AQ$1,'40Trips'!$A$3:$I$42,8,FALSE) - VLOOKUP($B27,'40Trips'!$A$3:$I$42,9,FALSE) &gt;= ('40Trips'!$B$43+VLOOKUP(VLOOKUP($B27,'40Trips'!$A$3:$I$42,4,FALSE),'40Trips'!$J$11:$P$14,3,FALSE))),1,0)</f>
        <v>1</v>
      </c>
    </row>
    <row r="28" spans="1:43" x14ac:dyDescent="0.25">
      <c r="A28" t="s">
        <v>48</v>
      </c>
      <c r="B28" t="s">
        <v>80</v>
      </c>
      <c r="C28">
        <v>0</v>
      </c>
      <c r="D28">
        <f>IF(AND(VLOOKUP(D$1,'40Trips'!$A$3:$I$42,8,FALSE) - VLOOKUP($B28,'40Trips'!$A$3:$I$42,9,FALSE) &gt;= ('40Trips'!$B$43+VLOOKUP(VLOOKUP($B28,'40Trips'!$A$3:$I$42,4,FALSE),'40Trips'!$J$11:$P$14,3,FALSE))),1,0)</f>
        <v>0</v>
      </c>
      <c r="E28">
        <f>IF(AND(VLOOKUP(E$1,'40Trips'!$A$3:$I$42,8,FALSE) - VLOOKUP($B28,'40Trips'!$A$3:$I$42,9,FALSE) &gt;= ('40Trips'!$B$43+VLOOKUP(VLOOKUP($B28,'40Trips'!$A$3:$I$42,4,FALSE),'40Trips'!$J$11:$P$14,3,FALSE))),1,0)</f>
        <v>0</v>
      </c>
      <c r="F28">
        <f>IF(AND(VLOOKUP(F$1,'40Trips'!$A$3:$I$42,8,FALSE) - VLOOKUP($B28,'40Trips'!$A$3:$I$42,9,FALSE) &gt;= ('40Trips'!$B$43+VLOOKUP(VLOOKUP($B28,'40Trips'!$A$3:$I$42,4,FALSE),'40Trips'!$J$11:$P$14,3,FALSE))),1,0)</f>
        <v>0</v>
      </c>
      <c r="G28">
        <f>IF(AND(VLOOKUP(G$1,'40Trips'!$A$3:$I$42,8,FALSE) - VLOOKUP($B28,'40Trips'!$A$3:$I$42,9,FALSE) &gt;= ('40Trips'!$B$43+VLOOKUP(VLOOKUP($B28,'40Trips'!$A$3:$I$42,4,FALSE),'40Trips'!$J$11:$P$14,3,FALSE))),1,0)</f>
        <v>1</v>
      </c>
      <c r="H28">
        <f>IF(AND(VLOOKUP(H$1,'40Trips'!$A$3:$I$42,8,FALSE) - VLOOKUP($B28,'40Trips'!$A$3:$I$42,9,FALSE) &gt;= ('40Trips'!$B$43+VLOOKUP(VLOOKUP($B28,'40Trips'!$A$3:$I$42,4,FALSE),'40Trips'!$J$11:$P$14,3,FALSE))),1,0)</f>
        <v>0</v>
      </c>
      <c r="I28">
        <f>IF(AND(VLOOKUP(I$1,'40Trips'!$A$3:$I$42,8,FALSE) - VLOOKUP($B28,'40Trips'!$A$3:$I$42,9,FALSE) &gt;= ('40Trips'!$B$43+VLOOKUP(VLOOKUP($B28,'40Trips'!$A$3:$I$42,4,FALSE),'40Trips'!$J$11:$P$14,3,FALSE))),1,0)</f>
        <v>0</v>
      </c>
      <c r="J28">
        <f>IF(AND(VLOOKUP(J$1,'40Trips'!$A$3:$I$42,8,FALSE) - VLOOKUP($B28,'40Trips'!$A$3:$I$42,9,FALSE) &gt;= ('40Trips'!$B$43+VLOOKUP(VLOOKUP($B28,'40Trips'!$A$3:$I$42,4,FALSE),'40Trips'!$J$11:$P$14,3,FALSE))),1,0)</f>
        <v>0</v>
      </c>
      <c r="K28">
        <f>IF(AND(VLOOKUP(K$1,'40Trips'!$A$3:$I$42,8,FALSE) - VLOOKUP($B28,'40Trips'!$A$3:$I$42,9,FALSE) &gt;= ('40Trips'!$B$43+VLOOKUP(VLOOKUP($B28,'40Trips'!$A$3:$I$42,4,FALSE),'40Trips'!$J$11:$P$14,3,FALSE))),1,0)</f>
        <v>1</v>
      </c>
      <c r="L28">
        <f>IF(AND(VLOOKUP(L$1,'40Trips'!$A$3:$I$42,8,FALSE) - VLOOKUP($B28,'40Trips'!$A$3:$I$42,9,FALSE) &gt;= ('40Trips'!$B$43+VLOOKUP(VLOOKUP($B28,'40Trips'!$A$3:$I$42,4,FALSE),'40Trips'!$J$11:$P$14,3,FALSE))),1,0)</f>
        <v>0</v>
      </c>
      <c r="M28">
        <f>IF(AND(VLOOKUP(M$1,'40Trips'!$A$3:$I$42,8,FALSE) - VLOOKUP($B28,'40Trips'!$A$3:$I$42,9,FALSE) &gt;= ('40Trips'!$B$43+VLOOKUP(VLOOKUP($B28,'40Trips'!$A$3:$I$42,4,FALSE),'40Trips'!$J$11:$P$14,3,FALSE))),1,0)</f>
        <v>0</v>
      </c>
      <c r="N28">
        <f>IF(AND(VLOOKUP(N$1,'40Trips'!$A$3:$I$42,8,FALSE) - VLOOKUP($B28,'40Trips'!$A$3:$I$42,9,FALSE) &gt;= ('40Trips'!$B$43+VLOOKUP(VLOOKUP($B28,'40Trips'!$A$3:$I$42,4,FALSE),'40Trips'!$J$11:$P$14,3,FALSE))),1,0)</f>
        <v>0</v>
      </c>
      <c r="O28">
        <f>IF(AND(VLOOKUP(O$1,'40Trips'!$A$3:$I$42,8,FALSE) - VLOOKUP($B28,'40Trips'!$A$3:$I$42,9,FALSE) &gt;= ('40Trips'!$B$43+VLOOKUP(VLOOKUP($B28,'40Trips'!$A$3:$I$42,4,FALSE),'40Trips'!$J$11:$P$14,3,FALSE))),1,0)</f>
        <v>0</v>
      </c>
      <c r="P28">
        <f>IF(AND(VLOOKUP(P$1,'40Trips'!$A$3:$I$42,8,FALSE) - VLOOKUP($B28,'40Trips'!$A$3:$I$42,9,FALSE) &gt;= ('40Trips'!$B$43+VLOOKUP(VLOOKUP($B28,'40Trips'!$A$3:$I$42,4,FALSE),'40Trips'!$J$11:$P$14,3,FALSE))),1,0)</f>
        <v>0</v>
      </c>
      <c r="Q28">
        <f>IF(AND(VLOOKUP(Q$1,'40Trips'!$A$3:$I$42,8,FALSE) - VLOOKUP($B28,'40Trips'!$A$3:$I$42,9,FALSE) &gt;= ('40Trips'!$B$43+VLOOKUP(VLOOKUP($B28,'40Trips'!$A$3:$I$42,4,FALSE),'40Trips'!$J$11:$P$14,3,FALSE))),1,0)</f>
        <v>0</v>
      </c>
      <c r="R28">
        <f>IF(AND(VLOOKUP(R$1,'40Trips'!$A$3:$I$42,8,FALSE) - VLOOKUP($B28,'40Trips'!$A$3:$I$42,9,FALSE) &gt;= ('40Trips'!$B$43+VLOOKUP(VLOOKUP($B28,'40Trips'!$A$3:$I$42,4,FALSE),'40Trips'!$J$11:$P$14,3,FALSE))),1,0)</f>
        <v>0</v>
      </c>
      <c r="S28">
        <f>IF(AND(VLOOKUP(S$1,'40Trips'!$A$3:$I$42,8,FALSE) - VLOOKUP($B28,'40Trips'!$A$3:$I$42,9,FALSE) &gt;= ('40Trips'!$B$43+VLOOKUP(VLOOKUP($B28,'40Trips'!$A$3:$I$42,4,FALSE),'40Trips'!$J$11:$P$14,3,FALSE))),1,0)</f>
        <v>1</v>
      </c>
      <c r="T28">
        <f>IF(AND(VLOOKUP(T$1,'40Trips'!$A$3:$I$42,8,FALSE) - VLOOKUP($B28,'40Trips'!$A$3:$I$42,9,FALSE) &gt;= ('40Trips'!$B$43+VLOOKUP(VLOOKUP($B28,'40Trips'!$A$3:$I$42,4,FALSE),'40Trips'!$J$11:$P$14,3,FALSE))),1,0)</f>
        <v>0</v>
      </c>
      <c r="U28">
        <f>IF(AND(VLOOKUP(U$1,'40Trips'!$A$3:$I$42,8,FALSE) - VLOOKUP($B28,'40Trips'!$A$3:$I$42,9,FALSE) &gt;= ('40Trips'!$B$43+VLOOKUP(VLOOKUP($B28,'40Trips'!$A$3:$I$42,4,FALSE),'40Trips'!$J$11:$P$14,3,FALSE))),1,0)</f>
        <v>0</v>
      </c>
      <c r="V28">
        <f>IF(AND(VLOOKUP(V$1,'40Trips'!$A$3:$I$42,8,FALSE) - VLOOKUP($B28,'40Trips'!$A$3:$I$42,9,FALSE) &gt;= ('40Trips'!$B$43+VLOOKUP(VLOOKUP($B28,'40Trips'!$A$3:$I$42,4,FALSE),'40Trips'!$J$11:$P$14,3,FALSE))),1,0)</f>
        <v>0</v>
      </c>
      <c r="W28">
        <f>IF(AND(VLOOKUP(W$1,'40Trips'!$A$3:$I$42,8,FALSE) - VLOOKUP($B28,'40Trips'!$A$3:$I$42,9,FALSE) &gt;= ('40Trips'!$B$43+VLOOKUP(VLOOKUP($B28,'40Trips'!$A$3:$I$42,4,FALSE),'40Trips'!$J$11:$P$14,3,FALSE))),1,0)</f>
        <v>1</v>
      </c>
      <c r="X28">
        <f>IF(AND(VLOOKUP(X$1,'40Trips'!$A$3:$I$42,8,FALSE) - VLOOKUP($B28,'40Trips'!$A$3:$I$42,9,FALSE) &gt;= ('40Trips'!$B$43+VLOOKUP(VLOOKUP($B28,'40Trips'!$A$3:$I$42,4,FALSE),'40Trips'!$J$11:$P$14,3,FALSE))),1,0)</f>
        <v>0</v>
      </c>
      <c r="Y28">
        <f>IF(AND(VLOOKUP(Y$1,'40Trips'!$A$3:$I$42,8,FALSE) - VLOOKUP($B28,'40Trips'!$A$3:$I$42,9,FALSE) &gt;= ('40Trips'!$B$43+VLOOKUP(VLOOKUP($B28,'40Trips'!$A$3:$I$42,4,FALSE),'40Trips'!$J$11:$P$14,3,FALSE))),1,0)</f>
        <v>0</v>
      </c>
      <c r="Z28">
        <f>IF(AND(VLOOKUP(Z$1,'40Trips'!$A$3:$I$42,8,FALSE) - VLOOKUP($B28,'40Trips'!$A$3:$I$42,9,FALSE) &gt;= ('40Trips'!$B$43+VLOOKUP(VLOOKUP($B28,'40Trips'!$A$3:$I$42,4,FALSE),'40Trips'!$J$11:$P$14,3,FALSE))),1,0)</f>
        <v>0</v>
      </c>
      <c r="AA28">
        <f>IF(AND(VLOOKUP(AA$1,'40Trips'!$A$3:$I$42,8,FALSE) - VLOOKUP($B28,'40Trips'!$A$3:$I$42,9,FALSE) &gt;= ('40Trips'!$B$43+VLOOKUP(VLOOKUP($B28,'40Trips'!$A$3:$I$42,4,FALSE),'40Trips'!$J$11:$P$14,3,FALSE))),1,0)</f>
        <v>1</v>
      </c>
      <c r="AB28">
        <f>IF(AND(VLOOKUP(AB$1,'40Trips'!$A$3:$I$42,8,FALSE) - VLOOKUP($B28,'40Trips'!$A$3:$I$42,9,FALSE) &gt;= ('40Trips'!$B$43+VLOOKUP(VLOOKUP($B28,'40Trips'!$A$3:$I$42,4,FALSE),'40Trips'!$J$11:$P$14,3,FALSE))),1,0)</f>
        <v>0</v>
      </c>
      <c r="AC28">
        <f>IF(AND(VLOOKUP(AC$1,'40Trips'!$A$3:$I$42,8,FALSE) - VLOOKUP($B28,'40Trips'!$A$3:$I$42,9,FALSE) &gt;= ('40Trips'!$B$43+VLOOKUP(VLOOKUP($B28,'40Trips'!$A$3:$I$42,4,FALSE),'40Trips'!$J$11:$P$14,3,FALSE))),1,0)</f>
        <v>0</v>
      </c>
      <c r="AD28">
        <f>IF(AND(VLOOKUP(AD$1,'40Trips'!$A$3:$I$42,8,FALSE) - VLOOKUP($B28,'40Trips'!$A$3:$I$42,9,FALSE) &gt;= ('40Trips'!$B$43+VLOOKUP(VLOOKUP($B28,'40Trips'!$A$3:$I$42,4,FALSE),'40Trips'!$J$11:$P$14,3,FALSE))),1,0)</f>
        <v>1</v>
      </c>
      <c r="AE28">
        <f>IF(AND(VLOOKUP(AE$1,'40Trips'!$A$3:$I$42,8,FALSE) - VLOOKUP($B28,'40Trips'!$A$3:$I$42,9,FALSE) &gt;= ('40Trips'!$B$43+VLOOKUP(VLOOKUP($B28,'40Trips'!$A$3:$I$42,4,FALSE),'40Trips'!$J$11:$P$14,3,FALSE))),1,0)</f>
        <v>1</v>
      </c>
      <c r="AF28">
        <f>IF(AND(VLOOKUP(AF$1,'40Trips'!$A$3:$I$42,8,FALSE) - VLOOKUP($B28,'40Trips'!$A$3:$I$42,9,FALSE) &gt;= ('40Trips'!$B$43+VLOOKUP(VLOOKUP($B28,'40Trips'!$A$3:$I$42,4,FALSE),'40Trips'!$J$11:$P$14,3,FALSE))),1,0)</f>
        <v>0</v>
      </c>
      <c r="AG28">
        <f>IF(AND(VLOOKUP(AG$1,'40Trips'!$A$3:$I$42,8,FALSE) - VLOOKUP($B28,'40Trips'!$A$3:$I$42,9,FALSE) &gt;= ('40Trips'!$B$43+VLOOKUP(VLOOKUP($B28,'40Trips'!$A$3:$I$42,4,FALSE),'40Trips'!$J$11:$P$14,3,FALSE))),1,0)</f>
        <v>0</v>
      </c>
      <c r="AH28">
        <f>IF(AND(VLOOKUP(AH$1,'40Trips'!$A$3:$I$42,8,FALSE) - VLOOKUP($B28,'40Trips'!$A$3:$I$42,9,FALSE) &gt;= ('40Trips'!$B$43+VLOOKUP(VLOOKUP($B28,'40Trips'!$A$3:$I$42,4,FALSE),'40Trips'!$J$11:$P$14,3,FALSE))),1,0)</f>
        <v>0</v>
      </c>
      <c r="AI28">
        <f>IF(AND(VLOOKUP(AI$1,'40Trips'!$A$3:$I$42,8,FALSE) - VLOOKUP($B28,'40Trips'!$A$3:$I$42,9,FALSE) &gt;= ('40Trips'!$B$43+VLOOKUP(VLOOKUP($B28,'40Trips'!$A$3:$I$42,4,FALSE),'40Trips'!$J$11:$P$14,3,FALSE))),1,0)</f>
        <v>0</v>
      </c>
      <c r="AJ28">
        <f>IF(AND(VLOOKUP(AJ$1,'40Trips'!$A$3:$I$42,8,FALSE) - VLOOKUP($B28,'40Trips'!$A$3:$I$42,9,FALSE) &gt;= ('40Trips'!$B$43+VLOOKUP(VLOOKUP($B28,'40Trips'!$A$3:$I$42,4,FALSE),'40Trips'!$J$11:$P$14,3,FALSE))),1,0)</f>
        <v>0</v>
      </c>
      <c r="AK28">
        <f>IF(AND(VLOOKUP(AK$1,'40Trips'!$A$3:$I$42,8,FALSE) - VLOOKUP($B28,'40Trips'!$A$3:$I$42,9,FALSE) &gt;= ('40Trips'!$B$43+VLOOKUP(VLOOKUP($B28,'40Trips'!$A$3:$I$42,4,FALSE),'40Trips'!$J$11:$P$14,3,FALSE))),1,0)</f>
        <v>0</v>
      </c>
      <c r="AL28">
        <f>IF(AND(VLOOKUP(AL$1,'40Trips'!$A$3:$I$42,8,FALSE) - VLOOKUP($B28,'40Trips'!$A$3:$I$42,9,FALSE) &gt;= ('40Trips'!$B$43+VLOOKUP(VLOOKUP($B28,'40Trips'!$A$3:$I$42,4,FALSE),'40Trips'!$J$11:$P$14,3,FALSE))),1,0)</f>
        <v>0</v>
      </c>
      <c r="AM28">
        <f>IF(AND(VLOOKUP(AM$1,'40Trips'!$A$3:$I$42,8,FALSE) - VLOOKUP($B28,'40Trips'!$A$3:$I$42,9,FALSE) &gt;= ('40Trips'!$B$43+VLOOKUP(VLOOKUP($B28,'40Trips'!$A$3:$I$42,4,FALSE),'40Trips'!$J$11:$P$14,3,FALSE))),1,0)</f>
        <v>1</v>
      </c>
      <c r="AN28">
        <f>IF(AND(VLOOKUP(AN$1,'40Trips'!$A$3:$I$42,8,FALSE) - VLOOKUP($B28,'40Trips'!$A$3:$I$42,9,FALSE) &gt;= ('40Trips'!$B$43+VLOOKUP(VLOOKUP($B28,'40Trips'!$A$3:$I$42,4,FALSE),'40Trips'!$J$11:$P$14,3,FALSE))),1,0)</f>
        <v>0</v>
      </c>
      <c r="AO28">
        <f>IF(AND(VLOOKUP(AO$1,'40Trips'!$A$3:$I$42,8,FALSE) - VLOOKUP($B28,'40Trips'!$A$3:$I$42,9,FALSE) &gt;= ('40Trips'!$B$43+VLOOKUP(VLOOKUP($B28,'40Trips'!$A$3:$I$42,4,FALSE),'40Trips'!$J$11:$P$14,3,FALSE))),1,0)</f>
        <v>0</v>
      </c>
      <c r="AP28">
        <f>IF(AND(VLOOKUP(AP$1,'40Trips'!$A$3:$I$42,8,FALSE) - VLOOKUP($B28,'40Trips'!$A$3:$I$42,9,FALSE) &gt;= ('40Trips'!$B$43+VLOOKUP(VLOOKUP($B28,'40Trips'!$A$3:$I$42,4,FALSE),'40Trips'!$J$11:$P$14,3,FALSE))),1,0)</f>
        <v>0</v>
      </c>
      <c r="AQ28">
        <f>IF(AND(VLOOKUP(AQ$1,'40Trips'!$A$3:$I$42,8,FALSE) - VLOOKUP($B28,'40Trips'!$A$3:$I$42,9,FALSE) &gt;= ('40Trips'!$B$43+VLOOKUP(VLOOKUP($B28,'40Trips'!$A$3:$I$42,4,FALSE),'40Trips'!$J$11:$P$14,3,FALSE))),1,0)</f>
        <v>1</v>
      </c>
    </row>
    <row r="29" spans="1:43" x14ac:dyDescent="0.25">
      <c r="A29" t="s">
        <v>48</v>
      </c>
      <c r="B29" t="s">
        <v>81</v>
      </c>
      <c r="C29">
        <v>0</v>
      </c>
      <c r="D29">
        <f>IF(AND(VLOOKUP(D$1,'40Trips'!$A$3:$I$42,8,FALSE) - VLOOKUP($B29,'40Trips'!$A$3:$I$42,9,FALSE) &gt;= ('40Trips'!$B$43+VLOOKUP(VLOOKUP($B29,'40Trips'!$A$3:$I$42,4,FALSE),'40Trips'!$J$11:$P$14,3,FALSE))),1,0)</f>
        <v>0</v>
      </c>
      <c r="E29">
        <f>IF(AND(VLOOKUP(E$1,'40Trips'!$A$3:$I$42,8,FALSE) - VLOOKUP($B29,'40Trips'!$A$3:$I$42,9,FALSE) &gt;= ('40Trips'!$B$43+VLOOKUP(VLOOKUP($B29,'40Trips'!$A$3:$I$42,4,FALSE),'40Trips'!$J$11:$P$14,3,FALSE))),1,0)</f>
        <v>0</v>
      </c>
      <c r="F29">
        <f>IF(AND(VLOOKUP(F$1,'40Trips'!$A$3:$I$42,8,FALSE) - VLOOKUP($B29,'40Trips'!$A$3:$I$42,9,FALSE) &gt;= ('40Trips'!$B$43+VLOOKUP(VLOOKUP($B29,'40Trips'!$A$3:$I$42,4,FALSE),'40Trips'!$J$11:$P$14,3,FALSE))),1,0)</f>
        <v>0</v>
      </c>
      <c r="G29">
        <f>IF(AND(VLOOKUP(G$1,'40Trips'!$A$3:$I$42,8,FALSE) - VLOOKUP($B29,'40Trips'!$A$3:$I$42,9,FALSE) &gt;= ('40Trips'!$B$43+VLOOKUP(VLOOKUP($B29,'40Trips'!$A$3:$I$42,4,FALSE),'40Trips'!$J$11:$P$14,3,FALSE))),1,0)</f>
        <v>0</v>
      </c>
      <c r="H29">
        <f>IF(AND(VLOOKUP(H$1,'40Trips'!$A$3:$I$42,8,FALSE) - VLOOKUP($B29,'40Trips'!$A$3:$I$42,9,FALSE) &gt;= ('40Trips'!$B$43+VLOOKUP(VLOOKUP($B29,'40Trips'!$A$3:$I$42,4,FALSE),'40Trips'!$J$11:$P$14,3,FALSE))),1,0)</f>
        <v>0</v>
      </c>
      <c r="I29">
        <f>IF(AND(VLOOKUP(I$1,'40Trips'!$A$3:$I$42,8,FALSE) - VLOOKUP($B29,'40Trips'!$A$3:$I$42,9,FALSE) &gt;= ('40Trips'!$B$43+VLOOKUP(VLOOKUP($B29,'40Trips'!$A$3:$I$42,4,FALSE),'40Trips'!$J$11:$P$14,3,FALSE))),1,0)</f>
        <v>0</v>
      </c>
      <c r="J29">
        <f>IF(AND(VLOOKUP(J$1,'40Trips'!$A$3:$I$42,8,FALSE) - VLOOKUP($B29,'40Trips'!$A$3:$I$42,9,FALSE) &gt;= ('40Trips'!$B$43+VLOOKUP(VLOOKUP($B29,'40Trips'!$A$3:$I$42,4,FALSE),'40Trips'!$J$11:$P$14,3,FALSE))),1,0)</f>
        <v>0</v>
      </c>
      <c r="K29">
        <f>IF(AND(VLOOKUP(K$1,'40Trips'!$A$3:$I$42,8,FALSE) - VLOOKUP($B29,'40Trips'!$A$3:$I$42,9,FALSE) &gt;= ('40Trips'!$B$43+VLOOKUP(VLOOKUP($B29,'40Trips'!$A$3:$I$42,4,FALSE),'40Trips'!$J$11:$P$14,3,FALSE))),1,0)</f>
        <v>1</v>
      </c>
      <c r="L29">
        <f>IF(AND(VLOOKUP(L$1,'40Trips'!$A$3:$I$42,8,FALSE) - VLOOKUP($B29,'40Trips'!$A$3:$I$42,9,FALSE) &gt;= ('40Trips'!$B$43+VLOOKUP(VLOOKUP($B29,'40Trips'!$A$3:$I$42,4,FALSE),'40Trips'!$J$11:$P$14,3,FALSE))),1,0)</f>
        <v>0</v>
      </c>
      <c r="M29">
        <f>IF(AND(VLOOKUP(M$1,'40Trips'!$A$3:$I$42,8,FALSE) - VLOOKUP($B29,'40Trips'!$A$3:$I$42,9,FALSE) &gt;= ('40Trips'!$B$43+VLOOKUP(VLOOKUP($B29,'40Trips'!$A$3:$I$42,4,FALSE),'40Trips'!$J$11:$P$14,3,FALSE))),1,0)</f>
        <v>0</v>
      </c>
      <c r="N29">
        <f>IF(AND(VLOOKUP(N$1,'40Trips'!$A$3:$I$42,8,FALSE) - VLOOKUP($B29,'40Trips'!$A$3:$I$42,9,FALSE) &gt;= ('40Trips'!$B$43+VLOOKUP(VLOOKUP($B29,'40Trips'!$A$3:$I$42,4,FALSE),'40Trips'!$J$11:$P$14,3,FALSE))),1,0)</f>
        <v>0</v>
      </c>
      <c r="O29">
        <f>IF(AND(VLOOKUP(O$1,'40Trips'!$A$3:$I$42,8,FALSE) - VLOOKUP($B29,'40Trips'!$A$3:$I$42,9,FALSE) &gt;= ('40Trips'!$B$43+VLOOKUP(VLOOKUP($B29,'40Trips'!$A$3:$I$42,4,FALSE),'40Trips'!$J$11:$P$14,3,FALSE))),1,0)</f>
        <v>0</v>
      </c>
      <c r="P29">
        <f>IF(AND(VLOOKUP(P$1,'40Trips'!$A$3:$I$42,8,FALSE) - VLOOKUP($B29,'40Trips'!$A$3:$I$42,9,FALSE) &gt;= ('40Trips'!$B$43+VLOOKUP(VLOOKUP($B29,'40Trips'!$A$3:$I$42,4,FALSE),'40Trips'!$J$11:$P$14,3,FALSE))),1,0)</f>
        <v>0</v>
      </c>
      <c r="Q29">
        <f>IF(AND(VLOOKUP(Q$1,'40Trips'!$A$3:$I$42,8,FALSE) - VLOOKUP($B29,'40Trips'!$A$3:$I$42,9,FALSE) &gt;= ('40Trips'!$B$43+VLOOKUP(VLOOKUP($B29,'40Trips'!$A$3:$I$42,4,FALSE),'40Trips'!$J$11:$P$14,3,FALSE))),1,0)</f>
        <v>0</v>
      </c>
      <c r="R29">
        <f>IF(AND(VLOOKUP(R$1,'40Trips'!$A$3:$I$42,8,FALSE) - VLOOKUP($B29,'40Trips'!$A$3:$I$42,9,FALSE) &gt;= ('40Trips'!$B$43+VLOOKUP(VLOOKUP($B29,'40Trips'!$A$3:$I$42,4,FALSE),'40Trips'!$J$11:$P$14,3,FALSE))),1,0)</f>
        <v>0</v>
      </c>
      <c r="S29">
        <f>IF(AND(VLOOKUP(S$1,'40Trips'!$A$3:$I$42,8,FALSE) - VLOOKUP($B29,'40Trips'!$A$3:$I$42,9,FALSE) &gt;= ('40Trips'!$B$43+VLOOKUP(VLOOKUP($B29,'40Trips'!$A$3:$I$42,4,FALSE),'40Trips'!$J$11:$P$14,3,FALSE))),1,0)</f>
        <v>0</v>
      </c>
      <c r="T29">
        <f>IF(AND(VLOOKUP(T$1,'40Trips'!$A$3:$I$42,8,FALSE) - VLOOKUP($B29,'40Trips'!$A$3:$I$42,9,FALSE) &gt;= ('40Trips'!$B$43+VLOOKUP(VLOOKUP($B29,'40Trips'!$A$3:$I$42,4,FALSE),'40Trips'!$J$11:$P$14,3,FALSE))),1,0)</f>
        <v>0</v>
      </c>
      <c r="U29">
        <f>IF(AND(VLOOKUP(U$1,'40Trips'!$A$3:$I$42,8,FALSE) - VLOOKUP($B29,'40Trips'!$A$3:$I$42,9,FALSE) &gt;= ('40Trips'!$B$43+VLOOKUP(VLOOKUP($B29,'40Trips'!$A$3:$I$42,4,FALSE),'40Trips'!$J$11:$P$14,3,FALSE))),1,0)</f>
        <v>0</v>
      </c>
      <c r="V29">
        <f>IF(AND(VLOOKUP(V$1,'40Trips'!$A$3:$I$42,8,FALSE) - VLOOKUP($B29,'40Trips'!$A$3:$I$42,9,FALSE) &gt;= ('40Trips'!$B$43+VLOOKUP(VLOOKUP($B29,'40Trips'!$A$3:$I$42,4,FALSE),'40Trips'!$J$11:$P$14,3,FALSE))),1,0)</f>
        <v>0</v>
      </c>
      <c r="W29">
        <f>IF(AND(VLOOKUP(W$1,'40Trips'!$A$3:$I$42,8,FALSE) - VLOOKUP($B29,'40Trips'!$A$3:$I$42,9,FALSE) &gt;= ('40Trips'!$B$43+VLOOKUP(VLOOKUP($B29,'40Trips'!$A$3:$I$42,4,FALSE),'40Trips'!$J$11:$P$14,3,FALSE))),1,0)</f>
        <v>0</v>
      </c>
      <c r="X29">
        <f>IF(AND(VLOOKUP(X$1,'40Trips'!$A$3:$I$42,8,FALSE) - VLOOKUP($B29,'40Trips'!$A$3:$I$42,9,FALSE) &gt;= ('40Trips'!$B$43+VLOOKUP(VLOOKUP($B29,'40Trips'!$A$3:$I$42,4,FALSE),'40Trips'!$J$11:$P$14,3,FALSE))),1,0)</f>
        <v>0</v>
      </c>
      <c r="Y29">
        <f>IF(AND(VLOOKUP(Y$1,'40Trips'!$A$3:$I$42,8,FALSE) - VLOOKUP($B29,'40Trips'!$A$3:$I$42,9,FALSE) &gt;= ('40Trips'!$B$43+VLOOKUP(VLOOKUP($B29,'40Trips'!$A$3:$I$42,4,FALSE),'40Trips'!$J$11:$P$14,3,FALSE))),1,0)</f>
        <v>0</v>
      </c>
      <c r="Z29">
        <f>IF(AND(VLOOKUP(Z$1,'40Trips'!$A$3:$I$42,8,FALSE) - VLOOKUP($B29,'40Trips'!$A$3:$I$42,9,FALSE) &gt;= ('40Trips'!$B$43+VLOOKUP(VLOOKUP($B29,'40Trips'!$A$3:$I$42,4,FALSE),'40Trips'!$J$11:$P$14,3,FALSE))),1,0)</f>
        <v>0</v>
      </c>
      <c r="AA29">
        <f>IF(AND(VLOOKUP(AA$1,'40Trips'!$A$3:$I$42,8,FALSE) - VLOOKUP($B29,'40Trips'!$A$3:$I$42,9,FALSE) &gt;= ('40Trips'!$B$43+VLOOKUP(VLOOKUP($B29,'40Trips'!$A$3:$I$42,4,FALSE),'40Trips'!$J$11:$P$14,3,FALSE))),1,0)</f>
        <v>0</v>
      </c>
      <c r="AB29">
        <f>IF(AND(VLOOKUP(AB$1,'40Trips'!$A$3:$I$42,8,FALSE) - VLOOKUP($B29,'40Trips'!$A$3:$I$42,9,FALSE) &gt;= ('40Trips'!$B$43+VLOOKUP(VLOOKUP($B29,'40Trips'!$A$3:$I$42,4,FALSE),'40Trips'!$J$11:$P$14,3,FALSE))),1,0)</f>
        <v>0</v>
      </c>
      <c r="AC29">
        <f>IF(AND(VLOOKUP(AC$1,'40Trips'!$A$3:$I$42,8,FALSE) - VLOOKUP($B29,'40Trips'!$A$3:$I$42,9,FALSE) &gt;= ('40Trips'!$B$43+VLOOKUP(VLOOKUP($B29,'40Trips'!$A$3:$I$42,4,FALSE),'40Trips'!$J$11:$P$14,3,FALSE))),1,0)</f>
        <v>0</v>
      </c>
      <c r="AD29">
        <f>IF(AND(VLOOKUP(AD$1,'40Trips'!$A$3:$I$42,8,FALSE) - VLOOKUP($B29,'40Trips'!$A$3:$I$42,9,FALSE) &gt;= ('40Trips'!$B$43+VLOOKUP(VLOOKUP($B29,'40Trips'!$A$3:$I$42,4,FALSE),'40Trips'!$J$11:$P$14,3,FALSE))),1,0)</f>
        <v>0</v>
      </c>
      <c r="AE29">
        <f>IF(AND(VLOOKUP(AE$1,'40Trips'!$A$3:$I$42,8,FALSE) - VLOOKUP($B29,'40Trips'!$A$3:$I$42,9,FALSE) &gt;= ('40Trips'!$B$43+VLOOKUP(VLOOKUP($B29,'40Trips'!$A$3:$I$42,4,FALSE),'40Trips'!$J$11:$P$14,3,FALSE))),1,0)</f>
        <v>0</v>
      </c>
      <c r="AF29">
        <f>IF(AND(VLOOKUP(AF$1,'40Trips'!$A$3:$I$42,8,FALSE) - VLOOKUP($B29,'40Trips'!$A$3:$I$42,9,FALSE) &gt;= ('40Trips'!$B$43+VLOOKUP(VLOOKUP($B29,'40Trips'!$A$3:$I$42,4,FALSE),'40Trips'!$J$11:$P$14,3,FALSE))),1,0)</f>
        <v>0</v>
      </c>
      <c r="AG29">
        <f>IF(AND(VLOOKUP(AG$1,'40Trips'!$A$3:$I$42,8,FALSE) - VLOOKUP($B29,'40Trips'!$A$3:$I$42,9,FALSE) &gt;= ('40Trips'!$B$43+VLOOKUP(VLOOKUP($B29,'40Trips'!$A$3:$I$42,4,FALSE),'40Trips'!$J$11:$P$14,3,FALSE))),1,0)</f>
        <v>0</v>
      </c>
      <c r="AH29">
        <f>IF(AND(VLOOKUP(AH$1,'40Trips'!$A$3:$I$42,8,FALSE) - VLOOKUP($B29,'40Trips'!$A$3:$I$42,9,FALSE) &gt;= ('40Trips'!$B$43+VLOOKUP(VLOOKUP($B29,'40Trips'!$A$3:$I$42,4,FALSE),'40Trips'!$J$11:$P$14,3,FALSE))),1,0)</f>
        <v>0</v>
      </c>
      <c r="AI29">
        <f>IF(AND(VLOOKUP(AI$1,'40Trips'!$A$3:$I$42,8,FALSE) - VLOOKUP($B29,'40Trips'!$A$3:$I$42,9,FALSE) &gt;= ('40Trips'!$B$43+VLOOKUP(VLOOKUP($B29,'40Trips'!$A$3:$I$42,4,FALSE),'40Trips'!$J$11:$P$14,3,FALSE))),1,0)</f>
        <v>0</v>
      </c>
      <c r="AJ29">
        <f>IF(AND(VLOOKUP(AJ$1,'40Trips'!$A$3:$I$42,8,FALSE) - VLOOKUP($B29,'40Trips'!$A$3:$I$42,9,FALSE) &gt;= ('40Trips'!$B$43+VLOOKUP(VLOOKUP($B29,'40Trips'!$A$3:$I$42,4,FALSE),'40Trips'!$J$11:$P$14,3,FALSE))),1,0)</f>
        <v>0</v>
      </c>
      <c r="AK29">
        <f>IF(AND(VLOOKUP(AK$1,'40Trips'!$A$3:$I$42,8,FALSE) - VLOOKUP($B29,'40Trips'!$A$3:$I$42,9,FALSE) &gt;= ('40Trips'!$B$43+VLOOKUP(VLOOKUP($B29,'40Trips'!$A$3:$I$42,4,FALSE),'40Trips'!$J$11:$P$14,3,FALSE))),1,0)</f>
        <v>0</v>
      </c>
      <c r="AL29">
        <f>IF(AND(VLOOKUP(AL$1,'40Trips'!$A$3:$I$42,8,FALSE) - VLOOKUP($B29,'40Trips'!$A$3:$I$42,9,FALSE) &gt;= ('40Trips'!$B$43+VLOOKUP(VLOOKUP($B29,'40Trips'!$A$3:$I$42,4,FALSE),'40Trips'!$J$11:$P$14,3,FALSE))),1,0)</f>
        <v>0</v>
      </c>
      <c r="AM29">
        <f>IF(AND(VLOOKUP(AM$1,'40Trips'!$A$3:$I$42,8,FALSE) - VLOOKUP($B29,'40Trips'!$A$3:$I$42,9,FALSE) &gt;= ('40Trips'!$B$43+VLOOKUP(VLOOKUP($B29,'40Trips'!$A$3:$I$42,4,FALSE),'40Trips'!$J$11:$P$14,3,FALSE))),1,0)</f>
        <v>0</v>
      </c>
      <c r="AN29">
        <f>IF(AND(VLOOKUP(AN$1,'40Trips'!$A$3:$I$42,8,FALSE) - VLOOKUP($B29,'40Trips'!$A$3:$I$42,9,FALSE) &gt;= ('40Trips'!$B$43+VLOOKUP(VLOOKUP($B29,'40Trips'!$A$3:$I$42,4,FALSE),'40Trips'!$J$11:$P$14,3,FALSE))),1,0)</f>
        <v>0</v>
      </c>
      <c r="AO29">
        <f>IF(AND(VLOOKUP(AO$1,'40Trips'!$A$3:$I$42,8,FALSE) - VLOOKUP($B29,'40Trips'!$A$3:$I$42,9,FALSE) &gt;= ('40Trips'!$B$43+VLOOKUP(VLOOKUP($B29,'40Trips'!$A$3:$I$42,4,FALSE),'40Trips'!$J$11:$P$14,3,FALSE))),1,0)</f>
        <v>0</v>
      </c>
      <c r="AP29">
        <f>IF(AND(VLOOKUP(AP$1,'40Trips'!$A$3:$I$42,8,FALSE) - VLOOKUP($B29,'40Trips'!$A$3:$I$42,9,FALSE) &gt;= ('40Trips'!$B$43+VLOOKUP(VLOOKUP($B29,'40Trips'!$A$3:$I$42,4,FALSE),'40Trips'!$J$11:$P$14,3,FALSE))),1,0)</f>
        <v>0</v>
      </c>
      <c r="AQ29">
        <f>IF(AND(VLOOKUP(AQ$1,'40Trips'!$A$3:$I$42,8,FALSE) - VLOOKUP($B29,'40Trips'!$A$3:$I$42,9,FALSE) &gt;= ('40Trips'!$B$43+VLOOKUP(VLOOKUP($B29,'40Trips'!$A$3:$I$42,4,FALSE),'40Trips'!$J$11:$P$14,3,FALSE))),1,0)</f>
        <v>0</v>
      </c>
    </row>
    <row r="30" spans="1:43" x14ac:dyDescent="0.25">
      <c r="A30" t="s">
        <v>48</v>
      </c>
      <c r="B30" t="s">
        <v>82</v>
      </c>
      <c r="C30">
        <v>0</v>
      </c>
      <c r="D30">
        <f>IF(AND(VLOOKUP(D$1,'40Trips'!$A$3:$I$42,8,FALSE) - VLOOKUP($B30,'40Trips'!$A$3:$I$42,9,FALSE) &gt;= ('40Trips'!$B$43+VLOOKUP(VLOOKUP($B30,'40Trips'!$A$3:$I$42,4,FALSE),'40Trips'!$J$11:$P$14,3,FALSE))),1,0)</f>
        <v>0</v>
      </c>
      <c r="E30">
        <f>IF(AND(VLOOKUP(E$1,'40Trips'!$A$3:$I$42,8,FALSE) - VLOOKUP($B30,'40Trips'!$A$3:$I$42,9,FALSE) &gt;= ('40Trips'!$B$43+VLOOKUP(VLOOKUP($B30,'40Trips'!$A$3:$I$42,4,FALSE),'40Trips'!$J$11:$P$14,3,FALSE))),1,0)</f>
        <v>0</v>
      </c>
      <c r="F30">
        <f>IF(AND(VLOOKUP(F$1,'40Trips'!$A$3:$I$42,8,FALSE) - VLOOKUP($B30,'40Trips'!$A$3:$I$42,9,FALSE) &gt;= ('40Trips'!$B$43+VLOOKUP(VLOOKUP($B30,'40Trips'!$A$3:$I$42,4,FALSE),'40Trips'!$J$11:$P$14,3,FALSE))),1,0)</f>
        <v>0</v>
      </c>
      <c r="G30">
        <f>IF(AND(VLOOKUP(G$1,'40Trips'!$A$3:$I$42,8,FALSE) - VLOOKUP($B30,'40Trips'!$A$3:$I$42,9,FALSE) &gt;= ('40Trips'!$B$43+VLOOKUP(VLOOKUP($B30,'40Trips'!$A$3:$I$42,4,FALSE),'40Trips'!$J$11:$P$14,3,FALSE))),1,0)</f>
        <v>0</v>
      </c>
      <c r="H30">
        <f>IF(AND(VLOOKUP(H$1,'40Trips'!$A$3:$I$42,8,FALSE) - VLOOKUP($B30,'40Trips'!$A$3:$I$42,9,FALSE) &gt;= ('40Trips'!$B$43+VLOOKUP(VLOOKUP($B30,'40Trips'!$A$3:$I$42,4,FALSE),'40Trips'!$J$11:$P$14,3,FALSE))),1,0)</f>
        <v>0</v>
      </c>
      <c r="I30">
        <f>IF(AND(VLOOKUP(I$1,'40Trips'!$A$3:$I$42,8,FALSE) - VLOOKUP($B30,'40Trips'!$A$3:$I$42,9,FALSE) &gt;= ('40Trips'!$B$43+VLOOKUP(VLOOKUP($B30,'40Trips'!$A$3:$I$42,4,FALSE),'40Trips'!$J$11:$P$14,3,FALSE))),1,0)</f>
        <v>0</v>
      </c>
      <c r="J30">
        <f>IF(AND(VLOOKUP(J$1,'40Trips'!$A$3:$I$42,8,FALSE) - VLOOKUP($B30,'40Trips'!$A$3:$I$42,9,FALSE) &gt;= ('40Trips'!$B$43+VLOOKUP(VLOOKUP($B30,'40Trips'!$A$3:$I$42,4,FALSE),'40Trips'!$J$11:$P$14,3,FALSE))),1,0)</f>
        <v>0</v>
      </c>
      <c r="K30">
        <f>IF(AND(VLOOKUP(K$1,'40Trips'!$A$3:$I$42,8,FALSE) - VLOOKUP($B30,'40Trips'!$A$3:$I$42,9,FALSE) &gt;= ('40Trips'!$B$43+VLOOKUP(VLOOKUP($B30,'40Trips'!$A$3:$I$42,4,FALSE),'40Trips'!$J$11:$P$14,3,FALSE))),1,0)</f>
        <v>0</v>
      </c>
      <c r="L30">
        <f>IF(AND(VLOOKUP(L$1,'40Trips'!$A$3:$I$42,8,FALSE) - VLOOKUP($B30,'40Trips'!$A$3:$I$42,9,FALSE) &gt;= ('40Trips'!$B$43+VLOOKUP(VLOOKUP($B30,'40Trips'!$A$3:$I$42,4,FALSE),'40Trips'!$J$11:$P$14,3,FALSE))),1,0)</f>
        <v>0</v>
      </c>
      <c r="M30">
        <f>IF(AND(VLOOKUP(M$1,'40Trips'!$A$3:$I$42,8,FALSE) - VLOOKUP($B30,'40Trips'!$A$3:$I$42,9,FALSE) &gt;= ('40Trips'!$B$43+VLOOKUP(VLOOKUP($B30,'40Trips'!$A$3:$I$42,4,FALSE),'40Trips'!$J$11:$P$14,3,FALSE))),1,0)</f>
        <v>0</v>
      </c>
      <c r="N30">
        <f>IF(AND(VLOOKUP(N$1,'40Trips'!$A$3:$I$42,8,FALSE) - VLOOKUP($B30,'40Trips'!$A$3:$I$42,9,FALSE) &gt;= ('40Trips'!$B$43+VLOOKUP(VLOOKUP($B30,'40Trips'!$A$3:$I$42,4,FALSE),'40Trips'!$J$11:$P$14,3,FALSE))),1,0)</f>
        <v>0</v>
      </c>
      <c r="O30">
        <f>IF(AND(VLOOKUP(O$1,'40Trips'!$A$3:$I$42,8,FALSE) - VLOOKUP($B30,'40Trips'!$A$3:$I$42,9,FALSE) &gt;= ('40Trips'!$B$43+VLOOKUP(VLOOKUP($B30,'40Trips'!$A$3:$I$42,4,FALSE),'40Trips'!$J$11:$P$14,3,FALSE))),1,0)</f>
        <v>0</v>
      </c>
      <c r="P30">
        <f>IF(AND(VLOOKUP(P$1,'40Trips'!$A$3:$I$42,8,FALSE) - VLOOKUP($B30,'40Trips'!$A$3:$I$42,9,FALSE) &gt;= ('40Trips'!$B$43+VLOOKUP(VLOOKUP($B30,'40Trips'!$A$3:$I$42,4,FALSE),'40Trips'!$J$11:$P$14,3,FALSE))),1,0)</f>
        <v>0</v>
      </c>
      <c r="Q30">
        <f>IF(AND(VLOOKUP(Q$1,'40Trips'!$A$3:$I$42,8,FALSE) - VLOOKUP($B30,'40Trips'!$A$3:$I$42,9,FALSE) &gt;= ('40Trips'!$B$43+VLOOKUP(VLOOKUP($B30,'40Trips'!$A$3:$I$42,4,FALSE),'40Trips'!$J$11:$P$14,3,FALSE))),1,0)</f>
        <v>0</v>
      </c>
      <c r="R30">
        <f>IF(AND(VLOOKUP(R$1,'40Trips'!$A$3:$I$42,8,FALSE) - VLOOKUP($B30,'40Trips'!$A$3:$I$42,9,FALSE) &gt;= ('40Trips'!$B$43+VLOOKUP(VLOOKUP($B30,'40Trips'!$A$3:$I$42,4,FALSE),'40Trips'!$J$11:$P$14,3,FALSE))),1,0)</f>
        <v>0</v>
      </c>
      <c r="S30">
        <f>IF(AND(VLOOKUP(S$1,'40Trips'!$A$3:$I$42,8,FALSE) - VLOOKUP($B30,'40Trips'!$A$3:$I$42,9,FALSE) &gt;= ('40Trips'!$B$43+VLOOKUP(VLOOKUP($B30,'40Trips'!$A$3:$I$42,4,FALSE),'40Trips'!$J$11:$P$14,3,FALSE))),1,0)</f>
        <v>0</v>
      </c>
      <c r="T30">
        <f>IF(AND(VLOOKUP(T$1,'40Trips'!$A$3:$I$42,8,FALSE) - VLOOKUP($B30,'40Trips'!$A$3:$I$42,9,FALSE) &gt;= ('40Trips'!$B$43+VLOOKUP(VLOOKUP($B30,'40Trips'!$A$3:$I$42,4,FALSE),'40Trips'!$J$11:$P$14,3,FALSE))),1,0)</f>
        <v>0</v>
      </c>
      <c r="U30">
        <f>IF(AND(VLOOKUP(U$1,'40Trips'!$A$3:$I$42,8,FALSE) - VLOOKUP($B30,'40Trips'!$A$3:$I$42,9,FALSE) &gt;= ('40Trips'!$B$43+VLOOKUP(VLOOKUP($B30,'40Trips'!$A$3:$I$42,4,FALSE),'40Trips'!$J$11:$P$14,3,FALSE))),1,0)</f>
        <v>0</v>
      </c>
      <c r="V30">
        <f>IF(AND(VLOOKUP(V$1,'40Trips'!$A$3:$I$42,8,FALSE) - VLOOKUP($B30,'40Trips'!$A$3:$I$42,9,FALSE) &gt;= ('40Trips'!$B$43+VLOOKUP(VLOOKUP($B30,'40Trips'!$A$3:$I$42,4,FALSE),'40Trips'!$J$11:$P$14,3,FALSE))),1,0)</f>
        <v>0</v>
      </c>
      <c r="W30">
        <f>IF(AND(VLOOKUP(W$1,'40Trips'!$A$3:$I$42,8,FALSE) - VLOOKUP($B30,'40Trips'!$A$3:$I$42,9,FALSE) &gt;= ('40Trips'!$B$43+VLOOKUP(VLOOKUP($B30,'40Trips'!$A$3:$I$42,4,FALSE),'40Trips'!$J$11:$P$14,3,FALSE))),1,0)</f>
        <v>0</v>
      </c>
      <c r="X30">
        <f>IF(AND(VLOOKUP(X$1,'40Trips'!$A$3:$I$42,8,FALSE) - VLOOKUP($B30,'40Trips'!$A$3:$I$42,9,FALSE) &gt;= ('40Trips'!$B$43+VLOOKUP(VLOOKUP($B30,'40Trips'!$A$3:$I$42,4,FALSE),'40Trips'!$J$11:$P$14,3,FALSE))),1,0)</f>
        <v>0</v>
      </c>
      <c r="Y30">
        <f>IF(AND(VLOOKUP(Y$1,'40Trips'!$A$3:$I$42,8,FALSE) - VLOOKUP($B30,'40Trips'!$A$3:$I$42,9,FALSE) &gt;= ('40Trips'!$B$43+VLOOKUP(VLOOKUP($B30,'40Trips'!$A$3:$I$42,4,FALSE),'40Trips'!$J$11:$P$14,3,FALSE))),1,0)</f>
        <v>0</v>
      </c>
      <c r="Z30">
        <f>IF(AND(VLOOKUP(Z$1,'40Trips'!$A$3:$I$42,8,FALSE) - VLOOKUP($B30,'40Trips'!$A$3:$I$42,9,FALSE) &gt;= ('40Trips'!$B$43+VLOOKUP(VLOOKUP($B30,'40Trips'!$A$3:$I$42,4,FALSE),'40Trips'!$J$11:$P$14,3,FALSE))),1,0)</f>
        <v>0</v>
      </c>
      <c r="AA30">
        <f>IF(AND(VLOOKUP(AA$1,'40Trips'!$A$3:$I$42,8,FALSE) - VLOOKUP($B30,'40Trips'!$A$3:$I$42,9,FALSE) &gt;= ('40Trips'!$B$43+VLOOKUP(VLOOKUP($B30,'40Trips'!$A$3:$I$42,4,FALSE),'40Trips'!$J$11:$P$14,3,FALSE))),1,0)</f>
        <v>0</v>
      </c>
      <c r="AB30">
        <f>IF(AND(VLOOKUP(AB$1,'40Trips'!$A$3:$I$42,8,FALSE) - VLOOKUP($B30,'40Trips'!$A$3:$I$42,9,FALSE) &gt;= ('40Trips'!$B$43+VLOOKUP(VLOOKUP($B30,'40Trips'!$A$3:$I$42,4,FALSE),'40Trips'!$J$11:$P$14,3,FALSE))),1,0)</f>
        <v>0</v>
      </c>
      <c r="AC30">
        <f>IF(AND(VLOOKUP(AC$1,'40Trips'!$A$3:$I$42,8,FALSE) - VLOOKUP($B30,'40Trips'!$A$3:$I$42,9,FALSE) &gt;= ('40Trips'!$B$43+VLOOKUP(VLOOKUP($B30,'40Trips'!$A$3:$I$42,4,FALSE),'40Trips'!$J$11:$P$14,3,FALSE))),1,0)</f>
        <v>0</v>
      </c>
      <c r="AD30">
        <f>IF(AND(VLOOKUP(AD$1,'40Trips'!$A$3:$I$42,8,FALSE) - VLOOKUP($B30,'40Trips'!$A$3:$I$42,9,FALSE) &gt;= ('40Trips'!$B$43+VLOOKUP(VLOOKUP($B30,'40Trips'!$A$3:$I$42,4,FALSE),'40Trips'!$J$11:$P$14,3,FALSE))),1,0)</f>
        <v>0</v>
      </c>
      <c r="AE30">
        <f>IF(AND(VLOOKUP(AE$1,'40Trips'!$A$3:$I$42,8,FALSE) - VLOOKUP($B30,'40Trips'!$A$3:$I$42,9,FALSE) &gt;= ('40Trips'!$B$43+VLOOKUP(VLOOKUP($B30,'40Trips'!$A$3:$I$42,4,FALSE),'40Trips'!$J$11:$P$14,3,FALSE))),1,0)</f>
        <v>0</v>
      </c>
      <c r="AF30">
        <f>IF(AND(VLOOKUP(AF$1,'40Trips'!$A$3:$I$42,8,FALSE) - VLOOKUP($B30,'40Trips'!$A$3:$I$42,9,FALSE) &gt;= ('40Trips'!$B$43+VLOOKUP(VLOOKUP($B30,'40Trips'!$A$3:$I$42,4,FALSE),'40Trips'!$J$11:$P$14,3,FALSE))),1,0)</f>
        <v>0</v>
      </c>
      <c r="AG30">
        <f>IF(AND(VLOOKUP(AG$1,'40Trips'!$A$3:$I$42,8,FALSE) - VLOOKUP($B30,'40Trips'!$A$3:$I$42,9,FALSE) &gt;= ('40Trips'!$B$43+VLOOKUP(VLOOKUP($B30,'40Trips'!$A$3:$I$42,4,FALSE),'40Trips'!$J$11:$P$14,3,FALSE))),1,0)</f>
        <v>0</v>
      </c>
      <c r="AH30">
        <f>IF(AND(VLOOKUP(AH$1,'40Trips'!$A$3:$I$42,8,FALSE) - VLOOKUP($B30,'40Trips'!$A$3:$I$42,9,FALSE) &gt;= ('40Trips'!$B$43+VLOOKUP(VLOOKUP($B30,'40Trips'!$A$3:$I$42,4,FALSE),'40Trips'!$J$11:$P$14,3,FALSE))),1,0)</f>
        <v>0</v>
      </c>
      <c r="AI30">
        <f>IF(AND(VLOOKUP(AI$1,'40Trips'!$A$3:$I$42,8,FALSE) - VLOOKUP($B30,'40Trips'!$A$3:$I$42,9,FALSE) &gt;= ('40Trips'!$B$43+VLOOKUP(VLOOKUP($B30,'40Trips'!$A$3:$I$42,4,FALSE),'40Trips'!$J$11:$P$14,3,FALSE))),1,0)</f>
        <v>0</v>
      </c>
      <c r="AJ30">
        <f>IF(AND(VLOOKUP(AJ$1,'40Trips'!$A$3:$I$42,8,FALSE) - VLOOKUP($B30,'40Trips'!$A$3:$I$42,9,FALSE) &gt;= ('40Trips'!$B$43+VLOOKUP(VLOOKUP($B30,'40Trips'!$A$3:$I$42,4,FALSE),'40Trips'!$J$11:$P$14,3,FALSE))),1,0)</f>
        <v>0</v>
      </c>
      <c r="AK30">
        <f>IF(AND(VLOOKUP(AK$1,'40Trips'!$A$3:$I$42,8,FALSE) - VLOOKUP($B30,'40Trips'!$A$3:$I$42,9,FALSE) &gt;= ('40Trips'!$B$43+VLOOKUP(VLOOKUP($B30,'40Trips'!$A$3:$I$42,4,FALSE),'40Trips'!$J$11:$P$14,3,FALSE))),1,0)</f>
        <v>0</v>
      </c>
      <c r="AL30">
        <f>IF(AND(VLOOKUP(AL$1,'40Trips'!$A$3:$I$42,8,FALSE) - VLOOKUP($B30,'40Trips'!$A$3:$I$42,9,FALSE) &gt;= ('40Trips'!$B$43+VLOOKUP(VLOOKUP($B30,'40Trips'!$A$3:$I$42,4,FALSE),'40Trips'!$J$11:$P$14,3,FALSE))),1,0)</f>
        <v>0</v>
      </c>
      <c r="AM30">
        <f>IF(AND(VLOOKUP(AM$1,'40Trips'!$A$3:$I$42,8,FALSE) - VLOOKUP($B30,'40Trips'!$A$3:$I$42,9,FALSE) &gt;= ('40Trips'!$B$43+VLOOKUP(VLOOKUP($B30,'40Trips'!$A$3:$I$42,4,FALSE),'40Trips'!$J$11:$P$14,3,FALSE))),1,0)</f>
        <v>0</v>
      </c>
      <c r="AN30">
        <f>IF(AND(VLOOKUP(AN$1,'40Trips'!$A$3:$I$42,8,FALSE) - VLOOKUP($B30,'40Trips'!$A$3:$I$42,9,FALSE) &gt;= ('40Trips'!$B$43+VLOOKUP(VLOOKUP($B30,'40Trips'!$A$3:$I$42,4,FALSE),'40Trips'!$J$11:$P$14,3,FALSE))),1,0)</f>
        <v>0</v>
      </c>
      <c r="AO30">
        <f>IF(AND(VLOOKUP(AO$1,'40Trips'!$A$3:$I$42,8,FALSE) - VLOOKUP($B30,'40Trips'!$A$3:$I$42,9,FALSE) &gt;= ('40Trips'!$B$43+VLOOKUP(VLOOKUP($B30,'40Trips'!$A$3:$I$42,4,FALSE),'40Trips'!$J$11:$P$14,3,FALSE))),1,0)</f>
        <v>0</v>
      </c>
      <c r="AP30">
        <f>IF(AND(VLOOKUP(AP$1,'40Trips'!$A$3:$I$42,8,FALSE) - VLOOKUP($B30,'40Trips'!$A$3:$I$42,9,FALSE) &gt;= ('40Trips'!$B$43+VLOOKUP(VLOOKUP($B30,'40Trips'!$A$3:$I$42,4,FALSE),'40Trips'!$J$11:$P$14,3,FALSE))),1,0)</f>
        <v>0</v>
      </c>
      <c r="AQ30">
        <f>IF(AND(VLOOKUP(AQ$1,'40Trips'!$A$3:$I$42,8,FALSE) - VLOOKUP($B30,'40Trips'!$A$3:$I$42,9,FALSE) &gt;= ('40Trips'!$B$43+VLOOKUP(VLOOKUP($B30,'40Trips'!$A$3:$I$42,4,FALSE),'40Trips'!$J$11:$P$14,3,FALSE))),1,0)</f>
        <v>0</v>
      </c>
    </row>
    <row r="31" spans="1:43" x14ac:dyDescent="0.25">
      <c r="A31" t="s">
        <v>48</v>
      </c>
      <c r="B31" t="s">
        <v>39</v>
      </c>
      <c r="C31">
        <v>0</v>
      </c>
      <c r="D31">
        <f>IF(AND(VLOOKUP(D$1,'40Trips'!$A$3:$I$42,8,FALSE) - VLOOKUP($B31,'40Trips'!$A$3:$I$42,9,FALSE) &gt;= ('40Trips'!$B$43+VLOOKUP(VLOOKUP($B31,'40Trips'!$A$3:$I$42,4,FALSE),'40Trips'!$J$11:$P$14,3,FALSE))),1,0)</f>
        <v>0</v>
      </c>
      <c r="E31">
        <f>IF(AND(VLOOKUP(E$1,'40Trips'!$A$3:$I$42,8,FALSE) - VLOOKUP($B31,'40Trips'!$A$3:$I$42,9,FALSE) &gt;= ('40Trips'!$B$43+VLOOKUP(VLOOKUP($B31,'40Trips'!$A$3:$I$42,4,FALSE),'40Trips'!$J$11:$P$14,3,FALSE))),1,0)</f>
        <v>1</v>
      </c>
      <c r="F31">
        <f>IF(AND(VLOOKUP(F$1,'40Trips'!$A$3:$I$42,8,FALSE) - VLOOKUP($B31,'40Trips'!$A$3:$I$42,9,FALSE) &gt;= ('40Trips'!$B$43+VLOOKUP(VLOOKUP($B31,'40Trips'!$A$3:$I$42,4,FALSE),'40Trips'!$J$11:$P$14,3,FALSE))),1,0)</f>
        <v>1</v>
      </c>
      <c r="G31">
        <f>IF(AND(VLOOKUP(G$1,'40Trips'!$A$3:$I$42,8,FALSE) - VLOOKUP($B31,'40Trips'!$A$3:$I$42,9,FALSE) &gt;= ('40Trips'!$B$43+VLOOKUP(VLOOKUP($B31,'40Trips'!$A$3:$I$42,4,FALSE),'40Trips'!$J$11:$P$14,3,FALSE))),1,0)</f>
        <v>1</v>
      </c>
      <c r="H31">
        <f>IF(AND(VLOOKUP(H$1,'40Trips'!$A$3:$I$42,8,FALSE) - VLOOKUP($B31,'40Trips'!$A$3:$I$42,9,FALSE) &gt;= ('40Trips'!$B$43+VLOOKUP(VLOOKUP($B31,'40Trips'!$A$3:$I$42,4,FALSE),'40Trips'!$J$11:$P$14,3,FALSE))),1,0)</f>
        <v>0</v>
      </c>
      <c r="I31">
        <f>IF(AND(VLOOKUP(I$1,'40Trips'!$A$3:$I$42,8,FALSE) - VLOOKUP($B31,'40Trips'!$A$3:$I$42,9,FALSE) &gt;= ('40Trips'!$B$43+VLOOKUP(VLOOKUP($B31,'40Trips'!$A$3:$I$42,4,FALSE),'40Trips'!$J$11:$P$14,3,FALSE))),1,0)</f>
        <v>1</v>
      </c>
      <c r="J31">
        <f>IF(AND(VLOOKUP(J$1,'40Trips'!$A$3:$I$42,8,FALSE) - VLOOKUP($B31,'40Trips'!$A$3:$I$42,9,FALSE) &gt;= ('40Trips'!$B$43+VLOOKUP(VLOOKUP($B31,'40Trips'!$A$3:$I$42,4,FALSE),'40Trips'!$J$11:$P$14,3,FALSE))),1,0)</f>
        <v>1</v>
      </c>
      <c r="K31">
        <f>IF(AND(VLOOKUP(K$1,'40Trips'!$A$3:$I$42,8,FALSE) - VLOOKUP($B31,'40Trips'!$A$3:$I$42,9,FALSE) &gt;= ('40Trips'!$B$43+VLOOKUP(VLOOKUP($B31,'40Trips'!$A$3:$I$42,4,FALSE),'40Trips'!$J$11:$P$14,3,FALSE))),1,0)</f>
        <v>1</v>
      </c>
      <c r="L31">
        <f>IF(AND(VLOOKUP(L$1,'40Trips'!$A$3:$I$42,8,FALSE) - VLOOKUP($B31,'40Trips'!$A$3:$I$42,9,FALSE) &gt;= ('40Trips'!$B$43+VLOOKUP(VLOOKUP($B31,'40Trips'!$A$3:$I$42,4,FALSE),'40Trips'!$J$11:$P$14,3,FALSE))),1,0)</f>
        <v>0</v>
      </c>
      <c r="M31">
        <f>IF(AND(VLOOKUP(M$1,'40Trips'!$A$3:$I$42,8,FALSE) - VLOOKUP($B31,'40Trips'!$A$3:$I$42,9,FALSE) &gt;= ('40Trips'!$B$43+VLOOKUP(VLOOKUP($B31,'40Trips'!$A$3:$I$42,4,FALSE),'40Trips'!$J$11:$P$14,3,FALSE))),1,0)</f>
        <v>0</v>
      </c>
      <c r="N31">
        <f>IF(AND(VLOOKUP(N$1,'40Trips'!$A$3:$I$42,8,FALSE) - VLOOKUP($B31,'40Trips'!$A$3:$I$42,9,FALSE) &gt;= ('40Trips'!$B$43+VLOOKUP(VLOOKUP($B31,'40Trips'!$A$3:$I$42,4,FALSE),'40Trips'!$J$11:$P$14,3,FALSE))),1,0)</f>
        <v>1</v>
      </c>
      <c r="O31">
        <f>IF(AND(VLOOKUP(O$1,'40Trips'!$A$3:$I$42,8,FALSE) - VLOOKUP($B31,'40Trips'!$A$3:$I$42,9,FALSE) &gt;= ('40Trips'!$B$43+VLOOKUP(VLOOKUP($B31,'40Trips'!$A$3:$I$42,4,FALSE),'40Trips'!$J$11:$P$14,3,FALSE))),1,0)</f>
        <v>0</v>
      </c>
      <c r="P31">
        <f>IF(AND(VLOOKUP(P$1,'40Trips'!$A$3:$I$42,8,FALSE) - VLOOKUP($B31,'40Trips'!$A$3:$I$42,9,FALSE) &gt;= ('40Trips'!$B$43+VLOOKUP(VLOOKUP($B31,'40Trips'!$A$3:$I$42,4,FALSE),'40Trips'!$J$11:$P$14,3,FALSE))),1,0)</f>
        <v>0</v>
      </c>
      <c r="Q31">
        <f>IF(AND(VLOOKUP(Q$1,'40Trips'!$A$3:$I$42,8,FALSE) - VLOOKUP($B31,'40Trips'!$A$3:$I$42,9,FALSE) &gt;= ('40Trips'!$B$43+VLOOKUP(VLOOKUP($B31,'40Trips'!$A$3:$I$42,4,FALSE),'40Trips'!$J$11:$P$14,3,FALSE))),1,0)</f>
        <v>1</v>
      </c>
      <c r="R31">
        <f>IF(AND(VLOOKUP(R$1,'40Trips'!$A$3:$I$42,8,FALSE) - VLOOKUP($B31,'40Trips'!$A$3:$I$42,9,FALSE) &gt;= ('40Trips'!$B$43+VLOOKUP(VLOOKUP($B31,'40Trips'!$A$3:$I$42,4,FALSE),'40Trips'!$J$11:$P$14,3,FALSE))),1,0)</f>
        <v>1</v>
      </c>
      <c r="S31">
        <f>IF(AND(VLOOKUP(S$1,'40Trips'!$A$3:$I$42,8,FALSE) - VLOOKUP($B31,'40Trips'!$A$3:$I$42,9,FALSE) &gt;= ('40Trips'!$B$43+VLOOKUP(VLOOKUP($B31,'40Trips'!$A$3:$I$42,4,FALSE),'40Trips'!$J$11:$P$14,3,FALSE))),1,0)</f>
        <v>1</v>
      </c>
      <c r="T31">
        <f>IF(AND(VLOOKUP(T$1,'40Trips'!$A$3:$I$42,8,FALSE) - VLOOKUP($B31,'40Trips'!$A$3:$I$42,9,FALSE) &gt;= ('40Trips'!$B$43+VLOOKUP(VLOOKUP($B31,'40Trips'!$A$3:$I$42,4,FALSE),'40Trips'!$J$11:$P$14,3,FALSE))),1,0)</f>
        <v>0</v>
      </c>
      <c r="U31">
        <f>IF(AND(VLOOKUP(U$1,'40Trips'!$A$3:$I$42,8,FALSE) - VLOOKUP($B31,'40Trips'!$A$3:$I$42,9,FALSE) &gt;= ('40Trips'!$B$43+VLOOKUP(VLOOKUP($B31,'40Trips'!$A$3:$I$42,4,FALSE),'40Trips'!$J$11:$P$14,3,FALSE))),1,0)</f>
        <v>0</v>
      </c>
      <c r="V31">
        <f>IF(AND(VLOOKUP(V$1,'40Trips'!$A$3:$I$42,8,FALSE) - VLOOKUP($B31,'40Trips'!$A$3:$I$42,9,FALSE) &gt;= ('40Trips'!$B$43+VLOOKUP(VLOOKUP($B31,'40Trips'!$A$3:$I$42,4,FALSE),'40Trips'!$J$11:$P$14,3,FALSE))),1,0)</f>
        <v>1</v>
      </c>
      <c r="W31">
        <f>IF(AND(VLOOKUP(W$1,'40Trips'!$A$3:$I$42,8,FALSE) - VLOOKUP($B31,'40Trips'!$A$3:$I$42,9,FALSE) &gt;= ('40Trips'!$B$43+VLOOKUP(VLOOKUP($B31,'40Trips'!$A$3:$I$42,4,FALSE),'40Trips'!$J$11:$P$14,3,FALSE))),1,0)</f>
        <v>1</v>
      </c>
      <c r="X31">
        <f>IF(AND(VLOOKUP(X$1,'40Trips'!$A$3:$I$42,8,FALSE) - VLOOKUP($B31,'40Trips'!$A$3:$I$42,9,FALSE) &gt;= ('40Trips'!$B$43+VLOOKUP(VLOOKUP($B31,'40Trips'!$A$3:$I$42,4,FALSE),'40Trips'!$J$11:$P$14,3,FALSE))),1,0)</f>
        <v>0</v>
      </c>
      <c r="Y31">
        <f>IF(AND(VLOOKUP(Y$1,'40Trips'!$A$3:$I$42,8,FALSE) - VLOOKUP($B31,'40Trips'!$A$3:$I$42,9,FALSE) &gt;= ('40Trips'!$B$43+VLOOKUP(VLOOKUP($B31,'40Trips'!$A$3:$I$42,4,FALSE),'40Trips'!$J$11:$P$14,3,FALSE))),1,0)</f>
        <v>1</v>
      </c>
      <c r="Z31">
        <f>IF(AND(VLOOKUP(Z$1,'40Trips'!$A$3:$I$42,8,FALSE) - VLOOKUP($B31,'40Trips'!$A$3:$I$42,9,FALSE) &gt;= ('40Trips'!$B$43+VLOOKUP(VLOOKUP($B31,'40Trips'!$A$3:$I$42,4,FALSE),'40Trips'!$J$11:$P$14,3,FALSE))),1,0)</f>
        <v>1</v>
      </c>
      <c r="AA31">
        <f>IF(AND(VLOOKUP(AA$1,'40Trips'!$A$3:$I$42,8,FALSE) - VLOOKUP($B31,'40Trips'!$A$3:$I$42,9,FALSE) &gt;= ('40Trips'!$B$43+VLOOKUP(VLOOKUP($B31,'40Trips'!$A$3:$I$42,4,FALSE),'40Trips'!$J$11:$P$14,3,FALSE))),1,0)</f>
        <v>1</v>
      </c>
      <c r="AB31">
        <f>IF(AND(VLOOKUP(AB$1,'40Trips'!$A$3:$I$42,8,FALSE) - VLOOKUP($B31,'40Trips'!$A$3:$I$42,9,FALSE) &gt;= ('40Trips'!$B$43+VLOOKUP(VLOOKUP($B31,'40Trips'!$A$3:$I$42,4,FALSE),'40Trips'!$J$11:$P$14,3,FALSE))),1,0)</f>
        <v>0</v>
      </c>
      <c r="AC31">
        <f>IF(AND(VLOOKUP(AC$1,'40Trips'!$A$3:$I$42,8,FALSE) - VLOOKUP($B31,'40Trips'!$A$3:$I$42,9,FALSE) &gt;= ('40Trips'!$B$43+VLOOKUP(VLOOKUP($B31,'40Trips'!$A$3:$I$42,4,FALSE),'40Trips'!$J$11:$P$14,3,FALSE))),1,0)</f>
        <v>0</v>
      </c>
      <c r="AD31">
        <f>IF(AND(VLOOKUP(AD$1,'40Trips'!$A$3:$I$42,8,FALSE) - VLOOKUP($B31,'40Trips'!$A$3:$I$42,9,FALSE) &gt;= ('40Trips'!$B$43+VLOOKUP(VLOOKUP($B31,'40Trips'!$A$3:$I$42,4,FALSE),'40Trips'!$J$11:$P$14,3,FALSE))),1,0)</f>
        <v>1</v>
      </c>
      <c r="AE31">
        <f>IF(AND(VLOOKUP(AE$1,'40Trips'!$A$3:$I$42,8,FALSE) - VLOOKUP($B31,'40Trips'!$A$3:$I$42,9,FALSE) &gt;= ('40Trips'!$B$43+VLOOKUP(VLOOKUP($B31,'40Trips'!$A$3:$I$42,4,FALSE),'40Trips'!$J$11:$P$14,3,FALSE))),1,0)</f>
        <v>1</v>
      </c>
      <c r="AF31">
        <f>IF(AND(VLOOKUP(AF$1,'40Trips'!$A$3:$I$42,8,FALSE) - VLOOKUP($B31,'40Trips'!$A$3:$I$42,9,FALSE) &gt;= ('40Trips'!$B$43+VLOOKUP(VLOOKUP($B31,'40Trips'!$A$3:$I$42,4,FALSE),'40Trips'!$J$11:$P$14,3,FALSE))),1,0)</f>
        <v>0</v>
      </c>
      <c r="AG31">
        <f>IF(AND(VLOOKUP(AG$1,'40Trips'!$A$3:$I$42,8,FALSE) - VLOOKUP($B31,'40Trips'!$A$3:$I$42,9,FALSE) &gt;= ('40Trips'!$B$43+VLOOKUP(VLOOKUP($B31,'40Trips'!$A$3:$I$42,4,FALSE),'40Trips'!$J$11:$P$14,3,FALSE))),1,0)</f>
        <v>0</v>
      </c>
      <c r="AH31">
        <f>IF(AND(VLOOKUP(AH$1,'40Trips'!$A$3:$I$42,8,FALSE) - VLOOKUP($B31,'40Trips'!$A$3:$I$42,9,FALSE) &gt;= ('40Trips'!$B$43+VLOOKUP(VLOOKUP($B31,'40Trips'!$A$3:$I$42,4,FALSE),'40Trips'!$J$11:$P$14,3,FALSE))),1,0)</f>
        <v>0</v>
      </c>
      <c r="AI31">
        <f>IF(AND(VLOOKUP(AI$1,'40Trips'!$A$3:$I$42,8,FALSE) - VLOOKUP($B31,'40Trips'!$A$3:$I$42,9,FALSE) &gt;= ('40Trips'!$B$43+VLOOKUP(VLOOKUP($B31,'40Trips'!$A$3:$I$42,4,FALSE),'40Trips'!$J$11:$P$14,3,FALSE))),1,0)</f>
        <v>1</v>
      </c>
      <c r="AJ31">
        <f>IF(AND(VLOOKUP(AJ$1,'40Trips'!$A$3:$I$42,8,FALSE) - VLOOKUP($B31,'40Trips'!$A$3:$I$42,9,FALSE) &gt;= ('40Trips'!$B$43+VLOOKUP(VLOOKUP($B31,'40Trips'!$A$3:$I$42,4,FALSE),'40Trips'!$J$11:$P$14,3,FALSE))),1,0)</f>
        <v>1</v>
      </c>
      <c r="AK31">
        <f>IF(AND(VLOOKUP(AK$1,'40Trips'!$A$3:$I$42,8,FALSE) - VLOOKUP($B31,'40Trips'!$A$3:$I$42,9,FALSE) &gt;= ('40Trips'!$B$43+VLOOKUP(VLOOKUP($B31,'40Trips'!$A$3:$I$42,4,FALSE),'40Trips'!$J$11:$P$14,3,FALSE))),1,0)</f>
        <v>1</v>
      </c>
      <c r="AL31">
        <f>IF(AND(VLOOKUP(AL$1,'40Trips'!$A$3:$I$42,8,FALSE) - VLOOKUP($B31,'40Trips'!$A$3:$I$42,9,FALSE) &gt;= ('40Trips'!$B$43+VLOOKUP(VLOOKUP($B31,'40Trips'!$A$3:$I$42,4,FALSE),'40Trips'!$J$11:$P$14,3,FALSE))),1,0)</f>
        <v>1</v>
      </c>
      <c r="AM31">
        <f>IF(AND(VLOOKUP(AM$1,'40Trips'!$A$3:$I$42,8,FALSE) - VLOOKUP($B31,'40Trips'!$A$3:$I$42,9,FALSE) &gt;= ('40Trips'!$B$43+VLOOKUP(VLOOKUP($B31,'40Trips'!$A$3:$I$42,4,FALSE),'40Trips'!$J$11:$P$14,3,FALSE))),1,0)</f>
        <v>1</v>
      </c>
      <c r="AN31">
        <f>IF(AND(VLOOKUP(AN$1,'40Trips'!$A$3:$I$42,8,FALSE) - VLOOKUP($B31,'40Trips'!$A$3:$I$42,9,FALSE) &gt;= ('40Trips'!$B$43+VLOOKUP(VLOOKUP($B31,'40Trips'!$A$3:$I$42,4,FALSE),'40Trips'!$J$11:$P$14,3,FALSE))),1,0)</f>
        <v>0</v>
      </c>
      <c r="AO31">
        <f>IF(AND(VLOOKUP(AO$1,'40Trips'!$A$3:$I$42,8,FALSE) - VLOOKUP($B31,'40Trips'!$A$3:$I$42,9,FALSE) &gt;= ('40Trips'!$B$43+VLOOKUP(VLOOKUP($B31,'40Trips'!$A$3:$I$42,4,FALSE),'40Trips'!$J$11:$P$14,3,FALSE))),1,0)</f>
        <v>1</v>
      </c>
      <c r="AP31">
        <f>IF(AND(VLOOKUP(AP$1,'40Trips'!$A$3:$I$42,8,FALSE) - VLOOKUP($B31,'40Trips'!$A$3:$I$42,9,FALSE) &gt;= ('40Trips'!$B$43+VLOOKUP(VLOOKUP($B31,'40Trips'!$A$3:$I$42,4,FALSE),'40Trips'!$J$11:$P$14,3,FALSE))),1,0)</f>
        <v>1</v>
      </c>
      <c r="AQ31">
        <f>IF(AND(VLOOKUP(AQ$1,'40Trips'!$A$3:$I$42,8,FALSE) - VLOOKUP($B31,'40Trips'!$A$3:$I$42,9,FALSE) &gt;= ('40Trips'!$B$43+VLOOKUP(VLOOKUP($B31,'40Trips'!$A$3:$I$42,4,FALSE),'40Trips'!$J$11:$P$14,3,FALSE))),1,0)</f>
        <v>1</v>
      </c>
    </row>
    <row r="32" spans="1:43" x14ac:dyDescent="0.25">
      <c r="A32" t="s">
        <v>48</v>
      </c>
      <c r="B32" t="s">
        <v>83</v>
      </c>
      <c r="C32">
        <v>0</v>
      </c>
      <c r="D32">
        <f>IF(AND(VLOOKUP(D$1,'40Trips'!$A$3:$I$42,8,FALSE) - VLOOKUP($B32,'40Trips'!$A$3:$I$42,9,FALSE) &gt;= ('40Trips'!$B$43+VLOOKUP(VLOOKUP($B32,'40Trips'!$A$3:$I$42,4,FALSE),'40Trips'!$J$11:$P$14,3,FALSE))),1,0)</f>
        <v>0</v>
      </c>
      <c r="E32">
        <f>IF(AND(VLOOKUP(E$1,'40Trips'!$A$3:$I$42,8,FALSE) - VLOOKUP($B32,'40Trips'!$A$3:$I$42,9,FALSE) &gt;= ('40Trips'!$B$43+VLOOKUP(VLOOKUP($B32,'40Trips'!$A$3:$I$42,4,FALSE),'40Trips'!$J$11:$P$14,3,FALSE))),1,0)</f>
        <v>0</v>
      </c>
      <c r="F32">
        <f>IF(AND(VLOOKUP(F$1,'40Trips'!$A$3:$I$42,8,FALSE) - VLOOKUP($B32,'40Trips'!$A$3:$I$42,9,FALSE) &gt;= ('40Trips'!$B$43+VLOOKUP(VLOOKUP($B32,'40Trips'!$A$3:$I$42,4,FALSE),'40Trips'!$J$11:$P$14,3,FALSE))),1,0)</f>
        <v>1</v>
      </c>
      <c r="G32">
        <f>IF(AND(VLOOKUP(G$1,'40Trips'!$A$3:$I$42,8,FALSE) - VLOOKUP($B32,'40Trips'!$A$3:$I$42,9,FALSE) &gt;= ('40Trips'!$B$43+VLOOKUP(VLOOKUP($B32,'40Trips'!$A$3:$I$42,4,FALSE),'40Trips'!$J$11:$P$14,3,FALSE))),1,0)</f>
        <v>1</v>
      </c>
      <c r="H32">
        <f>IF(AND(VLOOKUP(H$1,'40Trips'!$A$3:$I$42,8,FALSE) - VLOOKUP($B32,'40Trips'!$A$3:$I$42,9,FALSE) &gt;= ('40Trips'!$B$43+VLOOKUP(VLOOKUP($B32,'40Trips'!$A$3:$I$42,4,FALSE),'40Trips'!$J$11:$P$14,3,FALSE))),1,0)</f>
        <v>0</v>
      </c>
      <c r="I32">
        <f>IF(AND(VLOOKUP(I$1,'40Trips'!$A$3:$I$42,8,FALSE) - VLOOKUP($B32,'40Trips'!$A$3:$I$42,9,FALSE) &gt;= ('40Trips'!$B$43+VLOOKUP(VLOOKUP($B32,'40Trips'!$A$3:$I$42,4,FALSE),'40Trips'!$J$11:$P$14,3,FALSE))),1,0)</f>
        <v>0</v>
      </c>
      <c r="J32">
        <f>IF(AND(VLOOKUP(J$1,'40Trips'!$A$3:$I$42,8,FALSE) - VLOOKUP($B32,'40Trips'!$A$3:$I$42,9,FALSE) &gt;= ('40Trips'!$B$43+VLOOKUP(VLOOKUP($B32,'40Trips'!$A$3:$I$42,4,FALSE),'40Trips'!$J$11:$P$14,3,FALSE))),1,0)</f>
        <v>1</v>
      </c>
      <c r="K32">
        <f>IF(AND(VLOOKUP(K$1,'40Trips'!$A$3:$I$42,8,FALSE) - VLOOKUP($B32,'40Trips'!$A$3:$I$42,9,FALSE) &gt;= ('40Trips'!$B$43+VLOOKUP(VLOOKUP($B32,'40Trips'!$A$3:$I$42,4,FALSE),'40Trips'!$J$11:$P$14,3,FALSE))),1,0)</f>
        <v>1</v>
      </c>
      <c r="L32">
        <f>IF(AND(VLOOKUP(L$1,'40Trips'!$A$3:$I$42,8,FALSE) - VLOOKUP($B32,'40Trips'!$A$3:$I$42,9,FALSE) &gt;= ('40Trips'!$B$43+VLOOKUP(VLOOKUP($B32,'40Trips'!$A$3:$I$42,4,FALSE),'40Trips'!$J$11:$P$14,3,FALSE))),1,0)</f>
        <v>0</v>
      </c>
      <c r="M32">
        <f>IF(AND(VLOOKUP(M$1,'40Trips'!$A$3:$I$42,8,FALSE) - VLOOKUP($B32,'40Trips'!$A$3:$I$42,9,FALSE) &gt;= ('40Trips'!$B$43+VLOOKUP(VLOOKUP($B32,'40Trips'!$A$3:$I$42,4,FALSE),'40Trips'!$J$11:$P$14,3,FALSE))),1,0)</f>
        <v>0</v>
      </c>
      <c r="N32">
        <f>IF(AND(VLOOKUP(N$1,'40Trips'!$A$3:$I$42,8,FALSE) - VLOOKUP($B32,'40Trips'!$A$3:$I$42,9,FALSE) &gt;= ('40Trips'!$B$43+VLOOKUP(VLOOKUP($B32,'40Trips'!$A$3:$I$42,4,FALSE),'40Trips'!$J$11:$P$14,3,FALSE))),1,0)</f>
        <v>1</v>
      </c>
      <c r="O32">
        <f>IF(AND(VLOOKUP(O$1,'40Trips'!$A$3:$I$42,8,FALSE) - VLOOKUP($B32,'40Trips'!$A$3:$I$42,9,FALSE) &gt;= ('40Trips'!$B$43+VLOOKUP(VLOOKUP($B32,'40Trips'!$A$3:$I$42,4,FALSE),'40Trips'!$J$11:$P$14,3,FALSE))),1,0)</f>
        <v>0</v>
      </c>
      <c r="P32">
        <f>IF(AND(VLOOKUP(P$1,'40Trips'!$A$3:$I$42,8,FALSE) - VLOOKUP($B32,'40Trips'!$A$3:$I$42,9,FALSE) &gt;= ('40Trips'!$B$43+VLOOKUP(VLOOKUP($B32,'40Trips'!$A$3:$I$42,4,FALSE),'40Trips'!$J$11:$P$14,3,FALSE))),1,0)</f>
        <v>0</v>
      </c>
      <c r="Q32">
        <f>IF(AND(VLOOKUP(Q$1,'40Trips'!$A$3:$I$42,8,FALSE) - VLOOKUP($B32,'40Trips'!$A$3:$I$42,9,FALSE) &gt;= ('40Trips'!$B$43+VLOOKUP(VLOOKUP($B32,'40Trips'!$A$3:$I$42,4,FALSE),'40Trips'!$J$11:$P$14,3,FALSE))),1,0)</f>
        <v>0</v>
      </c>
      <c r="R32">
        <f>IF(AND(VLOOKUP(R$1,'40Trips'!$A$3:$I$42,8,FALSE) - VLOOKUP($B32,'40Trips'!$A$3:$I$42,9,FALSE) &gt;= ('40Trips'!$B$43+VLOOKUP(VLOOKUP($B32,'40Trips'!$A$3:$I$42,4,FALSE),'40Trips'!$J$11:$P$14,3,FALSE))),1,0)</f>
        <v>1</v>
      </c>
      <c r="S32">
        <f>IF(AND(VLOOKUP(S$1,'40Trips'!$A$3:$I$42,8,FALSE) - VLOOKUP($B32,'40Trips'!$A$3:$I$42,9,FALSE) &gt;= ('40Trips'!$B$43+VLOOKUP(VLOOKUP($B32,'40Trips'!$A$3:$I$42,4,FALSE),'40Trips'!$J$11:$P$14,3,FALSE))),1,0)</f>
        <v>1</v>
      </c>
      <c r="T32">
        <f>IF(AND(VLOOKUP(T$1,'40Trips'!$A$3:$I$42,8,FALSE) - VLOOKUP($B32,'40Trips'!$A$3:$I$42,9,FALSE) &gt;= ('40Trips'!$B$43+VLOOKUP(VLOOKUP($B32,'40Trips'!$A$3:$I$42,4,FALSE),'40Trips'!$J$11:$P$14,3,FALSE))),1,0)</f>
        <v>0</v>
      </c>
      <c r="U32">
        <f>IF(AND(VLOOKUP(U$1,'40Trips'!$A$3:$I$42,8,FALSE) - VLOOKUP($B32,'40Trips'!$A$3:$I$42,9,FALSE) &gt;= ('40Trips'!$B$43+VLOOKUP(VLOOKUP($B32,'40Trips'!$A$3:$I$42,4,FALSE),'40Trips'!$J$11:$P$14,3,FALSE))),1,0)</f>
        <v>0</v>
      </c>
      <c r="V32">
        <f>IF(AND(VLOOKUP(V$1,'40Trips'!$A$3:$I$42,8,FALSE) - VLOOKUP($B32,'40Trips'!$A$3:$I$42,9,FALSE) &gt;= ('40Trips'!$B$43+VLOOKUP(VLOOKUP($B32,'40Trips'!$A$3:$I$42,4,FALSE),'40Trips'!$J$11:$P$14,3,FALSE))),1,0)</f>
        <v>1</v>
      </c>
      <c r="W32">
        <f>IF(AND(VLOOKUP(W$1,'40Trips'!$A$3:$I$42,8,FALSE) - VLOOKUP($B32,'40Trips'!$A$3:$I$42,9,FALSE) &gt;= ('40Trips'!$B$43+VLOOKUP(VLOOKUP($B32,'40Trips'!$A$3:$I$42,4,FALSE),'40Trips'!$J$11:$P$14,3,FALSE))),1,0)</f>
        <v>1</v>
      </c>
      <c r="X32">
        <f>IF(AND(VLOOKUP(X$1,'40Trips'!$A$3:$I$42,8,FALSE) - VLOOKUP($B32,'40Trips'!$A$3:$I$42,9,FALSE) &gt;= ('40Trips'!$B$43+VLOOKUP(VLOOKUP($B32,'40Trips'!$A$3:$I$42,4,FALSE),'40Trips'!$J$11:$P$14,3,FALSE))),1,0)</f>
        <v>0</v>
      </c>
      <c r="Y32">
        <f>IF(AND(VLOOKUP(Y$1,'40Trips'!$A$3:$I$42,8,FALSE) - VLOOKUP($B32,'40Trips'!$A$3:$I$42,9,FALSE) &gt;= ('40Trips'!$B$43+VLOOKUP(VLOOKUP($B32,'40Trips'!$A$3:$I$42,4,FALSE),'40Trips'!$J$11:$P$14,3,FALSE))),1,0)</f>
        <v>0</v>
      </c>
      <c r="Z32">
        <f>IF(AND(VLOOKUP(Z$1,'40Trips'!$A$3:$I$42,8,FALSE) - VLOOKUP($B32,'40Trips'!$A$3:$I$42,9,FALSE) &gt;= ('40Trips'!$B$43+VLOOKUP(VLOOKUP($B32,'40Trips'!$A$3:$I$42,4,FALSE),'40Trips'!$J$11:$P$14,3,FALSE))),1,0)</f>
        <v>1</v>
      </c>
      <c r="AA32">
        <f>IF(AND(VLOOKUP(AA$1,'40Trips'!$A$3:$I$42,8,FALSE) - VLOOKUP($B32,'40Trips'!$A$3:$I$42,9,FALSE) &gt;= ('40Trips'!$B$43+VLOOKUP(VLOOKUP($B32,'40Trips'!$A$3:$I$42,4,FALSE),'40Trips'!$J$11:$P$14,3,FALSE))),1,0)</f>
        <v>1</v>
      </c>
      <c r="AB32">
        <f>IF(AND(VLOOKUP(AB$1,'40Trips'!$A$3:$I$42,8,FALSE) - VLOOKUP($B32,'40Trips'!$A$3:$I$42,9,FALSE) &gt;= ('40Trips'!$B$43+VLOOKUP(VLOOKUP($B32,'40Trips'!$A$3:$I$42,4,FALSE),'40Trips'!$J$11:$P$14,3,FALSE))),1,0)</f>
        <v>0</v>
      </c>
      <c r="AC32">
        <f>IF(AND(VLOOKUP(AC$1,'40Trips'!$A$3:$I$42,8,FALSE) - VLOOKUP($B32,'40Trips'!$A$3:$I$42,9,FALSE) &gt;= ('40Trips'!$B$43+VLOOKUP(VLOOKUP($B32,'40Trips'!$A$3:$I$42,4,FALSE),'40Trips'!$J$11:$P$14,3,FALSE))),1,0)</f>
        <v>0</v>
      </c>
      <c r="AD32">
        <f>IF(AND(VLOOKUP(AD$1,'40Trips'!$A$3:$I$42,8,FALSE) - VLOOKUP($B32,'40Trips'!$A$3:$I$42,9,FALSE) &gt;= ('40Trips'!$B$43+VLOOKUP(VLOOKUP($B32,'40Trips'!$A$3:$I$42,4,FALSE),'40Trips'!$J$11:$P$14,3,FALSE))),1,0)</f>
        <v>1</v>
      </c>
      <c r="AE32">
        <f>IF(AND(VLOOKUP(AE$1,'40Trips'!$A$3:$I$42,8,FALSE) - VLOOKUP($B32,'40Trips'!$A$3:$I$42,9,FALSE) &gt;= ('40Trips'!$B$43+VLOOKUP(VLOOKUP($B32,'40Trips'!$A$3:$I$42,4,FALSE),'40Trips'!$J$11:$P$14,3,FALSE))),1,0)</f>
        <v>1</v>
      </c>
      <c r="AF32">
        <f>IF(AND(VLOOKUP(AF$1,'40Trips'!$A$3:$I$42,8,FALSE) - VLOOKUP($B32,'40Trips'!$A$3:$I$42,9,FALSE) &gt;= ('40Trips'!$B$43+VLOOKUP(VLOOKUP($B32,'40Trips'!$A$3:$I$42,4,FALSE),'40Trips'!$J$11:$P$14,3,FALSE))),1,0)</f>
        <v>0</v>
      </c>
      <c r="AG32">
        <f>IF(AND(VLOOKUP(AG$1,'40Trips'!$A$3:$I$42,8,FALSE) - VLOOKUP($B32,'40Trips'!$A$3:$I$42,9,FALSE) &gt;= ('40Trips'!$B$43+VLOOKUP(VLOOKUP($B32,'40Trips'!$A$3:$I$42,4,FALSE),'40Trips'!$J$11:$P$14,3,FALSE))),1,0)</f>
        <v>0</v>
      </c>
      <c r="AH32">
        <f>IF(AND(VLOOKUP(AH$1,'40Trips'!$A$3:$I$42,8,FALSE) - VLOOKUP($B32,'40Trips'!$A$3:$I$42,9,FALSE) &gt;= ('40Trips'!$B$43+VLOOKUP(VLOOKUP($B32,'40Trips'!$A$3:$I$42,4,FALSE),'40Trips'!$J$11:$P$14,3,FALSE))),1,0)</f>
        <v>0</v>
      </c>
      <c r="AI32">
        <f>IF(AND(VLOOKUP(AI$1,'40Trips'!$A$3:$I$42,8,FALSE) - VLOOKUP($B32,'40Trips'!$A$3:$I$42,9,FALSE) &gt;= ('40Trips'!$B$43+VLOOKUP(VLOOKUP($B32,'40Trips'!$A$3:$I$42,4,FALSE),'40Trips'!$J$11:$P$14,3,FALSE))),1,0)</f>
        <v>1</v>
      </c>
      <c r="AJ32">
        <f>IF(AND(VLOOKUP(AJ$1,'40Trips'!$A$3:$I$42,8,FALSE) - VLOOKUP($B32,'40Trips'!$A$3:$I$42,9,FALSE) &gt;= ('40Trips'!$B$43+VLOOKUP(VLOOKUP($B32,'40Trips'!$A$3:$I$42,4,FALSE),'40Trips'!$J$11:$P$14,3,FALSE))),1,0)</f>
        <v>0</v>
      </c>
      <c r="AK32">
        <f>IF(AND(VLOOKUP(AK$1,'40Trips'!$A$3:$I$42,8,FALSE) - VLOOKUP($B32,'40Trips'!$A$3:$I$42,9,FALSE) &gt;= ('40Trips'!$B$43+VLOOKUP(VLOOKUP($B32,'40Trips'!$A$3:$I$42,4,FALSE),'40Trips'!$J$11:$P$14,3,FALSE))),1,0)</f>
        <v>0</v>
      </c>
      <c r="AL32">
        <f>IF(AND(VLOOKUP(AL$1,'40Trips'!$A$3:$I$42,8,FALSE) - VLOOKUP($B32,'40Trips'!$A$3:$I$42,9,FALSE) &gt;= ('40Trips'!$B$43+VLOOKUP(VLOOKUP($B32,'40Trips'!$A$3:$I$42,4,FALSE),'40Trips'!$J$11:$P$14,3,FALSE))),1,0)</f>
        <v>1</v>
      </c>
      <c r="AM32">
        <f>IF(AND(VLOOKUP(AM$1,'40Trips'!$A$3:$I$42,8,FALSE) - VLOOKUP($B32,'40Trips'!$A$3:$I$42,9,FALSE) &gt;= ('40Trips'!$B$43+VLOOKUP(VLOOKUP($B32,'40Trips'!$A$3:$I$42,4,FALSE),'40Trips'!$J$11:$P$14,3,FALSE))),1,0)</f>
        <v>1</v>
      </c>
      <c r="AN32">
        <f>IF(AND(VLOOKUP(AN$1,'40Trips'!$A$3:$I$42,8,FALSE) - VLOOKUP($B32,'40Trips'!$A$3:$I$42,9,FALSE) &gt;= ('40Trips'!$B$43+VLOOKUP(VLOOKUP($B32,'40Trips'!$A$3:$I$42,4,FALSE),'40Trips'!$J$11:$P$14,3,FALSE))),1,0)</f>
        <v>0</v>
      </c>
      <c r="AO32">
        <f>IF(AND(VLOOKUP(AO$1,'40Trips'!$A$3:$I$42,8,FALSE) - VLOOKUP($B32,'40Trips'!$A$3:$I$42,9,FALSE) &gt;= ('40Trips'!$B$43+VLOOKUP(VLOOKUP($B32,'40Trips'!$A$3:$I$42,4,FALSE),'40Trips'!$J$11:$P$14,3,FALSE))),1,0)</f>
        <v>1</v>
      </c>
      <c r="AP32">
        <f>IF(AND(VLOOKUP(AP$1,'40Trips'!$A$3:$I$42,8,FALSE) - VLOOKUP($B32,'40Trips'!$A$3:$I$42,9,FALSE) &gt;= ('40Trips'!$B$43+VLOOKUP(VLOOKUP($B32,'40Trips'!$A$3:$I$42,4,FALSE),'40Trips'!$J$11:$P$14,3,FALSE))),1,0)</f>
        <v>1</v>
      </c>
      <c r="AQ32">
        <f>IF(AND(VLOOKUP(AQ$1,'40Trips'!$A$3:$I$42,8,FALSE) - VLOOKUP($B32,'40Trips'!$A$3:$I$42,9,FALSE) &gt;= ('40Trips'!$B$43+VLOOKUP(VLOOKUP($B32,'40Trips'!$A$3:$I$42,4,FALSE),'40Trips'!$J$11:$P$14,3,FALSE))),1,0)</f>
        <v>1</v>
      </c>
    </row>
    <row r="33" spans="1:43" x14ac:dyDescent="0.25">
      <c r="A33" t="s">
        <v>48</v>
      </c>
      <c r="B33" t="s">
        <v>84</v>
      </c>
      <c r="C33">
        <v>0</v>
      </c>
      <c r="D33">
        <f>IF(AND(VLOOKUP(D$1,'40Trips'!$A$3:$I$42,8,FALSE) - VLOOKUP($B33,'40Trips'!$A$3:$I$42,9,FALSE) &gt;= ('40Trips'!$B$43+VLOOKUP(VLOOKUP($B33,'40Trips'!$A$3:$I$42,4,FALSE),'40Trips'!$J$11:$P$14,3,FALSE))),1,0)</f>
        <v>0</v>
      </c>
      <c r="E33">
        <f>IF(AND(VLOOKUP(E$1,'40Trips'!$A$3:$I$42,8,FALSE) - VLOOKUP($B33,'40Trips'!$A$3:$I$42,9,FALSE) &gt;= ('40Trips'!$B$43+VLOOKUP(VLOOKUP($B33,'40Trips'!$A$3:$I$42,4,FALSE),'40Trips'!$J$11:$P$14,3,FALSE))),1,0)</f>
        <v>0</v>
      </c>
      <c r="F33">
        <f>IF(AND(VLOOKUP(F$1,'40Trips'!$A$3:$I$42,8,FALSE) - VLOOKUP($B33,'40Trips'!$A$3:$I$42,9,FALSE) &gt;= ('40Trips'!$B$43+VLOOKUP(VLOOKUP($B33,'40Trips'!$A$3:$I$42,4,FALSE),'40Trips'!$J$11:$P$14,3,FALSE))),1,0)</f>
        <v>1</v>
      </c>
      <c r="G33">
        <f>IF(AND(VLOOKUP(G$1,'40Trips'!$A$3:$I$42,8,FALSE) - VLOOKUP($B33,'40Trips'!$A$3:$I$42,9,FALSE) &gt;= ('40Trips'!$B$43+VLOOKUP(VLOOKUP($B33,'40Trips'!$A$3:$I$42,4,FALSE),'40Trips'!$J$11:$P$14,3,FALSE))),1,0)</f>
        <v>1</v>
      </c>
      <c r="H33">
        <f>IF(AND(VLOOKUP(H$1,'40Trips'!$A$3:$I$42,8,FALSE) - VLOOKUP($B33,'40Trips'!$A$3:$I$42,9,FALSE) &gt;= ('40Trips'!$B$43+VLOOKUP(VLOOKUP($B33,'40Trips'!$A$3:$I$42,4,FALSE),'40Trips'!$J$11:$P$14,3,FALSE))),1,0)</f>
        <v>0</v>
      </c>
      <c r="I33">
        <f>IF(AND(VLOOKUP(I$1,'40Trips'!$A$3:$I$42,8,FALSE) - VLOOKUP($B33,'40Trips'!$A$3:$I$42,9,FALSE) &gt;= ('40Trips'!$B$43+VLOOKUP(VLOOKUP($B33,'40Trips'!$A$3:$I$42,4,FALSE),'40Trips'!$J$11:$P$14,3,FALSE))),1,0)</f>
        <v>0</v>
      </c>
      <c r="J33">
        <f>IF(AND(VLOOKUP(J$1,'40Trips'!$A$3:$I$42,8,FALSE) - VLOOKUP($B33,'40Trips'!$A$3:$I$42,9,FALSE) &gt;= ('40Trips'!$B$43+VLOOKUP(VLOOKUP($B33,'40Trips'!$A$3:$I$42,4,FALSE),'40Trips'!$J$11:$P$14,3,FALSE))),1,0)</f>
        <v>0</v>
      </c>
      <c r="K33">
        <f>IF(AND(VLOOKUP(K$1,'40Trips'!$A$3:$I$42,8,FALSE) - VLOOKUP($B33,'40Trips'!$A$3:$I$42,9,FALSE) &gt;= ('40Trips'!$B$43+VLOOKUP(VLOOKUP($B33,'40Trips'!$A$3:$I$42,4,FALSE),'40Trips'!$J$11:$P$14,3,FALSE))),1,0)</f>
        <v>1</v>
      </c>
      <c r="L33">
        <f>IF(AND(VLOOKUP(L$1,'40Trips'!$A$3:$I$42,8,FALSE) - VLOOKUP($B33,'40Trips'!$A$3:$I$42,9,FALSE) &gt;= ('40Trips'!$B$43+VLOOKUP(VLOOKUP($B33,'40Trips'!$A$3:$I$42,4,FALSE),'40Trips'!$J$11:$P$14,3,FALSE))),1,0)</f>
        <v>0</v>
      </c>
      <c r="M33">
        <f>IF(AND(VLOOKUP(M$1,'40Trips'!$A$3:$I$42,8,FALSE) - VLOOKUP($B33,'40Trips'!$A$3:$I$42,9,FALSE) &gt;= ('40Trips'!$B$43+VLOOKUP(VLOOKUP($B33,'40Trips'!$A$3:$I$42,4,FALSE),'40Trips'!$J$11:$P$14,3,FALSE))),1,0)</f>
        <v>0</v>
      </c>
      <c r="N33">
        <f>IF(AND(VLOOKUP(N$1,'40Trips'!$A$3:$I$42,8,FALSE) - VLOOKUP($B33,'40Trips'!$A$3:$I$42,9,FALSE) &gt;= ('40Trips'!$B$43+VLOOKUP(VLOOKUP($B33,'40Trips'!$A$3:$I$42,4,FALSE),'40Trips'!$J$11:$P$14,3,FALSE))),1,0)</f>
        <v>0</v>
      </c>
      <c r="O33">
        <f>IF(AND(VLOOKUP(O$1,'40Trips'!$A$3:$I$42,8,FALSE) - VLOOKUP($B33,'40Trips'!$A$3:$I$42,9,FALSE) &gt;= ('40Trips'!$B$43+VLOOKUP(VLOOKUP($B33,'40Trips'!$A$3:$I$42,4,FALSE),'40Trips'!$J$11:$P$14,3,FALSE))),1,0)</f>
        <v>0</v>
      </c>
      <c r="P33">
        <f>IF(AND(VLOOKUP(P$1,'40Trips'!$A$3:$I$42,8,FALSE) - VLOOKUP($B33,'40Trips'!$A$3:$I$42,9,FALSE) &gt;= ('40Trips'!$B$43+VLOOKUP(VLOOKUP($B33,'40Trips'!$A$3:$I$42,4,FALSE),'40Trips'!$J$11:$P$14,3,FALSE))),1,0)</f>
        <v>0</v>
      </c>
      <c r="Q33">
        <f>IF(AND(VLOOKUP(Q$1,'40Trips'!$A$3:$I$42,8,FALSE) - VLOOKUP($B33,'40Trips'!$A$3:$I$42,9,FALSE) &gt;= ('40Trips'!$B$43+VLOOKUP(VLOOKUP($B33,'40Trips'!$A$3:$I$42,4,FALSE),'40Trips'!$J$11:$P$14,3,FALSE))),1,0)</f>
        <v>0</v>
      </c>
      <c r="R33">
        <f>IF(AND(VLOOKUP(R$1,'40Trips'!$A$3:$I$42,8,FALSE) - VLOOKUP($B33,'40Trips'!$A$3:$I$42,9,FALSE) &gt;= ('40Trips'!$B$43+VLOOKUP(VLOOKUP($B33,'40Trips'!$A$3:$I$42,4,FALSE),'40Trips'!$J$11:$P$14,3,FALSE))),1,0)</f>
        <v>0</v>
      </c>
      <c r="S33">
        <f>IF(AND(VLOOKUP(S$1,'40Trips'!$A$3:$I$42,8,FALSE) - VLOOKUP($B33,'40Trips'!$A$3:$I$42,9,FALSE) &gt;= ('40Trips'!$B$43+VLOOKUP(VLOOKUP($B33,'40Trips'!$A$3:$I$42,4,FALSE),'40Trips'!$J$11:$P$14,3,FALSE))),1,0)</f>
        <v>1</v>
      </c>
      <c r="T33">
        <f>IF(AND(VLOOKUP(T$1,'40Trips'!$A$3:$I$42,8,FALSE) - VLOOKUP($B33,'40Trips'!$A$3:$I$42,9,FALSE) &gt;= ('40Trips'!$B$43+VLOOKUP(VLOOKUP($B33,'40Trips'!$A$3:$I$42,4,FALSE),'40Trips'!$J$11:$P$14,3,FALSE))),1,0)</f>
        <v>0</v>
      </c>
      <c r="U33">
        <f>IF(AND(VLOOKUP(U$1,'40Trips'!$A$3:$I$42,8,FALSE) - VLOOKUP($B33,'40Trips'!$A$3:$I$42,9,FALSE) &gt;= ('40Trips'!$B$43+VLOOKUP(VLOOKUP($B33,'40Trips'!$A$3:$I$42,4,FALSE),'40Trips'!$J$11:$P$14,3,FALSE))),1,0)</f>
        <v>0</v>
      </c>
      <c r="V33">
        <f>IF(AND(VLOOKUP(V$1,'40Trips'!$A$3:$I$42,8,FALSE) - VLOOKUP($B33,'40Trips'!$A$3:$I$42,9,FALSE) &gt;= ('40Trips'!$B$43+VLOOKUP(VLOOKUP($B33,'40Trips'!$A$3:$I$42,4,FALSE),'40Trips'!$J$11:$P$14,3,FALSE))),1,0)</f>
        <v>0</v>
      </c>
      <c r="W33">
        <f>IF(AND(VLOOKUP(W$1,'40Trips'!$A$3:$I$42,8,FALSE) - VLOOKUP($B33,'40Trips'!$A$3:$I$42,9,FALSE) &gt;= ('40Trips'!$B$43+VLOOKUP(VLOOKUP($B33,'40Trips'!$A$3:$I$42,4,FALSE),'40Trips'!$J$11:$P$14,3,FALSE))),1,0)</f>
        <v>1</v>
      </c>
      <c r="X33">
        <f>IF(AND(VLOOKUP(X$1,'40Trips'!$A$3:$I$42,8,FALSE) - VLOOKUP($B33,'40Trips'!$A$3:$I$42,9,FALSE) &gt;= ('40Trips'!$B$43+VLOOKUP(VLOOKUP($B33,'40Trips'!$A$3:$I$42,4,FALSE),'40Trips'!$J$11:$P$14,3,FALSE))),1,0)</f>
        <v>0</v>
      </c>
      <c r="Y33">
        <f>IF(AND(VLOOKUP(Y$1,'40Trips'!$A$3:$I$42,8,FALSE) - VLOOKUP($B33,'40Trips'!$A$3:$I$42,9,FALSE) &gt;= ('40Trips'!$B$43+VLOOKUP(VLOOKUP($B33,'40Trips'!$A$3:$I$42,4,FALSE),'40Trips'!$J$11:$P$14,3,FALSE))),1,0)</f>
        <v>0</v>
      </c>
      <c r="Z33">
        <f>IF(AND(VLOOKUP(Z$1,'40Trips'!$A$3:$I$42,8,FALSE) - VLOOKUP($B33,'40Trips'!$A$3:$I$42,9,FALSE) &gt;= ('40Trips'!$B$43+VLOOKUP(VLOOKUP($B33,'40Trips'!$A$3:$I$42,4,FALSE),'40Trips'!$J$11:$P$14,3,FALSE))),1,0)</f>
        <v>1</v>
      </c>
      <c r="AA33">
        <f>IF(AND(VLOOKUP(AA$1,'40Trips'!$A$3:$I$42,8,FALSE) - VLOOKUP($B33,'40Trips'!$A$3:$I$42,9,FALSE) &gt;= ('40Trips'!$B$43+VLOOKUP(VLOOKUP($B33,'40Trips'!$A$3:$I$42,4,FALSE),'40Trips'!$J$11:$P$14,3,FALSE))),1,0)</f>
        <v>1</v>
      </c>
      <c r="AB33">
        <f>IF(AND(VLOOKUP(AB$1,'40Trips'!$A$3:$I$42,8,FALSE) - VLOOKUP($B33,'40Trips'!$A$3:$I$42,9,FALSE) &gt;= ('40Trips'!$B$43+VLOOKUP(VLOOKUP($B33,'40Trips'!$A$3:$I$42,4,FALSE),'40Trips'!$J$11:$P$14,3,FALSE))),1,0)</f>
        <v>0</v>
      </c>
      <c r="AC33">
        <f>IF(AND(VLOOKUP(AC$1,'40Trips'!$A$3:$I$42,8,FALSE) - VLOOKUP($B33,'40Trips'!$A$3:$I$42,9,FALSE) &gt;= ('40Trips'!$B$43+VLOOKUP(VLOOKUP($B33,'40Trips'!$A$3:$I$42,4,FALSE),'40Trips'!$J$11:$P$14,3,FALSE))),1,0)</f>
        <v>0</v>
      </c>
      <c r="AD33">
        <f>IF(AND(VLOOKUP(AD$1,'40Trips'!$A$3:$I$42,8,FALSE) - VLOOKUP($B33,'40Trips'!$A$3:$I$42,9,FALSE) &gt;= ('40Trips'!$B$43+VLOOKUP(VLOOKUP($B33,'40Trips'!$A$3:$I$42,4,FALSE),'40Trips'!$J$11:$P$14,3,FALSE))),1,0)</f>
        <v>1</v>
      </c>
      <c r="AE33">
        <f>IF(AND(VLOOKUP(AE$1,'40Trips'!$A$3:$I$42,8,FALSE) - VLOOKUP($B33,'40Trips'!$A$3:$I$42,9,FALSE) &gt;= ('40Trips'!$B$43+VLOOKUP(VLOOKUP($B33,'40Trips'!$A$3:$I$42,4,FALSE),'40Trips'!$J$11:$P$14,3,FALSE))),1,0)</f>
        <v>1</v>
      </c>
      <c r="AF33">
        <f>IF(AND(VLOOKUP(AF$1,'40Trips'!$A$3:$I$42,8,FALSE) - VLOOKUP($B33,'40Trips'!$A$3:$I$42,9,FALSE) &gt;= ('40Trips'!$B$43+VLOOKUP(VLOOKUP($B33,'40Trips'!$A$3:$I$42,4,FALSE),'40Trips'!$J$11:$P$14,3,FALSE))),1,0)</f>
        <v>0</v>
      </c>
      <c r="AG33">
        <f>IF(AND(VLOOKUP(AG$1,'40Trips'!$A$3:$I$42,8,FALSE) - VLOOKUP($B33,'40Trips'!$A$3:$I$42,9,FALSE) &gt;= ('40Trips'!$B$43+VLOOKUP(VLOOKUP($B33,'40Trips'!$A$3:$I$42,4,FALSE),'40Trips'!$J$11:$P$14,3,FALSE))),1,0)</f>
        <v>0</v>
      </c>
      <c r="AH33">
        <f>IF(AND(VLOOKUP(AH$1,'40Trips'!$A$3:$I$42,8,FALSE) - VLOOKUP($B33,'40Trips'!$A$3:$I$42,9,FALSE) &gt;= ('40Trips'!$B$43+VLOOKUP(VLOOKUP($B33,'40Trips'!$A$3:$I$42,4,FALSE),'40Trips'!$J$11:$P$14,3,FALSE))),1,0)</f>
        <v>0</v>
      </c>
      <c r="AI33">
        <f>IF(AND(VLOOKUP(AI$1,'40Trips'!$A$3:$I$42,8,FALSE) - VLOOKUP($B33,'40Trips'!$A$3:$I$42,9,FALSE) &gt;= ('40Trips'!$B$43+VLOOKUP(VLOOKUP($B33,'40Trips'!$A$3:$I$42,4,FALSE),'40Trips'!$J$11:$P$14,3,FALSE))),1,0)</f>
        <v>0</v>
      </c>
      <c r="AJ33">
        <f>IF(AND(VLOOKUP(AJ$1,'40Trips'!$A$3:$I$42,8,FALSE) - VLOOKUP($B33,'40Trips'!$A$3:$I$42,9,FALSE) &gt;= ('40Trips'!$B$43+VLOOKUP(VLOOKUP($B33,'40Trips'!$A$3:$I$42,4,FALSE),'40Trips'!$J$11:$P$14,3,FALSE))),1,0)</f>
        <v>0</v>
      </c>
      <c r="AK33">
        <f>IF(AND(VLOOKUP(AK$1,'40Trips'!$A$3:$I$42,8,FALSE) - VLOOKUP($B33,'40Trips'!$A$3:$I$42,9,FALSE) &gt;= ('40Trips'!$B$43+VLOOKUP(VLOOKUP($B33,'40Trips'!$A$3:$I$42,4,FALSE),'40Trips'!$J$11:$P$14,3,FALSE))),1,0)</f>
        <v>0</v>
      </c>
      <c r="AL33">
        <f>IF(AND(VLOOKUP(AL$1,'40Trips'!$A$3:$I$42,8,FALSE) - VLOOKUP($B33,'40Trips'!$A$3:$I$42,9,FALSE) &gt;= ('40Trips'!$B$43+VLOOKUP(VLOOKUP($B33,'40Trips'!$A$3:$I$42,4,FALSE),'40Trips'!$J$11:$P$14,3,FALSE))),1,0)</f>
        <v>0</v>
      </c>
      <c r="AM33">
        <f>IF(AND(VLOOKUP(AM$1,'40Trips'!$A$3:$I$42,8,FALSE) - VLOOKUP($B33,'40Trips'!$A$3:$I$42,9,FALSE) &gt;= ('40Trips'!$B$43+VLOOKUP(VLOOKUP($B33,'40Trips'!$A$3:$I$42,4,FALSE),'40Trips'!$J$11:$P$14,3,FALSE))),1,0)</f>
        <v>1</v>
      </c>
      <c r="AN33">
        <f>IF(AND(VLOOKUP(AN$1,'40Trips'!$A$3:$I$42,8,FALSE) - VLOOKUP($B33,'40Trips'!$A$3:$I$42,9,FALSE) &gt;= ('40Trips'!$B$43+VLOOKUP(VLOOKUP($B33,'40Trips'!$A$3:$I$42,4,FALSE),'40Trips'!$J$11:$P$14,3,FALSE))),1,0)</f>
        <v>0</v>
      </c>
      <c r="AO33">
        <f>IF(AND(VLOOKUP(AO$1,'40Trips'!$A$3:$I$42,8,FALSE) - VLOOKUP($B33,'40Trips'!$A$3:$I$42,9,FALSE) &gt;= ('40Trips'!$B$43+VLOOKUP(VLOOKUP($B33,'40Trips'!$A$3:$I$42,4,FALSE),'40Trips'!$J$11:$P$14,3,FALSE))),1,0)</f>
        <v>0</v>
      </c>
      <c r="AP33">
        <f>IF(AND(VLOOKUP(AP$1,'40Trips'!$A$3:$I$42,8,FALSE) - VLOOKUP($B33,'40Trips'!$A$3:$I$42,9,FALSE) &gt;= ('40Trips'!$B$43+VLOOKUP(VLOOKUP($B33,'40Trips'!$A$3:$I$42,4,FALSE),'40Trips'!$J$11:$P$14,3,FALSE))),1,0)</f>
        <v>0</v>
      </c>
      <c r="AQ33">
        <f>IF(AND(VLOOKUP(AQ$1,'40Trips'!$A$3:$I$42,8,FALSE) - VLOOKUP($B33,'40Trips'!$A$3:$I$42,9,FALSE) &gt;= ('40Trips'!$B$43+VLOOKUP(VLOOKUP($B33,'40Trips'!$A$3:$I$42,4,FALSE),'40Trips'!$J$11:$P$14,3,FALSE))),1,0)</f>
        <v>1</v>
      </c>
    </row>
    <row r="34" spans="1:43" x14ac:dyDescent="0.25">
      <c r="A34" t="s">
        <v>48</v>
      </c>
      <c r="B34" t="s">
        <v>85</v>
      </c>
      <c r="C34">
        <v>0</v>
      </c>
      <c r="D34">
        <f>IF(AND(VLOOKUP(D$1,'40Trips'!$A$3:$I$42,8,FALSE) - VLOOKUP($B34,'40Trips'!$A$3:$I$42,9,FALSE) &gt;= ('40Trips'!$B$43+VLOOKUP(VLOOKUP($B34,'40Trips'!$A$3:$I$42,4,FALSE),'40Trips'!$J$11:$P$14,3,FALSE))),1,0)</f>
        <v>0</v>
      </c>
      <c r="E34">
        <f>IF(AND(VLOOKUP(E$1,'40Trips'!$A$3:$I$42,8,FALSE) - VLOOKUP($B34,'40Trips'!$A$3:$I$42,9,FALSE) &gt;= ('40Trips'!$B$43+VLOOKUP(VLOOKUP($B34,'40Trips'!$A$3:$I$42,4,FALSE),'40Trips'!$J$11:$P$14,3,FALSE))),1,0)</f>
        <v>0</v>
      </c>
      <c r="F34">
        <f>IF(AND(VLOOKUP(F$1,'40Trips'!$A$3:$I$42,8,FALSE) - VLOOKUP($B34,'40Trips'!$A$3:$I$42,9,FALSE) &gt;= ('40Trips'!$B$43+VLOOKUP(VLOOKUP($B34,'40Trips'!$A$3:$I$42,4,FALSE),'40Trips'!$J$11:$P$14,3,FALSE))),1,0)</f>
        <v>0</v>
      </c>
      <c r="G34">
        <f>IF(AND(VLOOKUP(G$1,'40Trips'!$A$3:$I$42,8,FALSE) - VLOOKUP($B34,'40Trips'!$A$3:$I$42,9,FALSE) &gt;= ('40Trips'!$B$43+VLOOKUP(VLOOKUP($B34,'40Trips'!$A$3:$I$42,4,FALSE),'40Trips'!$J$11:$P$14,3,FALSE))),1,0)</f>
        <v>0</v>
      </c>
      <c r="H34">
        <f>IF(AND(VLOOKUP(H$1,'40Trips'!$A$3:$I$42,8,FALSE) - VLOOKUP($B34,'40Trips'!$A$3:$I$42,9,FALSE) &gt;= ('40Trips'!$B$43+VLOOKUP(VLOOKUP($B34,'40Trips'!$A$3:$I$42,4,FALSE),'40Trips'!$J$11:$P$14,3,FALSE))),1,0)</f>
        <v>0</v>
      </c>
      <c r="I34">
        <f>IF(AND(VLOOKUP(I$1,'40Trips'!$A$3:$I$42,8,FALSE) - VLOOKUP($B34,'40Trips'!$A$3:$I$42,9,FALSE) &gt;= ('40Trips'!$B$43+VLOOKUP(VLOOKUP($B34,'40Trips'!$A$3:$I$42,4,FALSE),'40Trips'!$J$11:$P$14,3,FALSE))),1,0)</f>
        <v>0</v>
      </c>
      <c r="J34">
        <f>IF(AND(VLOOKUP(J$1,'40Trips'!$A$3:$I$42,8,FALSE) - VLOOKUP($B34,'40Trips'!$A$3:$I$42,9,FALSE) &gt;= ('40Trips'!$B$43+VLOOKUP(VLOOKUP($B34,'40Trips'!$A$3:$I$42,4,FALSE),'40Trips'!$J$11:$P$14,3,FALSE))),1,0)</f>
        <v>0</v>
      </c>
      <c r="K34">
        <f>IF(AND(VLOOKUP(K$1,'40Trips'!$A$3:$I$42,8,FALSE) - VLOOKUP($B34,'40Trips'!$A$3:$I$42,9,FALSE) &gt;= ('40Trips'!$B$43+VLOOKUP(VLOOKUP($B34,'40Trips'!$A$3:$I$42,4,FALSE),'40Trips'!$J$11:$P$14,3,FALSE))),1,0)</f>
        <v>1</v>
      </c>
      <c r="L34">
        <f>IF(AND(VLOOKUP(L$1,'40Trips'!$A$3:$I$42,8,FALSE) - VLOOKUP($B34,'40Trips'!$A$3:$I$42,9,FALSE) &gt;= ('40Trips'!$B$43+VLOOKUP(VLOOKUP($B34,'40Trips'!$A$3:$I$42,4,FALSE),'40Trips'!$J$11:$P$14,3,FALSE))),1,0)</f>
        <v>0</v>
      </c>
      <c r="M34">
        <f>IF(AND(VLOOKUP(M$1,'40Trips'!$A$3:$I$42,8,FALSE) - VLOOKUP($B34,'40Trips'!$A$3:$I$42,9,FALSE) &gt;= ('40Trips'!$B$43+VLOOKUP(VLOOKUP($B34,'40Trips'!$A$3:$I$42,4,FALSE),'40Trips'!$J$11:$P$14,3,FALSE))),1,0)</f>
        <v>0</v>
      </c>
      <c r="N34">
        <f>IF(AND(VLOOKUP(N$1,'40Trips'!$A$3:$I$42,8,FALSE) - VLOOKUP($B34,'40Trips'!$A$3:$I$42,9,FALSE) &gt;= ('40Trips'!$B$43+VLOOKUP(VLOOKUP($B34,'40Trips'!$A$3:$I$42,4,FALSE),'40Trips'!$J$11:$P$14,3,FALSE))),1,0)</f>
        <v>0</v>
      </c>
      <c r="O34">
        <f>IF(AND(VLOOKUP(O$1,'40Trips'!$A$3:$I$42,8,FALSE) - VLOOKUP($B34,'40Trips'!$A$3:$I$42,9,FALSE) &gt;= ('40Trips'!$B$43+VLOOKUP(VLOOKUP($B34,'40Trips'!$A$3:$I$42,4,FALSE),'40Trips'!$J$11:$P$14,3,FALSE))),1,0)</f>
        <v>0</v>
      </c>
      <c r="P34">
        <f>IF(AND(VLOOKUP(P$1,'40Trips'!$A$3:$I$42,8,FALSE) - VLOOKUP($B34,'40Trips'!$A$3:$I$42,9,FALSE) &gt;= ('40Trips'!$B$43+VLOOKUP(VLOOKUP($B34,'40Trips'!$A$3:$I$42,4,FALSE),'40Trips'!$J$11:$P$14,3,FALSE))),1,0)</f>
        <v>0</v>
      </c>
      <c r="Q34">
        <f>IF(AND(VLOOKUP(Q$1,'40Trips'!$A$3:$I$42,8,FALSE) - VLOOKUP($B34,'40Trips'!$A$3:$I$42,9,FALSE) &gt;= ('40Trips'!$B$43+VLOOKUP(VLOOKUP($B34,'40Trips'!$A$3:$I$42,4,FALSE),'40Trips'!$J$11:$P$14,3,FALSE))),1,0)</f>
        <v>0</v>
      </c>
      <c r="R34">
        <f>IF(AND(VLOOKUP(R$1,'40Trips'!$A$3:$I$42,8,FALSE) - VLOOKUP($B34,'40Trips'!$A$3:$I$42,9,FALSE) &gt;= ('40Trips'!$B$43+VLOOKUP(VLOOKUP($B34,'40Trips'!$A$3:$I$42,4,FALSE),'40Trips'!$J$11:$P$14,3,FALSE))),1,0)</f>
        <v>0</v>
      </c>
      <c r="S34">
        <f>IF(AND(VLOOKUP(S$1,'40Trips'!$A$3:$I$42,8,FALSE) - VLOOKUP($B34,'40Trips'!$A$3:$I$42,9,FALSE) &gt;= ('40Trips'!$B$43+VLOOKUP(VLOOKUP($B34,'40Trips'!$A$3:$I$42,4,FALSE),'40Trips'!$J$11:$P$14,3,FALSE))),1,0)</f>
        <v>0</v>
      </c>
      <c r="T34">
        <f>IF(AND(VLOOKUP(T$1,'40Trips'!$A$3:$I$42,8,FALSE) - VLOOKUP($B34,'40Trips'!$A$3:$I$42,9,FALSE) &gt;= ('40Trips'!$B$43+VLOOKUP(VLOOKUP($B34,'40Trips'!$A$3:$I$42,4,FALSE),'40Trips'!$J$11:$P$14,3,FALSE))),1,0)</f>
        <v>0</v>
      </c>
      <c r="U34">
        <f>IF(AND(VLOOKUP(U$1,'40Trips'!$A$3:$I$42,8,FALSE) - VLOOKUP($B34,'40Trips'!$A$3:$I$42,9,FALSE) &gt;= ('40Trips'!$B$43+VLOOKUP(VLOOKUP($B34,'40Trips'!$A$3:$I$42,4,FALSE),'40Trips'!$J$11:$P$14,3,FALSE))),1,0)</f>
        <v>0</v>
      </c>
      <c r="V34">
        <f>IF(AND(VLOOKUP(V$1,'40Trips'!$A$3:$I$42,8,FALSE) - VLOOKUP($B34,'40Trips'!$A$3:$I$42,9,FALSE) &gt;= ('40Trips'!$B$43+VLOOKUP(VLOOKUP($B34,'40Trips'!$A$3:$I$42,4,FALSE),'40Trips'!$J$11:$P$14,3,FALSE))),1,0)</f>
        <v>0</v>
      </c>
      <c r="W34">
        <f>IF(AND(VLOOKUP(W$1,'40Trips'!$A$3:$I$42,8,FALSE) - VLOOKUP($B34,'40Trips'!$A$3:$I$42,9,FALSE) &gt;= ('40Trips'!$B$43+VLOOKUP(VLOOKUP($B34,'40Trips'!$A$3:$I$42,4,FALSE),'40Trips'!$J$11:$P$14,3,FALSE))),1,0)</f>
        <v>0</v>
      </c>
      <c r="X34">
        <f>IF(AND(VLOOKUP(X$1,'40Trips'!$A$3:$I$42,8,FALSE) - VLOOKUP($B34,'40Trips'!$A$3:$I$42,9,FALSE) &gt;= ('40Trips'!$B$43+VLOOKUP(VLOOKUP($B34,'40Trips'!$A$3:$I$42,4,FALSE),'40Trips'!$J$11:$P$14,3,FALSE))),1,0)</f>
        <v>0</v>
      </c>
      <c r="Y34">
        <f>IF(AND(VLOOKUP(Y$1,'40Trips'!$A$3:$I$42,8,FALSE) - VLOOKUP($B34,'40Trips'!$A$3:$I$42,9,FALSE) &gt;= ('40Trips'!$B$43+VLOOKUP(VLOOKUP($B34,'40Trips'!$A$3:$I$42,4,FALSE),'40Trips'!$J$11:$P$14,3,FALSE))),1,0)</f>
        <v>0</v>
      </c>
      <c r="Z34">
        <f>IF(AND(VLOOKUP(Z$1,'40Trips'!$A$3:$I$42,8,FALSE) - VLOOKUP($B34,'40Trips'!$A$3:$I$42,9,FALSE) &gt;= ('40Trips'!$B$43+VLOOKUP(VLOOKUP($B34,'40Trips'!$A$3:$I$42,4,FALSE),'40Trips'!$J$11:$P$14,3,FALSE))),1,0)</f>
        <v>0</v>
      </c>
      <c r="AA34">
        <f>IF(AND(VLOOKUP(AA$1,'40Trips'!$A$3:$I$42,8,FALSE) - VLOOKUP($B34,'40Trips'!$A$3:$I$42,9,FALSE) &gt;= ('40Trips'!$B$43+VLOOKUP(VLOOKUP($B34,'40Trips'!$A$3:$I$42,4,FALSE),'40Trips'!$J$11:$P$14,3,FALSE))),1,0)</f>
        <v>0</v>
      </c>
      <c r="AB34">
        <f>IF(AND(VLOOKUP(AB$1,'40Trips'!$A$3:$I$42,8,FALSE) - VLOOKUP($B34,'40Trips'!$A$3:$I$42,9,FALSE) &gt;= ('40Trips'!$B$43+VLOOKUP(VLOOKUP($B34,'40Trips'!$A$3:$I$42,4,FALSE),'40Trips'!$J$11:$P$14,3,FALSE))),1,0)</f>
        <v>0</v>
      </c>
      <c r="AC34">
        <f>IF(AND(VLOOKUP(AC$1,'40Trips'!$A$3:$I$42,8,FALSE) - VLOOKUP($B34,'40Trips'!$A$3:$I$42,9,FALSE) &gt;= ('40Trips'!$B$43+VLOOKUP(VLOOKUP($B34,'40Trips'!$A$3:$I$42,4,FALSE),'40Trips'!$J$11:$P$14,3,FALSE))),1,0)</f>
        <v>0</v>
      </c>
      <c r="AD34">
        <f>IF(AND(VLOOKUP(AD$1,'40Trips'!$A$3:$I$42,8,FALSE) - VLOOKUP($B34,'40Trips'!$A$3:$I$42,9,FALSE) &gt;= ('40Trips'!$B$43+VLOOKUP(VLOOKUP($B34,'40Trips'!$A$3:$I$42,4,FALSE),'40Trips'!$J$11:$P$14,3,FALSE))),1,0)</f>
        <v>0</v>
      </c>
      <c r="AE34">
        <f>IF(AND(VLOOKUP(AE$1,'40Trips'!$A$3:$I$42,8,FALSE) - VLOOKUP($B34,'40Trips'!$A$3:$I$42,9,FALSE) &gt;= ('40Trips'!$B$43+VLOOKUP(VLOOKUP($B34,'40Trips'!$A$3:$I$42,4,FALSE),'40Trips'!$J$11:$P$14,3,FALSE))),1,0)</f>
        <v>0</v>
      </c>
      <c r="AF34">
        <f>IF(AND(VLOOKUP(AF$1,'40Trips'!$A$3:$I$42,8,FALSE) - VLOOKUP($B34,'40Trips'!$A$3:$I$42,9,FALSE) &gt;= ('40Trips'!$B$43+VLOOKUP(VLOOKUP($B34,'40Trips'!$A$3:$I$42,4,FALSE),'40Trips'!$J$11:$P$14,3,FALSE))),1,0)</f>
        <v>0</v>
      </c>
      <c r="AG34">
        <f>IF(AND(VLOOKUP(AG$1,'40Trips'!$A$3:$I$42,8,FALSE) - VLOOKUP($B34,'40Trips'!$A$3:$I$42,9,FALSE) &gt;= ('40Trips'!$B$43+VLOOKUP(VLOOKUP($B34,'40Trips'!$A$3:$I$42,4,FALSE),'40Trips'!$J$11:$P$14,3,FALSE))),1,0)</f>
        <v>0</v>
      </c>
      <c r="AH34">
        <f>IF(AND(VLOOKUP(AH$1,'40Trips'!$A$3:$I$42,8,FALSE) - VLOOKUP($B34,'40Trips'!$A$3:$I$42,9,FALSE) &gt;= ('40Trips'!$B$43+VLOOKUP(VLOOKUP($B34,'40Trips'!$A$3:$I$42,4,FALSE),'40Trips'!$J$11:$P$14,3,FALSE))),1,0)</f>
        <v>0</v>
      </c>
      <c r="AI34">
        <f>IF(AND(VLOOKUP(AI$1,'40Trips'!$A$3:$I$42,8,FALSE) - VLOOKUP($B34,'40Trips'!$A$3:$I$42,9,FALSE) &gt;= ('40Trips'!$B$43+VLOOKUP(VLOOKUP($B34,'40Trips'!$A$3:$I$42,4,FALSE),'40Trips'!$J$11:$P$14,3,FALSE))),1,0)</f>
        <v>0</v>
      </c>
      <c r="AJ34">
        <f>IF(AND(VLOOKUP(AJ$1,'40Trips'!$A$3:$I$42,8,FALSE) - VLOOKUP($B34,'40Trips'!$A$3:$I$42,9,FALSE) &gt;= ('40Trips'!$B$43+VLOOKUP(VLOOKUP($B34,'40Trips'!$A$3:$I$42,4,FALSE),'40Trips'!$J$11:$P$14,3,FALSE))),1,0)</f>
        <v>0</v>
      </c>
      <c r="AK34">
        <f>IF(AND(VLOOKUP(AK$1,'40Trips'!$A$3:$I$42,8,FALSE) - VLOOKUP($B34,'40Trips'!$A$3:$I$42,9,FALSE) &gt;= ('40Trips'!$B$43+VLOOKUP(VLOOKUP($B34,'40Trips'!$A$3:$I$42,4,FALSE),'40Trips'!$J$11:$P$14,3,FALSE))),1,0)</f>
        <v>0</v>
      </c>
      <c r="AL34">
        <f>IF(AND(VLOOKUP(AL$1,'40Trips'!$A$3:$I$42,8,FALSE) - VLOOKUP($B34,'40Trips'!$A$3:$I$42,9,FALSE) &gt;= ('40Trips'!$B$43+VLOOKUP(VLOOKUP($B34,'40Trips'!$A$3:$I$42,4,FALSE),'40Trips'!$J$11:$P$14,3,FALSE))),1,0)</f>
        <v>0</v>
      </c>
      <c r="AM34">
        <f>IF(AND(VLOOKUP(AM$1,'40Trips'!$A$3:$I$42,8,FALSE) - VLOOKUP($B34,'40Trips'!$A$3:$I$42,9,FALSE) &gt;= ('40Trips'!$B$43+VLOOKUP(VLOOKUP($B34,'40Trips'!$A$3:$I$42,4,FALSE),'40Trips'!$J$11:$P$14,3,FALSE))),1,0)</f>
        <v>1</v>
      </c>
      <c r="AN34">
        <f>IF(AND(VLOOKUP(AN$1,'40Trips'!$A$3:$I$42,8,FALSE) - VLOOKUP($B34,'40Trips'!$A$3:$I$42,9,FALSE) &gt;= ('40Trips'!$B$43+VLOOKUP(VLOOKUP($B34,'40Trips'!$A$3:$I$42,4,FALSE),'40Trips'!$J$11:$P$14,3,FALSE))),1,0)</f>
        <v>0</v>
      </c>
      <c r="AO34">
        <f>IF(AND(VLOOKUP(AO$1,'40Trips'!$A$3:$I$42,8,FALSE) - VLOOKUP($B34,'40Trips'!$A$3:$I$42,9,FALSE) &gt;= ('40Trips'!$B$43+VLOOKUP(VLOOKUP($B34,'40Trips'!$A$3:$I$42,4,FALSE),'40Trips'!$J$11:$P$14,3,FALSE))),1,0)</f>
        <v>0</v>
      </c>
      <c r="AP34">
        <f>IF(AND(VLOOKUP(AP$1,'40Trips'!$A$3:$I$42,8,FALSE) - VLOOKUP($B34,'40Trips'!$A$3:$I$42,9,FALSE) &gt;= ('40Trips'!$B$43+VLOOKUP(VLOOKUP($B34,'40Trips'!$A$3:$I$42,4,FALSE),'40Trips'!$J$11:$P$14,3,FALSE))),1,0)</f>
        <v>0</v>
      </c>
      <c r="AQ34">
        <f>IF(AND(VLOOKUP(AQ$1,'40Trips'!$A$3:$I$42,8,FALSE) - VLOOKUP($B34,'40Trips'!$A$3:$I$42,9,FALSE) &gt;= ('40Trips'!$B$43+VLOOKUP(VLOOKUP($B34,'40Trips'!$A$3:$I$42,4,FALSE),'40Trips'!$J$11:$P$14,3,FALSE))),1,0)</f>
        <v>0</v>
      </c>
    </row>
    <row r="35" spans="1:43" x14ac:dyDescent="0.25">
      <c r="A35" t="s">
        <v>48</v>
      </c>
      <c r="B35" t="s">
        <v>40</v>
      </c>
      <c r="C35">
        <v>0</v>
      </c>
      <c r="D35">
        <f>IF(AND(VLOOKUP(D$1,'40Trips'!$A$3:$I$42,8,FALSE) - VLOOKUP($B35,'40Trips'!$A$3:$I$42,9,FALSE) &gt;= ('40Trips'!$B$43+VLOOKUP(VLOOKUP($B35,'40Trips'!$A$3:$I$42,4,FALSE),'40Trips'!$J$11:$P$14,3,FALSE))),1,0)</f>
        <v>0</v>
      </c>
      <c r="E35">
        <f>IF(AND(VLOOKUP(E$1,'40Trips'!$A$3:$I$42,8,FALSE) - VLOOKUP($B35,'40Trips'!$A$3:$I$42,9,FALSE) &gt;= ('40Trips'!$B$43+VLOOKUP(VLOOKUP($B35,'40Trips'!$A$3:$I$42,4,FALSE),'40Trips'!$J$11:$P$14,3,FALSE))),1,0)</f>
        <v>0</v>
      </c>
      <c r="F35">
        <f>IF(AND(VLOOKUP(F$1,'40Trips'!$A$3:$I$42,8,FALSE) - VLOOKUP($B35,'40Trips'!$A$3:$I$42,9,FALSE) &gt;= ('40Trips'!$B$43+VLOOKUP(VLOOKUP($B35,'40Trips'!$A$3:$I$42,4,FALSE),'40Trips'!$J$11:$P$14,3,FALSE))),1,0)</f>
        <v>0</v>
      </c>
      <c r="G35">
        <f>IF(AND(VLOOKUP(G$1,'40Trips'!$A$3:$I$42,8,FALSE) - VLOOKUP($B35,'40Trips'!$A$3:$I$42,9,FALSE) &gt;= ('40Trips'!$B$43+VLOOKUP(VLOOKUP($B35,'40Trips'!$A$3:$I$42,4,FALSE),'40Trips'!$J$11:$P$14,3,FALSE))),1,0)</f>
        <v>0</v>
      </c>
      <c r="H35">
        <f>IF(AND(VLOOKUP(H$1,'40Trips'!$A$3:$I$42,8,FALSE) - VLOOKUP($B35,'40Trips'!$A$3:$I$42,9,FALSE) &gt;= ('40Trips'!$B$43+VLOOKUP(VLOOKUP($B35,'40Trips'!$A$3:$I$42,4,FALSE),'40Trips'!$J$11:$P$14,3,FALSE))),1,0)</f>
        <v>0</v>
      </c>
      <c r="I35">
        <f>IF(AND(VLOOKUP(I$1,'40Trips'!$A$3:$I$42,8,FALSE) - VLOOKUP($B35,'40Trips'!$A$3:$I$42,9,FALSE) &gt;= ('40Trips'!$B$43+VLOOKUP(VLOOKUP($B35,'40Trips'!$A$3:$I$42,4,FALSE),'40Trips'!$J$11:$P$14,3,FALSE))),1,0)</f>
        <v>0</v>
      </c>
      <c r="J35">
        <f>IF(AND(VLOOKUP(J$1,'40Trips'!$A$3:$I$42,8,FALSE) - VLOOKUP($B35,'40Trips'!$A$3:$I$42,9,FALSE) &gt;= ('40Trips'!$B$43+VLOOKUP(VLOOKUP($B35,'40Trips'!$A$3:$I$42,4,FALSE),'40Trips'!$J$11:$P$14,3,FALSE))),1,0)</f>
        <v>0</v>
      </c>
      <c r="K35">
        <f>IF(AND(VLOOKUP(K$1,'40Trips'!$A$3:$I$42,8,FALSE) - VLOOKUP($B35,'40Trips'!$A$3:$I$42,9,FALSE) &gt;= ('40Trips'!$B$43+VLOOKUP(VLOOKUP($B35,'40Trips'!$A$3:$I$42,4,FALSE),'40Trips'!$J$11:$P$14,3,FALSE))),1,0)</f>
        <v>1</v>
      </c>
      <c r="L35">
        <f>IF(AND(VLOOKUP(L$1,'40Trips'!$A$3:$I$42,8,FALSE) - VLOOKUP($B35,'40Trips'!$A$3:$I$42,9,FALSE) &gt;= ('40Trips'!$B$43+VLOOKUP(VLOOKUP($B35,'40Trips'!$A$3:$I$42,4,FALSE),'40Trips'!$J$11:$P$14,3,FALSE))),1,0)</f>
        <v>0</v>
      </c>
      <c r="M35">
        <f>IF(AND(VLOOKUP(M$1,'40Trips'!$A$3:$I$42,8,FALSE) - VLOOKUP($B35,'40Trips'!$A$3:$I$42,9,FALSE) &gt;= ('40Trips'!$B$43+VLOOKUP(VLOOKUP($B35,'40Trips'!$A$3:$I$42,4,FALSE),'40Trips'!$J$11:$P$14,3,FALSE))),1,0)</f>
        <v>0</v>
      </c>
      <c r="N35">
        <f>IF(AND(VLOOKUP(N$1,'40Trips'!$A$3:$I$42,8,FALSE) - VLOOKUP($B35,'40Trips'!$A$3:$I$42,9,FALSE) &gt;= ('40Trips'!$B$43+VLOOKUP(VLOOKUP($B35,'40Trips'!$A$3:$I$42,4,FALSE),'40Trips'!$J$11:$P$14,3,FALSE))),1,0)</f>
        <v>0</v>
      </c>
      <c r="O35">
        <f>IF(AND(VLOOKUP(O$1,'40Trips'!$A$3:$I$42,8,FALSE) - VLOOKUP($B35,'40Trips'!$A$3:$I$42,9,FALSE) &gt;= ('40Trips'!$B$43+VLOOKUP(VLOOKUP($B35,'40Trips'!$A$3:$I$42,4,FALSE),'40Trips'!$J$11:$P$14,3,FALSE))),1,0)</f>
        <v>0</v>
      </c>
      <c r="P35">
        <f>IF(AND(VLOOKUP(P$1,'40Trips'!$A$3:$I$42,8,FALSE) - VLOOKUP($B35,'40Trips'!$A$3:$I$42,9,FALSE) &gt;= ('40Trips'!$B$43+VLOOKUP(VLOOKUP($B35,'40Trips'!$A$3:$I$42,4,FALSE),'40Trips'!$J$11:$P$14,3,FALSE))),1,0)</f>
        <v>0</v>
      </c>
      <c r="Q35">
        <f>IF(AND(VLOOKUP(Q$1,'40Trips'!$A$3:$I$42,8,FALSE) - VLOOKUP($B35,'40Trips'!$A$3:$I$42,9,FALSE) &gt;= ('40Trips'!$B$43+VLOOKUP(VLOOKUP($B35,'40Trips'!$A$3:$I$42,4,FALSE),'40Trips'!$J$11:$P$14,3,FALSE))),1,0)</f>
        <v>0</v>
      </c>
      <c r="R35">
        <f>IF(AND(VLOOKUP(R$1,'40Trips'!$A$3:$I$42,8,FALSE) - VLOOKUP($B35,'40Trips'!$A$3:$I$42,9,FALSE) &gt;= ('40Trips'!$B$43+VLOOKUP(VLOOKUP($B35,'40Trips'!$A$3:$I$42,4,FALSE),'40Trips'!$J$11:$P$14,3,FALSE))),1,0)</f>
        <v>0</v>
      </c>
      <c r="S35">
        <f>IF(AND(VLOOKUP(S$1,'40Trips'!$A$3:$I$42,8,FALSE) - VLOOKUP($B35,'40Trips'!$A$3:$I$42,9,FALSE) &gt;= ('40Trips'!$B$43+VLOOKUP(VLOOKUP($B35,'40Trips'!$A$3:$I$42,4,FALSE),'40Trips'!$J$11:$P$14,3,FALSE))),1,0)</f>
        <v>0</v>
      </c>
      <c r="T35">
        <f>IF(AND(VLOOKUP(T$1,'40Trips'!$A$3:$I$42,8,FALSE) - VLOOKUP($B35,'40Trips'!$A$3:$I$42,9,FALSE) &gt;= ('40Trips'!$B$43+VLOOKUP(VLOOKUP($B35,'40Trips'!$A$3:$I$42,4,FALSE),'40Trips'!$J$11:$P$14,3,FALSE))),1,0)</f>
        <v>0</v>
      </c>
      <c r="U35">
        <f>IF(AND(VLOOKUP(U$1,'40Trips'!$A$3:$I$42,8,FALSE) - VLOOKUP($B35,'40Trips'!$A$3:$I$42,9,FALSE) &gt;= ('40Trips'!$B$43+VLOOKUP(VLOOKUP($B35,'40Trips'!$A$3:$I$42,4,FALSE),'40Trips'!$J$11:$P$14,3,FALSE))),1,0)</f>
        <v>0</v>
      </c>
      <c r="V35">
        <f>IF(AND(VLOOKUP(V$1,'40Trips'!$A$3:$I$42,8,FALSE) - VLOOKUP($B35,'40Trips'!$A$3:$I$42,9,FALSE) &gt;= ('40Trips'!$B$43+VLOOKUP(VLOOKUP($B35,'40Trips'!$A$3:$I$42,4,FALSE),'40Trips'!$J$11:$P$14,3,FALSE))),1,0)</f>
        <v>0</v>
      </c>
      <c r="W35">
        <f>IF(AND(VLOOKUP(W$1,'40Trips'!$A$3:$I$42,8,FALSE) - VLOOKUP($B35,'40Trips'!$A$3:$I$42,9,FALSE) &gt;= ('40Trips'!$B$43+VLOOKUP(VLOOKUP($B35,'40Trips'!$A$3:$I$42,4,FALSE),'40Trips'!$J$11:$P$14,3,FALSE))),1,0)</f>
        <v>1</v>
      </c>
      <c r="X35">
        <f>IF(AND(VLOOKUP(X$1,'40Trips'!$A$3:$I$42,8,FALSE) - VLOOKUP($B35,'40Trips'!$A$3:$I$42,9,FALSE) &gt;= ('40Trips'!$B$43+VLOOKUP(VLOOKUP($B35,'40Trips'!$A$3:$I$42,4,FALSE),'40Trips'!$J$11:$P$14,3,FALSE))),1,0)</f>
        <v>0</v>
      </c>
      <c r="Y35">
        <f>IF(AND(VLOOKUP(Y$1,'40Trips'!$A$3:$I$42,8,FALSE) - VLOOKUP($B35,'40Trips'!$A$3:$I$42,9,FALSE) &gt;= ('40Trips'!$B$43+VLOOKUP(VLOOKUP($B35,'40Trips'!$A$3:$I$42,4,FALSE),'40Trips'!$J$11:$P$14,3,FALSE))),1,0)</f>
        <v>0</v>
      </c>
      <c r="Z35">
        <f>IF(AND(VLOOKUP(Z$1,'40Trips'!$A$3:$I$42,8,FALSE) - VLOOKUP($B35,'40Trips'!$A$3:$I$42,9,FALSE) &gt;= ('40Trips'!$B$43+VLOOKUP(VLOOKUP($B35,'40Trips'!$A$3:$I$42,4,FALSE),'40Trips'!$J$11:$P$14,3,FALSE))),1,0)</f>
        <v>0</v>
      </c>
      <c r="AA35">
        <f>IF(AND(VLOOKUP(AA$1,'40Trips'!$A$3:$I$42,8,FALSE) - VLOOKUP($B35,'40Trips'!$A$3:$I$42,9,FALSE) &gt;= ('40Trips'!$B$43+VLOOKUP(VLOOKUP($B35,'40Trips'!$A$3:$I$42,4,FALSE),'40Trips'!$J$11:$P$14,3,FALSE))),1,0)</f>
        <v>0</v>
      </c>
      <c r="AB35">
        <f>IF(AND(VLOOKUP(AB$1,'40Trips'!$A$3:$I$42,8,FALSE) - VLOOKUP($B35,'40Trips'!$A$3:$I$42,9,FALSE) &gt;= ('40Trips'!$B$43+VLOOKUP(VLOOKUP($B35,'40Trips'!$A$3:$I$42,4,FALSE),'40Trips'!$J$11:$P$14,3,FALSE))),1,0)</f>
        <v>0</v>
      </c>
      <c r="AC35">
        <f>IF(AND(VLOOKUP(AC$1,'40Trips'!$A$3:$I$42,8,FALSE) - VLOOKUP($B35,'40Trips'!$A$3:$I$42,9,FALSE) &gt;= ('40Trips'!$B$43+VLOOKUP(VLOOKUP($B35,'40Trips'!$A$3:$I$42,4,FALSE),'40Trips'!$J$11:$P$14,3,FALSE))),1,0)</f>
        <v>0</v>
      </c>
      <c r="AD35">
        <f>IF(AND(VLOOKUP(AD$1,'40Trips'!$A$3:$I$42,8,FALSE) - VLOOKUP($B35,'40Trips'!$A$3:$I$42,9,FALSE) &gt;= ('40Trips'!$B$43+VLOOKUP(VLOOKUP($B35,'40Trips'!$A$3:$I$42,4,FALSE),'40Trips'!$J$11:$P$14,3,FALSE))),1,0)</f>
        <v>0</v>
      </c>
      <c r="AE35">
        <f>IF(AND(VLOOKUP(AE$1,'40Trips'!$A$3:$I$42,8,FALSE) - VLOOKUP($B35,'40Trips'!$A$3:$I$42,9,FALSE) &gt;= ('40Trips'!$B$43+VLOOKUP(VLOOKUP($B35,'40Trips'!$A$3:$I$42,4,FALSE),'40Trips'!$J$11:$P$14,3,FALSE))),1,0)</f>
        <v>1</v>
      </c>
      <c r="AF35">
        <f>IF(AND(VLOOKUP(AF$1,'40Trips'!$A$3:$I$42,8,FALSE) - VLOOKUP($B35,'40Trips'!$A$3:$I$42,9,FALSE) &gt;= ('40Trips'!$B$43+VLOOKUP(VLOOKUP($B35,'40Trips'!$A$3:$I$42,4,FALSE),'40Trips'!$J$11:$P$14,3,FALSE))),1,0)</f>
        <v>0</v>
      </c>
      <c r="AG35">
        <f>IF(AND(VLOOKUP(AG$1,'40Trips'!$A$3:$I$42,8,FALSE) - VLOOKUP($B35,'40Trips'!$A$3:$I$42,9,FALSE) &gt;= ('40Trips'!$B$43+VLOOKUP(VLOOKUP($B35,'40Trips'!$A$3:$I$42,4,FALSE),'40Trips'!$J$11:$P$14,3,FALSE))),1,0)</f>
        <v>0</v>
      </c>
      <c r="AH35">
        <f>IF(AND(VLOOKUP(AH$1,'40Trips'!$A$3:$I$42,8,FALSE) - VLOOKUP($B35,'40Trips'!$A$3:$I$42,9,FALSE) &gt;= ('40Trips'!$B$43+VLOOKUP(VLOOKUP($B35,'40Trips'!$A$3:$I$42,4,FALSE),'40Trips'!$J$11:$P$14,3,FALSE))),1,0)</f>
        <v>0</v>
      </c>
      <c r="AI35">
        <f>IF(AND(VLOOKUP(AI$1,'40Trips'!$A$3:$I$42,8,FALSE) - VLOOKUP($B35,'40Trips'!$A$3:$I$42,9,FALSE) &gt;= ('40Trips'!$B$43+VLOOKUP(VLOOKUP($B35,'40Trips'!$A$3:$I$42,4,FALSE),'40Trips'!$J$11:$P$14,3,FALSE))),1,0)</f>
        <v>0</v>
      </c>
      <c r="AJ35">
        <f>IF(AND(VLOOKUP(AJ$1,'40Trips'!$A$3:$I$42,8,FALSE) - VLOOKUP($B35,'40Trips'!$A$3:$I$42,9,FALSE) &gt;= ('40Trips'!$B$43+VLOOKUP(VLOOKUP($B35,'40Trips'!$A$3:$I$42,4,FALSE),'40Trips'!$J$11:$P$14,3,FALSE))),1,0)</f>
        <v>0</v>
      </c>
      <c r="AK35">
        <f>IF(AND(VLOOKUP(AK$1,'40Trips'!$A$3:$I$42,8,FALSE) - VLOOKUP($B35,'40Trips'!$A$3:$I$42,9,FALSE) &gt;= ('40Trips'!$B$43+VLOOKUP(VLOOKUP($B35,'40Trips'!$A$3:$I$42,4,FALSE),'40Trips'!$J$11:$P$14,3,FALSE))),1,0)</f>
        <v>0</v>
      </c>
      <c r="AL35">
        <f>IF(AND(VLOOKUP(AL$1,'40Trips'!$A$3:$I$42,8,FALSE) - VLOOKUP($B35,'40Trips'!$A$3:$I$42,9,FALSE) &gt;= ('40Trips'!$B$43+VLOOKUP(VLOOKUP($B35,'40Trips'!$A$3:$I$42,4,FALSE),'40Trips'!$J$11:$P$14,3,FALSE))),1,0)</f>
        <v>0</v>
      </c>
      <c r="AM35">
        <f>IF(AND(VLOOKUP(AM$1,'40Trips'!$A$3:$I$42,8,FALSE) - VLOOKUP($B35,'40Trips'!$A$3:$I$42,9,FALSE) &gt;= ('40Trips'!$B$43+VLOOKUP(VLOOKUP($B35,'40Trips'!$A$3:$I$42,4,FALSE),'40Trips'!$J$11:$P$14,3,FALSE))),1,0)</f>
        <v>1</v>
      </c>
      <c r="AN35">
        <f>IF(AND(VLOOKUP(AN$1,'40Trips'!$A$3:$I$42,8,FALSE) - VLOOKUP($B35,'40Trips'!$A$3:$I$42,9,FALSE) &gt;= ('40Trips'!$B$43+VLOOKUP(VLOOKUP($B35,'40Trips'!$A$3:$I$42,4,FALSE),'40Trips'!$J$11:$P$14,3,FALSE))),1,0)</f>
        <v>0</v>
      </c>
      <c r="AO35">
        <f>IF(AND(VLOOKUP(AO$1,'40Trips'!$A$3:$I$42,8,FALSE) - VLOOKUP($B35,'40Trips'!$A$3:$I$42,9,FALSE) &gt;= ('40Trips'!$B$43+VLOOKUP(VLOOKUP($B35,'40Trips'!$A$3:$I$42,4,FALSE),'40Trips'!$J$11:$P$14,3,FALSE))),1,0)</f>
        <v>0</v>
      </c>
      <c r="AP35">
        <f>IF(AND(VLOOKUP(AP$1,'40Trips'!$A$3:$I$42,8,FALSE) - VLOOKUP($B35,'40Trips'!$A$3:$I$42,9,FALSE) &gt;= ('40Trips'!$B$43+VLOOKUP(VLOOKUP($B35,'40Trips'!$A$3:$I$42,4,FALSE),'40Trips'!$J$11:$P$14,3,FALSE))),1,0)</f>
        <v>0</v>
      </c>
      <c r="AQ35">
        <f>IF(AND(VLOOKUP(AQ$1,'40Trips'!$A$3:$I$42,8,FALSE) - VLOOKUP($B35,'40Trips'!$A$3:$I$42,9,FALSE) &gt;= ('40Trips'!$B$43+VLOOKUP(VLOOKUP($B35,'40Trips'!$A$3:$I$42,4,FALSE),'40Trips'!$J$11:$P$14,3,FALSE))),1,0)</f>
        <v>1</v>
      </c>
    </row>
    <row r="36" spans="1:43" x14ac:dyDescent="0.25">
      <c r="A36" t="s">
        <v>48</v>
      </c>
      <c r="B36" t="s">
        <v>86</v>
      </c>
      <c r="C36">
        <v>0</v>
      </c>
      <c r="D36">
        <f>IF(AND(VLOOKUP(D$1,'40Trips'!$A$3:$I$42,8,FALSE) - VLOOKUP($B36,'40Trips'!$A$3:$I$42,9,FALSE) &gt;= ('40Trips'!$B$43+VLOOKUP(VLOOKUP($B36,'40Trips'!$A$3:$I$42,4,FALSE),'40Trips'!$J$11:$P$14,3,FALSE))),1,0)</f>
        <v>0</v>
      </c>
      <c r="E36">
        <f>IF(AND(VLOOKUP(E$1,'40Trips'!$A$3:$I$42,8,FALSE) - VLOOKUP($B36,'40Trips'!$A$3:$I$42,9,FALSE) &gt;= ('40Trips'!$B$43+VLOOKUP(VLOOKUP($B36,'40Trips'!$A$3:$I$42,4,FALSE),'40Trips'!$J$11:$P$14,3,FALSE))),1,0)</f>
        <v>0</v>
      </c>
      <c r="F36">
        <f>IF(AND(VLOOKUP(F$1,'40Trips'!$A$3:$I$42,8,FALSE) - VLOOKUP($B36,'40Trips'!$A$3:$I$42,9,FALSE) &gt;= ('40Trips'!$B$43+VLOOKUP(VLOOKUP($B36,'40Trips'!$A$3:$I$42,4,FALSE),'40Trips'!$J$11:$P$14,3,FALSE))),1,0)</f>
        <v>0</v>
      </c>
      <c r="G36">
        <f>IF(AND(VLOOKUP(G$1,'40Trips'!$A$3:$I$42,8,FALSE) - VLOOKUP($B36,'40Trips'!$A$3:$I$42,9,FALSE) &gt;= ('40Trips'!$B$43+VLOOKUP(VLOOKUP($B36,'40Trips'!$A$3:$I$42,4,FALSE),'40Trips'!$J$11:$P$14,3,FALSE))),1,0)</f>
        <v>0</v>
      </c>
      <c r="H36">
        <f>IF(AND(VLOOKUP(H$1,'40Trips'!$A$3:$I$42,8,FALSE) - VLOOKUP($B36,'40Trips'!$A$3:$I$42,9,FALSE) &gt;= ('40Trips'!$B$43+VLOOKUP(VLOOKUP($B36,'40Trips'!$A$3:$I$42,4,FALSE),'40Trips'!$J$11:$P$14,3,FALSE))),1,0)</f>
        <v>0</v>
      </c>
      <c r="I36">
        <f>IF(AND(VLOOKUP(I$1,'40Trips'!$A$3:$I$42,8,FALSE) - VLOOKUP($B36,'40Trips'!$A$3:$I$42,9,FALSE) &gt;= ('40Trips'!$B$43+VLOOKUP(VLOOKUP($B36,'40Trips'!$A$3:$I$42,4,FALSE),'40Trips'!$J$11:$P$14,3,FALSE))),1,0)</f>
        <v>0</v>
      </c>
      <c r="J36">
        <f>IF(AND(VLOOKUP(J$1,'40Trips'!$A$3:$I$42,8,FALSE) - VLOOKUP($B36,'40Trips'!$A$3:$I$42,9,FALSE) &gt;= ('40Trips'!$B$43+VLOOKUP(VLOOKUP($B36,'40Trips'!$A$3:$I$42,4,FALSE),'40Trips'!$J$11:$P$14,3,FALSE))),1,0)</f>
        <v>0</v>
      </c>
      <c r="K36">
        <f>IF(AND(VLOOKUP(K$1,'40Trips'!$A$3:$I$42,8,FALSE) - VLOOKUP($B36,'40Trips'!$A$3:$I$42,9,FALSE) &gt;= ('40Trips'!$B$43+VLOOKUP(VLOOKUP($B36,'40Trips'!$A$3:$I$42,4,FALSE),'40Trips'!$J$11:$P$14,3,FALSE))),1,0)</f>
        <v>1</v>
      </c>
      <c r="L36">
        <f>IF(AND(VLOOKUP(L$1,'40Trips'!$A$3:$I$42,8,FALSE) - VLOOKUP($B36,'40Trips'!$A$3:$I$42,9,FALSE) &gt;= ('40Trips'!$B$43+VLOOKUP(VLOOKUP($B36,'40Trips'!$A$3:$I$42,4,FALSE),'40Trips'!$J$11:$P$14,3,FALSE))),1,0)</f>
        <v>0</v>
      </c>
      <c r="M36">
        <f>IF(AND(VLOOKUP(M$1,'40Trips'!$A$3:$I$42,8,FALSE) - VLOOKUP($B36,'40Trips'!$A$3:$I$42,9,FALSE) &gt;= ('40Trips'!$B$43+VLOOKUP(VLOOKUP($B36,'40Trips'!$A$3:$I$42,4,FALSE),'40Trips'!$J$11:$P$14,3,FALSE))),1,0)</f>
        <v>0</v>
      </c>
      <c r="N36">
        <f>IF(AND(VLOOKUP(N$1,'40Trips'!$A$3:$I$42,8,FALSE) - VLOOKUP($B36,'40Trips'!$A$3:$I$42,9,FALSE) &gt;= ('40Trips'!$B$43+VLOOKUP(VLOOKUP($B36,'40Trips'!$A$3:$I$42,4,FALSE),'40Trips'!$J$11:$P$14,3,FALSE))),1,0)</f>
        <v>0</v>
      </c>
      <c r="O36">
        <f>IF(AND(VLOOKUP(O$1,'40Trips'!$A$3:$I$42,8,FALSE) - VLOOKUP($B36,'40Trips'!$A$3:$I$42,9,FALSE) &gt;= ('40Trips'!$B$43+VLOOKUP(VLOOKUP($B36,'40Trips'!$A$3:$I$42,4,FALSE),'40Trips'!$J$11:$P$14,3,FALSE))),1,0)</f>
        <v>0</v>
      </c>
      <c r="P36">
        <f>IF(AND(VLOOKUP(P$1,'40Trips'!$A$3:$I$42,8,FALSE) - VLOOKUP($B36,'40Trips'!$A$3:$I$42,9,FALSE) &gt;= ('40Trips'!$B$43+VLOOKUP(VLOOKUP($B36,'40Trips'!$A$3:$I$42,4,FALSE),'40Trips'!$J$11:$P$14,3,FALSE))),1,0)</f>
        <v>0</v>
      </c>
      <c r="Q36">
        <f>IF(AND(VLOOKUP(Q$1,'40Trips'!$A$3:$I$42,8,FALSE) - VLOOKUP($B36,'40Trips'!$A$3:$I$42,9,FALSE) &gt;= ('40Trips'!$B$43+VLOOKUP(VLOOKUP($B36,'40Trips'!$A$3:$I$42,4,FALSE),'40Trips'!$J$11:$P$14,3,FALSE))),1,0)</f>
        <v>0</v>
      </c>
      <c r="R36">
        <f>IF(AND(VLOOKUP(R$1,'40Trips'!$A$3:$I$42,8,FALSE) - VLOOKUP($B36,'40Trips'!$A$3:$I$42,9,FALSE) &gt;= ('40Trips'!$B$43+VLOOKUP(VLOOKUP($B36,'40Trips'!$A$3:$I$42,4,FALSE),'40Trips'!$J$11:$P$14,3,FALSE))),1,0)</f>
        <v>0</v>
      </c>
      <c r="S36">
        <f>IF(AND(VLOOKUP(S$1,'40Trips'!$A$3:$I$42,8,FALSE) - VLOOKUP($B36,'40Trips'!$A$3:$I$42,9,FALSE) &gt;= ('40Trips'!$B$43+VLOOKUP(VLOOKUP($B36,'40Trips'!$A$3:$I$42,4,FALSE),'40Trips'!$J$11:$P$14,3,FALSE))),1,0)</f>
        <v>0</v>
      </c>
      <c r="T36">
        <f>IF(AND(VLOOKUP(T$1,'40Trips'!$A$3:$I$42,8,FALSE) - VLOOKUP($B36,'40Trips'!$A$3:$I$42,9,FALSE) &gt;= ('40Trips'!$B$43+VLOOKUP(VLOOKUP($B36,'40Trips'!$A$3:$I$42,4,FALSE),'40Trips'!$J$11:$P$14,3,FALSE))),1,0)</f>
        <v>0</v>
      </c>
      <c r="U36">
        <f>IF(AND(VLOOKUP(U$1,'40Trips'!$A$3:$I$42,8,FALSE) - VLOOKUP($B36,'40Trips'!$A$3:$I$42,9,FALSE) &gt;= ('40Trips'!$B$43+VLOOKUP(VLOOKUP($B36,'40Trips'!$A$3:$I$42,4,FALSE),'40Trips'!$J$11:$P$14,3,FALSE))),1,0)</f>
        <v>0</v>
      </c>
      <c r="V36">
        <f>IF(AND(VLOOKUP(V$1,'40Trips'!$A$3:$I$42,8,FALSE) - VLOOKUP($B36,'40Trips'!$A$3:$I$42,9,FALSE) &gt;= ('40Trips'!$B$43+VLOOKUP(VLOOKUP($B36,'40Trips'!$A$3:$I$42,4,FALSE),'40Trips'!$J$11:$P$14,3,FALSE))),1,0)</f>
        <v>0</v>
      </c>
      <c r="W36">
        <f>IF(AND(VLOOKUP(W$1,'40Trips'!$A$3:$I$42,8,FALSE) - VLOOKUP($B36,'40Trips'!$A$3:$I$42,9,FALSE) &gt;= ('40Trips'!$B$43+VLOOKUP(VLOOKUP($B36,'40Trips'!$A$3:$I$42,4,FALSE),'40Trips'!$J$11:$P$14,3,FALSE))),1,0)</f>
        <v>0</v>
      </c>
      <c r="X36">
        <f>IF(AND(VLOOKUP(X$1,'40Trips'!$A$3:$I$42,8,FALSE) - VLOOKUP($B36,'40Trips'!$A$3:$I$42,9,FALSE) &gt;= ('40Trips'!$B$43+VLOOKUP(VLOOKUP($B36,'40Trips'!$A$3:$I$42,4,FALSE),'40Trips'!$J$11:$P$14,3,FALSE))),1,0)</f>
        <v>0</v>
      </c>
      <c r="Y36">
        <f>IF(AND(VLOOKUP(Y$1,'40Trips'!$A$3:$I$42,8,FALSE) - VLOOKUP($B36,'40Trips'!$A$3:$I$42,9,FALSE) &gt;= ('40Trips'!$B$43+VLOOKUP(VLOOKUP($B36,'40Trips'!$A$3:$I$42,4,FALSE),'40Trips'!$J$11:$P$14,3,FALSE))),1,0)</f>
        <v>0</v>
      </c>
      <c r="Z36">
        <f>IF(AND(VLOOKUP(Z$1,'40Trips'!$A$3:$I$42,8,FALSE) - VLOOKUP($B36,'40Trips'!$A$3:$I$42,9,FALSE) &gt;= ('40Trips'!$B$43+VLOOKUP(VLOOKUP($B36,'40Trips'!$A$3:$I$42,4,FALSE),'40Trips'!$J$11:$P$14,3,FALSE))),1,0)</f>
        <v>0</v>
      </c>
      <c r="AA36">
        <f>IF(AND(VLOOKUP(AA$1,'40Trips'!$A$3:$I$42,8,FALSE) - VLOOKUP($B36,'40Trips'!$A$3:$I$42,9,FALSE) &gt;= ('40Trips'!$B$43+VLOOKUP(VLOOKUP($B36,'40Trips'!$A$3:$I$42,4,FALSE),'40Trips'!$J$11:$P$14,3,FALSE))),1,0)</f>
        <v>0</v>
      </c>
      <c r="AB36">
        <f>IF(AND(VLOOKUP(AB$1,'40Trips'!$A$3:$I$42,8,FALSE) - VLOOKUP($B36,'40Trips'!$A$3:$I$42,9,FALSE) &gt;= ('40Trips'!$B$43+VLOOKUP(VLOOKUP($B36,'40Trips'!$A$3:$I$42,4,FALSE),'40Trips'!$J$11:$P$14,3,FALSE))),1,0)</f>
        <v>0</v>
      </c>
      <c r="AC36">
        <f>IF(AND(VLOOKUP(AC$1,'40Trips'!$A$3:$I$42,8,FALSE) - VLOOKUP($B36,'40Trips'!$A$3:$I$42,9,FALSE) &gt;= ('40Trips'!$B$43+VLOOKUP(VLOOKUP($B36,'40Trips'!$A$3:$I$42,4,FALSE),'40Trips'!$J$11:$P$14,3,FALSE))),1,0)</f>
        <v>0</v>
      </c>
      <c r="AD36">
        <f>IF(AND(VLOOKUP(AD$1,'40Trips'!$A$3:$I$42,8,FALSE) - VLOOKUP($B36,'40Trips'!$A$3:$I$42,9,FALSE) &gt;= ('40Trips'!$B$43+VLOOKUP(VLOOKUP($B36,'40Trips'!$A$3:$I$42,4,FALSE),'40Trips'!$J$11:$P$14,3,FALSE))),1,0)</f>
        <v>0</v>
      </c>
      <c r="AE36">
        <f>IF(AND(VLOOKUP(AE$1,'40Trips'!$A$3:$I$42,8,FALSE) - VLOOKUP($B36,'40Trips'!$A$3:$I$42,9,FALSE) &gt;= ('40Trips'!$B$43+VLOOKUP(VLOOKUP($B36,'40Trips'!$A$3:$I$42,4,FALSE),'40Trips'!$J$11:$P$14,3,FALSE))),1,0)</f>
        <v>0</v>
      </c>
      <c r="AF36">
        <f>IF(AND(VLOOKUP(AF$1,'40Trips'!$A$3:$I$42,8,FALSE) - VLOOKUP($B36,'40Trips'!$A$3:$I$42,9,FALSE) &gt;= ('40Trips'!$B$43+VLOOKUP(VLOOKUP($B36,'40Trips'!$A$3:$I$42,4,FALSE),'40Trips'!$J$11:$P$14,3,FALSE))),1,0)</f>
        <v>0</v>
      </c>
      <c r="AG36">
        <f>IF(AND(VLOOKUP(AG$1,'40Trips'!$A$3:$I$42,8,FALSE) - VLOOKUP($B36,'40Trips'!$A$3:$I$42,9,FALSE) &gt;= ('40Trips'!$B$43+VLOOKUP(VLOOKUP($B36,'40Trips'!$A$3:$I$42,4,FALSE),'40Trips'!$J$11:$P$14,3,FALSE))),1,0)</f>
        <v>0</v>
      </c>
      <c r="AH36">
        <f>IF(AND(VLOOKUP(AH$1,'40Trips'!$A$3:$I$42,8,FALSE) - VLOOKUP($B36,'40Trips'!$A$3:$I$42,9,FALSE) &gt;= ('40Trips'!$B$43+VLOOKUP(VLOOKUP($B36,'40Trips'!$A$3:$I$42,4,FALSE),'40Trips'!$J$11:$P$14,3,FALSE))),1,0)</f>
        <v>0</v>
      </c>
      <c r="AI36">
        <f>IF(AND(VLOOKUP(AI$1,'40Trips'!$A$3:$I$42,8,FALSE) - VLOOKUP($B36,'40Trips'!$A$3:$I$42,9,FALSE) &gt;= ('40Trips'!$B$43+VLOOKUP(VLOOKUP($B36,'40Trips'!$A$3:$I$42,4,FALSE),'40Trips'!$J$11:$P$14,3,FALSE))),1,0)</f>
        <v>0</v>
      </c>
      <c r="AJ36">
        <f>IF(AND(VLOOKUP(AJ$1,'40Trips'!$A$3:$I$42,8,FALSE) - VLOOKUP($B36,'40Trips'!$A$3:$I$42,9,FALSE) &gt;= ('40Trips'!$B$43+VLOOKUP(VLOOKUP($B36,'40Trips'!$A$3:$I$42,4,FALSE),'40Trips'!$J$11:$P$14,3,FALSE))),1,0)</f>
        <v>0</v>
      </c>
      <c r="AK36">
        <f>IF(AND(VLOOKUP(AK$1,'40Trips'!$A$3:$I$42,8,FALSE) - VLOOKUP($B36,'40Trips'!$A$3:$I$42,9,FALSE) &gt;= ('40Trips'!$B$43+VLOOKUP(VLOOKUP($B36,'40Trips'!$A$3:$I$42,4,FALSE),'40Trips'!$J$11:$P$14,3,FALSE))),1,0)</f>
        <v>0</v>
      </c>
      <c r="AL36">
        <f>IF(AND(VLOOKUP(AL$1,'40Trips'!$A$3:$I$42,8,FALSE) - VLOOKUP($B36,'40Trips'!$A$3:$I$42,9,FALSE) &gt;= ('40Trips'!$B$43+VLOOKUP(VLOOKUP($B36,'40Trips'!$A$3:$I$42,4,FALSE),'40Trips'!$J$11:$P$14,3,FALSE))),1,0)</f>
        <v>0</v>
      </c>
      <c r="AM36">
        <f>IF(AND(VLOOKUP(AM$1,'40Trips'!$A$3:$I$42,8,FALSE) - VLOOKUP($B36,'40Trips'!$A$3:$I$42,9,FALSE) &gt;= ('40Trips'!$B$43+VLOOKUP(VLOOKUP($B36,'40Trips'!$A$3:$I$42,4,FALSE),'40Trips'!$J$11:$P$14,3,FALSE))),1,0)</f>
        <v>1</v>
      </c>
      <c r="AN36">
        <f>IF(AND(VLOOKUP(AN$1,'40Trips'!$A$3:$I$42,8,FALSE) - VLOOKUP($B36,'40Trips'!$A$3:$I$42,9,FALSE) &gt;= ('40Trips'!$B$43+VLOOKUP(VLOOKUP($B36,'40Trips'!$A$3:$I$42,4,FALSE),'40Trips'!$J$11:$P$14,3,FALSE))),1,0)</f>
        <v>0</v>
      </c>
      <c r="AO36">
        <f>IF(AND(VLOOKUP(AO$1,'40Trips'!$A$3:$I$42,8,FALSE) - VLOOKUP($B36,'40Trips'!$A$3:$I$42,9,FALSE) &gt;= ('40Trips'!$B$43+VLOOKUP(VLOOKUP($B36,'40Trips'!$A$3:$I$42,4,FALSE),'40Trips'!$J$11:$P$14,3,FALSE))),1,0)</f>
        <v>0</v>
      </c>
      <c r="AP36">
        <f>IF(AND(VLOOKUP(AP$1,'40Trips'!$A$3:$I$42,8,FALSE) - VLOOKUP($B36,'40Trips'!$A$3:$I$42,9,FALSE) &gt;= ('40Trips'!$B$43+VLOOKUP(VLOOKUP($B36,'40Trips'!$A$3:$I$42,4,FALSE),'40Trips'!$J$11:$P$14,3,FALSE))),1,0)</f>
        <v>0</v>
      </c>
      <c r="AQ36">
        <f>IF(AND(VLOOKUP(AQ$1,'40Trips'!$A$3:$I$42,8,FALSE) - VLOOKUP($B36,'40Trips'!$A$3:$I$42,9,FALSE) &gt;= ('40Trips'!$B$43+VLOOKUP(VLOOKUP($B36,'40Trips'!$A$3:$I$42,4,FALSE),'40Trips'!$J$11:$P$14,3,FALSE))),1,0)</f>
        <v>1</v>
      </c>
    </row>
    <row r="37" spans="1:43" x14ac:dyDescent="0.25">
      <c r="A37" t="s">
        <v>48</v>
      </c>
      <c r="B37" t="s">
        <v>87</v>
      </c>
      <c r="C37">
        <v>0</v>
      </c>
      <c r="D37">
        <f>IF(AND(VLOOKUP(D$1,'40Trips'!$A$3:$I$42,8,FALSE) - VLOOKUP($B37,'40Trips'!$A$3:$I$42,9,FALSE) &gt;= ('40Trips'!$B$43+VLOOKUP(VLOOKUP($B37,'40Trips'!$A$3:$I$42,4,FALSE),'40Trips'!$J$11:$P$14,3,FALSE))),1,0)</f>
        <v>0</v>
      </c>
      <c r="E37">
        <f>IF(AND(VLOOKUP(E$1,'40Trips'!$A$3:$I$42,8,FALSE) - VLOOKUP($B37,'40Trips'!$A$3:$I$42,9,FALSE) &gt;= ('40Trips'!$B$43+VLOOKUP(VLOOKUP($B37,'40Trips'!$A$3:$I$42,4,FALSE),'40Trips'!$J$11:$P$14,3,FALSE))),1,0)</f>
        <v>0</v>
      </c>
      <c r="F37">
        <f>IF(AND(VLOOKUP(F$1,'40Trips'!$A$3:$I$42,8,FALSE) - VLOOKUP($B37,'40Trips'!$A$3:$I$42,9,FALSE) &gt;= ('40Trips'!$B$43+VLOOKUP(VLOOKUP($B37,'40Trips'!$A$3:$I$42,4,FALSE),'40Trips'!$J$11:$P$14,3,FALSE))),1,0)</f>
        <v>0</v>
      </c>
      <c r="G37">
        <f>IF(AND(VLOOKUP(G$1,'40Trips'!$A$3:$I$42,8,FALSE) - VLOOKUP($B37,'40Trips'!$A$3:$I$42,9,FALSE) &gt;= ('40Trips'!$B$43+VLOOKUP(VLOOKUP($B37,'40Trips'!$A$3:$I$42,4,FALSE),'40Trips'!$J$11:$P$14,3,FALSE))),1,0)</f>
        <v>0</v>
      </c>
      <c r="H37">
        <f>IF(AND(VLOOKUP(H$1,'40Trips'!$A$3:$I$42,8,FALSE) - VLOOKUP($B37,'40Trips'!$A$3:$I$42,9,FALSE) &gt;= ('40Trips'!$B$43+VLOOKUP(VLOOKUP($B37,'40Trips'!$A$3:$I$42,4,FALSE),'40Trips'!$J$11:$P$14,3,FALSE))),1,0)</f>
        <v>0</v>
      </c>
      <c r="I37">
        <f>IF(AND(VLOOKUP(I$1,'40Trips'!$A$3:$I$42,8,FALSE) - VLOOKUP($B37,'40Trips'!$A$3:$I$42,9,FALSE) &gt;= ('40Trips'!$B$43+VLOOKUP(VLOOKUP($B37,'40Trips'!$A$3:$I$42,4,FALSE),'40Trips'!$J$11:$P$14,3,FALSE))),1,0)</f>
        <v>0</v>
      </c>
      <c r="J37">
        <f>IF(AND(VLOOKUP(J$1,'40Trips'!$A$3:$I$42,8,FALSE) - VLOOKUP($B37,'40Trips'!$A$3:$I$42,9,FALSE) &gt;= ('40Trips'!$B$43+VLOOKUP(VLOOKUP($B37,'40Trips'!$A$3:$I$42,4,FALSE),'40Trips'!$J$11:$P$14,3,FALSE))),1,0)</f>
        <v>0</v>
      </c>
      <c r="K37">
        <f>IF(AND(VLOOKUP(K$1,'40Trips'!$A$3:$I$42,8,FALSE) - VLOOKUP($B37,'40Trips'!$A$3:$I$42,9,FALSE) &gt;= ('40Trips'!$B$43+VLOOKUP(VLOOKUP($B37,'40Trips'!$A$3:$I$42,4,FALSE),'40Trips'!$J$11:$P$14,3,FALSE))),1,0)</f>
        <v>1</v>
      </c>
      <c r="L37">
        <f>IF(AND(VLOOKUP(L$1,'40Trips'!$A$3:$I$42,8,FALSE) - VLOOKUP($B37,'40Trips'!$A$3:$I$42,9,FALSE) &gt;= ('40Trips'!$B$43+VLOOKUP(VLOOKUP($B37,'40Trips'!$A$3:$I$42,4,FALSE),'40Trips'!$J$11:$P$14,3,FALSE))),1,0)</f>
        <v>0</v>
      </c>
      <c r="M37">
        <f>IF(AND(VLOOKUP(M$1,'40Trips'!$A$3:$I$42,8,FALSE) - VLOOKUP($B37,'40Trips'!$A$3:$I$42,9,FALSE) &gt;= ('40Trips'!$B$43+VLOOKUP(VLOOKUP($B37,'40Trips'!$A$3:$I$42,4,FALSE),'40Trips'!$J$11:$P$14,3,FALSE))),1,0)</f>
        <v>0</v>
      </c>
      <c r="N37">
        <f>IF(AND(VLOOKUP(N$1,'40Trips'!$A$3:$I$42,8,FALSE) - VLOOKUP($B37,'40Trips'!$A$3:$I$42,9,FALSE) &gt;= ('40Trips'!$B$43+VLOOKUP(VLOOKUP($B37,'40Trips'!$A$3:$I$42,4,FALSE),'40Trips'!$J$11:$P$14,3,FALSE))),1,0)</f>
        <v>0</v>
      </c>
      <c r="O37">
        <f>IF(AND(VLOOKUP(O$1,'40Trips'!$A$3:$I$42,8,FALSE) - VLOOKUP($B37,'40Trips'!$A$3:$I$42,9,FALSE) &gt;= ('40Trips'!$B$43+VLOOKUP(VLOOKUP($B37,'40Trips'!$A$3:$I$42,4,FALSE),'40Trips'!$J$11:$P$14,3,FALSE))),1,0)</f>
        <v>0</v>
      </c>
      <c r="P37">
        <f>IF(AND(VLOOKUP(P$1,'40Trips'!$A$3:$I$42,8,FALSE) - VLOOKUP($B37,'40Trips'!$A$3:$I$42,9,FALSE) &gt;= ('40Trips'!$B$43+VLOOKUP(VLOOKUP($B37,'40Trips'!$A$3:$I$42,4,FALSE),'40Trips'!$J$11:$P$14,3,FALSE))),1,0)</f>
        <v>0</v>
      </c>
      <c r="Q37">
        <f>IF(AND(VLOOKUP(Q$1,'40Trips'!$A$3:$I$42,8,FALSE) - VLOOKUP($B37,'40Trips'!$A$3:$I$42,9,FALSE) &gt;= ('40Trips'!$B$43+VLOOKUP(VLOOKUP($B37,'40Trips'!$A$3:$I$42,4,FALSE),'40Trips'!$J$11:$P$14,3,FALSE))),1,0)</f>
        <v>0</v>
      </c>
      <c r="R37">
        <f>IF(AND(VLOOKUP(R$1,'40Trips'!$A$3:$I$42,8,FALSE) - VLOOKUP($B37,'40Trips'!$A$3:$I$42,9,FALSE) &gt;= ('40Trips'!$B$43+VLOOKUP(VLOOKUP($B37,'40Trips'!$A$3:$I$42,4,FALSE),'40Trips'!$J$11:$P$14,3,FALSE))),1,0)</f>
        <v>0</v>
      </c>
      <c r="S37">
        <f>IF(AND(VLOOKUP(S$1,'40Trips'!$A$3:$I$42,8,FALSE) - VLOOKUP($B37,'40Trips'!$A$3:$I$42,9,FALSE) &gt;= ('40Trips'!$B$43+VLOOKUP(VLOOKUP($B37,'40Trips'!$A$3:$I$42,4,FALSE),'40Trips'!$J$11:$P$14,3,FALSE))),1,0)</f>
        <v>0</v>
      </c>
      <c r="T37">
        <f>IF(AND(VLOOKUP(T$1,'40Trips'!$A$3:$I$42,8,FALSE) - VLOOKUP($B37,'40Trips'!$A$3:$I$42,9,FALSE) &gt;= ('40Trips'!$B$43+VLOOKUP(VLOOKUP($B37,'40Trips'!$A$3:$I$42,4,FALSE),'40Trips'!$J$11:$P$14,3,FALSE))),1,0)</f>
        <v>0</v>
      </c>
      <c r="U37">
        <f>IF(AND(VLOOKUP(U$1,'40Trips'!$A$3:$I$42,8,FALSE) - VLOOKUP($B37,'40Trips'!$A$3:$I$42,9,FALSE) &gt;= ('40Trips'!$B$43+VLOOKUP(VLOOKUP($B37,'40Trips'!$A$3:$I$42,4,FALSE),'40Trips'!$J$11:$P$14,3,FALSE))),1,0)</f>
        <v>0</v>
      </c>
      <c r="V37">
        <f>IF(AND(VLOOKUP(V$1,'40Trips'!$A$3:$I$42,8,FALSE) - VLOOKUP($B37,'40Trips'!$A$3:$I$42,9,FALSE) &gt;= ('40Trips'!$B$43+VLOOKUP(VLOOKUP($B37,'40Trips'!$A$3:$I$42,4,FALSE),'40Trips'!$J$11:$P$14,3,FALSE))),1,0)</f>
        <v>0</v>
      </c>
      <c r="W37">
        <f>IF(AND(VLOOKUP(W$1,'40Trips'!$A$3:$I$42,8,FALSE) - VLOOKUP($B37,'40Trips'!$A$3:$I$42,9,FALSE) &gt;= ('40Trips'!$B$43+VLOOKUP(VLOOKUP($B37,'40Trips'!$A$3:$I$42,4,FALSE),'40Trips'!$J$11:$P$14,3,FALSE))),1,0)</f>
        <v>0</v>
      </c>
      <c r="X37">
        <f>IF(AND(VLOOKUP(X$1,'40Trips'!$A$3:$I$42,8,FALSE) - VLOOKUP($B37,'40Trips'!$A$3:$I$42,9,FALSE) &gt;= ('40Trips'!$B$43+VLOOKUP(VLOOKUP($B37,'40Trips'!$A$3:$I$42,4,FALSE),'40Trips'!$J$11:$P$14,3,FALSE))),1,0)</f>
        <v>0</v>
      </c>
      <c r="Y37">
        <f>IF(AND(VLOOKUP(Y$1,'40Trips'!$A$3:$I$42,8,FALSE) - VLOOKUP($B37,'40Trips'!$A$3:$I$42,9,FALSE) &gt;= ('40Trips'!$B$43+VLOOKUP(VLOOKUP($B37,'40Trips'!$A$3:$I$42,4,FALSE),'40Trips'!$J$11:$P$14,3,FALSE))),1,0)</f>
        <v>0</v>
      </c>
      <c r="Z37">
        <f>IF(AND(VLOOKUP(Z$1,'40Trips'!$A$3:$I$42,8,FALSE) - VLOOKUP($B37,'40Trips'!$A$3:$I$42,9,FALSE) &gt;= ('40Trips'!$B$43+VLOOKUP(VLOOKUP($B37,'40Trips'!$A$3:$I$42,4,FALSE),'40Trips'!$J$11:$P$14,3,FALSE))),1,0)</f>
        <v>0</v>
      </c>
      <c r="AA37">
        <f>IF(AND(VLOOKUP(AA$1,'40Trips'!$A$3:$I$42,8,FALSE) - VLOOKUP($B37,'40Trips'!$A$3:$I$42,9,FALSE) &gt;= ('40Trips'!$B$43+VLOOKUP(VLOOKUP($B37,'40Trips'!$A$3:$I$42,4,FALSE),'40Trips'!$J$11:$P$14,3,FALSE))),1,0)</f>
        <v>0</v>
      </c>
      <c r="AB37">
        <f>IF(AND(VLOOKUP(AB$1,'40Trips'!$A$3:$I$42,8,FALSE) - VLOOKUP($B37,'40Trips'!$A$3:$I$42,9,FALSE) &gt;= ('40Trips'!$B$43+VLOOKUP(VLOOKUP($B37,'40Trips'!$A$3:$I$42,4,FALSE),'40Trips'!$J$11:$P$14,3,FALSE))),1,0)</f>
        <v>0</v>
      </c>
      <c r="AC37">
        <f>IF(AND(VLOOKUP(AC$1,'40Trips'!$A$3:$I$42,8,FALSE) - VLOOKUP($B37,'40Trips'!$A$3:$I$42,9,FALSE) &gt;= ('40Trips'!$B$43+VLOOKUP(VLOOKUP($B37,'40Trips'!$A$3:$I$42,4,FALSE),'40Trips'!$J$11:$P$14,3,FALSE))),1,0)</f>
        <v>0</v>
      </c>
      <c r="AD37">
        <f>IF(AND(VLOOKUP(AD$1,'40Trips'!$A$3:$I$42,8,FALSE) - VLOOKUP($B37,'40Trips'!$A$3:$I$42,9,FALSE) &gt;= ('40Trips'!$B$43+VLOOKUP(VLOOKUP($B37,'40Trips'!$A$3:$I$42,4,FALSE),'40Trips'!$J$11:$P$14,3,FALSE))),1,0)</f>
        <v>0</v>
      </c>
      <c r="AE37">
        <f>IF(AND(VLOOKUP(AE$1,'40Trips'!$A$3:$I$42,8,FALSE) - VLOOKUP($B37,'40Trips'!$A$3:$I$42,9,FALSE) &gt;= ('40Trips'!$B$43+VLOOKUP(VLOOKUP($B37,'40Trips'!$A$3:$I$42,4,FALSE),'40Trips'!$J$11:$P$14,3,FALSE))),1,0)</f>
        <v>0</v>
      </c>
      <c r="AF37">
        <f>IF(AND(VLOOKUP(AF$1,'40Trips'!$A$3:$I$42,8,FALSE) - VLOOKUP($B37,'40Trips'!$A$3:$I$42,9,FALSE) &gt;= ('40Trips'!$B$43+VLOOKUP(VLOOKUP($B37,'40Trips'!$A$3:$I$42,4,FALSE),'40Trips'!$J$11:$P$14,3,FALSE))),1,0)</f>
        <v>0</v>
      </c>
      <c r="AG37">
        <f>IF(AND(VLOOKUP(AG$1,'40Trips'!$A$3:$I$42,8,FALSE) - VLOOKUP($B37,'40Trips'!$A$3:$I$42,9,FALSE) &gt;= ('40Trips'!$B$43+VLOOKUP(VLOOKUP($B37,'40Trips'!$A$3:$I$42,4,FALSE),'40Trips'!$J$11:$P$14,3,FALSE))),1,0)</f>
        <v>0</v>
      </c>
      <c r="AH37">
        <f>IF(AND(VLOOKUP(AH$1,'40Trips'!$A$3:$I$42,8,FALSE) - VLOOKUP($B37,'40Trips'!$A$3:$I$42,9,FALSE) &gt;= ('40Trips'!$B$43+VLOOKUP(VLOOKUP($B37,'40Trips'!$A$3:$I$42,4,FALSE),'40Trips'!$J$11:$P$14,3,FALSE))),1,0)</f>
        <v>0</v>
      </c>
      <c r="AI37">
        <f>IF(AND(VLOOKUP(AI$1,'40Trips'!$A$3:$I$42,8,FALSE) - VLOOKUP($B37,'40Trips'!$A$3:$I$42,9,FALSE) &gt;= ('40Trips'!$B$43+VLOOKUP(VLOOKUP($B37,'40Trips'!$A$3:$I$42,4,FALSE),'40Trips'!$J$11:$P$14,3,FALSE))),1,0)</f>
        <v>0</v>
      </c>
      <c r="AJ37">
        <f>IF(AND(VLOOKUP(AJ$1,'40Trips'!$A$3:$I$42,8,FALSE) - VLOOKUP($B37,'40Trips'!$A$3:$I$42,9,FALSE) &gt;= ('40Trips'!$B$43+VLOOKUP(VLOOKUP($B37,'40Trips'!$A$3:$I$42,4,FALSE),'40Trips'!$J$11:$P$14,3,FALSE))),1,0)</f>
        <v>0</v>
      </c>
      <c r="AK37">
        <f>IF(AND(VLOOKUP(AK$1,'40Trips'!$A$3:$I$42,8,FALSE) - VLOOKUP($B37,'40Trips'!$A$3:$I$42,9,FALSE) &gt;= ('40Trips'!$B$43+VLOOKUP(VLOOKUP($B37,'40Trips'!$A$3:$I$42,4,FALSE),'40Trips'!$J$11:$P$14,3,FALSE))),1,0)</f>
        <v>0</v>
      </c>
      <c r="AL37">
        <f>IF(AND(VLOOKUP(AL$1,'40Trips'!$A$3:$I$42,8,FALSE) - VLOOKUP($B37,'40Trips'!$A$3:$I$42,9,FALSE) &gt;= ('40Trips'!$B$43+VLOOKUP(VLOOKUP($B37,'40Trips'!$A$3:$I$42,4,FALSE),'40Trips'!$J$11:$P$14,3,FALSE))),1,0)</f>
        <v>0</v>
      </c>
      <c r="AM37">
        <f>IF(AND(VLOOKUP(AM$1,'40Trips'!$A$3:$I$42,8,FALSE) - VLOOKUP($B37,'40Trips'!$A$3:$I$42,9,FALSE) &gt;= ('40Trips'!$B$43+VLOOKUP(VLOOKUP($B37,'40Trips'!$A$3:$I$42,4,FALSE),'40Trips'!$J$11:$P$14,3,FALSE))),1,0)</f>
        <v>0</v>
      </c>
      <c r="AN37">
        <f>IF(AND(VLOOKUP(AN$1,'40Trips'!$A$3:$I$42,8,FALSE) - VLOOKUP($B37,'40Trips'!$A$3:$I$42,9,FALSE) &gt;= ('40Trips'!$B$43+VLOOKUP(VLOOKUP($B37,'40Trips'!$A$3:$I$42,4,FALSE),'40Trips'!$J$11:$P$14,3,FALSE))),1,0)</f>
        <v>0</v>
      </c>
      <c r="AO37">
        <f>IF(AND(VLOOKUP(AO$1,'40Trips'!$A$3:$I$42,8,FALSE) - VLOOKUP($B37,'40Trips'!$A$3:$I$42,9,FALSE) &gt;= ('40Trips'!$B$43+VLOOKUP(VLOOKUP($B37,'40Trips'!$A$3:$I$42,4,FALSE),'40Trips'!$J$11:$P$14,3,FALSE))),1,0)</f>
        <v>0</v>
      </c>
      <c r="AP37">
        <f>IF(AND(VLOOKUP(AP$1,'40Trips'!$A$3:$I$42,8,FALSE) - VLOOKUP($B37,'40Trips'!$A$3:$I$42,9,FALSE) &gt;= ('40Trips'!$B$43+VLOOKUP(VLOOKUP($B37,'40Trips'!$A$3:$I$42,4,FALSE),'40Trips'!$J$11:$P$14,3,FALSE))),1,0)</f>
        <v>0</v>
      </c>
      <c r="AQ37">
        <f>IF(AND(VLOOKUP(AQ$1,'40Trips'!$A$3:$I$42,8,FALSE) - VLOOKUP($B37,'40Trips'!$A$3:$I$42,9,FALSE) &gt;= ('40Trips'!$B$43+VLOOKUP(VLOOKUP($B37,'40Trips'!$A$3:$I$42,4,FALSE),'40Trips'!$J$11:$P$14,3,FALSE))),1,0)</f>
        <v>0</v>
      </c>
    </row>
    <row r="38" spans="1:43" x14ac:dyDescent="0.25">
      <c r="A38" t="s">
        <v>48</v>
      </c>
      <c r="B38" t="s">
        <v>88</v>
      </c>
      <c r="C38">
        <v>0</v>
      </c>
      <c r="D38">
        <f>IF(AND(VLOOKUP(D$1,'40Trips'!$A$3:$I$42,8,FALSE) - VLOOKUP($B38,'40Trips'!$A$3:$I$42,9,FALSE) &gt;= ('40Trips'!$B$43+VLOOKUP(VLOOKUP($B38,'40Trips'!$A$3:$I$42,4,FALSE),'40Trips'!$J$11:$P$14,3,FALSE))),1,0)</f>
        <v>0</v>
      </c>
      <c r="E38">
        <f>IF(AND(VLOOKUP(E$1,'40Trips'!$A$3:$I$42,8,FALSE) - VLOOKUP($B38,'40Trips'!$A$3:$I$42,9,FALSE) &gt;= ('40Trips'!$B$43+VLOOKUP(VLOOKUP($B38,'40Trips'!$A$3:$I$42,4,FALSE),'40Trips'!$J$11:$P$14,3,FALSE))),1,0)</f>
        <v>0</v>
      </c>
      <c r="F38">
        <f>IF(AND(VLOOKUP(F$1,'40Trips'!$A$3:$I$42,8,FALSE) - VLOOKUP($B38,'40Trips'!$A$3:$I$42,9,FALSE) &gt;= ('40Trips'!$B$43+VLOOKUP(VLOOKUP($B38,'40Trips'!$A$3:$I$42,4,FALSE),'40Trips'!$J$11:$P$14,3,FALSE))),1,0)</f>
        <v>0</v>
      </c>
      <c r="G38">
        <f>IF(AND(VLOOKUP(G$1,'40Trips'!$A$3:$I$42,8,FALSE) - VLOOKUP($B38,'40Trips'!$A$3:$I$42,9,FALSE) &gt;= ('40Trips'!$B$43+VLOOKUP(VLOOKUP($B38,'40Trips'!$A$3:$I$42,4,FALSE),'40Trips'!$J$11:$P$14,3,FALSE))),1,0)</f>
        <v>0</v>
      </c>
      <c r="H38">
        <f>IF(AND(VLOOKUP(H$1,'40Trips'!$A$3:$I$42,8,FALSE) - VLOOKUP($B38,'40Trips'!$A$3:$I$42,9,FALSE) &gt;= ('40Trips'!$B$43+VLOOKUP(VLOOKUP($B38,'40Trips'!$A$3:$I$42,4,FALSE),'40Trips'!$J$11:$P$14,3,FALSE))),1,0)</f>
        <v>0</v>
      </c>
      <c r="I38">
        <f>IF(AND(VLOOKUP(I$1,'40Trips'!$A$3:$I$42,8,FALSE) - VLOOKUP($B38,'40Trips'!$A$3:$I$42,9,FALSE) &gt;= ('40Trips'!$B$43+VLOOKUP(VLOOKUP($B38,'40Trips'!$A$3:$I$42,4,FALSE),'40Trips'!$J$11:$P$14,3,FALSE))),1,0)</f>
        <v>0</v>
      </c>
      <c r="J38">
        <f>IF(AND(VLOOKUP(J$1,'40Trips'!$A$3:$I$42,8,FALSE) - VLOOKUP($B38,'40Trips'!$A$3:$I$42,9,FALSE) &gt;= ('40Trips'!$B$43+VLOOKUP(VLOOKUP($B38,'40Trips'!$A$3:$I$42,4,FALSE),'40Trips'!$J$11:$P$14,3,FALSE))),1,0)</f>
        <v>0</v>
      </c>
      <c r="K38">
        <f>IF(AND(VLOOKUP(K$1,'40Trips'!$A$3:$I$42,8,FALSE) - VLOOKUP($B38,'40Trips'!$A$3:$I$42,9,FALSE) &gt;= ('40Trips'!$B$43+VLOOKUP(VLOOKUP($B38,'40Trips'!$A$3:$I$42,4,FALSE),'40Trips'!$J$11:$P$14,3,FALSE))),1,0)</f>
        <v>0</v>
      </c>
      <c r="L38">
        <f>IF(AND(VLOOKUP(L$1,'40Trips'!$A$3:$I$42,8,FALSE) - VLOOKUP($B38,'40Trips'!$A$3:$I$42,9,FALSE) &gt;= ('40Trips'!$B$43+VLOOKUP(VLOOKUP($B38,'40Trips'!$A$3:$I$42,4,FALSE),'40Trips'!$J$11:$P$14,3,FALSE))),1,0)</f>
        <v>0</v>
      </c>
      <c r="M38">
        <f>IF(AND(VLOOKUP(M$1,'40Trips'!$A$3:$I$42,8,FALSE) - VLOOKUP($B38,'40Trips'!$A$3:$I$42,9,FALSE) &gt;= ('40Trips'!$B$43+VLOOKUP(VLOOKUP($B38,'40Trips'!$A$3:$I$42,4,FALSE),'40Trips'!$J$11:$P$14,3,FALSE))),1,0)</f>
        <v>0</v>
      </c>
      <c r="N38">
        <f>IF(AND(VLOOKUP(N$1,'40Trips'!$A$3:$I$42,8,FALSE) - VLOOKUP($B38,'40Trips'!$A$3:$I$42,9,FALSE) &gt;= ('40Trips'!$B$43+VLOOKUP(VLOOKUP($B38,'40Trips'!$A$3:$I$42,4,FALSE),'40Trips'!$J$11:$P$14,3,FALSE))),1,0)</f>
        <v>0</v>
      </c>
      <c r="O38">
        <f>IF(AND(VLOOKUP(O$1,'40Trips'!$A$3:$I$42,8,FALSE) - VLOOKUP($B38,'40Trips'!$A$3:$I$42,9,FALSE) &gt;= ('40Trips'!$B$43+VLOOKUP(VLOOKUP($B38,'40Trips'!$A$3:$I$42,4,FALSE),'40Trips'!$J$11:$P$14,3,FALSE))),1,0)</f>
        <v>0</v>
      </c>
      <c r="P38">
        <f>IF(AND(VLOOKUP(P$1,'40Trips'!$A$3:$I$42,8,FALSE) - VLOOKUP($B38,'40Trips'!$A$3:$I$42,9,FALSE) &gt;= ('40Trips'!$B$43+VLOOKUP(VLOOKUP($B38,'40Trips'!$A$3:$I$42,4,FALSE),'40Trips'!$J$11:$P$14,3,FALSE))),1,0)</f>
        <v>0</v>
      </c>
      <c r="Q38">
        <f>IF(AND(VLOOKUP(Q$1,'40Trips'!$A$3:$I$42,8,FALSE) - VLOOKUP($B38,'40Trips'!$A$3:$I$42,9,FALSE) &gt;= ('40Trips'!$B$43+VLOOKUP(VLOOKUP($B38,'40Trips'!$A$3:$I$42,4,FALSE),'40Trips'!$J$11:$P$14,3,FALSE))),1,0)</f>
        <v>0</v>
      </c>
      <c r="R38">
        <f>IF(AND(VLOOKUP(R$1,'40Trips'!$A$3:$I$42,8,FALSE) - VLOOKUP($B38,'40Trips'!$A$3:$I$42,9,FALSE) &gt;= ('40Trips'!$B$43+VLOOKUP(VLOOKUP($B38,'40Trips'!$A$3:$I$42,4,FALSE),'40Trips'!$J$11:$P$14,3,FALSE))),1,0)</f>
        <v>0</v>
      </c>
      <c r="S38">
        <f>IF(AND(VLOOKUP(S$1,'40Trips'!$A$3:$I$42,8,FALSE) - VLOOKUP($B38,'40Trips'!$A$3:$I$42,9,FALSE) &gt;= ('40Trips'!$B$43+VLOOKUP(VLOOKUP($B38,'40Trips'!$A$3:$I$42,4,FALSE),'40Trips'!$J$11:$P$14,3,FALSE))),1,0)</f>
        <v>0</v>
      </c>
      <c r="T38">
        <f>IF(AND(VLOOKUP(T$1,'40Trips'!$A$3:$I$42,8,FALSE) - VLOOKUP($B38,'40Trips'!$A$3:$I$42,9,FALSE) &gt;= ('40Trips'!$B$43+VLOOKUP(VLOOKUP($B38,'40Trips'!$A$3:$I$42,4,FALSE),'40Trips'!$J$11:$P$14,3,FALSE))),1,0)</f>
        <v>0</v>
      </c>
      <c r="U38">
        <f>IF(AND(VLOOKUP(U$1,'40Trips'!$A$3:$I$42,8,FALSE) - VLOOKUP($B38,'40Trips'!$A$3:$I$42,9,FALSE) &gt;= ('40Trips'!$B$43+VLOOKUP(VLOOKUP($B38,'40Trips'!$A$3:$I$42,4,FALSE),'40Trips'!$J$11:$P$14,3,FALSE))),1,0)</f>
        <v>0</v>
      </c>
      <c r="V38">
        <f>IF(AND(VLOOKUP(V$1,'40Trips'!$A$3:$I$42,8,FALSE) - VLOOKUP($B38,'40Trips'!$A$3:$I$42,9,FALSE) &gt;= ('40Trips'!$B$43+VLOOKUP(VLOOKUP($B38,'40Trips'!$A$3:$I$42,4,FALSE),'40Trips'!$J$11:$P$14,3,FALSE))),1,0)</f>
        <v>0</v>
      </c>
      <c r="W38">
        <f>IF(AND(VLOOKUP(W$1,'40Trips'!$A$3:$I$42,8,FALSE) - VLOOKUP($B38,'40Trips'!$A$3:$I$42,9,FALSE) &gt;= ('40Trips'!$B$43+VLOOKUP(VLOOKUP($B38,'40Trips'!$A$3:$I$42,4,FALSE),'40Trips'!$J$11:$P$14,3,FALSE))),1,0)</f>
        <v>0</v>
      </c>
      <c r="X38">
        <f>IF(AND(VLOOKUP(X$1,'40Trips'!$A$3:$I$42,8,FALSE) - VLOOKUP($B38,'40Trips'!$A$3:$I$42,9,FALSE) &gt;= ('40Trips'!$B$43+VLOOKUP(VLOOKUP($B38,'40Trips'!$A$3:$I$42,4,FALSE),'40Trips'!$J$11:$P$14,3,FALSE))),1,0)</f>
        <v>0</v>
      </c>
      <c r="Y38">
        <f>IF(AND(VLOOKUP(Y$1,'40Trips'!$A$3:$I$42,8,FALSE) - VLOOKUP($B38,'40Trips'!$A$3:$I$42,9,FALSE) &gt;= ('40Trips'!$B$43+VLOOKUP(VLOOKUP($B38,'40Trips'!$A$3:$I$42,4,FALSE),'40Trips'!$J$11:$P$14,3,FALSE))),1,0)</f>
        <v>0</v>
      </c>
      <c r="Z38">
        <f>IF(AND(VLOOKUP(Z$1,'40Trips'!$A$3:$I$42,8,FALSE) - VLOOKUP($B38,'40Trips'!$A$3:$I$42,9,FALSE) &gt;= ('40Trips'!$B$43+VLOOKUP(VLOOKUP($B38,'40Trips'!$A$3:$I$42,4,FALSE),'40Trips'!$J$11:$P$14,3,FALSE))),1,0)</f>
        <v>0</v>
      </c>
      <c r="AA38">
        <f>IF(AND(VLOOKUP(AA$1,'40Trips'!$A$3:$I$42,8,FALSE) - VLOOKUP($B38,'40Trips'!$A$3:$I$42,9,FALSE) &gt;= ('40Trips'!$B$43+VLOOKUP(VLOOKUP($B38,'40Trips'!$A$3:$I$42,4,FALSE),'40Trips'!$J$11:$P$14,3,FALSE))),1,0)</f>
        <v>0</v>
      </c>
      <c r="AB38">
        <f>IF(AND(VLOOKUP(AB$1,'40Trips'!$A$3:$I$42,8,FALSE) - VLOOKUP($B38,'40Trips'!$A$3:$I$42,9,FALSE) &gt;= ('40Trips'!$B$43+VLOOKUP(VLOOKUP($B38,'40Trips'!$A$3:$I$42,4,FALSE),'40Trips'!$J$11:$P$14,3,FALSE))),1,0)</f>
        <v>0</v>
      </c>
      <c r="AC38">
        <f>IF(AND(VLOOKUP(AC$1,'40Trips'!$A$3:$I$42,8,FALSE) - VLOOKUP($B38,'40Trips'!$A$3:$I$42,9,FALSE) &gt;= ('40Trips'!$B$43+VLOOKUP(VLOOKUP($B38,'40Trips'!$A$3:$I$42,4,FALSE),'40Trips'!$J$11:$P$14,3,FALSE))),1,0)</f>
        <v>0</v>
      </c>
      <c r="AD38">
        <f>IF(AND(VLOOKUP(AD$1,'40Trips'!$A$3:$I$42,8,FALSE) - VLOOKUP($B38,'40Trips'!$A$3:$I$42,9,FALSE) &gt;= ('40Trips'!$B$43+VLOOKUP(VLOOKUP($B38,'40Trips'!$A$3:$I$42,4,FALSE),'40Trips'!$J$11:$P$14,3,FALSE))),1,0)</f>
        <v>0</v>
      </c>
      <c r="AE38">
        <f>IF(AND(VLOOKUP(AE$1,'40Trips'!$A$3:$I$42,8,FALSE) - VLOOKUP($B38,'40Trips'!$A$3:$I$42,9,FALSE) &gt;= ('40Trips'!$B$43+VLOOKUP(VLOOKUP($B38,'40Trips'!$A$3:$I$42,4,FALSE),'40Trips'!$J$11:$P$14,3,FALSE))),1,0)</f>
        <v>0</v>
      </c>
      <c r="AF38">
        <f>IF(AND(VLOOKUP(AF$1,'40Trips'!$A$3:$I$42,8,FALSE) - VLOOKUP($B38,'40Trips'!$A$3:$I$42,9,FALSE) &gt;= ('40Trips'!$B$43+VLOOKUP(VLOOKUP($B38,'40Trips'!$A$3:$I$42,4,FALSE),'40Trips'!$J$11:$P$14,3,FALSE))),1,0)</f>
        <v>0</v>
      </c>
      <c r="AG38">
        <f>IF(AND(VLOOKUP(AG$1,'40Trips'!$A$3:$I$42,8,FALSE) - VLOOKUP($B38,'40Trips'!$A$3:$I$42,9,FALSE) &gt;= ('40Trips'!$B$43+VLOOKUP(VLOOKUP($B38,'40Trips'!$A$3:$I$42,4,FALSE),'40Trips'!$J$11:$P$14,3,FALSE))),1,0)</f>
        <v>0</v>
      </c>
      <c r="AH38">
        <f>IF(AND(VLOOKUP(AH$1,'40Trips'!$A$3:$I$42,8,FALSE) - VLOOKUP($B38,'40Trips'!$A$3:$I$42,9,FALSE) &gt;= ('40Trips'!$B$43+VLOOKUP(VLOOKUP($B38,'40Trips'!$A$3:$I$42,4,FALSE),'40Trips'!$J$11:$P$14,3,FALSE))),1,0)</f>
        <v>0</v>
      </c>
      <c r="AI38">
        <f>IF(AND(VLOOKUP(AI$1,'40Trips'!$A$3:$I$42,8,FALSE) - VLOOKUP($B38,'40Trips'!$A$3:$I$42,9,FALSE) &gt;= ('40Trips'!$B$43+VLOOKUP(VLOOKUP($B38,'40Trips'!$A$3:$I$42,4,FALSE),'40Trips'!$J$11:$P$14,3,FALSE))),1,0)</f>
        <v>0</v>
      </c>
      <c r="AJ38">
        <f>IF(AND(VLOOKUP(AJ$1,'40Trips'!$A$3:$I$42,8,FALSE) - VLOOKUP($B38,'40Trips'!$A$3:$I$42,9,FALSE) &gt;= ('40Trips'!$B$43+VLOOKUP(VLOOKUP($B38,'40Trips'!$A$3:$I$42,4,FALSE),'40Trips'!$J$11:$P$14,3,FALSE))),1,0)</f>
        <v>0</v>
      </c>
      <c r="AK38">
        <f>IF(AND(VLOOKUP(AK$1,'40Trips'!$A$3:$I$42,8,FALSE) - VLOOKUP($B38,'40Trips'!$A$3:$I$42,9,FALSE) &gt;= ('40Trips'!$B$43+VLOOKUP(VLOOKUP($B38,'40Trips'!$A$3:$I$42,4,FALSE),'40Trips'!$J$11:$P$14,3,FALSE))),1,0)</f>
        <v>0</v>
      </c>
      <c r="AL38">
        <f>IF(AND(VLOOKUP(AL$1,'40Trips'!$A$3:$I$42,8,FALSE) - VLOOKUP($B38,'40Trips'!$A$3:$I$42,9,FALSE) &gt;= ('40Trips'!$B$43+VLOOKUP(VLOOKUP($B38,'40Trips'!$A$3:$I$42,4,FALSE),'40Trips'!$J$11:$P$14,3,FALSE))),1,0)</f>
        <v>0</v>
      </c>
      <c r="AM38">
        <f>IF(AND(VLOOKUP(AM$1,'40Trips'!$A$3:$I$42,8,FALSE) - VLOOKUP($B38,'40Trips'!$A$3:$I$42,9,FALSE) &gt;= ('40Trips'!$B$43+VLOOKUP(VLOOKUP($B38,'40Trips'!$A$3:$I$42,4,FALSE),'40Trips'!$J$11:$P$14,3,FALSE))),1,0)</f>
        <v>0</v>
      </c>
      <c r="AN38">
        <f>IF(AND(VLOOKUP(AN$1,'40Trips'!$A$3:$I$42,8,FALSE) - VLOOKUP($B38,'40Trips'!$A$3:$I$42,9,FALSE) &gt;= ('40Trips'!$B$43+VLOOKUP(VLOOKUP($B38,'40Trips'!$A$3:$I$42,4,FALSE),'40Trips'!$J$11:$P$14,3,FALSE))),1,0)</f>
        <v>0</v>
      </c>
      <c r="AO38">
        <f>IF(AND(VLOOKUP(AO$1,'40Trips'!$A$3:$I$42,8,FALSE) - VLOOKUP($B38,'40Trips'!$A$3:$I$42,9,FALSE) &gt;= ('40Trips'!$B$43+VLOOKUP(VLOOKUP($B38,'40Trips'!$A$3:$I$42,4,FALSE),'40Trips'!$J$11:$P$14,3,FALSE))),1,0)</f>
        <v>0</v>
      </c>
      <c r="AP38">
        <f>IF(AND(VLOOKUP(AP$1,'40Trips'!$A$3:$I$42,8,FALSE) - VLOOKUP($B38,'40Trips'!$A$3:$I$42,9,FALSE) &gt;= ('40Trips'!$B$43+VLOOKUP(VLOOKUP($B38,'40Trips'!$A$3:$I$42,4,FALSE),'40Trips'!$J$11:$P$14,3,FALSE))),1,0)</f>
        <v>0</v>
      </c>
      <c r="AQ38">
        <f>IF(AND(VLOOKUP(AQ$1,'40Trips'!$A$3:$I$42,8,FALSE) - VLOOKUP($B38,'40Trips'!$A$3:$I$42,9,FALSE) &gt;= ('40Trips'!$B$43+VLOOKUP(VLOOKUP($B38,'40Trips'!$A$3:$I$42,4,FALSE),'40Trips'!$J$11:$P$14,3,FALSE))),1,0)</f>
        <v>0</v>
      </c>
    </row>
    <row r="39" spans="1:43" x14ac:dyDescent="0.25">
      <c r="A39" t="s">
        <v>48</v>
      </c>
      <c r="B39" t="s">
        <v>41</v>
      </c>
      <c r="C39">
        <v>0</v>
      </c>
      <c r="D39">
        <f>IF(AND(VLOOKUP(D$1,'40Trips'!$A$3:$I$42,8,FALSE) - VLOOKUP($B39,'40Trips'!$A$3:$I$42,9,FALSE) &gt;= ('40Trips'!$B$43+VLOOKUP(VLOOKUP($B39,'40Trips'!$A$3:$I$42,4,FALSE),'40Trips'!$J$11:$P$14,3,FALSE))),1,0)</f>
        <v>0</v>
      </c>
      <c r="E39">
        <f>IF(AND(VLOOKUP(E$1,'40Trips'!$A$3:$I$42,8,FALSE) - VLOOKUP($B39,'40Trips'!$A$3:$I$42,9,FALSE) &gt;= ('40Trips'!$B$43+VLOOKUP(VLOOKUP($B39,'40Trips'!$A$3:$I$42,4,FALSE),'40Trips'!$J$11:$P$14,3,FALSE))),1,0)</f>
        <v>0</v>
      </c>
      <c r="F39">
        <f>IF(AND(VLOOKUP(F$1,'40Trips'!$A$3:$I$42,8,FALSE) - VLOOKUP($B39,'40Trips'!$A$3:$I$42,9,FALSE) &gt;= ('40Trips'!$B$43+VLOOKUP(VLOOKUP($B39,'40Trips'!$A$3:$I$42,4,FALSE),'40Trips'!$J$11:$P$14,3,FALSE))),1,0)</f>
        <v>1</v>
      </c>
      <c r="G39">
        <f>IF(AND(VLOOKUP(G$1,'40Trips'!$A$3:$I$42,8,FALSE) - VLOOKUP($B39,'40Trips'!$A$3:$I$42,9,FALSE) &gt;= ('40Trips'!$B$43+VLOOKUP(VLOOKUP($B39,'40Trips'!$A$3:$I$42,4,FALSE),'40Trips'!$J$11:$P$14,3,FALSE))),1,0)</f>
        <v>1</v>
      </c>
      <c r="H39">
        <f>IF(AND(VLOOKUP(H$1,'40Trips'!$A$3:$I$42,8,FALSE) - VLOOKUP($B39,'40Trips'!$A$3:$I$42,9,FALSE) &gt;= ('40Trips'!$B$43+VLOOKUP(VLOOKUP($B39,'40Trips'!$A$3:$I$42,4,FALSE),'40Trips'!$J$11:$P$14,3,FALSE))),1,0)</f>
        <v>0</v>
      </c>
      <c r="I39">
        <f>IF(AND(VLOOKUP(I$1,'40Trips'!$A$3:$I$42,8,FALSE) - VLOOKUP($B39,'40Trips'!$A$3:$I$42,9,FALSE) &gt;= ('40Trips'!$B$43+VLOOKUP(VLOOKUP($B39,'40Trips'!$A$3:$I$42,4,FALSE),'40Trips'!$J$11:$P$14,3,FALSE))),1,0)</f>
        <v>0</v>
      </c>
      <c r="J39">
        <f>IF(AND(VLOOKUP(J$1,'40Trips'!$A$3:$I$42,8,FALSE) - VLOOKUP($B39,'40Trips'!$A$3:$I$42,9,FALSE) &gt;= ('40Trips'!$B$43+VLOOKUP(VLOOKUP($B39,'40Trips'!$A$3:$I$42,4,FALSE),'40Trips'!$J$11:$P$14,3,FALSE))),1,0)</f>
        <v>0</v>
      </c>
      <c r="K39">
        <f>IF(AND(VLOOKUP(K$1,'40Trips'!$A$3:$I$42,8,FALSE) - VLOOKUP($B39,'40Trips'!$A$3:$I$42,9,FALSE) &gt;= ('40Trips'!$B$43+VLOOKUP(VLOOKUP($B39,'40Trips'!$A$3:$I$42,4,FALSE),'40Trips'!$J$11:$P$14,3,FALSE))),1,0)</f>
        <v>1</v>
      </c>
      <c r="L39">
        <f>IF(AND(VLOOKUP(L$1,'40Trips'!$A$3:$I$42,8,FALSE) - VLOOKUP($B39,'40Trips'!$A$3:$I$42,9,FALSE) &gt;= ('40Trips'!$B$43+VLOOKUP(VLOOKUP($B39,'40Trips'!$A$3:$I$42,4,FALSE),'40Trips'!$J$11:$P$14,3,FALSE))),1,0)</f>
        <v>0</v>
      </c>
      <c r="M39">
        <f>IF(AND(VLOOKUP(M$1,'40Trips'!$A$3:$I$42,8,FALSE) - VLOOKUP($B39,'40Trips'!$A$3:$I$42,9,FALSE) &gt;= ('40Trips'!$B$43+VLOOKUP(VLOOKUP($B39,'40Trips'!$A$3:$I$42,4,FALSE),'40Trips'!$J$11:$P$14,3,FALSE))),1,0)</f>
        <v>0</v>
      </c>
      <c r="N39">
        <f>IF(AND(VLOOKUP(N$1,'40Trips'!$A$3:$I$42,8,FALSE) - VLOOKUP($B39,'40Trips'!$A$3:$I$42,9,FALSE) &gt;= ('40Trips'!$B$43+VLOOKUP(VLOOKUP($B39,'40Trips'!$A$3:$I$42,4,FALSE),'40Trips'!$J$11:$P$14,3,FALSE))),1,0)</f>
        <v>0</v>
      </c>
      <c r="O39">
        <f>IF(AND(VLOOKUP(O$1,'40Trips'!$A$3:$I$42,8,FALSE) - VLOOKUP($B39,'40Trips'!$A$3:$I$42,9,FALSE) &gt;= ('40Trips'!$B$43+VLOOKUP(VLOOKUP($B39,'40Trips'!$A$3:$I$42,4,FALSE),'40Trips'!$J$11:$P$14,3,FALSE))),1,0)</f>
        <v>0</v>
      </c>
      <c r="P39">
        <f>IF(AND(VLOOKUP(P$1,'40Trips'!$A$3:$I$42,8,FALSE) - VLOOKUP($B39,'40Trips'!$A$3:$I$42,9,FALSE) &gt;= ('40Trips'!$B$43+VLOOKUP(VLOOKUP($B39,'40Trips'!$A$3:$I$42,4,FALSE),'40Trips'!$J$11:$P$14,3,FALSE))),1,0)</f>
        <v>0</v>
      </c>
      <c r="Q39">
        <f>IF(AND(VLOOKUP(Q$1,'40Trips'!$A$3:$I$42,8,FALSE) - VLOOKUP($B39,'40Trips'!$A$3:$I$42,9,FALSE) &gt;= ('40Trips'!$B$43+VLOOKUP(VLOOKUP($B39,'40Trips'!$A$3:$I$42,4,FALSE),'40Trips'!$J$11:$P$14,3,FALSE))),1,0)</f>
        <v>0</v>
      </c>
      <c r="R39">
        <f>IF(AND(VLOOKUP(R$1,'40Trips'!$A$3:$I$42,8,FALSE) - VLOOKUP($B39,'40Trips'!$A$3:$I$42,9,FALSE) &gt;= ('40Trips'!$B$43+VLOOKUP(VLOOKUP($B39,'40Trips'!$A$3:$I$42,4,FALSE),'40Trips'!$J$11:$P$14,3,FALSE))),1,0)</f>
        <v>0</v>
      </c>
      <c r="S39">
        <f>IF(AND(VLOOKUP(S$1,'40Trips'!$A$3:$I$42,8,FALSE) - VLOOKUP($B39,'40Trips'!$A$3:$I$42,9,FALSE) &gt;= ('40Trips'!$B$43+VLOOKUP(VLOOKUP($B39,'40Trips'!$A$3:$I$42,4,FALSE),'40Trips'!$J$11:$P$14,3,FALSE))),1,0)</f>
        <v>1</v>
      </c>
      <c r="T39">
        <f>IF(AND(VLOOKUP(T$1,'40Trips'!$A$3:$I$42,8,FALSE) - VLOOKUP($B39,'40Trips'!$A$3:$I$42,9,FALSE) &gt;= ('40Trips'!$B$43+VLOOKUP(VLOOKUP($B39,'40Trips'!$A$3:$I$42,4,FALSE),'40Trips'!$J$11:$P$14,3,FALSE))),1,0)</f>
        <v>0</v>
      </c>
      <c r="U39">
        <f>IF(AND(VLOOKUP(U$1,'40Trips'!$A$3:$I$42,8,FALSE) - VLOOKUP($B39,'40Trips'!$A$3:$I$42,9,FALSE) &gt;= ('40Trips'!$B$43+VLOOKUP(VLOOKUP($B39,'40Trips'!$A$3:$I$42,4,FALSE),'40Trips'!$J$11:$P$14,3,FALSE))),1,0)</f>
        <v>0</v>
      </c>
      <c r="V39">
        <f>IF(AND(VLOOKUP(V$1,'40Trips'!$A$3:$I$42,8,FALSE) - VLOOKUP($B39,'40Trips'!$A$3:$I$42,9,FALSE) &gt;= ('40Trips'!$B$43+VLOOKUP(VLOOKUP($B39,'40Trips'!$A$3:$I$42,4,FALSE),'40Trips'!$J$11:$P$14,3,FALSE))),1,0)</f>
        <v>0</v>
      </c>
      <c r="W39">
        <f>IF(AND(VLOOKUP(W$1,'40Trips'!$A$3:$I$42,8,FALSE) - VLOOKUP($B39,'40Trips'!$A$3:$I$42,9,FALSE) &gt;= ('40Trips'!$B$43+VLOOKUP(VLOOKUP($B39,'40Trips'!$A$3:$I$42,4,FALSE),'40Trips'!$J$11:$P$14,3,FALSE))),1,0)</f>
        <v>1</v>
      </c>
      <c r="X39">
        <f>IF(AND(VLOOKUP(X$1,'40Trips'!$A$3:$I$42,8,FALSE) - VLOOKUP($B39,'40Trips'!$A$3:$I$42,9,FALSE) &gt;= ('40Trips'!$B$43+VLOOKUP(VLOOKUP($B39,'40Trips'!$A$3:$I$42,4,FALSE),'40Trips'!$J$11:$P$14,3,FALSE))),1,0)</f>
        <v>0</v>
      </c>
      <c r="Y39">
        <f>IF(AND(VLOOKUP(Y$1,'40Trips'!$A$3:$I$42,8,FALSE) - VLOOKUP($B39,'40Trips'!$A$3:$I$42,9,FALSE) &gt;= ('40Trips'!$B$43+VLOOKUP(VLOOKUP($B39,'40Trips'!$A$3:$I$42,4,FALSE),'40Trips'!$J$11:$P$14,3,FALSE))),1,0)</f>
        <v>0</v>
      </c>
      <c r="Z39">
        <f>IF(AND(VLOOKUP(Z$1,'40Trips'!$A$3:$I$42,8,FALSE) - VLOOKUP($B39,'40Trips'!$A$3:$I$42,9,FALSE) &gt;= ('40Trips'!$B$43+VLOOKUP(VLOOKUP($B39,'40Trips'!$A$3:$I$42,4,FALSE),'40Trips'!$J$11:$P$14,3,FALSE))),1,0)</f>
        <v>1</v>
      </c>
      <c r="AA39">
        <f>IF(AND(VLOOKUP(AA$1,'40Trips'!$A$3:$I$42,8,FALSE) - VLOOKUP($B39,'40Trips'!$A$3:$I$42,9,FALSE) &gt;= ('40Trips'!$B$43+VLOOKUP(VLOOKUP($B39,'40Trips'!$A$3:$I$42,4,FALSE),'40Trips'!$J$11:$P$14,3,FALSE))),1,0)</f>
        <v>1</v>
      </c>
      <c r="AB39">
        <f>IF(AND(VLOOKUP(AB$1,'40Trips'!$A$3:$I$42,8,FALSE) - VLOOKUP($B39,'40Trips'!$A$3:$I$42,9,FALSE) &gt;= ('40Trips'!$B$43+VLOOKUP(VLOOKUP($B39,'40Trips'!$A$3:$I$42,4,FALSE),'40Trips'!$J$11:$P$14,3,FALSE))),1,0)</f>
        <v>0</v>
      </c>
      <c r="AC39">
        <f>IF(AND(VLOOKUP(AC$1,'40Trips'!$A$3:$I$42,8,FALSE) - VLOOKUP($B39,'40Trips'!$A$3:$I$42,9,FALSE) &gt;= ('40Trips'!$B$43+VLOOKUP(VLOOKUP($B39,'40Trips'!$A$3:$I$42,4,FALSE),'40Trips'!$J$11:$P$14,3,FALSE))),1,0)</f>
        <v>0</v>
      </c>
      <c r="AD39">
        <f>IF(AND(VLOOKUP(AD$1,'40Trips'!$A$3:$I$42,8,FALSE) - VLOOKUP($B39,'40Trips'!$A$3:$I$42,9,FALSE) &gt;= ('40Trips'!$B$43+VLOOKUP(VLOOKUP($B39,'40Trips'!$A$3:$I$42,4,FALSE),'40Trips'!$J$11:$P$14,3,FALSE))),1,0)</f>
        <v>1</v>
      </c>
      <c r="AE39">
        <f>IF(AND(VLOOKUP(AE$1,'40Trips'!$A$3:$I$42,8,FALSE) - VLOOKUP($B39,'40Trips'!$A$3:$I$42,9,FALSE) &gt;= ('40Trips'!$B$43+VLOOKUP(VLOOKUP($B39,'40Trips'!$A$3:$I$42,4,FALSE),'40Trips'!$J$11:$P$14,3,FALSE))),1,0)</f>
        <v>1</v>
      </c>
      <c r="AF39">
        <f>IF(AND(VLOOKUP(AF$1,'40Trips'!$A$3:$I$42,8,FALSE) - VLOOKUP($B39,'40Trips'!$A$3:$I$42,9,FALSE) &gt;= ('40Trips'!$B$43+VLOOKUP(VLOOKUP($B39,'40Trips'!$A$3:$I$42,4,FALSE),'40Trips'!$J$11:$P$14,3,FALSE))),1,0)</f>
        <v>0</v>
      </c>
      <c r="AG39">
        <f>IF(AND(VLOOKUP(AG$1,'40Trips'!$A$3:$I$42,8,FALSE) - VLOOKUP($B39,'40Trips'!$A$3:$I$42,9,FALSE) &gt;= ('40Trips'!$B$43+VLOOKUP(VLOOKUP($B39,'40Trips'!$A$3:$I$42,4,FALSE),'40Trips'!$J$11:$P$14,3,FALSE))),1,0)</f>
        <v>0</v>
      </c>
      <c r="AH39">
        <f>IF(AND(VLOOKUP(AH$1,'40Trips'!$A$3:$I$42,8,FALSE) - VLOOKUP($B39,'40Trips'!$A$3:$I$42,9,FALSE) &gt;= ('40Trips'!$B$43+VLOOKUP(VLOOKUP($B39,'40Trips'!$A$3:$I$42,4,FALSE),'40Trips'!$J$11:$P$14,3,FALSE))),1,0)</f>
        <v>0</v>
      </c>
      <c r="AI39">
        <f>IF(AND(VLOOKUP(AI$1,'40Trips'!$A$3:$I$42,8,FALSE) - VLOOKUP($B39,'40Trips'!$A$3:$I$42,9,FALSE) &gt;= ('40Trips'!$B$43+VLOOKUP(VLOOKUP($B39,'40Trips'!$A$3:$I$42,4,FALSE),'40Trips'!$J$11:$P$14,3,FALSE))),1,0)</f>
        <v>0</v>
      </c>
      <c r="AJ39">
        <f>IF(AND(VLOOKUP(AJ$1,'40Trips'!$A$3:$I$42,8,FALSE) - VLOOKUP($B39,'40Trips'!$A$3:$I$42,9,FALSE) &gt;= ('40Trips'!$B$43+VLOOKUP(VLOOKUP($B39,'40Trips'!$A$3:$I$42,4,FALSE),'40Trips'!$J$11:$P$14,3,FALSE))),1,0)</f>
        <v>0</v>
      </c>
      <c r="AK39">
        <f>IF(AND(VLOOKUP(AK$1,'40Trips'!$A$3:$I$42,8,FALSE) - VLOOKUP($B39,'40Trips'!$A$3:$I$42,9,FALSE) &gt;= ('40Trips'!$B$43+VLOOKUP(VLOOKUP($B39,'40Trips'!$A$3:$I$42,4,FALSE),'40Trips'!$J$11:$P$14,3,FALSE))),1,0)</f>
        <v>0</v>
      </c>
      <c r="AL39">
        <f>IF(AND(VLOOKUP(AL$1,'40Trips'!$A$3:$I$42,8,FALSE) - VLOOKUP($B39,'40Trips'!$A$3:$I$42,9,FALSE) &gt;= ('40Trips'!$B$43+VLOOKUP(VLOOKUP($B39,'40Trips'!$A$3:$I$42,4,FALSE),'40Trips'!$J$11:$P$14,3,FALSE))),1,0)</f>
        <v>0</v>
      </c>
      <c r="AM39">
        <f>IF(AND(VLOOKUP(AM$1,'40Trips'!$A$3:$I$42,8,FALSE) - VLOOKUP($B39,'40Trips'!$A$3:$I$42,9,FALSE) &gt;= ('40Trips'!$B$43+VLOOKUP(VLOOKUP($B39,'40Trips'!$A$3:$I$42,4,FALSE),'40Trips'!$J$11:$P$14,3,FALSE))),1,0)</f>
        <v>1</v>
      </c>
      <c r="AN39">
        <f>IF(AND(VLOOKUP(AN$1,'40Trips'!$A$3:$I$42,8,FALSE) - VLOOKUP($B39,'40Trips'!$A$3:$I$42,9,FALSE) &gt;= ('40Trips'!$B$43+VLOOKUP(VLOOKUP($B39,'40Trips'!$A$3:$I$42,4,FALSE),'40Trips'!$J$11:$P$14,3,FALSE))),1,0)</f>
        <v>0</v>
      </c>
      <c r="AO39">
        <f>IF(AND(VLOOKUP(AO$1,'40Trips'!$A$3:$I$42,8,FALSE) - VLOOKUP($B39,'40Trips'!$A$3:$I$42,9,FALSE) &gt;= ('40Trips'!$B$43+VLOOKUP(VLOOKUP($B39,'40Trips'!$A$3:$I$42,4,FALSE),'40Trips'!$J$11:$P$14,3,FALSE))),1,0)</f>
        <v>0</v>
      </c>
      <c r="AP39">
        <f>IF(AND(VLOOKUP(AP$1,'40Trips'!$A$3:$I$42,8,FALSE) - VLOOKUP($B39,'40Trips'!$A$3:$I$42,9,FALSE) &gt;= ('40Trips'!$B$43+VLOOKUP(VLOOKUP($B39,'40Trips'!$A$3:$I$42,4,FALSE),'40Trips'!$J$11:$P$14,3,FALSE))),1,0)</f>
        <v>0</v>
      </c>
      <c r="AQ39">
        <f>IF(AND(VLOOKUP(AQ$1,'40Trips'!$A$3:$I$42,8,FALSE) - VLOOKUP($B39,'40Trips'!$A$3:$I$42,9,FALSE) &gt;= ('40Trips'!$B$43+VLOOKUP(VLOOKUP($B39,'40Trips'!$A$3:$I$42,4,FALSE),'40Trips'!$J$11:$P$14,3,FALSE))),1,0)</f>
        <v>1</v>
      </c>
    </row>
    <row r="40" spans="1:43" x14ac:dyDescent="0.25">
      <c r="A40" t="s">
        <v>48</v>
      </c>
      <c r="B40" t="s">
        <v>89</v>
      </c>
      <c r="C40">
        <v>0</v>
      </c>
      <c r="D40">
        <f>IF(AND(VLOOKUP(D$1,'40Trips'!$A$3:$I$42,8,FALSE) - VLOOKUP($B40,'40Trips'!$A$3:$I$42,9,FALSE) &gt;= ('40Trips'!$B$43+VLOOKUP(VLOOKUP($B40,'40Trips'!$A$3:$I$42,4,FALSE),'40Trips'!$J$11:$P$14,3,FALSE))),1,0)</f>
        <v>0</v>
      </c>
      <c r="E40">
        <f>IF(AND(VLOOKUP(E$1,'40Trips'!$A$3:$I$42,8,FALSE) - VLOOKUP($B40,'40Trips'!$A$3:$I$42,9,FALSE) &gt;= ('40Trips'!$B$43+VLOOKUP(VLOOKUP($B40,'40Trips'!$A$3:$I$42,4,FALSE),'40Trips'!$J$11:$P$14,3,FALSE))),1,0)</f>
        <v>0</v>
      </c>
      <c r="F40">
        <f>IF(AND(VLOOKUP(F$1,'40Trips'!$A$3:$I$42,8,FALSE) - VLOOKUP($B40,'40Trips'!$A$3:$I$42,9,FALSE) &gt;= ('40Trips'!$B$43+VLOOKUP(VLOOKUP($B40,'40Trips'!$A$3:$I$42,4,FALSE),'40Trips'!$J$11:$P$14,3,FALSE))),1,0)</f>
        <v>0</v>
      </c>
      <c r="G40">
        <f>IF(AND(VLOOKUP(G$1,'40Trips'!$A$3:$I$42,8,FALSE) - VLOOKUP($B40,'40Trips'!$A$3:$I$42,9,FALSE) &gt;= ('40Trips'!$B$43+VLOOKUP(VLOOKUP($B40,'40Trips'!$A$3:$I$42,4,FALSE),'40Trips'!$J$11:$P$14,3,FALSE))),1,0)</f>
        <v>0</v>
      </c>
      <c r="H40">
        <f>IF(AND(VLOOKUP(H$1,'40Trips'!$A$3:$I$42,8,FALSE) - VLOOKUP($B40,'40Trips'!$A$3:$I$42,9,FALSE) &gt;= ('40Trips'!$B$43+VLOOKUP(VLOOKUP($B40,'40Trips'!$A$3:$I$42,4,FALSE),'40Trips'!$J$11:$P$14,3,FALSE))),1,0)</f>
        <v>0</v>
      </c>
      <c r="I40">
        <f>IF(AND(VLOOKUP(I$1,'40Trips'!$A$3:$I$42,8,FALSE) - VLOOKUP($B40,'40Trips'!$A$3:$I$42,9,FALSE) &gt;= ('40Trips'!$B$43+VLOOKUP(VLOOKUP($B40,'40Trips'!$A$3:$I$42,4,FALSE),'40Trips'!$J$11:$P$14,3,FALSE))),1,0)</f>
        <v>0</v>
      </c>
      <c r="J40">
        <f>IF(AND(VLOOKUP(J$1,'40Trips'!$A$3:$I$42,8,FALSE) - VLOOKUP($B40,'40Trips'!$A$3:$I$42,9,FALSE) &gt;= ('40Trips'!$B$43+VLOOKUP(VLOOKUP($B40,'40Trips'!$A$3:$I$42,4,FALSE),'40Trips'!$J$11:$P$14,3,FALSE))),1,0)</f>
        <v>0</v>
      </c>
      <c r="K40">
        <f>IF(AND(VLOOKUP(K$1,'40Trips'!$A$3:$I$42,8,FALSE) - VLOOKUP($B40,'40Trips'!$A$3:$I$42,9,FALSE) &gt;= ('40Trips'!$B$43+VLOOKUP(VLOOKUP($B40,'40Trips'!$A$3:$I$42,4,FALSE),'40Trips'!$J$11:$P$14,3,FALSE))),1,0)</f>
        <v>1</v>
      </c>
      <c r="L40">
        <f>IF(AND(VLOOKUP(L$1,'40Trips'!$A$3:$I$42,8,FALSE) - VLOOKUP($B40,'40Trips'!$A$3:$I$42,9,FALSE) &gt;= ('40Trips'!$B$43+VLOOKUP(VLOOKUP($B40,'40Trips'!$A$3:$I$42,4,FALSE),'40Trips'!$J$11:$P$14,3,FALSE))),1,0)</f>
        <v>0</v>
      </c>
      <c r="M40">
        <f>IF(AND(VLOOKUP(M$1,'40Trips'!$A$3:$I$42,8,FALSE) - VLOOKUP($B40,'40Trips'!$A$3:$I$42,9,FALSE) &gt;= ('40Trips'!$B$43+VLOOKUP(VLOOKUP($B40,'40Trips'!$A$3:$I$42,4,FALSE),'40Trips'!$J$11:$P$14,3,FALSE))),1,0)</f>
        <v>0</v>
      </c>
      <c r="N40">
        <f>IF(AND(VLOOKUP(N$1,'40Trips'!$A$3:$I$42,8,FALSE) - VLOOKUP($B40,'40Trips'!$A$3:$I$42,9,FALSE) &gt;= ('40Trips'!$B$43+VLOOKUP(VLOOKUP($B40,'40Trips'!$A$3:$I$42,4,FALSE),'40Trips'!$J$11:$P$14,3,FALSE))),1,0)</f>
        <v>0</v>
      </c>
      <c r="O40">
        <f>IF(AND(VLOOKUP(O$1,'40Trips'!$A$3:$I$42,8,FALSE) - VLOOKUP($B40,'40Trips'!$A$3:$I$42,9,FALSE) &gt;= ('40Trips'!$B$43+VLOOKUP(VLOOKUP($B40,'40Trips'!$A$3:$I$42,4,FALSE),'40Trips'!$J$11:$P$14,3,FALSE))),1,0)</f>
        <v>0</v>
      </c>
      <c r="P40">
        <f>IF(AND(VLOOKUP(P$1,'40Trips'!$A$3:$I$42,8,FALSE) - VLOOKUP($B40,'40Trips'!$A$3:$I$42,9,FALSE) &gt;= ('40Trips'!$B$43+VLOOKUP(VLOOKUP($B40,'40Trips'!$A$3:$I$42,4,FALSE),'40Trips'!$J$11:$P$14,3,FALSE))),1,0)</f>
        <v>0</v>
      </c>
      <c r="Q40">
        <f>IF(AND(VLOOKUP(Q$1,'40Trips'!$A$3:$I$42,8,FALSE) - VLOOKUP($B40,'40Trips'!$A$3:$I$42,9,FALSE) &gt;= ('40Trips'!$B$43+VLOOKUP(VLOOKUP($B40,'40Trips'!$A$3:$I$42,4,FALSE),'40Trips'!$J$11:$P$14,3,FALSE))),1,0)</f>
        <v>0</v>
      </c>
      <c r="R40">
        <f>IF(AND(VLOOKUP(R$1,'40Trips'!$A$3:$I$42,8,FALSE) - VLOOKUP($B40,'40Trips'!$A$3:$I$42,9,FALSE) &gt;= ('40Trips'!$B$43+VLOOKUP(VLOOKUP($B40,'40Trips'!$A$3:$I$42,4,FALSE),'40Trips'!$J$11:$P$14,3,FALSE))),1,0)</f>
        <v>0</v>
      </c>
      <c r="S40">
        <f>IF(AND(VLOOKUP(S$1,'40Trips'!$A$3:$I$42,8,FALSE) - VLOOKUP($B40,'40Trips'!$A$3:$I$42,9,FALSE) &gt;= ('40Trips'!$B$43+VLOOKUP(VLOOKUP($B40,'40Trips'!$A$3:$I$42,4,FALSE),'40Trips'!$J$11:$P$14,3,FALSE))),1,0)</f>
        <v>0</v>
      </c>
      <c r="T40">
        <f>IF(AND(VLOOKUP(T$1,'40Trips'!$A$3:$I$42,8,FALSE) - VLOOKUP($B40,'40Trips'!$A$3:$I$42,9,FALSE) &gt;= ('40Trips'!$B$43+VLOOKUP(VLOOKUP($B40,'40Trips'!$A$3:$I$42,4,FALSE),'40Trips'!$J$11:$P$14,3,FALSE))),1,0)</f>
        <v>0</v>
      </c>
      <c r="U40">
        <f>IF(AND(VLOOKUP(U$1,'40Trips'!$A$3:$I$42,8,FALSE) - VLOOKUP($B40,'40Trips'!$A$3:$I$42,9,FALSE) &gt;= ('40Trips'!$B$43+VLOOKUP(VLOOKUP($B40,'40Trips'!$A$3:$I$42,4,FALSE),'40Trips'!$J$11:$P$14,3,FALSE))),1,0)</f>
        <v>0</v>
      </c>
      <c r="V40">
        <f>IF(AND(VLOOKUP(V$1,'40Trips'!$A$3:$I$42,8,FALSE) - VLOOKUP($B40,'40Trips'!$A$3:$I$42,9,FALSE) &gt;= ('40Trips'!$B$43+VLOOKUP(VLOOKUP($B40,'40Trips'!$A$3:$I$42,4,FALSE),'40Trips'!$J$11:$P$14,3,FALSE))),1,0)</f>
        <v>0</v>
      </c>
      <c r="W40">
        <f>IF(AND(VLOOKUP(W$1,'40Trips'!$A$3:$I$42,8,FALSE) - VLOOKUP($B40,'40Trips'!$A$3:$I$42,9,FALSE) &gt;= ('40Trips'!$B$43+VLOOKUP(VLOOKUP($B40,'40Trips'!$A$3:$I$42,4,FALSE),'40Trips'!$J$11:$P$14,3,FALSE))),1,0)</f>
        <v>0</v>
      </c>
      <c r="X40">
        <f>IF(AND(VLOOKUP(X$1,'40Trips'!$A$3:$I$42,8,FALSE) - VLOOKUP($B40,'40Trips'!$A$3:$I$42,9,FALSE) &gt;= ('40Trips'!$B$43+VLOOKUP(VLOOKUP($B40,'40Trips'!$A$3:$I$42,4,FALSE),'40Trips'!$J$11:$P$14,3,FALSE))),1,0)</f>
        <v>0</v>
      </c>
      <c r="Y40">
        <f>IF(AND(VLOOKUP(Y$1,'40Trips'!$A$3:$I$42,8,FALSE) - VLOOKUP($B40,'40Trips'!$A$3:$I$42,9,FALSE) &gt;= ('40Trips'!$B$43+VLOOKUP(VLOOKUP($B40,'40Trips'!$A$3:$I$42,4,FALSE),'40Trips'!$J$11:$P$14,3,FALSE))),1,0)</f>
        <v>0</v>
      </c>
      <c r="Z40">
        <f>IF(AND(VLOOKUP(Z$1,'40Trips'!$A$3:$I$42,8,FALSE) - VLOOKUP($B40,'40Trips'!$A$3:$I$42,9,FALSE) &gt;= ('40Trips'!$B$43+VLOOKUP(VLOOKUP($B40,'40Trips'!$A$3:$I$42,4,FALSE),'40Trips'!$J$11:$P$14,3,FALSE))),1,0)</f>
        <v>0</v>
      </c>
      <c r="AA40">
        <f>IF(AND(VLOOKUP(AA$1,'40Trips'!$A$3:$I$42,8,FALSE) - VLOOKUP($B40,'40Trips'!$A$3:$I$42,9,FALSE) &gt;= ('40Trips'!$B$43+VLOOKUP(VLOOKUP($B40,'40Trips'!$A$3:$I$42,4,FALSE),'40Trips'!$J$11:$P$14,3,FALSE))),1,0)</f>
        <v>0</v>
      </c>
      <c r="AB40">
        <f>IF(AND(VLOOKUP(AB$1,'40Trips'!$A$3:$I$42,8,FALSE) - VLOOKUP($B40,'40Trips'!$A$3:$I$42,9,FALSE) &gt;= ('40Trips'!$B$43+VLOOKUP(VLOOKUP($B40,'40Trips'!$A$3:$I$42,4,FALSE),'40Trips'!$J$11:$P$14,3,FALSE))),1,0)</f>
        <v>0</v>
      </c>
      <c r="AC40">
        <f>IF(AND(VLOOKUP(AC$1,'40Trips'!$A$3:$I$42,8,FALSE) - VLOOKUP($B40,'40Trips'!$A$3:$I$42,9,FALSE) &gt;= ('40Trips'!$B$43+VLOOKUP(VLOOKUP($B40,'40Trips'!$A$3:$I$42,4,FALSE),'40Trips'!$J$11:$P$14,3,FALSE))),1,0)</f>
        <v>0</v>
      </c>
      <c r="AD40">
        <f>IF(AND(VLOOKUP(AD$1,'40Trips'!$A$3:$I$42,8,FALSE) - VLOOKUP($B40,'40Trips'!$A$3:$I$42,9,FALSE) &gt;= ('40Trips'!$B$43+VLOOKUP(VLOOKUP($B40,'40Trips'!$A$3:$I$42,4,FALSE),'40Trips'!$J$11:$P$14,3,FALSE))),1,0)</f>
        <v>0</v>
      </c>
      <c r="AE40">
        <f>IF(AND(VLOOKUP(AE$1,'40Trips'!$A$3:$I$42,8,FALSE) - VLOOKUP($B40,'40Trips'!$A$3:$I$42,9,FALSE) &gt;= ('40Trips'!$B$43+VLOOKUP(VLOOKUP($B40,'40Trips'!$A$3:$I$42,4,FALSE),'40Trips'!$J$11:$P$14,3,FALSE))),1,0)</f>
        <v>0</v>
      </c>
      <c r="AF40">
        <f>IF(AND(VLOOKUP(AF$1,'40Trips'!$A$3:$I$42,8,FALSE) - VLOOKUP($B40,'40Trips'!$A$3:$I$42,9,FALSE) &gt;= ('40Trips'!$B$43+VLOOKUP(VLOOKUP($B40,'40Trips'!$A$3:$I$42,4,FALSE),'40Trips'!$J$11:$P$14,3,FALSE))),1,0)</f>
        <v>0</v>
      </c>
      <c r="AG40">
        <f>IF(AND(VLOOKUP(AG$1,'40Trips'!$A$3:$I$42,8,FALSE) - VLOOKUP($B40,'40Trips'!$A$3:$I$42,9,FALSE) &gt;= ('40Trips'!$B$43+VLOOKUP(VLOOKUP($B40,'40Trips'!$A$3:$I$42,4,FALSE),'40Trips'!$J$11:$P$14,3,FALSE))),1,0)</f>
        <v>0</v>
      </c>
      <c r="AH40">
        <f>IF(AND(VLOOKUP(AH$1,'40Trips'!$A$3:$I$42,8,FALSE) - VLOOKUP($B40,'40Trips'!$A$3:$I$42,9,FALSE) &gt;= ('40Trips'!$B$43+VLOOKUP(VLOOKUP($B40,'40Trips'!$A$3:$I$42,4,FALSE),'40Trips'!$J$11:$P$14,3,FALSE))),1,0)</f>
        <v>0</v>
      </c>
      <c r="AI40">
        <f>IF(AND(VLOOKUP(AI$1,'40Trips'!$A$3:$I$42,8,FALSE) - VLOOKUP($B40,'40Trips'!$A$3:$I$42,9,FALSE) &gt;= ('40Trips'!$B$43+VLOOKUP(VLOOKUP($B40,'40Trips'!$A$3:$I$42,4,FALSE),'40Trips'!$J$11:$P$14,3,FALSE))),1,0)</f>
        <v>0</v>
      </c>
      <c r="AJ40">
        <f>IF(AND(VLOOKUP(AJ$1,'40Trips'!$A$3:$I$42,8,FALSE) - VLOOKUP($B40,'40Trips'!$A$3:$I$42,9,FALSE) &gt;= ('40Trips'!$B$43+VLOOKUP(VLOOKUP($B40,'40Trips'!$A$3:$I$42,4,FALSE),'40Trips'!$J$11:$P$14,3,FALSE))),1,0)</f>
        <v>0</v>
      </c>
      <c r="AK40">
        <f>IF(AND(VLOOKUP(AK$1,'40Trips'!$A$3:$I$42,8,FALSE) - VLOOKUP($B40,'40Trips'!$A$3:$I$42,9,FALSE) &gt;= ('40Trips'!$B$43+VLOOKUP(VLOOKUP($B40,'40Trips'!$A$3:$I$42,4,FALSE),'40Trips'!$J$11:$P$14,3,FALSE))),1,0)</f>
        <v>0</v>
      </c>
      <c r="AL40">
        <f>IF(AND(VLOOKUP(AL$1,'40Trips'!$A$3:$I$42,8,FALSE) - VLOOKUP($B40,'40Trips'!$A$3:$I$42,9,FALSE) &gt;= ('40Trips'!$B$43+VLOOKUP(VLOOKUP($B40,'40Trips'!$A$3:$I$42,4,FALSE),'40Trips'!$J$11:$P$14,3,FALSE))),1,0)</f>
        <v>0</v>
      </c>
      <c r="AM40">
        <f>IF(AND(VLOOKUP(AM$1,'40Trips'!$A$3:$I$42,8,FALSE) - VLOOKUP($B40,'40Trips'!$A$3:$I$42,9,FALSE) &gt;= ('40Trips'!$B$43+VLOOKUP(VLOOKUP($B40,'40Trips'!$A$3:$I$42,4,FALSE),'40Trips'!$J$11:$P$14,3,FALSE))),1,0)</f>
        <v>1</v>
      </c>
      <c r="AN40">
        <f>IF(AND(VLOOKUP(AN$1,'40Trips'!$A$3:$I$42,8,FALSE) - VLOOKUP($B40,'40Trips'!$A$3:$I$42,9,FALSE) &gt;= ('40Trips'!$B$43+VLOOKUP(VLOOKUP($B40,'40Trips'!$A$3:$I$42,4,FALSE),'40Trips'!$J$11:$P$14,3,FALSE))),1,0)</f>
        <v>0</v>
      </c>
      <c r="AO40">
        <f>IF(AND(VLOOKUP(AO$1,'40Trips'!$A$3:$I$42,8,FALSE) - VLOOKUP($B40,'40Trips'!$A$3:$I$42,9,FALSE) &gt;= ('40Trips'!$B$43+VLOOKUP(VLOOKUP($B40,'40Trips'!$A$3:$I$42,4,FALSE),'40Trips'!$J$11:$P$14,3,FALSE))),1,0)</f>
        <v>0</v>
      </c>
      <c r="AP40">
        <f>IF(AND(VLOOKUP(AP$1,'40Trips'!$A$3:$I$42,8,FALSE) - VLOOKUP($B40,'40Trips'!$A$3:$I$42,9,FALSE) &gt;= ('40Trips'!$B$43+VLOOKUP(VLOOKUP($B40,'40Trips'!$A$3:$I$42,4,FALSE),'40Trips'!$J$11:$P$14,3,FALSE))),1,0)</f>
        <v>0</v>
      </c>
      <c r="AQ40">
        <f>IF(AND(VLOOKUP(AQ$1,'40Trips'!$A$3:$I$42,8,FALSE) - VLOOKUP($B40,'40Trips'!$A$3:$I$42,9,FALSE) &gt;= ('40Trips'!$B$43+VLOOKUP(VLOOKUP($B40,'40Trips'!$A$3:$I$42,4,FALSE),'40Trips'!$J$11:$P$14,3,FALSE))),1,0)</f>
        <v>1</v>
      </c>
    </row>
    <row r="41" spans="1:43" x14ac:dyDescent="0.25">
      <c r="A41" t="s">
        <v>48</v>
      </c>
      <c r="B41" t="s">
        <v>90</v>
      </c>
      <c r="C41">
        <v>0</v>
      </c>
      <c r="D41">
        <f>IF(AND(VLOOKUP(D$1,'40Trips'!$A$3:$I$42,8,FALSE) - VLOOKUP($B41,'40Trips'!$A$3:$I$42,9,FALSE) &gt;= ('40Trips'!$B$43+VLOOKUP(VLOOKUP($B41,'40Trips'!$A$3:$I$42,4,FALSE),'40Trips'!$J$11:$P$14,3,FALSE))),1,0)</f>
        <v>0</v>
      </c>
      <c r="E41">
        <f>IF(AND(VLOOKUP(E$1,'40Trips'!$A$3:$I$42,8,FALSE) - VLOOKUP($B41,'40Trips'!$A$3:$I$42,9,FALSE) &gt;= ('40Trips'!$B$43+VLOOKUP(VLOOKUP($B41,'40Trips'!$A$3:$I$42,4,FALSE),'40Trips'!$J$11:$P$14,3,FALSE))),1,0)</f>
        <v>0</v>
      </c>
      <c r="F41">
        <f>IF(AND(VLOOKUP(F$1,'40Trips'!$A$3:$I$42,8,FALSE) - VLOOKUP($B41,'40Trips'!$A$3:$I$42,9,FALSE) &gt;= ('40Trips'!$B$43+VLOOKUP(VLOOKUP($B41,'40Trips'!$A$3:$I$42,4,FALSE),'40Trips'!$J$11:$P$14,3,FALSE))),1,0)</f>
        <v>0</v>
      </c>
      <c r="G41">
        <f>IF(AND(VLOOKUP(G$1,'40Trips'!$A$3:$I$42,8,FALSE) - VLOOKUP($B41,'40Trips'!$A$3:$I$42,9,FALSE) &gt;= ('40Trips'!$B$43+VLOOKUP(VLOOKUP($B41,'40Trips'!$A$3:$I$42,4,FALSE),'40Trips'!$J$11:$P$14,3,FALSE))),1,0)</f>
        <v>0</v>
      </c>
      <c r="H41">
        <f>IF(AND(VLOOKUP(H$1,'40Trips'!$A$3:$I$42,8,FALSE) - VLOOKUP($B41,'40Trips'!$A$3:$I$42,9,FALSE) &gt;= ('40Trips'!$B$43+VLOOKUP(VLOOKUP($B41,'40Trips'!$A$3:$I$42,4,FALSE),'40Trips'!$J$11:$P$14,3,FALSE))),1,0)</f>
        <v>0</v>
      </c>
      <c r="I41">
        <f>IF(AND(VLOOKUP(I$1,'40Trips'!$A$3:$I$42,8,FALSE) - VLOOKUP($B41,'40Trips'!$A$3:$I$42,9,FALSE) &gt;= ('40Trips'!$B$43+VLOOKUP(VLOOKUP($B41,'40Trips'!$A$3:$I$42,4,FALSE),'40Trips'!$J$11:$P$14,3,FALSE))),1,0)</f>
        <v>0</v>
      </c>
      <c r="J41">
        <f>IF(AND(VLOOKUP(J$1,'40Trips'!$A$3:$I$42,8,FALSE) - VLOOKUP($B41,'40Trips'!$A$3:$I$42,9,FALSE) &gt;= ('40Trips'!$B$43+VLOOKUP(VLOOKUP($B41,'40Trips'!$A$3:$I$42,4,FALSE),'40Trips'!$J$11:$P$14,3,FALSE))),1,0)</f>
        <v>0</v>
      </c>
      <c r="K41">
        <f>IF(AND(VLOOKUP(K$1,'40Trips'!$A$3:$I$42,8,FALSE) - VLOOKUP($B41,'40Trips'!$A$3:$I$42,9,FALSE) &gt;= ('40Trips'!$B$43+VLOOKUP(VLOOKUP($B41,'40Trips'!$A$3:$I$42,4,FALSE),'40Trips'!$J$11:$P$14,3,FALSE))),1,0)</f>
        <v>1</v>
      </c>
      <c r="L41">
        <f>IF(AND(VLOOKUP(L$1,'40Trips'!$A$3:$I$42,8,FALSE) - VLOOKUP($B41,'40Trips'!$A$3:$I$42,9,FALSE) &gt;= ('40Trips'!$B$43+VLOOKUP(VLOOKUP($B41,'40Trips'!$A$3:$I$42,4,FALSE),'40Trips'!$J$11:$P$14,3,FALSE))),1,0)</f>
        <v>0</v>
      </c>
      <c r="M41">
        <f>IF(AND(VLOOKUP(M$1,'40Trips'!$A$3:$I$42,8,FALSE) - VLOOKUP($B41,'40Trips'!$A$3:$I$42,9,FALSE) &gt;= ('40Trips'!$B$43+VLOOKUP(VLOOKUP($B41,'40Trips'!$A$3:$I$42,4,FALSE),'40Trips'!$J$11:$P$14,3,FALSE))),1,0)</f>
        <v>0</v>
      </c>
      <c r="N41">
        <f>IF(AND(VLOOKUP(N$1,'40Trips'!$A$3:$I$42,8,FALSE) - VLOOKUP($B41,'40Trips'!$A$3:$I$42,9,FALSE) &gt;= ('40Trips'!$B$43+VLOOKUP(VLOOKUP($B41,'40Trips'!$A$3:$I$42,4,FALSE),'40Trips'!$J$11:$P$14,3,FALSE))),1,0)</f>
        <v>0</v>
      </c>
      <c r="O41">
        <f>IF(AND(VLOOKUP(O$1,'40Trips'!$A$3:$I$42,8,FALSE) - VLOOKUP($B41,'40Trips'!$A$3:$I$42,9,FALSE) &gt;= ('40Trips'!$B$43+VLOOKUP(VLOOKUP($B41,'40Trips'!$A$3:$I$42,4,FALSE),'40Trips'!$J$11:$P$14,3,FALSE))),1,0)</f>
        <v>0</v>
      </c>
      <c r="P41">
        <f>IF(AND(VLOOKUP(P$1,'40Trips'!$A$3:$I$42,8,FALSE) - VLOOKUP($B41,'40Trips'!$A$3:$I$42,9,FALSE) &gt;= ('40Trips'!$B$43+VLOOKUP(VLOOKUP($B41,'40Trips'!$A$3:$I$42,4,FALSE),'40Trips'!$J$11:$P$14,3,FALSE))),1,0)</f>
        <v>0</v>
      </c>
      <c r="Q41">
        <f>IF(AND(VLOOKUP(Q$1,'40Trips'!$A$3:$I$42,8,FALSE) - VLOOKUP($B41,'40Trips'!$A$3:$I$42,9,FALSE) &gt;= ('40Trips'!$B$43+VLOOKUP(VLOOKUP($B41,'40Trips'!$A$3:$I$42,4,FALSE),'40Trips'!$J$11:$P$14,3,FALSE))),1,0)</f>
        <v>0</v>
      </c>
      <c r="R41">
        <f>IF(AND(VLOOKUP(R$1,'40Trips'!$A$3:$I$42,8,FALSE) - VLOOKUP($B41,'40Trips'!$A$3:$I$42,9,FALSE) &gt;= ('40Trips'!$B$43+VLOOKUP(VLOOKUP($B41,'40Trips'!$A$3:$I$42,4,FALSE),'40Trips'!$J$11:$P$14,3,FALSE))),1,0)</f>
        <v>0</v>
      </c>
      <c r="S41">
        <f>IF(AND(VLOOKUP(S$1,'40Trips'!$A$3:$I$42,8,FALSE) - VLOOKUP($B41,'40Trips'!$A$3:$I$42,9,FALSE) &gt;= ('40Trips'!$B$43+VLOOKUP(VLOOKUP($B41,'40Trips'!$A$3:$I$42,4,FALSE),'40Trips'!$J$11:$P$14,3,FALSE))),1,0)</f>
        <v>0</v>
      </c>
      <c r="T41">
        <f>IF(AND(VLOOKUP(T$1,'40Trips'!$A$3:$I$42,8,FALSE) - VLOOKUP($B41,'40Trips'!$A$3:$I$42,9,FALSE) &gt;= ('40Trips'!$B$43+VLOOKUP(VLOOKUP($B41,'40Trips'!$A$3:$I$42,4,FALSE),'40Trips'!$J$11:$P$14,3,FALSE))),1,0)</f>
        <v>0</v>
      </c>
      <c r="U41">
        <f>IF(AND(VLOOKUP(U$1,'40Trips'!$A$3:$I$42,8,FALSE) - VLOOKUP($B41,'40Trips'!$A$3:$I$42,9,FALSE) &gt;= ('40Trips'!$B$43+VLOOKUP(VLOOKUP($B41,'40Trips'!$A$3:$I$42,4,FALSE),'40Trips'!$J$11:$P$14,3,FALSE))),1,0)</f>
        <v>0</v>
      </c>
      <c r="V41">
        <f>IF(AND(VLOOKUP(V$1,'40Trips'!$A$3:$I$42,8,FALSE) - VLOOKUP($B41,'40Trips'!$A$3:$I$42,9,FALSE) &gt;= ('40Trips'!$B$43+VLOOKUP(VLOOKUP($B41,'40Trips'!$A$3:$I$42,4,FALSE),'40Trips'!$J$11:$P$14,3,FALSE))),1,0)</f>
        <v>0</v>
      </c>
      <c r="W41">
        <f>IF(AND(VLOOKUP(W$1,'40Trips'!$A$3:$I$42,8,FALSE) - VLOOKUP($B41,'40Trips'!$A$3:$I$42,9,FALSE) &gt;= ('40Trips'!$B$43+VLOOKUP(VLOOKUP($B41,'40Trips'!$A$3:$I$42,4,FALSE),'40Trips'!$J$11:$P$14,3,FALSE))),1,0)</f>
        <v>0</v>
      </c>
      <c r="X41">
        <f>IF(AND(VLOOKUP(X$1,'40Trips'!$A$3:$I$42,8,FALSE) - VLOOKUP($B41,'40Trips'!$A$3:$I$42,9,FALSE) &gt;= ('40Trips'!$B$43+VLOOKUP(VLOOKUP($B41,'40Trips'!$A$3:$I$42,4,FALSE),'40Trips'!$J$11:$P$14,3,FALSE))),1,0)</f>
        <v>0</v>
      </c>
      <c r="Y41">
        <f>IF(AND(VLOOKUP(Y$1,'40Trips'!$A$3:$I$42,8,FALSE) - VLOOKUP($B41,'40Trips'!$A$3:$I$42,9,FALSE) &gt;= ('40Trips'!$B$43+VLOOKUP(VLOOKUP($B41,'40Trips'!$A$3:$I$42,4,FALSE),'40Trips'!$J$11:$P$14,3,FALSE))),1,0)</f>
        <v>0</v>
      </c>
      <c r="Z41">
        <f>IF(AND(VLOOKUP(Z$1,'40Trips'!$A$3:$I$42,8,FALSE) - VLOOKUP($B41,'40Trips'!$A$3:$I$42,9,FALSE) &gt;= ('40Trips'!$B$43+VLOOKUP(VLOOKUP($B41,'40Trips'!$A$3:$I$42,4,FALSE),'40Trips'!$J$11:$P$14,3,FALSE))),1,0)</f>
        <v>0</v>
      </c>
      <c r="AA41">
        <f>IF(AND(VLOOKUP(AA$1,'40Trips'!$A$3:$I$42,8,FALSE) - VLOOKUP($B41,'40Trips'!$A$3:$I$42,9,FALSE) &gt;= ('40Trips'!$B$43+VLOOKUP(VLOOKUP($B41,'40Trips'!$A$3:$I$42,4,FALSE),'40Trips'!$J$11:$P$14,3,FALSE))),1,0)</f>
        <v>0</v>
      </c>
      <c r="AB41">
        <f>IF(AND(VLOOKUP(AB$1,'40Trips'!$A$3:$I$42,8,FALSE) - VLOOKUP($B41,'40Trips'!$A$3:$I$42,9,FALSE) &gt;= ('40Trips'!$B$43+VLOOKUP(VLOOKUP($B41,'40Trips'!$A$3:$I$42,4,FALSE),'40Trips'!$J$11:$P$14,3,FALSE))),1,0)</f>
        <v>0</v>
      </c>
      <c r="AC41">
        <f>IF(AND(VLOOKUP(AC$1,'40Trips'!$A$3:$I$42,8,FALSE) - VLOOKUP($B41,'40Trips'!$A$3:$I$42,9,FALSE) &gt;= ('40Trips'!$B$43+VLOOKUP(VLOOKUP($B41,'40Trips'!$A$3:$I$42,4,FALSE),'40Trips'!$J$11:$P$14,3,FALSE))),1,0)</f>
        <v>0</v>
      </c>
      <c r="AD41">
        <f>IF(AND(VLOOKUP(AD$1,'40Trips'!$A$3:$I$42,8,FALSE) - VLOOKUP($B41,'40Trips'!$A$3:$I$42,9,FALSE) &gt;= ('40Trips'!$B$43+VLOOKUP(VLOOKUP($B41,'40Trips'!$A$3:$I$42,4,FALSE),'40Trips'!$J$11:$P$14,3,FALSE))),1,0)</f>
        <v>0</v>
      </c>
      <c r="AE41">
        <f>IF(AND(VLOOKUP(AE$1,'40Trips'!$A$3:$I$42,8,FALSE) - VLOOKUP($B41,'40Trips'!$A$3:$I$42,9,FALSE) &gt;= ('40Trips'!$B$43+VLOOKUP(VLOOKUP($B41,'40Trips'!$A$3:$I$42,4,FALSE),'40Trips'!$J$11:$P$14,3,FALSE))),1,0)</f>
        <v>0</v>
      </c>
      <c r="AF41">
        <f>IF(AND(VLOOKUP(AF$1,'40Trips'!$A$3:$I$42,8,FALSE) - VLOOKUP($B41,'40Trips'!$A$3:$I$42,9,FALSE) &gt;= ('40Trips'!$B$43+VLOOKUP(VLOOKUP($B41,'40Trips'!$A$3:$I$42,4,FALSE),'40Trips'!$J$11:$P$14,3,FALSE))),1,0)</f>
        <v>0</v>
      </c>
      <c r="AG41">
        <f>IF(AND(VLOOKUP(AG$1,'40Trips'!$A$3:$I$42,8,FALSE) - VLOOKUP($B41,'40Trips'!$A$3:$I$42,9,FALSE) &gt;= ('40Trips'!$B$43+VLOOKUP(VLOOKUP($B41,'40Trips'!$A$3:$I$42,4,FALSE),'40Trips'!$J$11:$P$14,3,FALSE))),1,0)</f>
        <v>0</v>
      </c>
      <c r="AH41">
        <f>IF(AND(VLOOKUP(AH$1,'40Trips'!$A$3:$I$42,8,FALSE) - VLOOKUP($B41,'40Trips'!$A$3:$I$42,9,FALSE) &gt;= ('40Trips'!$B$43+VLOOKUP(VLOOKUP($B41,'40Trips'!$A$3:$I$42,4,FALSE),'40Trips'!$J$11:$P$14,3,FALSE))),1,0)</f>
        <v>0</v>
      </c>
      <c r="AI41">
        <f>IF(AND(VLOOKUP(AI$1,'40Trips'!$A$3:$I$42,8,FALSE) - VLOOKUP($B41,'40Trips'!$A$3:$I$42,9,FALSE) &gt;= ('40Trips'!$B$43+VLOOKUP(VLOOKUP($B41,'40Trips'!$A$3:$I$42,4,FALSE),'40Trips'!$J$11:$P$14,3,FALSE))),1,0)</f>
        <v>0</v>
      </c>
      <c r="AJ41">
        <f>IF(AND(VLOOKUP(AJ$1,'40Trips'!$A$3:$I$42,8,FALSE) - VLOOKUP($B41,'40Trips'!$A$3:$I$42,9,FALSE) &gt;= ('40Trips'!$B$43+VLOOKUP(VLOOKUP($B41,'40Trips'!$A$3:$I$42,4,FALSE),'40Trips'!$J$11:$P$14,3,FALSE))),1,0)</f>
        <v>0</v>
      </c>
      <c r="AK41">
        <f>IF(AND(VLOOKUP(AK$1,'40Trips'!$A$3:$I$42,8,FALSE) - VLOOKUP($B41,'40Trips'!$A$3:$I$42,9,FALSE) &gt;= ('40Trips'!$B$43+VLOOKUP(VLOOKUP($B41,'40Trips'!$A$3:$I$42,4,FALSE),'40Trips'!$J$11:$P$14,3,FALSE))),1,0)</f>
        <v>0</v>
      </c>
      <c r="AL41">
        <f>IF(AND(VLOOKUP(AL$1,'40Trips'!$A$3:$I$42,8,FALSE) - VLOOKUP($B41,'40Trips'!$A$3:$I$42,9,FALSE) &gt;= ('40Trips'!$B$43+VLOOKUP(VLOOKUP($B41,'40Trips'!$A$3:$I$42,4,FALSE),'40Trips'!$J$11:$P$14,3,FALSE))),1,0)</f>
        <v>0</v>
      </c>
      <c r="AM41">
        <f>IF(AND(VLOOKUP(AM$1,'40Trips'!$A$3:$I$42,8,FALSE) - VLOOKUP($B41,'40Trips'!$A$3:$I$42,9,FALSE) &gt;= ('40Trips'!$B$43+VLOOKUP(VLOOKUP($B41,'40Trips'!$A$3:$I$42,4,FALSE),'40Trips'!$J$11:$P$14,3,FALSE))),1,0)</f>
        <v>1</v>
      </c>
      <c r="AN41">
        <f>IF(AND(VLOOKUP(AN$1,'40Trips'!$A$3:$I$42,8,FALSE) - VLOOKUP($B41,'40Trips'!$A$3:$I$42,9,FALSE) &gt;= ('40Trips'!$B$43+VLOOKUP(VLOOKUP($B41,'40Trips'!$A$3:$I$42,4,FALSE),'40Trips'!$J$11:$P$14,3,FALSE))),1,0)</f>
        <v>0</v>
      </c>
      <c r="AO41">
        <f>IF(AND(VLOOKUP(AO$1,'40Trips'!$A$3:$I$42,8,FALSE) - VLOOKUP($B41,'40Trips'!$A$3:$I$42,9,FALSE) &gt;= ('40Trips'!$B$43+VLOOKUP(VLOOKUP($B41,'40Trips'!$A$3:$I$42,4,FALSE),'40Trips'!$J$11:$P$14,3,FALSE))),1,0)</f>
        <v>0</v>
      </c>
      <c r="AP41">
        <f>IF(AND(VLOOKUP(AP$1,'40Trips'!$A$3:$I$42,8,FALSE) - VLOOKUP($B41,'40Trips'!$A$3:$I$42,9,FALSE) &gt;= ('40Trips'!$B$43+VLOOKUP(VLOOKUP($B41,'40Trips'!$A$3:$I$42,4,FALSE),'40Trips'!$J$11:$P$14,3,FALSE))),1,0)</f>
        <v>0</v>
      </c>
      <c r="AQ41">
        <f>IF(AND(VLOOKUP(AQ$1,'40Trips'!$A$3:$I$42,8,FALSE) - VLOOKUP($B41,'40Trips'!$A$3:$I$42,9,FALSE) &gt;= ('40Trips'!$B$43+VLOOKUP(VLOOKUP($B41,'40Trips'!$A$3:$I$42,4,FALSE),'40Trips'!$J$11:$P$14,3,FALSE))),1,0)</f>
        <v>0</v>
      </c>
    </row>
    <row r="42" spans="1:43" x14ac:dyDescent="0.25">
      <c r="A42" t="s">
        <v>48</v>
      </c>
      <c r="B42" t="s">
        <v>91</v>
      </c>
      <c r="C42">
        <v>0</v>
      </c>
      <c r="D42">
        <f>IF(AND(VLOOKUP(D$1,'40Trips'!$A$3:$I$42,8,FALSE) - VLOOKUP($B42,'40Trips'!$A$3:$I$42,9,FALSE) &gt;= ('40Trips'!$B$43+VLOOKUP(VLOOKUP($B42,'40Trips'!$A$3:$I$42,4,FALSE),'40Trips'!$J$11:$P$14,3,FALSE))),1,0)</f>
        <v>0</v>
      </c>
      <c r="E42">
        <f>IF(AND(VLOOKUP(E$1,'40Trips'!$A$3:$I$42,8,FALSE) - VLOOKUP($B42,'40Trips'!$A$3:$I$42,9,FALSE) &gt;= ('40Trips'!$B$43+VLOOKUP(VLOOKUP($B42,'40Trips'!$A$3:$I$42,4,FALSE),'40Trips'!$J$11:$P$14,3,FALSE))),1,0)</f>
        <v>0</v>
      </c>
      <c r="F42">
        <f>IF(AND(VLOOKUP(F$1,'40Trips'!$A$3:$I$42,8,FALSE) - VLOOKUP($B42,'40Trips'!$A$3:$I$42,9,FALSE) &gt;= ('40Trips'!$B$43+VLOOKUP(VLOOKUP($B42,'40Trips'!$A$3:$I$42,4,FALSE),'40Trips'!$J$11:$P$14,3,FALSE))),1,0)</f>
        <v>0</v>
      </c>
      <c r="G42">
        <f>IF(AND(VLOOKUP(G$1,'40Trips'!$A$3:$I$42,8,FALSE) - VLOOKUP($B42,'40Trips'!$A$3:$I$42,9,FALSE) &gt;= ('40Trips'!$B$43+VLOOKUP(VLOOKUP($B42,'40Trips'!$A$3:$I$42,4,FALSE),'40Trips'!$J$11:$P$14,3,FALSE))),1,0)</f>
        <v>0</v>
      </c>
      <c r="H42">
        <f>IF(AND(VLOOKUP(H$1,'40Trips'!$A$3:$I$42,8,FALSE) - VLOOKUP($B42,'40Trips'!$A$3:$I$42,9,FALSE) &gt;= ('40Trips'!$B$43+VLOOKUP(VLOOKUP($B42,'40Trips'!$A$3:$I$42,4,FALSE),'40Trips'!$J$11:$P$14,3,FALSE))),1,0)</f>
        <v>0</v>
      </c>
      <c r="I42">
        <f>IF(AND(VLOOKUP(I$1,'40Trips'!$A$3:$I$42,8,FALSE) - VLOOKUP($B42,'40Trips'!$A$3:$I$42,9,FALSE) &gt;= ('40Trips'!$B$43+VLOOKUP(VLOOKUP($B42,'40Trips'!$A$3:$I$42,4,FALSE),'40Trips'!$J$11:$P$14,3,FALSE))),1,0)</f>
        <v>0</v>
      </c>
      <c r="J42">
        <f>IF(AND(VLOOKUP(J$1,'40Trips'!$A$3:$I$42,8,FALSE) - VLOOKUP($B42,'40Trips'!$A$3:$I$42,9,FALSE) &gt;= ('40Trips'!$B$43+VLOOKUP(VLOOKUP($B42,'40Trips'!$A$3:$I$42,4,FALSE),'40Trips'!$J$11:$P$14,3,FALSE))),1,0)</f>
        <v>0</v>
      </c>
      <c r="K42">
        <f>IF(AND(VLOOKUP(K$1,'40Trips'!$A$3:$I$42,8,FALSE) - VLOOKUP($B42,'40Trips'!$A$3:$I$42,9,FALSE) &gt;= ('40Trips'!$B$43+VLOOKUP(VLOOKUP($B42,'40Trips'!$A$3:$I$42,4,FALSE),'40Trips'!$J$11:$P$14,3,FALSE))),1,0)</f>
        <v>0</v>
      </c>
      <c r="L42">
        <f>IF(AND(VLOOKUP(L$1,'40Trips'!$A$3:$I$42,8,FALSE) - VLOOKUP($B42,'40Trips'!$A$3:$I$42,9,FALSE) &gt;= ('40Trips'!$B$43+VLOOKUP(VLOOKUP($B42,'40Trips'!$A$3:$I$42,4,FALSE),'40Trips'!$J$11:$P$14,3,FALSE))),1,0)</f>
        <v>0</v>
      </c>
      <c r="M42">
        <f>IF(AND(VLOOKUP(M$1,'40Trips'!$A$3:$I$42,8,FALSE) - VLOOKUP($B42,'40Trips'!$A$3:$I$42,9,FALSE) &gt;= ('40Trips'!$B$43+VLOOKUP(VLOOKUP($B42,'40Trips'!$A$3:$I$42,4,FALSE),'40Trips'!$J$11:$P$14,3,FALSE))),1,0)</f>
        <v>0</v>
      </c>
      <c r="N42">
        <f>IF(AND(VLOOKUP(N$1,'40Trips'!$A$3:$I$42,8,FALSE) - VLOOKUP($B42,'40Trips'!$A$3:$I$42,9,FALSE) &gt;= ('40Trips'!$B$43+VLOOKUP(VLOOKUP($B42,'40Trips'!$A$3:$I$42,4,FALSE),'40Trips'!$J$11:$P$14,3,FALSE))),1,0)</f>
        <v>0</v>
      </c>
      <c r="O42">
        <f>IF(AND(VLOOKUP(O$1,'40Trips'!$A$3:$I$42,8,FALSE) - VLOOKUP($B42,'40Trips'!$A$3:$I$42,9,FALSE) &gt;= ('40Trips'!$B$43+VLOOKUP(VLOOKUP($B42,'40Trips'!$A$3:$I$42,4,FALSE),'40Trips'!$J$11:$P$14,3,FALSE))),1,0)</f>
        <v>0</v>
      </c>
      <c r="P42">
        <f>IF(AND(VLOOKUP(P$1,'40Trips'!$A$3:$I$42,8,FALSE) - VLOOKUP($B42,'40Trips'!$A$3:$I$42,9,FALSE) &gt;= ('40Trips'!$B$43+VLOOKUP(VLOOKUP($B42,'40Trips'!$A$3:$I$42,4,FALSE),'40Trips'!$J$11:$P$14,3,FALSE))),1,0)</f>
        <v>0</v>
      </c>
      <c r="Q42">
        <f>IF(AND(VLOOKUP(Q$1,'40Trips'!$A$3:$I$42,8,FALSE) - VLOOKUP($B42,'40Trips'!$A$3:$I$42,9,FALSE) &gt;= ('40Trips'!$B$43+VLOOKUP(VLOOKUP($B42,'40Trips'!$A$3:$I$42,4,FALSE),'40Trips'!$J$11:$P$14,3,FALSE))),1,0)</f>
        <v>0</v>
      </c>
      <c r="R42">
        <f>IF(AND(VLOOKUP(R$1,'40Trips'!$A$3:$I$42,8,FALSE) - VLOOKUP($B42,'40Trips'!$A$3:$I$42,9,FALSE) &gt;= ('40Trips'!$B$43+VLOOKUP(VLOOKUP($B42,'40Trips'!$A$3:$I$42,4,FALSE),'40Trips'!$J$11:$P$14,3,FALSE))),1,0)</f>
        <v>0</v>
      </c>
      <c r="S42">
        <f>IF(AND(VLOOKUP(S$1,'40Trips'!$A$3:$I$42,8,FALSE) - VLOOKUP($B42,'40Trips'!$A$3:$I$42,9,FALSE) &gt;= ('40Trips'!$B$43+VLOOKUP(VLOOKUP($B42,'40Trips'!$A$3:$I$42,4,FALSE),'40Trips'!$J$11:$P$14,3,FALSE))),1,0)</f>
        <v>0</v>
      </c>
      <c r="T42">
        <f>IF(AND(VLOOKUP(T$1,'40Trips'!$A$3:$I$42,8,FALSE) - VLOOKUP($B42,'40Trips'!$A$3:$I$42,9,FALSE) &gt;= ('40Trips'!$B$43+VLOOKUP(VLOOKUP($B42,'40Trips'!$A$3:$I$42,4,FALSE),'40Trips'!$J$11:$P$14,3,FALSE))),1,0)</f>
        <v>0</v>
      </c>
      <c r="U42">
        <f>IF(AND(VLOOKUP(U$1,'40Trips'!$A$3:$I$42,8,FALSE) - VLOOKUP($B42,'40Trips'!$A$3:$I$42,9,FALSE) &gt;= ('40Trips'!$B$43+VLOOKUP(VLOOKUP($B42,'40Trips'!$A$3:$I$42,4,FALSE),'40Trips'!$J$11:$P$14,3,FALSE))),1,0)</f>
        <v>0</v>
      </c>
      <c r="V42">
        <f>IF(AND(VLOOKUP(V$1,'40Trips'!$A$3:$I$42,8,FALSE) - VLOOKUP($B42,'40Trips'!$A$3:$I$42,9,FALSE) &gt;= ('40Trips'!$B$43+VLOOKUP(VLOOKUP($B42,'40Trips'!$A$3:$I$42,4,FALSE),'40Trips'!$J$11:$P$14,3,FALSE))),1,0)</f>
        <v>0</v>
      </c>
      <c r="W42">
        <f>IF(AND(VLOOKUP(W$1,'40Trips'!$A$3:$I$42,8,FALSE) - VLOOKUP($B42,'40Trips'!$A$3:$I$42,9,FALSE) &gt;= ('40Trips'!$B$43+VLOOKUP(VLOOKUP($B42,'40Trips'!$A$3:$I$42,4,FALSE),'40Trips'!$J$11:$P$14,3,FALSE))),1,0)</f>
        <v>0</v>
      </c>
      <c r="X42">
        <f>IF(AND(VLOOKUP(X$1,'40Trips'!$A$3:$I$42,8,FALSE) - VLOOKUP($B42,'40Trips'!$A$3:$I$42,9,FALSE) &gt;= ('40Trips'!$B$43+VLOOKUP(VLOOKUP($B42,'40Trips'!$A$3:$I$42,4,FALSE),'40Trips'!$J$11:$P$14,3,FALSE))),1,0)</f>
        <v>0</v>
      </c>
      <c r="Y42">
        <f>IF(AND(VLOOKUP(Y$1,'40Trips'!$A$3:$I$42,8,FALSE) - VLOOKUP($B42,'40Trips'!$A$3:$I$42,9,FALSE) &gt;= ('40Trips'!$B$43+VLOOKUP(VLOOKUP($B42,'40Trips'!$A$3:$I$42,4,FALSE),'40Trips'!$J$11:$P$14,3,FALSE))),1,0)</f>
        <v>0</v>
      </c>
      <c r="Z42">
        <f>IF(AND(VLOOKUP(Z$1,'40Trips'!$A$3:$I$42,8,FALSE) - VLOOKUP($B42,'40Trips'!$A$3:$I$42,9,FALSE) &gt;= ('40Trips'!$B$43+VLOOKUP(VLOOKUP($B42,'40Trips'!$A$3:$I$42,4,FALSE),'40Trips'!$J$11:$P$14,3,FALSE))),1,0)</f>
        <v>0</v>
      </c>
      <c r="AA42">
        <f>IF(AND(VLOOKUP(AA$1,'40Trips'!$A$3:$I$42,8,FALSE) - VLOOKUP($B42,'40Trips'!$A$3:$I$42,9,FALSE) &gt;= ('40Trips'!$B$43+VLOOKUP(VLOOKUP($B42,'40Trips'!$A$3:$I$42,4,FALSE),'40Trips'!$J$11:$P$14,3,FALSE))),1,0)</f>
        <v>0</v>
      </c>
      <c r="AB42">
        <f>IF(AND(VLOOKUP(AB$1,'40Trips'!$A$3:$I$42,8,FALSE) - VLOOKUP($B42,'40Trips'!$A$3:$I$42,9,FALSE) &gt;= ('40Trips'!$B$43+VLOOKUP(VLOOKUP($B42,'40Trips'!$A$3:$I$42,4,FALSE),'40Trips'!$J$11:$P$14,3,FALSE))),1,0)</f>
        <v>0</v>
      </c>
      <c r="AC42">
        <f>IF(AND(VLOOKUP(AC$1,'40Trips'!$A$3:$I$42,8,FALSE) - VLOOKUP($B42,'40Trips'!$A$3:$I$42,9,FALSE) &gt;= ('40Trips'!$B$43+VLOOKUP(VLOOKUP($B42,'40Trips'!$A$3:$I$42,4,FALSE),'40Trips'!$J$11:$P$14,3,FALSE))),1,0)</f>
        <v>0</v>
      </c>
      <c r="AD42">
        <f>IF(AND(VLOOKUP(AD$1,'40Trips'!$A$3:$I$42,8,FALSE) - VLOOKUP($B42,'40Trips'!$A$3:$I$42,9,FALSE) &gt;= ('40Trips'!$B$43+VLOOKUP(VLOOKUP($B42,'40Trips'!$A$3:$I$42,4,FALSE),'40Trips'!$J$11:$P$14,3,FALSE))),1,0)</f>
        <v>0</v>
      </c>
      <c r="AE42">
        <f>IF(AND(VLOOKUP(AE$1,'40Trips'!$A$3:$I$42,8,FALSE) - VLOOKUP($B42,'40Trips'!$A$3:$I$42,9,FALSE) &gt;= ('40Trips'!$B$43+VLOOKUP(VLOOKUP($B42,'40Trips'!$A$3:$I$42,4,FALSE),'40Trips'!$J$11:$P$14,3,FALSE))),1,0)</f>
        <v>0</v>
      </c>
      <c r="AF42">
        <f>IF(AND(VLOOKUP(AF$1,'40Trips'!$A$3:$I$42,8,FALSE) - VLOOKUP($B42,'40Trips'!$A$3:$I$42,9,FALSE) &gt;= ('40Trips'!$B$43+VLOOKUP(VLOOKUP($B42,'40Trips'!$A$3:$I$42,4,FALSE),'40Trips'!$J$11:$P$14,3,FALSE))),1,0)</f>
        <v>0</v>
      </c>
      <c r="AG42">
        <f>IF(AND(VLOOKUP(AG$1,'40Trips'!$A$3:$I$42,8,FALSE) - VLOOKUP($B42,'40Trips'!$A$3:$I$42,9,FALSE) &gt;= ('40Trips'!$B$43+VLOOKUP(VLOOKUP($B42,'40Trips'!$A$3:$I$42,4,FALSE),'40Trips'!$J$11:$P$14,3,FALSE))),1,0)</f>
        <v>0</v>
      </c>
      <c r="AH42">
        <f>IF(AND(VLOOKUP(AH$1,'40Trips'!$A$3:$I$42,8,FALSE) - VLOOKUP($B42,'40Trips'!$A$3:$I$42,9,FALSE) &gt;= ('40Trips'!$B$43+VLOOKUP(VLOOKUP($B42,'40Trips'!$A$3:$I$42,4,FALSE),'40Trips'!$J$11:$P$14,3,FALSE))),1,0)</f>
        <v>0</v>
      </c>
      <c r="AI42">
        <f>IF(AND(VLOOKUP(AI$1,'40Trips'!$A$3:$I$42,8,FALSE) - VLOOKUP($B42,'40Trips'!$A$3:$I$42,9,FALSE) &gt;= ('40Trips'!$B$43+VLOOKUP(VLOOKUP($B42,'40Trips'!$A$3:$I$42,4,FALSE),'40Trips'!$J$11:$P$14,3,FALSE))),1,0)</f>
        <v>0</v>
      </c>
      <c r="AJ42">
        <f>IF(AND(VLOOKUP(AJ$1,'40Trips'!$A$3:$I$42,8,FALSE) - VLOOKUP($B42,'40Trips'!$A$3:$I$42,9,FALSE) &gt;= ('40Trips'!$B$43+VLOOKUP(VLOOKUP($B42,'40Trips'!$A$3:$I$42,4,FALSE),'40Trips'!$J$11:$P$14,3,FALSE))),1,0)</f>
        <v>0</v>
      </c>
      <c r="AK42">
        <f>IF(AND(VLOOKUP(AK$1,'40Trips'!$A$3:$I$42,8,FALSE) - VLOOKUP($B42,'40Trips'!$A$3:$I$42,9,FALSE) &gt;= ('40Trips'!$B$43+VLOOKUP(VLOOKUP($B42,'40Trips'!$A$3:$I$42,4,FALSE),'40Trips'!$J$11:$P$14,3,FALSE))),1,0)</f>
        <v>0</v>
      </c>
      <c r="AL42">
        <f>IF(AND(VLOOKUP(AL$1,'40Trips'!$A$3:$I$42,8,FALSE) - VLOOKUP($B42,'40Trips'!$A$3:$I$42,9,FALSE) &gt;= ('40Trips'!$B$43+VLOOKUP(VLOOKUP($B42,'40Trips'!$A$3:$I$42,4,FALSE),'40Trips'!$J$11:$P$14,3,FALSE))),1,0)</f>
        <v>0</v>
      </c>
      <c r="AM42">
        <f>IF(AND(VLOOKUP(AM$1,'40Trips'!$A$3:$I$42,8,FALSE) - VLOOKUP($B42,'40Trips'!$A$3:$I$42,9,FALSE) &gt;= ('40Trips'!$B$43+VLOOKUP(VLOOKUP($B42,'40Trips'!$A$3:$I$42,4,FALSE),'40Trips'!$J$11:$P$14,3,FALSE))),1,0)</f>
        <v>0</v>
      </c>
      <c r="AN42">
        <f>IF(AND(VLOOKUP(AN$1,'40Trips'!$A$3:$I$42,8,FALSE) - VLOOKUP($B42,'40Trips'!$A$3:$I$42,9,FALSE) &gt;= ('40Trips'!$B$43+VLOOKUP(VLOOKUP($B42,'40Trips'!$A$3:$I$42,4,FALSE),'40Trips'!$J$11:$P$14,3,FALSE))),1,0)</f>
        <v>0</v>
      </c>
      <c r="AO42">
        <f>IF(AND(VLOOKUP(AO$1,'40Trips'!$A$3:$I$42,8,FALSE) - VLOOKUP($B42,'40Trips'!$A$3:$I$42,9,FALSE) &gt;= ('40Trips'!$B$43+VLOOKUP(VLOOKUP($B42,'40Trips'!$A$3:$I$42,4,FALSE),'40Trips'!$J$11:$P$14,3,FALSE))),1,0)</f>
        <v>0</v>
      </c>
      <c r="AP42">
        <f>IF(AND(VLOOKUP(AP$1,'40Trips'!$A$3:$I$42,8,FALSE) - VLOOKUP($B42,'40Trips'!$A$3:$I$42,9,FALSE) &gt;= ('40Trips'!$B$43+VLOOKUP(VLOOKUP($B42,'40Trips'!$A$3:$I$42,4,FALSE),'40Trips'!$J$11:$P$14,3,FALSE))),1,0)</f>
        <v>0</v>
      </c>
      <c r="AQ42">
        <f>IF(AND(VLOOKUP(AQ$1,'40Trips'!$A$3:$I$42,8,FALSE) - VLOOKUP($B42,'40Trips'!$A$3:$I$42,9,FALSE) &gt;= ('40Trips'!$B$43+VLOOKUP(VLOOKUP($B42,'40Trips'!$A$3:$I$42,4,FALSE),'40Trips'!$J$11:$P$14,3,FALSE))),1,0)</f>
        <v>0</v>
      </c>
    </row>
    <row r="43" spans="1:43" x14ac:dyDescent="0.25">
      <c r="A43" t="s">
        <v>62</v>
      </c>
      <c r="B43" t="s">
        <v>46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25">
      <c r="A44" t="s">
        <v>62</v>
      </c>
      <c r="B44" t="s">
        <v>6</v>
      </c>
      <c r="C44">
        <v>0</v>
      </c>
      <c r="D44">
        <f>IF(AND(gamma!C3=1, VLOOKUP($A44,'40Trips'!$A$43:$I$46, 3,FALSE)=VLOOKUP(D$1,'40Trips'!$A$3:$I$42,3,FALSE)),1,0)</f>
        <v>0</v>
      </c>
      <c r="E44">
        <f>IF(AND(gamma!D3=1, VLOOKUP($A44,'40Trips'!$A$43:$I$46, 3,FALSE)=VLOOKUP(E$1,'40Trips'!$A$3:$I$42,3,FALSE)),1,0)</f>
        <v>1</v>
      </c>
      <c r="F44">
        <f>IF(AND(gamma!E3=1, VLOOKUP($A44,'40Trips'!$A$43:$I$46, 3,FALSE)=VLOOKUP(F$1,'40Trips'!$A$3:$I$42,3,FALSE)),1,0)</f>
        <v>1</v>
      </c>
      <c r="G44">
        <f>IF(AND(gamma!F3=1, VLOOKUP($A44,'40Trips'!$A$43:$I$46, 3,FALSE)=VLOOKUP(G$1,'40Trips'!$A$3:$I$42,3,FALSE)),1,0)</f>
        <v>1</v>
      </c>
      <c r="H44">
        <f>IF(AND(gamma!G3=1, VLOOKUP($A44,'40Trips'!$A$43:$I$46, 3,FALSE)=VLOOKUP(H$1,'40Trips'!$A$3:$I$42,3,FALSE)),1,0)</f>
        <v>0</v>
      </c>
      <c r="I44">
        <f>IF(AND(gamma!H3=1, VLOOKUP($A44,'40Trips'!$A$43:$I$46, 3,FALSE)=VLOOKUP(I$1,'40Trips'!$A$3:$I$42,3,FALSE)),1,0)</f>
        <v>0</v>
      </c>
      <c r="J44">
        <f>IF(AND(gamma!I3=1, VLOOKUP($A44,'40Trips'!$A$43:$I$46, 3,FALSE)=VLOOKUP(J$1,'40Trips'!$A$3:$I$42,3,FALSE)),1,0)</f>
        <v>1</v>
      </c>
      <c r="K44">
        <f>IF(AND(gamma!J3=1, VLOOKUP($A44,'40Trips'!$A$43:$I$46, 3,FALSE)=VLOOKUP(K$1,'40Trips'!$A$3:$I$42,3,FALSE)),1,0)</f>
        <v>1</v>
      </c>
      <c r="L44">
        <f>IF(AND(gamma!K3=1, VLOOKUP($A44,'40Trips'!$A$43:$I$46, 3,FALSE)=VLOOKUP(L$1,'40Trips'!$A$3:$I$42,3,FALSE)),1,0)</f>
        <v>0</v>
      </c>
      <c r="M44">
        <f>IF(AND(gamma!L3=1, VLOOKUP($A44,'40Trips'!$A$43:$I$46, 3,FALSE)=VLOOKUP(M$1,'40Trips'!$A$3:$I$42,3,FALSE)),1,0)</f>
        <v>0</v>
      </c>
      <c r="N44">
        <f>IF(AND(gamma!M3=1, VLOOKUP($A44,'40Trips'!$A$43:$I$46, 3,FALSE)=VLOOKUP(N$1,'40Trips'!$A$3:$I$42,3,FALSE)),1,0)</f>
        <v>1</v>
      </c>
      <c r="O44">
        <f>IF(AND(gamma!N3=1, VLOOKUP($A44,'40Trips'!$A$43:$I$46, 3,FALSE)=VLOOKUP(O$1,'40Trips'!$A$3:$I$42,3,FALSE)),1,0)</f>
        <v>0</v>
      </c>
      <c r="P44">
        <f>IF(AND(gamma!O3=1, VLOOKUP($A44,'40Trips'!$A$43:$I$46, 3,FALSE)=VLOOKUP(P$1,'40Trips'!$A$3:$I$42,3,FALSE)),1,0)</f>
        <v>0</v>
      </c>
      <c r="Q44">
        <f>IF(AND(gamma!P3=1, VLOOKUP($A44,'40Trips'!$A$43:$I$46, 3,FALSE)=VLOOKUP(Q$1,'40Trips'!$A$3:$I$42,3,FALSE)),1,0)</f>
        <v>0</v>
      </c>
      <c r="R44">
        <f>IF(AND(gamma!Q3=1, VLOOKUP($A44,'40Trips'!$A$43:$I$46, 3,FALSE)=VLOOKUP(R$1,'40Trips'!$A$3:$I$42,3,FALSE)),1,0)</f>
        <v>0</v>
      </c>
      <c r="S44">
        <f>IF(AND(gamma!R3=1, VLOOKUP($A44,'40Trips'!$A$43:$I$46, 3,FALSE)=VLOOKUP(S$1,'40Trips'!$A$3:$I$42,3,FALSE)),1,0)</f>
        <v>0</v>
      </c>
      <c r="T44">
        <f>IF(AND(gamma!S3=1, VLOOKUP($A44,'40Trips'!$A$43:$I$46, 3,FALSE)=VLOOKUP(T$1,'40Trips'!$A$3:$I$42,3,FALSE)),1,0)</f>
        <v>0</v>
      </c>
      <c r="U44">
        <f>IF(AND(gamma!T3=1, VLOOKUP($A44,'40Trips'!$A$43:$I$46, 3,FALSE)=VLOOKUP(U$1,'40Trips'!$A$3:$I$42,3,FALSE)),1,0)</f>
        <v>0</v>
      </c>
      <c r="V44">
        <f>IF(AND(gamma!U3=1, VLOOKUP($A44,'40Trips'!$A$43:$I$46, 3,FALSE)=VLOOKUP(V$1,'40Trips'!$A$3:$I$42,3,FALSE)),1,0)</f>
        <v>0</v>
      </c>
      <c r="W44">
        <f>IF(AND(gamma!V3=1, VLOOKUP($A44,'40Trips'!$A$43:$I$46, 3,FALSE)=VLOOKUP(W$1,'40Trips'!$A$3:$I$42,3,FALSE)),1,0)</f>
        <v>0</v>
      </c>
      <c r="X44">
        <f>IF(AND(gamma!W3=1, VLOOKUP($A44,'40Trips'!$A$43:$I$46, 3,FALSE)=VLOOKUP(X$1,'40Trips'!$A$3:$I$42,3,FALSE)),1,0)</f>
        <v>0</v>
      </c>
      <c r="Y44">
        <f>IF(AND(gamma!X3=1, VLOOKUP($A44,'40Trips'!$A$43:$I$46, 3,FALSE)=VLOOKUP(Y$1,'40Trips'!$A$3:$I$42,3,FALSE)),1,0)</f>
        <v>0</v>
      </c>
      <c r="Z44">
        <f>IF(AND(gamma!Y3=1, VLOOKUP($A44,'40Trips'!$A$43:$I$46, 3,FALSE)=VLOOKUP(Z$1,'40Trips'!$A$3:$I$42,3,FALSE)),1,0)</f>
        <v>0</v>
      </c>
      <c r="AA44">
        <f>IF(AND(gamma!Z3=1, VLOOKUP($A44,'40Trips'!$A$43:$I$46, 3,FALSE)=VLOOKUP(AA$1,'40Trips'!$A$3:$I$42,3,FALSE)),1,0)</f>
        <v>0</v>
      </c>
      <c r="AB44">
        <f>IF(AND(gamma!AA3=1, VLOOKUP($A44,'40Trips'!$A$43:$I$46, 3,FALSE)=VLOOKUP(AB$1,'40Trips'!$A$3:$I$42,3,FALSE)),1,0)</f>
        <v>0</v>
      </c>
      <c r="AC44">
        <f>IF(AND(gamma!AB3=1, VLOOKUP($A44,'40Trips'!$A$43:$I$46, 3,FALSE)=VLOOKUP(AC$1,'40Trips'!$A$3:$I$42,3,FALSE)),1,0)</f>
        <v>0</v>
      </c>
      <c r="AD44">
        <f>IF(AND(gamma!AC3=1, VLOOKUP($A44,'40Trips'!$A$43:$I$46, 3,FALSE)=VLOOKUP(AD$1,'40Trips'!$A$3:$I$42,3,FALSE)),1,0)</f>
        <v>0</v>
      </c>
      <c r="AE44">
        <f>IF(AND(gamma!AD3=1, VLOOKUP($A44,'40Trips'!$A$43:$I$46, 3,FALSE)=VLOOKUP(AE$1,'40Trips'!$A$3:$I$42,3,FALSE)),1,0)</f>
        <v>0</v>
      </c>
      <c r="AF44">
        <f>IF(AND(gamma!AE3=1, VLOOKUP($A44,'40Trips'!$A$43:$I$46, 3,FALSE)=VLOOKUP(AF$1,'40Trips'!$A$3:$I$42,3,FALSE)),1,0)</f>
        <v>0</v>
      </c>
      <c r="AG44">
        <f>IF(AND(gamma!AF3=1, VLOOKUP($A44,'40Trips'!$A$43:$I$46, 3,FALSE)=VLOOKUP(AG$1,'40Trips'!$A$3:$I$42,3,FALSE)),1,0)</f>
        <v>0</v>
      </c>
      <c r="AH44">
        <f>IF(AND(gamma!AG3=1, VLOOKUP($A44,'40Trips'!$A$43:$I$46, 3,FALSE)=VLOOKUP(AH$1,'40Trips'!$A$3:$I$42,3,FALSE)),1,0)</f>
        <v>0</v>
      </c>
      <c r="AI44">
        <f>IF(AND(gamma!AH3=1, VLOOKUP($A44,'40Trips'!$A$43:$I$46, 3,FALSE)=VLOOKUP(AI$1,'40Trips'!$A$3:$I$42,3,FALSE)),1,0)</f>
        <v>0</v>
      </c>
      <c r="AJ44">
        <f>IF(AND(gamma!AI3=1, VLOOKUP($A44,'40Trips'!$A$43:$I$46, 3,FALSE)=VLOOKUP(AJ$1,'40Trips'!$A$3:$I$42,3,FALSE)),1,0)</f>
        <v>0</v>
      </c>
      <c r="AK44">
        <f>IF(AND(gamma!AJ3=1, VLOOKUP($A44,'40Trips'!$A$43:$I$46, 3,FALSE)=VLOOKUP(AK$1,'40Trips'!$A$3:$I$42,3,FALSE)),1,0)</f>
        <v>0</v>
      </c>
      <c r="AL44">
        <f>IF(AND(gamma!AK3=1, VLOOKUP($A44,'40Trips'!$A$43:$I$46, 3,FALSE)=VLOOKUP(AL$1,'40Trips'!$A$3:$I$42,3,FALSE)),1,0)</f>
        <v>0</v>
      </c>
      <c r="AM44">
        <f>IF(AND(gamma!AL3=1, VLOOKUP($A44,'40Trips'!$A$43:$I$46, 3,FALSE)=VLOOKUP(AM$1,'40Trips'!$A$3:$I$42,3,FALSE)),1,0)</f>
        <v>0</v>
      </c>
      <c r="AN44">
        <f>IF(AND(gamma!AM3=1, VLOOKUP($A44,'40Trips'!$A$43:$I$46, 3,FALSE)=VLOOKUP(AN$1,'40Trips'!$A$3:$I$42,3,FALSE)),1,0)</f>
        <v>0</v>
      </c>
      <c r="AO44">
        <f>IF(AND(gamma!AN3=1, VLOOKUP($A44,'40Trips'!$A$43:$I$46, 3,FALSE)=VLOOKUP(AO$1,'40Trips'!$A$3:$I$42,3,FALSE)),1,0)</f>
        <v>0</v>
      </c>
      <c r="AP44">
        <f>IF(AND(gamma!AO3=1, VLOOKUP($A44,'40Trips'!$A$43:$I$46, 3,FALSE)=VLOOKUP(AP$1,'40Trips'!$A$3:$I$42,3,FALSE)),1,0)</f>
        <v>0</v>
      </c>
      <c r="AQ44">
        <f>IF(AND(gamma!AP3=1, VLOOKUP($A44,'40Trips'!$A$43:$I$46, 3,FALSE)=VLOOKUP(AQ$1,'40Trips'!$A$3:$I$42,3,FALSE)),1,0)</f>
        <v>0</v>
      </c>
    </row>
    <row r="45" spans="1:43" x14ac:dyDescent="0.25">
      <c r="A45" t="s">
        <v>62</v>
      </c>
      <c r="B45" t="s">
        <v>9</v>
      </c>
      <c r="C45">
        <v>0</v>
      </c>
      <c r="D45">
        <f>IF(AND(gamma!C4=1, VLOOKUP($A45,'40Trips'!$A$43:$I$46, 3,FALSE)=VLOOKUP(D$1,'40Trips'!$A$3:$I$42,3,FALSE)),1,0)</f>
        <v>0</v>
      </c>
      <c r="E45">
        <f>IF(AND(gamma!D4=1, VLOOKUP($A45,'40Trips'!$A$43:$I$46, 3,FALSE)=VLOOKUP(E$1,'40Trips'!$A$3:$I$42,3,FALSE)),1,0)</f>
        <v>0</v>
      </c>
      <c r="F45">
        <f>IF(AND(gamma!E4=1, VLOOKUP($A45,'40Trips'!$A$43:$I$46, 3,FALSE)=VLOOKUP(F$1,'40Trips'!$A$3:$I$42,3,FALSE)),1,0)</f>
        <v>0</v>
      </c>
      <c r="G45">
        <f>IF(AND(gamma!F4=1, VLOOKUP($A45,'40Trips'!$A$43:$I$46, 3,FALSE)=VLOOKUP(G$1,'40Trips'!$A$3:$I$42,3,FALSE)),1,0)</f>
        <v>1</v>
      </c>
      <c r="H45">
        <f>IF(AND(gamma!G4=1, VLOOKUP($A45,'40Trips'!$A$43:$I$46, 3,FALSE)=VLOOKUP(H$1,'40Trips'!$A$3:$I$42,3,FALSE)),1,0)</f>
        <v>0</v>
      </c>
      <c r="I45">
        <f>IF(AND(gamma!H4=1, VLOOKUP($A45,'40Trips'!$A$43:$I$46, 3,FALSE)=VLOOKUP(I$1,'40Trips'!$A$3:$I$42,3,FALSE)),1,0)</f>
        <v>0</v>
      </c>
      <c r="J45">
        <f>IF(AND(gamma!I4=1, VLOOKUP($A45,'40Trips'!$A$43:$I$46, 3,FALSE)=VLOOKUP(J$1,'40Trips'!$A$3:$I$42,3,FALSE)),1,0)</f>
        <v>0</v>
      </c>
      <c r="K45">
        <f>IF(AND(gamma!J4=1, VLOOKUP($A45,'40Trips'!$A$43:$I$46, 3,FALSE)=VLOOKUP(K$1,'40Trips'!$A$3:$I$42,3,FALSE)),1,0)</f>
        <v>1</v>
      </c>
      <c r="L45">
        <f>IF(AND(gamma!K4=1, VLOOKUP($A45,'40Trips'!$A$43:$I$46, 3,FALSE)=VLOOKUP(L$1,'40Trips'!$A$3:$I$42,3,FALSE)),1,0)</f>
        <v>0</v>
      </c>
      <c r="M45">
        <f>IF(AND(gamma!L4=1, VLOOKUP($A45,'40Trips'!$A$43:$I$46, 3,FALSE)=VLOOKUP(M$1,'40Trips'!$A$3:$I$42,3,FALSE)),1,0)</f>
        <v>0</v>
      </c>
      <c r="N45">
        <f>IF(AND(gamma!M4=1, VLOOKUP($A45,'40Trips'!$A$43:$I$46, 3,FALSE)=VLOOKUP(N$1,'40Trips'!$A$3:$I$42,3,FALSE)),1,0)</f>
        <v>0</v>
      </c>
      <c r="O45">
        <f>IF(AND(gamma!N4=1, VLOOKUP($A45,'40Trips'!$A$43:$I$46, 3,FALSE)=VLOOKUP(O$1,'40Trips'!$A$3:$I$42,3,FALSE)),1,0)</f>
        <v>0</v>
      </c>
      <c r="P45">
        <f>IF(AND(gamma!O4=1, VLOOKUP($A45,'40Trips'!$A$43:$I$46, 3,FALSE)=VLOOKUP(P$1,'40Trips'!$A$3:$I$42,3,FALSE)),1,0)</f>
        <v>0</v>
      </c>
      <c r="Q45">
        <f>IF(AND(gamma!P4=1, VLOOKUP($A45,'40Trips'!$A$43:$I$46, 3,FALSE)=VLOOKUP(Q$1,'40Trips'!$A$3:$I$42,3,FALSE)),1,0)</f>
        <v>0</v>
      </c>
      <c r="R45">
        <f>IF(AND(gamma!Q4=1, VLOOKUP($A45,'40Trips'!$A$43:$I$46, 3,FALSE)=VLOOKUP(R$1,'40Trips'!$A$3:$I$42,3,FALSE)),1,0)</f>
        <v>0</v>
      </c>
      <c r="S45">
        <f>IF(AND(gamma!R4=1, VLOOKUP($A45,'40Trips'!$A$43:$I$46, 3,FALSE)=VLOOKUP(S$1,'40Trips'!$A$3:$I$42,3,FALSE)),1,0)</f>
        <v>0</v>
      </c>
      <c r="T45">
        <f>IF(AND(gamma!S4=1, VLOOKUP($A45,'40Trips'!$A$43:$I$46, 3,FALSE)=VLOOKUP(T$1,'40Trips'!$A$3:$I$42,3,FALSE)),1,0)</f>
        <v>0</v>
      </c>
      <c r="U45">
        <f>IF(AND(gamma!T4=1, VLOOKUP($A45,'40Trips'!$A$43:$I$46, 3,FALSE)=VLOOKUP(U$1,'40Trips'!$A$3:$I$42,3,FALSE)),1,0)</f>
        <v>0</v>
      </c>
      <c r="V45">
        <f>IF(AND(gamma!U4=1, VLOOKUP($A45,'40Trips'!$A$43:$I$46, 3,FALSE)=VLOOKUP(V$1,'40Trips'!$A$3:$I$42,3,FALSE)),1,0)</f>
        <v>0</v>
      </c>
      <c r="W45">
        <f>IF(AND(gamma!V4=1, VLOOKUP($A45,'40Trips'!$A$43:$I$46, 3,FALSE)=VLOOKUP(W$1,'40Trips'!$A$3:$I$42,3,FALSE)),1,0)</f>
        <v>0</v>
      </c>
      <c r="X45">
        <f>IF(AND(gamma!W4=1, VLOOKUP($A45,'40Trips'!$A$43:$I$46, 3,FALSE)=VLOOKUP(X$1,'40Trips'!$A$3:$I$42,3,FALSE)),1,0)</f>
        <v>0</v>
      </c>
      <c r="Y45">
        <f>IF(AND(gamma!X4=1, VLOOKUP($A45,'40Trips'!$A$43:$I$46, 3,FALSE)=VLOOKUP(Y$1,'40Trips'!$A$3:$I$42,3,FALSE)),1,0)</f>
        <v>0</v>
      </c>
      <c r="Z45">
        <f>IF(AND(gamma!Y4=1, VLOOKUP($A45,'40Trips'!$A$43:$I$46, 3,FALSE)=VLOOKUP(Z$1,'40Trips'!$A$3:$I$42,3,FALSE)),1,0)</f>
        <v>0</v>
      </c>
      <c r="AA45">
        <f>IF(AND(gamma!Z4=1, VLOOKUP($A45,'40Trips'!$A$43:$I$46, 3,FALSE)=VLOOKUP(AA$1,'40Trips'!$A$3:$I$42,3,FALSE)),1,0)</f>
        <v>0</v>
      </c>
      <c r="AB45">
        <f>IF(AND(gamma!AA4=1, VLOOKUP($A45,'40Trips'!$A$43:$I$46, 3,FALSE)=VLOOKUP(AB$1,'40Trips'!$A$3:$I$42,3,FALSE)),1,0)</f>
        <v>0</v>
      </c>
      <c r="AC45">
        <f>IF(AND(gamma!AB4=1, VLOOKUP($A45,'40Trips'!$A$43:$I$46, 3,FALSE)=VLOOKUP(AC$1,'40Trips'!$A$3:$I$42,3,FALSE)),1,0)</f>
        <v>0</v>
      </c>
      <c r="AD45">
        <f>IF(AND(gamma!AC4=1, VLOOKUP($A45,'40Trips'!$A$43:$I$46, 3,FALSE)=VLOOKUP(AD$1,'40Trips'!$A$3:$I$42,3,FALSE)),1,0)</f>
        <v>0</v>
      </c>
      <c r="AE45">
        <f>IF(AND(gamma!AD4=1, VLOOKUP($A45,'40Trips'!$A$43:$I$46, 3,FALSE)=VLOOKUP(AE$1,'40Trips'!$A$3:$I$42,3,FALSE)),1,0)</f>
        <v>0</v>
      </c>
      <c r="AF45">
        <f>IF(AND(gamma!AE4=1, VLOOKUP($A45,'40Trips'!$A$43:$I$46, 3,FALSE)=VLOOKUP(AF$1,'40Trips'!$A$3:$I$42,3,FALSE)),1,0)</f>
        <v>0</v>
      </c>
      <c r="AG45">
        <f>IF(AND(gamma!AF4=1, VLOOKUP($A45,'40Trips'!$A$43:$I$46, 3,FALSE)=VLOOKUP(AG$1,'40Trips'!$A$3:$I$42,3,FALSE)),1,0)</f>
        <v>0</v>
      </c>
      <c r="AH45">
        <f>IF(AND(gamma!AG4=1, VLOOKUP($A45,'40Trips'!$A$43:$I$46, 3,FALSE)=VLOOKUP(AH$1,'40Trips'!$A$3:$I$42,3,FALSE)),1,0)</f>
        <v>0</v>
      </c>
      <c r="AI45">
        <f>IF(AND(gamma!AH4=1, VLOOKUP($A45,'40Trips'!$A$43:$I$46, 3,FALSE)=VLOOKUP(AI$1,'40Trips'!$A$3:$I$42,3,FALSE)),1,0)</f>
        <v>0</v>
      </c>
      <c r="AJ45">
        <f>IF(AND(gamma!AI4=1, VLOOKUP($A45,'40Trips'!$A$43:$I$46, 3,FALSE)=VLOOKUP(AJ$1,'40Trips'!$A$3:$I$42,3,FALSE)),1,0)</f>
        <v>0</v>
      </c>
      <c r="AK45">
        <f>IF(AND(gamma!AJ4=1, VLOOKUP($A45,'40Trips'!$A$43:$I$46, 3,FALSE)=VLOOKUP(AK$1,'40Trips'!$A$3:$I$42,3,FALSE)),1,0)</f>
        <v>0</v>
      </c>
      <c r="AL45">
        <f>IF(AND(gamma!AK4=1, VLOOKUP($A45,'40Trips'!$A$43:$I$46, 3,FALSE)=VLOOKUP(AL$1,'40Trips'!$A$3:$I$42,3,FALSE)),1,0)</f>
        <v>0</v>
      </c>
      <c r="AM45">
        <f>IF(AND(gamma!AL4=1, VLOOKUP($A45,'40Trips'!$A$43:$I$46, 3,FALSE)=VLOOKUP(AM$1,'40Trips'!$A$3:$I$42,3,FALSE)),1,0)</f>
        <v>0</v>
      </c>
      <c r="AN45">
        <f>IF(AND(gamma!AM4=1, VLOOKUP($A45,'40Trips'!$A$43:$I$46, 3,FALSE)=VLOOKUP(AN$1,'40Trips'!$A$3:$I$42,3,FALSE)),1,0)</f>
        <v>0</v>
      </c>
      <c r="AO45">
        <f>IF(AND(gamma!AN4=1, VLOOKUP($A45,'40Trips'!$A$43:$I$46, 3,FALSE)=VLOOKUP(AO$1,'40Trips'!$A$3:$I$42,3,FALSE)),1,0)</f>
        <v>0</v>
      </c>
      <c r="AP45">
        <f>IF(AND(gamma!AO4=1, VLOOKUP($A45,'40Trips'!$A$43:$I$46, 3,FALSE)=VLOOKUP(AP$1,'40Trips'!$A$3:$I$42,3,FALSE)),1,0)</f>
        <v>0</v>
      </c>
      <c r="AQ45">
        <f>IF(AND(gamma!AP4=1, VLOOKUP($A45,'40Trips'!$A$43:$I$46, 3,FALSE)=VLOOKUP(AQ$1,'40Trips'!$A$3:$I$42,3,FALSE)),1,0)</f>
        <v>0</v>
      </c>
    </row>
    <row r="46" spans="1:43" x14ac:dyDescent="0.25">
      <c r="A46" t="s">
        <v>62</v>
      </c>
      <c r="B46" t="s">
        <v>10</v>
      </c>
      <c r="C46">
        <v>0</v>
      </c>
      <c r="D46">
        <f>IF(AND(gamma!C5=1, VLOOKUP($A46,'40Trips'!$A$43:$I$46, 3,FALSE)=VLOOKUP(D$1,'40Trips'!$A$3:$I$42,3,FALSE)),1,0)</f>
        <v>0</v>
      </c>
      <c r="E46">
        <f>IF(AND(gamma!D5=1, VLOOKUP($A46,'40Trips'!$A$43:$I$46, 3,FALSE)=VLOOKUP(E$1,'40Trips'!$A$3:$I$42,3,FALSE)),1,0)</f>
        <v>0</v>
      </c>
      <c r="F46">
        <f>IF(AND(gamma!E5=1, VLOOKUP($A46,'40Trips'!$A$43:$I$46, 3,FALSE)=VLOOKUP(F$1,'40Trips'!$A$3:$I$42,3,FALSE)),1,0)</f>
        <v>0</v>
      </c>
      <c r="G46">
        <f>IF(AND(gamma!F5=1, VLOOKUP($A46,'40Trips'!$A$43:$I$46, 3,FALSE)=VLOOKUP(G$1,'40Trips'!$A$3:$I$42,3,FALSE)),1,0)</f>
        <v>0</v>
      </c>
      <c r="H46">
        <f>IF(AND(gamma!G5=1, VLOOKUP($A46,'40Trips'!$A$43:$I$46, 3,FALSE)=VLOOKUP(H$1,'40Trips'!$A$3:$I$42,3,FALSE)),1,0)</f>
        <v>0</v>
      </c>
      <c r="I46">
        <f>IF(AND(gamma!H5=1, VLOOKUP($A46,'40Trips'!$A$43:$I$46, 3,FALSE)=VLOOKUP(I$1,'40Trips'!$A$3:$I$42,3,FALSE)),1,0)</f>
        <v>0</v>
      </c>
      <c r="J46">
        <f>IF(AND(gamma!I5=1, VLOOKUP($A46,'40Trips'!$A$43:$I$46, 3,FALSE)=VLOOKUP(J$1,'40Trips'!$A$3:$I$42,3,FALSE)),1,0)</f>
        <v>0</v>
      </c>
      <c r="K46">
        <f>IF(AND(gamma!J5=1, VLOOKUP($A46,'40Trips'!$A$43:$I$46, 3,FALSE)=VLOOKUP(K$1,'40Trips'!$A$3:$I$42,3,FALSE)),1,0)</f>
        <v>1</v>
      </c>
      <c r="L46">
        <f>IF(AND(gamma!K5=1, VLOOKUP($A46,'40Trips'!$A$43:$I$46, 3,FALSE)=VLOOKUP(L$1,'40Trips'!$A$3:$I$42,3,FALSE)),1,0)</f>
        <v>0</v>
      </c>
      <c r="M46">
        <f>IF(AND(gamma!L5=1, VLOOKUP($A46,'40Trips'!$A$43:$I$46, 3,FALSE)=VLOOKUP(M$1,'40Trips'!$A$3:$I$42,3,FALSE)),1,0)</f>
        <v>0</v>
      </c>
      <c r="N46">
        <f>IF(AND(gamma!M5=1, VLOOKUP($A46,'40Trips'!$A$43:$I$46, 3,FALSE)=VLOOKUP(N$1,'40Trips'!$A$3:$I$42,3,FALSE)),1,0)</f>
        <v>0</v>
      </c>
      <c r="O46">
        <f>IF(AND(gamma!N5=1, VLOOKUP($A46,'40Trips'!$A$43:$I$46, 3,FALSE)=VLOOKUP(O$1,'40Trips'!$A$3:$I$42,3,FALSE)),1,0)</f>
        <v>0</v>
      </c>
      <c r="P46">
        <f>IF(AND(gamma!O5=1, VLOOKUP($A46,'40Trips'!$A$43:$I$46, 3,FALSE)=VLOOKUP(P$1,'40Trips'!$A$3:$I$42,3,FALSE)),1,0)</f>
        <v>0</v>
      </c>
      <c r="Q46">
        <f>IF(AND(gamma!P5=1, VLOOKUP($A46,'40Trips'!$A$43:$I$46, 3,FALSE)=VLOOKUP(Q$1,'40Trips'!$A$3:$I$42,3,FALSE)),1,0)</f>
        <v>0</v>
      </c>
      <c r="R46">
        <f>IF(AND(gamma!Q5=1, VLOOKUP($A46,'40Trips'!$A$43:$I$46, 3,FALSE)=VLOOKUP(R$1,'40Trips'!$A$3:$I$42,3,FALSE)),1,0)</f>
        <v>0</v>
      </c>
      <c r="S46">
        <f>IF(AND(gamma!R5=1, VLOOKUP($A46,'40Trips'!$A$43:$I$46, 3,FALSE)=VLOOKUP(S$1,'40Trips'!$A$3:$I$42,3,FALSE)),1,0)</f>
        <v>0</v>
      </c>
      <c r="T46">
        <f>IF(AND(gamma!S5=1, VLOOKUP($A46,'40Trips'!$A$43:$I$46, 3,FALSE)=VLOOKUP(T$1,'40Trips'!$A$3:$I$42,3,FALSE)),1,0)</f>
        <v>0</v>
      </c>
      <c r="U46">
        <f>IF(AND(gamma!T5=1, VLOOKUP($A46,'40Trips'!$A$43:$I$46, 3,FALSE)=VLOOKUP(U$1,'40Trips'!$A$3:$I$42,3,FALSE)),1,0)</f>
        <v>0</v>
      </c>
      <c r="V46">
        <f>IF(AND(gamma!U5=1, VLOOKUP($A46,'40Trips'!$A$43:$I$46, 3,FALSE)=VLOOKUP(V$1,'40Trips'!$A$3:$I$42,3,FALSE)),1,0)</f>
        <v>0</v>
      </c>
      <c r="W46">
        <f>IF(AND(gamma!V5=1, VLOOKUP($A46,'40Trips'!$A$43:$I$46, 3,FALSE)=VLOOKUP(W$1,'40Trips'!$A$3:$I$42,3,FALSE)),1,0)</f>
        <v>0</v>
      </c>
      <c r="X46">
        <f>IF(AND(gamma!W5=1, VLOOKUP($A46,'40Trips'!$A$43:$I$46, 3,FALSE)=VLOOKUP(X$1,'40Trips'!$A$3:$I$42,3,FALSE)),1,0)</f>
        <v>0</v>
      </c>
      <c r="Y46">
        <f>IF(AND(gamma!X5=1, VLOOKUP($A46,'40Trips'!$A$43:$I$46, 3,FALSE)=VLOOKUP(Y$1,'40Trips'!$A$3:$I$42,3,FALSE)),1,0)</f>
        <v>0</v>
      </c>
      <c r="Z46">
        <f>IF(AND(gamma!Y5=1, VLOOKUP($A46,'40Trips'!$A$43:$I$46, 3,FALSE)=VLOOKUP(Z$1,'40Trips'!$A$3:$I$42,3,FALSE)),1,0)</f>
        <v>0</v>
      </c>
      <c r="AA46">
        <f>IF(AND(gamma!Z5=1, VLOOKUP($A46,'40Trips'!$A$43:$I$46, 3,FALSE)=VLOOKUP(AA$1,'40Trips'!$A$3:$I$42,3,FALSE)),1,0)</f>
        <v>0</v>
      </c>
      <c r="AB46">
        <f>IF(AND(gamma!AA5=1, VLOOKUP($A46,'40Trips'!$A$43:$I$46, 3,FALSE)=VLOOKUP(AB$1,'40Trips'!$A$3:$I$42,3,FALSE)),1,0)</f>
        <v>0</v>
      </c>
      <c r="AC46">
        <f>IF(AND(gamma!AB5=1, VLOOKUP($A46,'40Trips'!$A$43:$I$46, 3,FALSE)=VLOOKUP(AC$1,'40Trips'!$A$3:$I$42,3,FALSE)),1,0)</f>
        <v>0</v>
      </c>
      <c r="AD46">
        <f>IF(AND(gamma!AC5=1, VLOOKUP($A46,'40Trips'!$A$43:$I$46, 3,FALSE)=VLOOKUP(AD$1,'40Trips'!$A$3:$I$42,3,FALSE)),1,0)</f>
        <v>0</v>
      </c>
      <c r="AE46">
        <f>IF(AND(gamma!AD5=1, VLOOKUP($A46,'40Trips'!$A$43:$I$46, 3,FALSE)=VLOOKUP(AE$1,'40Trips'!$A$3:$I$42,3,FALSE)),1,0)</f>
        <v>0</v>
      </c>
      <c r="AF46">
        <f>IF(AND(gamma!AE5=1, VLOOKUP($A46,'40Trips'!$A$43:$I$46, 3,FALSE)=VLOOKUP(AF$1,'40Trips'!$A$3:$I$42,3,FALSE)),1,0)</f>
        <v>0</v>
      </c>
      <c r="AG46">
        <f>IF(AND(gamma!AF5=1, VLOOKUP($A46,'40Trips'!$A$43:$I$46, 3,FALSE)=VLOOKUP(AG$1,'40Trips'!$A$3:$I$42,3,FALSE)),1,0)</f>
        <v>0</v>
      </c>
      <c r="AH46">
        <f>IF(AND(gamma!AG5=1, VLOOKUP($A46,'40Trips'!$A$43:$I$46, 3,FALSE)=VLOOKUP(AH$1,'40Trips'!$A$3:$I$42,3,FALSE)),1,0)</f>
        <v>0</v>
      </c>
      <c r="AI46">
        <f>IF(AND(gamma!AH5=1, VLOOKUP($A46,'40Trips'!$A$43:$I$46, 3,FALSE)=VLOOKUP(AI$1,'40Trips'!$A$3:$I$42,3,FALSE)),1,0)</f>
        <v>0</v>
      </c>
      <c r="AJ46">
        <f>IF(AND(gamma!AI5=1, VLOOKUP($A46,'40Trips'!$A$43:$I$46, 3,FALSE)=VLOOKUP(AJ$1,'40Trips'!$A$3:$I$42,3,FALSE)),1,0)</f>
        <v>0</v>
      </c>
      <c r="AK46">
        <f>IF(AND(gamma!AJ5=1, VLOOKUP($A46,'40Trips'!$A$43:$I$46, 3,FALSE)=VLOOKUP(AK$1,'40Trips'!$A$3:$I$42,3,FALSE)),1,0)</f>
        <v>0</v>
      </c>
      <c r="AL46">
        <f>IF(AND(gamma!AK5=1, VLOOKUP($A46,'40Trips'!$A$43:$I$46, 3,FALSE)=VLOOKUP(AL$1,'40Trips'!$A$3:$I$42,3,FALSE)),1,0)</f>
        <v>0</v>
      </c>
      <c r="AM46">
        <f>IF(AND(gamma!AL5=1, VLOOKUP($A46,'40Trips'!$A$43:$I$46, 3,FALSE)=VLOOKUP(AM$1,'40Trips'!$A$3:$I$42,3,FALSE)),1,0)</f>
        <v>0</v>
      </c>
      <c r="AN46">
        <f>IF(AND(gamma!AM5=1, VLOOKUP($A46,'40Trips'!$A$43:$I$46, 3,FALSE)=VLOOKUP(AN$1,'40Trips'!$A$3:$I$42,3,FALSE)),1,0)</f>
        <v>0</v>
      </c>
      <c r="AO46">
        <f>IF(AND(gamma!AN5=1, VLOOKUP($A46,'40Trips'!$A$43:$I$46, 3,FALSE)=VLOOKUP(AO$1,'40Trips'!$A$3:$I$42,3,FALSE)),1,0)</f>
        <v>0</v>
      </c>
      <c r="AP46">
        <f>IF(AND(gamma!AO5=1, VLOOKUP($A46,'40Trips'!$A$43:$I$46, 3,FALSE)=VLOOKUP(AP$1,'40Trips'!$A$3:$I$42,3,FALSE)),1,0)</f>
        <v>0</v>
      </c>
      <c r="AQ46">
        <f>IF(AND(gamma!AP5=1, VLOOKUP($A46,'40Trips'!$A$43:$I$46, 3,FALSE)=VLOOKUP(AQ$1,'40Trips'!$A$3:$I$42,3,FALSE)),1,0)</f>
        <v>0</v>
      </c>
    </row>
    <row r="47" spans="1:43" x14ac:dyDescent="0.25">
      <c r="A47" t="s">
        <v>62</v>
      </c>
      <c r="B47" t="s">
        <v>11</v>
      </c>
      <c r="C47">
        <v>0</v>
      </c>
      <c r="D47">
        <f>IF(AND(gamma!C6=1, VLOOKUP($A47,'40Trips'!$A$43:$I$46, 3,FALSE)=VLOOKUP(D$1,'40Trips'!$A$3:$I$42,3,FALSE)),1,0)</f>
        <v>0</v>
      </c>
      <c r="E47">
        <f>IF(AND(gamma!D6=1, VLOOKUP($A47,'40Trips'!$A$43:$I$46, 3,FALSE)=VLOOKUP(E$1,'40Trips'!$A$3:$I$42,3,FALSE)),1,0)</f>
        <v>0</v>
      </c>
      <c r="F47">
        <f>IF(AND(gamma!E6=1, VLOOKUP($A47,'40Trips'!$A$43:$I$46, 3,FALSE)=VLOOKUP(F$1,'40Trips'!$A$3:$I$42,3,FALSE)),1,0)</f>
        <v>0</v>
      </c>
      <c r="G47">
        <f>IF(AND(gamma!F6=1, VLOOKUP($A47,'40Trips'!$A$43:$I$46, 3,FALSE)=VLOOKUP(G$1,'40Trips'!$A$3:$I$42,3,FALSE)),1,0)</f>
        <v>0</v>
      </c>
      <c r="H47">
        <f>IF(AND(gamma!G6=1, VLOOKUP($A47,'40Trips'!$A$43:$I$46, 3,FALSE)=VLOOKUP(H$1,'40Trips'!$A$3:$I$42,3,FALSE)),1,0)</f>
        <v>0</v>
      </c>
      <c r="I47">
        <f>IF(AND(gamma!H6=1, VLOOKUP($A47,'40Trips'!$A$43:$I$46, 3,FALSE)=VLOOKUP(I$1,'40Trips'!$A$3:$I$42,3,FALSE)),1,0)</f>
        <v>0</v>
      </c>
      <c r="J47">
        <f>IF(AND(gamma!I6=1, VLOOKUP($A47,'40Trips'!$A$43:$I$46, 3,FALSE)=VLOOKUP(J$1,'40Trips'!$A$3:$I$42,3,FALSE)),1,0)</f>
        <v>0</v>
      </c>
      <c r="K47">
        <f>IF(AND(gamma!J6=1, VLOOKUP($A47,'40Trips'!$A$43:$I$46, 3,FALSE)=VLOOKUP(K$1,'40Trips'!$A$3:$I$42,3,FALSE)),1,0)</f>
        <v>1</v>
      </c>
      <c r="L47">
        <f>IF(AND(gamma!K6=1, VLOOKUP($A47,'40Trips'!$A$43:$I$46, 3,FALSE)=VLOOKUP(L$1,'40Trips'!$A$3:$I$42,3,FALSE)),1,0)</f>
        <v>0</v>
      </c>
      <c r="M47">
        <f>IF(AND(gamma!L6=1, VLOOKUP($A47,'40Trips'!$A$43:$I$46, 3,FALSE)=VLOOKUP(M$1,'40Trips'!$A$3:$I$42,3,FALSE)),1,0)</f>
        <v>0</v>
      </c>
      <c r="N47">
        <f>IF(AND(gamma!M6=1, VLOOKUP($A47,'40Trips'!$A$43:$I$46, 3,FALSE)=VLOOKUP(N$1,'40Trips'!$A$3:$I$42,3,FALSE)),1,0)</f>
        <v>0</v>
      </c>
      <c r="O47">
        <f>IF(AND(gamma!N6=1, VLOOKUP($A47,'40Trips'!$A$43:$I$46, 3,FALSE)=VLOOKUP(O$1,'40Trips'!$A$3:$I$42,3,FALSE)),1,0)</f>
        <v>0</v>
      </c>
      <c r="P47">
        <f>IF(AND(gamma!O6=1, VLOOKUP($A47,'40Trips'!$A$43:$I$46, 3,FALSE)=VLOOKUP(P$1,'40Trips'!$A$3:$I$42,3,FALSE)),1,0)</f>
        <v>0</v>
      </c>
      <c r="Q47">
        <f>IF(AND(gamma!P6=1, VLOOKUP($A47,'40Trips'!$A$43:$I$46, 3,FALSE)=VLOOKUP(Q$1,'40Trips'!$A$3:$I$42,3,FALSE)),1,0)</f>
        <v>0</v>
      </c>
      <c r="R47">
        <f>IF(AND(gamma!Q6=1, VLOOKUP($A47,'40Trips'!$A$43:$I$46, 3,FALSE)=VLOOKUP(R$1,'40Trips'!$A$3:$I$42,3,FALSE)),1,0)</f>
        <v>0</v>
      </c>
      <c r="S47">
        <f>IF(AND(gamma!R6=1, VLOOKUP($A47,'40Trips'!$A$43:$I$46, 3,FALSE)=VLOOKUP(S$1,'40Trips'!$A$3:$I$42,3,FALSE)),1,0)</f>
        <v>0</v>
      </c>
      <c r="T47">
        <f>IF(AND(gamma!S6=1, VLOOKUP($A47,'40Trips'!$A$43:$I$46, 3,FALSE)=VLOOKUP(T$1,'40Trips'!$A$3:$I$42,3,FALSE)),1,0)</f>
        <v>0</v>
      </c>
      <c r="U47">
        <f>IF(AND(gamma!T6=1, VLOOKUP($A47,'40Trips'!$A$43:$I$46, 3,FALSE)=VLOOKUP(U$1,'40Trips'!$A$3:$I$42,3,FALSE)),1,0)</f>
        <v>0</v>
      </c>
      <c r="V47">
        <f>IF(AND(gamma!U6=1, VLOOKUP($A47,'40Trips'!$A$43:$I$46, 3,FALSE)=VLOOKUP(V$1,'40Trips'!$A$3:$I$42,3,FALSE)),1,0)</f>
        <v>0</v>
      </c>
      <c r="W47">
        <f>IF(AND(gamma!V6=1, VLOOKUP($A47,'40Trips'!$A$43:$I$46, 3,FALSE)=VLOOKUP(W$1,'40Trips'!$A$3:$I$42,3,FALSE)),1,0)</f>
        <v>0</v>
      </c>
      <c r="X47">
        <f>IF(AND(gamma!W6=1, VLOOKUP($A47,'40Trips'!$A$43:$I$46, 3,FALSE)=VLOOKUP(X$1,'40Trips'!$A$3:$I$42,3,FALSE)),1,0)</f>
        <v>0</v>
      </c>
      <c r="Y47">
        <f>IF(AND(gamma!X6=1, VLOOKUP($A47,'40Trips'!$A$43:$I$46, 3,FALSE)=VLOOKUP(Y$1,'40Trips'!$A$3:$I$42,3,FALSE)),1,0)</f>
        <v>0</v>
      </c>
      <c r="Z47">
        <f>IF(AND(gamma!Y6=1, VLOOKUP($A47,'40Trips'!$A$43:$I$46, 3,FALSE)=VLOOKUP(Z$1,'40Trips'!$A$3:$I$42,3,FALSE)),1,0)</f>
        <v>0</v>
      </c>
      <c r="AA47">
        <f>IF(AND(gamma!Z6=1, VLOOKUP($A47,'40Trips'!$A$43:$I$46, 3,FALSE)=VLOOKUP(AA$1,'40Trips'!$A$3:$I$42,3,FALSE)),1,0)</f>
        <v>0</v>
      </c>
      <c r="AB47">
        <f>IF(AND(gamma!AA6=1, VLOOKUP($A47,'40Trips'!$A$43:$I$46, 3,FALSE)=VLOOKUP(AB$1,'40Trips'!$A$3:$I$42,3,FALSE)),1,0)</f>
        <v>0</v>
      </c>
      <c r="AC47">
        <f>IF(AND(gamma!AB6=1, VLOOKUP($A47,'40Trips'!$A$43:$I$46, 3,FALSE)=VLOOKUP(AC$1,'40Trips'!$A$3:$I$42,3,FALSE)),1,0)</f>
        <v>0</v>
      </c>
      <c r="AD47">
        <f>IF(AND(gamma!AC6=1, VLOOKUP($A47,'40Trips'!$A$43:$I$46, 3,FALSE)=VLOOKUP(AD$1,'40Trips'!$A$3:$I$42,3,FALSE)),1,0)</f>
        <v>0</v>
      </c>
      <c r="AE47">
        <f>IF(AND(gamma!AD6=1, VLOOKUP($A47,'40Trips'!$A$43:$I$46, 3,FALSE)=VLOOKUP(AE$1,'40Trips'!$A$3:$I$42,3,FALSE)),1,0)</f>
        <v>0</v>
      </c>
      <c r="AF47">
        <f>IF(AND(gamma!AE6=1, VLOOKUP($A47,'40Trips'!$A$43:$I$46, 3,FALSE)=VLOOKUP(AF$1,'40Trips'!$A$3:$I$42,3,FALSE)),1,0)</f>
        <v>0</v>
      </c>
      <c r="AG47">
        <f>IF(AND(gamma!AF6=1, VLOOKUP($A47,'40Trips'!$A$43:$I$46, 3,FALSE)=VLOOKUP(AG$1,'40Trips'!$A$3:$I$42,3,FALSE)),1,0)</f>
        <v>0</v>
      </c>
      <c r="AH47">
        <f>IF(AND(gamma!AG6=1, VLOOKUP($A47,'40Trips'!$A$43:$I$46, 3,FALSE)=VLOOKUP(AH$1,'40Trips'!$A$3:$I$42,3,FALSE)),1,0)</f>
        <v>0</v>
      </c>
      <c r="AI47">
        <f>IF(AND(gamma!AH6=1, VLOOKUP($A47,'40Trips'!$A$43:$I$46, 3,FALSE)=VLOOKUP(AI$1,'40Trips'!$A$3:$I$42,3,FALSE)),1,0)</f>
        <v>0</v>
      </c>
      <c r="AJ47">
        <f>IF(AND(gamma!AI6=1, VLOOKUP($A47,'40Trips'!$A$43:$I$46, 3,FALSE)=VLOOKUP(AJ$1,'40Trips'!$A$3:$I$42,3,FALSE)),1,0)</f>
        <v>0</v>
      </c>
      <c r="AK47">
        <f>IF(AND(gamma!AJ6=1, VLOOKUP($A47,'40Trips'!$A$43:$I$46, 3,FALSE)=VLOOKUP(AK$1,'40Trips'!$A$3:$I$42,3,FALSE)),1,0)</f>
        <v>0</v>
      </c>
      <c r="AL47">
        <f>IF(AND(gamma!AK6=1, VLOOKUP($A47,'40Trips'!$A$43:$I$46, 3,FALSE)=VLOOKUP(AL$1,'40Trips'!$A$3:$I$42,3,FALSE)),1,0)</f>
        <v>0</v>
      </c>
      <c r="AM47">
        <f>IF(AND(gamma!AL6=1, VLOOKUP($A47,'40Trips'!$A$43:$I$46, 3,FALSE)=VLOOKUP(AM$1,'40Trips'!$A$3:$I$42,3,FALSE)),1,0)</f>
        <v>0</v>
      </c>
      <c r="AN47">
        <f>IF(AND(gamma!AM6=1, VLOOKUP($A47,'40Trips'!$A$43:$I$46, 3,FALSE)=VLOOKUP(AN$1,'40Trips'!$A$3:$I$42,3,FALSE)),1,0)</f>
        <v>0</v>
      </c>
      <c r="AO47">
        <f>IF(AND(gamma!AN6=1, VLOOKUP($A47,'40Trips'!$A$43:$I$46, 3,FALSE)=VLOOKUP(AO$1,'40Trips'!$A$3:$I$42,3,FALSE)),1,0)</f>
        <v>0</v>
      </c>
      <c r="AP47">
        <f>IF(AND(gamma!AO6=1, VLOOKUP($A47,'40Trips'!$A$43:$I$46, 3,FALSE)=VLOOKUP(AP$1,'40Trips'!$A$3:$I$42,3,FALSE)),1,0)</f>
        <v>0</v>
      </c>
      <c r="AQ47">
        <f>IF(AND(gamma!AP6=1, VLOOKUP($A47,'40Trips'!$A$43:$I$46, 3,FALSE)=VLOOKUP(AQ$1,'40Trips'!$A$3:$I$42,3,FALSE)),1,0)</f>
        <v>0</v>
      </c>
    </row>
    <row r="48" spans="1:43" x14ac:dyDescent="0.25">
      <c r="A48" t="s">
        <v>62</v>
      </c>
      <c r="B48" t="s">
        <v>18</v>
      </c>
      <c r="C48">
        <v>0</v>
      </c>
      <c r="D48">
        <f>IF(AND(gamma!C7=1, VLOOKUP($A48,'40Trips'!$A$43:$I$46, 3,FALSE)=VLOOKUP(D$1,'40Trips'!$A$3:$I$42,3,FALSE)),1,0)</f>
        <v>0</v>
      </c>
      <c r="E48">
        <f>IF(AND(gamma!D7=1, VLOOKUP($A48,'40Trips'!$A$43:$I$46, 3,FALSE)=VLOOKUP(E$1,'40Trips'!$A$3:$I$42,3,FALSE)),1,0)</f>
        <v>1</v>
      </c>
      <c r="F48">
        <f>IF(AND(gamma!E7=1, VLOOKUP($A48,'40Trips'!$A$43:$I$46, 3,FALSE)=VLOOKUP(F$1,'40Trips'!$A$3:$I$42,3,FALSE)),1,0)</f>
        <v>1</v>
      </c>
      <c r="G48">
        <f>IF(AND(gamma!F7=1, VLOOKUP($A48,'40Trips'!$A$43:$I$46, 3,FALSE)=VLOOKUP(G$1,'40Trips'!$A$3:$I$42,3,FALSE)),1,0)</f>
        <v>1</v>
      </c>
      <c r="H48">
        <f>IF(AND(gamma!G7=1, VLOOKUP($A48,'40Trips'!$A$43:$I$46, 3,FALSE)=VLOOKUP(H$1,'40Trips'!$A$3:$I$42,3,FALSE)),1,0)</f>
        <v>0</v>
      </c>
      <c r="I48">
        <f>IF(AND(gamma!H7=1, VLOOKUP($A48,'40Trips'!$A$43:$I$46, 3,FALSE)=VLOOKUP(I$1,'40Trips'!$A$3:$I$42,3,FALSE)),1,0)</f>
        <v>0</v>
      </c>
      <c r="J48">
        <f>IF(AND(gamma!I7=1, VLOOKUP($A48,'40Trips'!$A$43:$I$46, 3,FALSE)=VLOOKUP(J$1,'40Trips'!$A$3:$I$42,3,FALSE)),1,0)</f>
        <v>1</v>
      </c>
      <c r="K48">
        <f>IF(AND(gamma!J7=1, VLOOKUP($A48,'40Trips'!$A$43:$I$46, 3,FALSE)=VLOOKUP(K$1,'40Trips'!$A$3:$I$42,3,FALSE)),1,0)</f>
        <v>1</v>
      </c>
      <c r="L48">
        <f>IF(AND(gamma!K7=1, VLOOKUP($A48,'40Trips'!$A$43:$I$46, 3,FALSE)=VLOOKUP(L$1,'40Trips'!$A$3:$I$42,3,FALSE)),1,0)</f>
        <v>0</v>
      </c>
      <c r="M48">
        <f>IF(AND(gamma!L7=1, VLOOKUP($A48,'40Trips'!$A$43:$I$46, 3,FALSE)=VLOOKUP(M$1,'40Trips'!$A$3:$I$42,3,FALSE)),1,0)</f>
        <v>0</v>
      </c>
      <c r="N48">
        <f>IF(AND(gamma!M7=1, VLOOKUP($A48,'40Trips'!$A$43:$I$46, 3,FALSE)=VLOOKUP(N$1,'40Trips'!$A$3:$I$42,3,FALSE)),1,0)</f>
        <v>1</v>
      </c>
      <c r="O48">
        <f>IF(AND(gamma!N7=1, VLOOKUP($A48,'40Trips'!$A$43:$I$46, 3,FALSE)=VLOOKUP(O$1,'40Trips'!$A$3:$I$42,3,FALSE)),1,0)</f>
        <v>0</v>
      </c>
      <c r="P48">
        <f>IF(AND(gamma!O7=1, VLOOKUP($A48,'40Trips'!$A$43:$I$46, 3,FALSE)=VLOOKUP(P$1,'40Trips'!$A$3:$I$42,3,FALSE)),1,0)</f>
        <v>0</v>
      </c>
      <c r="Q48">
        <f>IF(AND(gamma!P7=1, VLOOKUP($A48,'40Trips'!$A$43:$I$46, 3,FALSE)=VLOOKUP(Q$1,'40Trips'!$A$3:$I$42,3,FALSE)),1,0)</f>
        <v>0</v>
      </c>
      <c r="R48">
        <f>IF(AND(gamma!Q7=1, VLOOKUP($A48,'40Trips'!$A$43:$I$46, 3,FALSE)=VLOOKUP(R$1,'40Trips'!$A$3:$I$42,3,FALSE)),1,0)</f>
        <v>0</v>
      </c>
      <c r="S48">
        <f>IF(AND(gamma!R7=1, VLOOKUP($A48,'40Trips'!$A$43:$I$46, 3,FALSE)=VLOOKUP(S$1,'40Trips'!$A$3:$I$42,3,FALSE)),1,0)</f>
        <v>0</v>
      </c>
      <c r="T48">
        <f>IF(AND(gamma!S7=1, VLOOKUP($A48,'40Trips'!$A$43:$I$46, 3,FALSE)=VLOOKUP(T$1,'40Trips'!$A$3:$I$42,3,FALSE)),1,0)</f>
        <v>0</v>
      </c>
      <c r="U48">
        <f>IF(AND(gamma!T7=1, VLOOKUP($A48,'40Trips'!$A$43:$I$46, 3,FALSE)=VLOOKUP(U$1,'40Trips'!$A$3:$I$42,3,FALSE)),1,0)</f>
        <v>0</v>
      </c>
      <c r="V48">
        <f>IF(AND(gamma!U7=1, VLOOKUP($A48,'40Trips'!$A$43:$I$46, 3,FALSE)=VLOOKUP(V$1,'40Trips'!$A$3:$I$42,3,FALSE)),1,0)</f>
        <v>0</v>
      </c>
      <c r="W48">
        <f>IF(AND(gamma!V7=1, VLOOKUP($A48,'40Trips'!$A$43:$I$46, 3,FALSE)=VLOOKUP(W$1,'40Trips'!$A$3:$I$42,3,FALSE)),1,0)</f>
        <v>0</v>
      </c>
      <c r="X48">
        <f>IF(AND(gamma!W7=1, VLOOKUP($A48,'40Trips'!$A$43:$I$46, 3,FALSE)=VLOOKUP(X$1,'40Trips'!$A$3:$I$42,3,FALSE)),1,0)</f>
        <v>0</v>
      </c>
      <c r="Y48">
        <f>IF(AND(gamma!X7=1, VLOOKUP($A48,'40Trips'!$A$43:$I$46, 3,FALSE)=VLOOKUP(Y$1,'40Trips'!$A$3:$I$42,3,FALSE)),1,0)</f>
        <v>0</v>
      </c>
      <c r="Z48">
        <f>IF(AND(gamma!Y7=1, VLOOKUP($A48,'40Trips'!$A$43:$I$46, 3,FALSE)=VLOOKUP(Z$1,'40Trips'!$A$3:$I$42,3,FALSE)),1,0)</f>
        <v>0</v>
      </c>
      <c r="AA48">
        <f>IF(AND(gamma!Z7=1, VLOOKUP($A48,'40Trips'!$A$43:$I$46, 3,FALSE)=VLOOKUP(AA$1,'40Trips'!$A$3:$I$42,3,FALSE)),1,0)</f>
        <v>0</v>
      </c>
      <c r="AB48">
        <f>IF(AND(gamma!AA7=1, VLOOKUP($A48,'40Trips'!$A$43:$I$46, 3,FALSE)=VLOOKUP(AB$1,'40Trips'!$A$3:$I$42,3,FALSE)),1,0)</f>
        <v>0</v>
      </c>
      <c r="AC48">
        <f>IF(AND(gamma!AB7=1, VLOOKUP($A48,'40Trips'!$A$43:$I$46, 3,FALSE)=VLOOKUP(AC$1,'40Trips'!$A$3:$I$42,3,FALSE)),1,0)</f>
        <v>0</v>
      </c>
      <c r="AD48">
        <f>IF(AND(gamma!AC7=1, VLOOKUP($A48,'40Trips'!$A$43:$I$46, 3,FALSE)=VLOOKUP(AD$1,'40Trips'!$A$3:$I$42,3,FALSE)),1,0)</f>
        <v>0</v>
      </c>
      <c r="AE48">
        <f>IF(AND(gamma!AD7=1, VLOOKUP($A48,'40Trips'!$A$43:$I$46, 3,FALSE)=VLOOKUP(AE$1,'40Trips'!$A$3:$I$42,3,FALSE)),1,0)</f>
        <v>0</v>
      </c>
      <c r="AF48">
        <f>IF(AND(gamma!AE7=1, VLOOKUP($A48,'40Trips'!$A$43:$I$46, 3,FALSE)=VLOOKUP(AF$1,'40Trips'!$A$3:$I$42,3,FALSE)),1,0)</f>
        <v>0</v>
      </c>
      <c r="AG48">
        <f>IF(AND(gamma!AF7=1, VLOOKUP($A48,'40Trips'!$A$43:$I$46, 3,FALSE)=VLOOKUP(AG$1,'40Trips'!$A$3:$I$42,3,FALSE)),1,0)</f>
        <v>0</v>
      </c>
      <c r="AH48">
        <f>IF(AND(gamma!AG7=1, VLOOKUP($A48,'40Trips'!$A$43:$I$46, 3,FALSE)=VLOOKUP(AH$1,'40Trips'!$A$3:$I$42,3,FALSE)),1,0)</f>
        <v>0</v>
      </c>
      <c r="AI48">
        <f>IF(AND(gamma!AH7=1, VLOOKUP($A48,'40Trips'!$A$43:$I$46, 3,FALSE)=VLOOKUP(AI$1,'40Trips'!$A$3:$I$42,3,FALSE)),1,0)</f>
        <v>0</v>
      </c>
      <c r="AJ48">
        <f>IF(AND(gamma!AI7=1, VLOOKUP($A48,'40Trips'!$A$43:$I$46, 3,FALSE)=VLOOKUP(AJ$1,'40Trips'!$A$3:$I$42,3,FALSE)),1,0)</f>
        <v>0</v>
      </c>
      <c r="AK48">
        <f>IF(AND(gamma!AJ7=1, VLOOKUP($A48,'40Trips'!$A$43:$I$46, 3,FALSE)=VLOOKUP(AK$1,'40Trips'!$A$3:$I$42,3,FALSE)),1,0)</f>
        <v>0</v>
      </c>
      <c r="AL48">
        <f>IF(AND(gamma!AK7=1, VLOOKUP($A48,'40Trips'!$A$43:$I$46, 3,FALSE)=VLOOKUP(AL$1,'40Trips'!$A$3:$I$42,3,FALSE)),1,0)</f>
        <v>0</v>
      </c>
      <c r="AM48">
        <f>IF(AND(gamma!AL7=1, VLOOKUP($A48,'40Trips'!$A$43:$I$46, 3,FALSE)=VLOOKUP(AM$1,'40Trips'!$A$3:$I$42,3,FALSE)),1,0)</f>
        <v>0</v>
      </c>
      <c r="AN48">
        <f>IF(AND(gamma!AM7=1, VLOOKUP($A48,'40Trips'!$A$43:$I$46, 3,FALSE)=VLOOKUP(AN$1,'40Trips'!$A$3:$I$42,3,FALSE)),1,0)</f>
        <v>0</v>
      </c>
      <c r="AO48">
        <f>IF(AND(gamma!AN7=1, VLOOKUP($A48,'40Trips'!$A$43:$I$46, 3,FALSE)=VLOOKUP(AO$1,'40Trips'!$A$3:$I$42,3,FALSE)),1,0)</f>
        <v>0</v>
      </c>
      <c r="AP48">
        <f>IF(AND(gamma!AO7=1, VLOOKUP($A48,'40Trips'!$A$43:$I$46, 3,FALSE)=VLOOKUP(AP$1,'40Trips'!$A$3:$I$42,3,FALSE)),1,0)</f>
        <v>0</v>
      </c>
      <c r="AQ48">
        <f>IF(AND(gamma!AP7=1, VLOOKUP($A48,'40Trips'!$A$43:$I$46, 3,FALSE)=VLOOKUP(AQ$1,'40Trips'!$A$3:$I$42,3,FALSE)),1,0)</f>
        <v>0</v>
      </c>
    </row>
    <row r="49" spans="1:43" x14ac:dyDescent="0.25">
      <c r="A49" t="s">
        <v>62</v>
      </c>
      <c r="B49" t="s">
        <v>20</v>
      </c>
      <c r="C49">
        <v>0</v>
      </c>
      <c r="D49">
        <f>IF(AND(gamma!C8=1, VLOOKUP($A49,'40Trips'!$A$43:$I$46, 3,FALSE)=VLOOKUP(D$1,'40Trips'!$A$3:$I$42,3,FALSE)),1,0)</f>
        <v>0</v>
      </c>
      <c r="E49">
        <f>IF(AND(gamma!D8=1, VLOOKUP($A49,'40Trips'!$A$43:$I$46, 3,FALSE)=VLOOKUP(E$1,'40Trips'!$A$3:$I$42,3,FALSE)),1,0)</f>
        <v>0</v>
      </c>
      <c r="F49">
        <f>IF(AND(gamma!E8=1, VLOOKUP($A49,'40Trips'!$A$43:$I$46, 3,FALSE)=VLOOKUP(F$1,'40Trips'!$A$3:$I$42,3,FALSE)),1,0)</f>
        <v>1</v>
      </c>
      <c r="G49">
        <f>IF(AND(gamma!F8=1, VLOOKUP($A49,'40Trips'!$A$43:$I$46, 3,FALSE)=VLOOKUP(G$1,'40Trips'!$A$3:$I$42,3,FALSE)),1,0)</f>
        <v>1</v>
      </c>
      <c r="H49">
        <f>IF(AND(gamma!G8=1, VLOOKUP($A49,'40Trips'!$A$43:$I$46, 3,FALSE)=VLOOKUP(H$1,'40Trips'!$A$3:$I$42,3,FALSE)),1,0)</f>
        <v>0</v>
      </c>
      <c r="I49">
        <f>IF(AND(gamma!H8=1, VLOOKUP($A49,'40Trips'!$A$43:$I$46, 3,FALSE)=VLOOKUP(I$1,'40Trips'!$A$3:$I$42,3,FALSE)),1,0)</f>
        <v>0</v>
      </c>
      <c r="J49">
        <f>IF(AND(gamma!I8=1, VLOOKUP($A49,'40Trips'!$A$43:$I$46, 3,FALSE)=VLOOKUP(J$1,'40Trips'!$A$3:$I$42,3,FALSE)),1,0)</f>
        <v>0</v>
      </c>
      <c r="K49">
        <f>IF(AND(gamma!J8=1, VLOOKUP($A49,'40Trips'!$A$43:$I$46, 3,FALSE)=VLOOKUP(K$1,'40Trips'!$A$3:$I$42,3,FALSE)),1,0)</f>
        <v>1</v>
      </c>
      <c r="L49">
        <f>IF(AND(gamma!K8=1, VLOOKUP($A49,'40Trips'!$A$43:$I$46, 3,FALSE)=VLOOKUP(L$1,'40Trips'!$A$3:$I$42,3,FALSE)),1,0)</f>
        <v>0</v>
      </c>
      <c r="M49">
        <f>IF(AND(gamma!L8=1, VLOOKUP($A49,'40Trips'!$A$43:$I$46, 3,FALSE)=VLOOKUP(M$1,'40Trips'!$A$3:$I$42,3,FALSE)),1,0)</f>
        <v>0</v>
      </c>
      <c r="N49">
        <f>IF(AND(gamma!M8=1, VLOOKUP($A49,'40Trips'!$A$43:$I$46, 3,FALSE)=VLOOKUP(N$1,'40Trips'!$A$3:$I$42,3,FALSE)),1,0)</f>
        <v>0</v>
      </c>
      <c r="O49">
        <f>IF(AND(gamma!N8=1, VLOOKUP($A49,'40Trips'!$A$43:$I$46, 3,FALSE)=VLOOKUP(O$1,'40Trips'!$A$3:$I$42,3,FALSE)),1,0)</f>
        <v>0</v>
      </c>
      <c r="P49">
        <f>IF(AND(gamma!O8=1, VLOOKUP($A49,'40Trips'!$A$43:$I$46, 3,FALSE)=VLOOKUP(P$1,'40Trips'!$A$3:$I$42,3,FALSE)),1,0)</f>
        <v>0</v>
      </c>
      <c r="Q49">
        <f>IF(AND(gamma!P8=1, VLOOKUP($A49,'40Trips'!$A$43:$I$46, 3,FALSE)=VLOOKUP(Q$1,'40Trips'!$A$3:$I$42,3,FALSE)),1,0)</f>
        <v>0</v>
      </c>
      <c r="R49">
        <f>IF(AND(gamma!Q8=1, VLOOKUP($A49,'40Trips'!$A$43:$I$46, 3,FALSE)=VLOOKUP(R$1,'40Trips'!$A$3:$I$42,3,FALSE)),1,0)</f>
        <v>0</v>
      </c>
      <c r="S49">
        <f>IF(AND(gamma!R8=1, VLOOKUP($A49,'40Trips'!$A$43:$I$46, 3,FALSE)=VLOOKUP(S$1,'40Trips'!$A$3:$I$42,3,FALSE)),1,0)</f>
        <v>0</v>
      </c>
      <c r="T49">
        <f>IF(AND(gamma!S8=1, VLOOKUP($A49,'40Trips'!$A$43:$I$46, 3,FALSE)=VLOOKUP(T$1,'40Trips'!$A$3:$I$42,3,FALSE)),1,0)</f>
        <v>0</v>
      </c>
      <c r="U49">
        <f>IF(AND(gamma!T8=1, VLOOKUP($A49,'40Trips'!$A$43:$I$46, 3,FALSE)=VLOOKUP(U$1,'40Trips'!$A$3:$I$42,3,FALSE)),1,0)</f>
        <v>0</v>
      </c>
      <c r="V49">
        <f>IF(AND(gamma!U8=1, VLOOKUP($A49,'40Trips'!$A$43:$I$46, 3,FALSE)=VLOOKUP(V$1,'40Trips'!$A$3:$I$42,3,FALSE)),1,0)</f>
        <v>0</v>
      </c>
      <c r="W49">
        <f>IF(AND(gamma!V8=1, VLOOKUP($A49,'40Trips'!$A$43:$I$46, 3,FALSE)=VLOOKUP(W$1,'40Trips'!$A$3:$I$42,3,FALSE)),1,0)</f>
        <v>0</v>
      </c>
      <c r="X49">
        <f>IF(AND(gamma!W8=1, VLOOKUP($A49,'40Trips'!$A$43:$I$46, 3,FALSE)=VLOOKUP(X$1,'40Trips'!$A$3:$I$42,3,FALSE)),1,0)</f>
        <v>0</v>
      </c>
      <c r="Y49">
        <f>IF(AND(gamma!X8=1, VLOOKUP($A49,'40Trips'!$A$43:$I$46, 3,FALSE)=VLOOKUP(Y$1,'40Trips'!$A$3:$I$42,3,FALSE)),1,0)</f>
        <v>0</v>
      </c>
      <c r="Z49">
        <f>IF(AND(gamma!Y8=1, VLOOKUP($A49,'40Trips'!$A$43:$I$46, 3,FALSE)=VLOOKUP(Z$1,'40Trips'!$A$3:$I$42,3,FALSE)),1,0)</f>
        <v>0</v>
      </c>
      <c r="AA49">
        <f>IF(AND(gamma!Z8=1, VLOOKUP($A49,'40Trips'!$A$43:$I$46, 3,FALSE)=VLOOKUP(AA$1,'40Trips'!$A$3:$I$42,3,FALSE)),1,0)</f>
        <v>0</v>
      </c>
      <c r="AB49">
        <f>IF(AND(gamma!AA8=1, VLOOKUP($A49,'40Trips'!$A$43:$I$46, 3,FALSE)=VLOOKUP(AB$1,'40Trips'!$A$3:$I$42,3,FALSE)),1,0)</f>
        <v>0</v>
      </c>
      <c r="AC49">
        <f>IF(AND(gamma!AB8=1, VLOOKUP($A49,'40Trips'!$A$43:$I$46, 3,FALSE)=VLOOKUP(AC$1,'40Trips'!$A$3:$I$42,3,FALSE)),1,0)</f>
        <v>0</v>
      </c>
      <c r="AD49">
        <f>IF(AND(gamma!AC8=1, VLOOKUP($A49,'40Trips'!$A$43:$I$46, 3,FALSE)=VLOOKUP(AD$1,'40Trips'!$A$3:$I$42,3,FALSE)),1,0)</f>
        <v>0</v>
      </c>
      <c r="AE49">
        <f>IF(AND(gamma!AD8=1, VLOOKUP($A49,'40Trips'!$A$43:$I$46, 3,FALSE)=VLOOKUP(AE$1,'40Trips'!$A$3:$I$42,3,FALSE)),1,0)</f>
        <v>0</v>
      </c>
      <c r="AF49">
        <f>IF(AND(gamma!AE8=1, VLOOKUP($A49,'40Trips'!$A$43:$I$46, 3,FALSE)=VLOOKUP(AF$1,'40Trips'!$A$3:$I$42,3,FALSE)),1,0)</f>
        <v>0</v>
      </c>
      <c r="AG49">
        <f>IF(AND(gamma!AF8=1, VLOOKUP($A49,'40Trips'!$A$43:$I$46, 3,FALSE)=VLOOKUP(AG$1,'40Trips'!$A$3:$I$42,3,FALSE)),1,0)</f>
        <v>0</v>
      </c>
      <c r="AH49">
        <f>IF(AND(gamma!AG8=1, VLOOKUP($A49,'40Trips'!$A$43:$I$46, 3,FALSE)=VLOOKUP(AH$1,'40Trips'!$A$3:$I$42,3,FALSE)),1,0)</f>
        <v>0</v>
      </c>
      <c r="AI49">
        <f>IF(AND(gamma!AH8=1, VLOOKUP($A49,'40Trips'!$A$43:$I$46, 3,FALSE)=VLOOKUP(AI$1,'40Trips'!$A$3:$I$42,3,FALSE)),1,0)</f>
        <v>0</v>
      </c>
      <c r="AJ49">
        <f>IF(AND(gamma!AI8=1, VLOOKUP($A49,'40Trips'!$A$43:$I$46, 3,FALSE)=VLOOKUP(AJ$1,'40Trips'!$A$3:$I$42,3,FALSE)),1,0)</f>
        <v>0</v>
      </c>
      <c r="AK49">
        <f>IF(AND(gamma!AJ8=1, VLOOKUP($A49,'40Trips'!$A$43:$I$46, 3,FALSE)=VLOOKUP(AK$1,'40Trips'!$A$3:$I$42,3,FALSE)),1,0)</f>
        <v>0</v>
      </c>
      <c r="AL49">
        <f>IF(AND(gamma!AK8=1, VLOOKUP($A49,'40Trips'!$A$43:$I$46, 3,FALSE)=VLOOKUP(AL$1,'40Trips'!$A$3:$I$42,3,FALSE)),1,0)</f>
        <v>0</v>
      </c>
      <c r="AM49">
        <f>IF(AND(gamma!AL8=1, VLOOKUP($A49,'40Trips'!$A$43:$I$46, 3,FALSE)=VLOOKUP(AM$1,'40Trips'!$A$3:$I$42,3,FALSE)),1,0)</f>
        <v>0</v>
      </c>
      <c r="AN49">
        <f>IF(AND(gamma!AM8=1, VLOOKUP($A49,'40Trips'!$A$43:$I$46, 3,FALSE)=VLOOKUP(AN$1,'40Trips'!$A$3:$I$42,3,FALSE)),1,0)</f>
        <v>0</v>
      </c>
      <c r="AO49">
        <f>IF(AND(gamma!AN8=1, VLOOKUP($A49,'40Trips'!$A$43:$I$46, 3,FALSE)=VLOOKUP(AO$1,'40Trips'!$A$3:$I$42,3,FALSE)),1,0)</f>
        <v>0</v>
      </c>
      <c r="AP49">
        <f>IF(AND(gamma!AO8=1, VLOOKUP($A49,'40Trips'!$A$43:$I$46, 3,FALSE)=VLOOKUP(AP$1,'40Trips'!$A$3:$I$42,3,FALSE)),1,0)</f>
        <v>0</v>
      </c>
      <c r="AQ49">
        <f>IF(AND(gamma!AP8=1, VLOOKUP($A49,'40Trips'!$A$43:$I$46, 3,FALSE)=VLOOKUP(AQ$1,'40Trips'!$A$3:$I$42,3,FALSE)),1,0)</f>
        <v>0</v>
      </c>
    </row>
    <row r="50" spans="1:43" x14ac:dyDescent="0.25">
      <c r="A50" t="s">
        <v>62</v>
      </c>
      <c r="B50" t="s">
        <v>21</v>
      </c>
      <c r="C50">
        <v>0</v>
      </c>
      <c r="D50">
        <f>IF(AND(gamma!C9=1, VLOOKUP($A50,'40Trips'!$A$43:$I$46, 3,FALSE)=VLOOKUP(D$1,'40Trips'!$A$3:$I$42,3,FALSE)),1,0)</f>
        <v>0</v>
      </c>
      <c r="E50">
        <f>IF(AND(gamma!D9=1, VLOOKUP($A50,'40Trips'!$A$43:$I$46, 3,FALSE)=VLOOKUP(E$1,'40Trips'!$A$3:$I$42,3,FALSE)),1,0)</f>
        <v>0</v>
      </c>
      <c r="F50">
        <f>IF(AND(gamma!E9=1, VLOOKUP($A50,'40Trips'!$A$43:$I$46, 3,FALSE)=VLOOKUP(F$1,'40Trips'!$A$3:$I$42,3,FALSE)),1,0)</f>
        <v>0</v>
      </c>
      <c r="G50">
        <f>IF(AND(gamma!F9=1, VLOOKUP($A50,'40Trips'!$A$43:$I$46, 3,FALSE)=VLOOKUP(G$1,'40Trips'!$A$3:$I$42,3,FALSE)),1,0)</f>
        <v>0</v>
      </c>
      <c r="H50">
        <f>IF(AND(gamma!G9=1, VLOOKUP($A50,'40Trips'!$A$43:$I$46, 3,FALSE)=VLOOKUP(H$1,'40Trips'!$A$3:$I$42,3,FALSE)),1,0)</f>
        <v>0</v>
      </c>
      <c r="I50">
        <f>IF(AND(gamma!H9=1, VLOOKUP($A50,'40Trips'!$A$43:$I$46, 3,FALSE)=VLOOKUP(I$1,'40Trips'!$A$3:$I$42,3,FALSE)),1,0)</f>
        <v>0</v>
      </c>
      <c r="J50">
        <f>IF(AND(gamma!I9=1, VLOOKUP($A50,'40Trips'!$A$43:$I$46, 3,FALSE)=VLOOKUP(J$1,'40Trips'!$A$3:$I$42,3,FALSE)),1,0)</f>
        <v>0</v>
      </c>
      <c r="K50">
        <f>IF(AND(gamma!J9=1, VLOOKUP($A50,'40Trips'!$A$43:$I$46, 3,FALSE)=VLOOKUP(K$1,'40Trips'!$A$3:$I$42,3,FALSE)),1,0)</f>
        <v>1</v>
      </c>
      <c r="L50">
        <f>IF(AND(gamma!K9=1, VLOOKUP($A50,'40Trips'!$A$43:$I$46, 3,FALSE)=VLOOKUP(L$1,'40Trips'!$A$3:$I$42,3,FALSE)),1,0)</f>
        <v>0</v>
      </c>
      <c r="M50">
        <f>IF(AND(gamma!L9=1, VLOOKUP($A50,'40Trips'!$A$43:$I$46, 3,FALSE)=VLOOKUP(M$1,'40Trips'!$A$3:$I$42,3,FALSE)),1,0)</f>
        <v>0</v>
      </c>
      <c r="N50">
        <f>IF(AND(gamma!M9=1, VLOOKUP($A50,'40Trips'!$A$43:$I$46, 3,FALSE)=VLOOKUP(N$1,'40Trips'!$A$3:$I$42,3,FALSE)),1,0)</f>
        <v>0</v>
      </c>
      <c r="O50">
        <f>IF(AND(gamma!N9=1, VLOOKUP($A50,'40Trips'!$A$43:$I$46, 3,FALSE)=VLOOKUP(O$1,'40Trips'!$A$3:$I$42,3,FALSE)),1,0)</f>
        <v>0</v>
      </c>
      <c r="P50">
        <f>IF(AND(gamma!O9=1, VLOOKUP($A50,'40Trips'!$A$43:$I$46, 3,FALSE)=VLOOKUP(P$1,'40Trips'!$A$3:$I$42,3,FALSE)),1,0)</f>
        <v>0</v>
      </c>
      <c r="Q50">
        <f>IF(AND(gamma!P9=1, VLOOKUP($A50,'40Trips'!$A$43:$I$46, 3,FALSE)=VLOOKUP(Q$1,'40Trips'!$A$3:$I$42,3,FALSE)),1,0)</f>
        <v>0</v>
      </c>
      <c r="R50">
        <f>IF(AND(gamma!Q9=1, VLOOKUP($A50,'40Trips'!$A$43:$I$46, 3,FALSE)=VLOOKUP(R$1,'40Trips'!$A$3:$I$42,3,FALSE)),1,0)</f>
        <v>0</v>
      </c>
      <c r="S50">
        <f>IF(AND(gamma!R9=1, VLOOKUP($A50,'40Trips'!$A$43:$I$46, 3,FALSE)=VLOOKUP(S$1,'40Trips'!$A$3:$I$42,3,FALSE)),1,0)</f>
        <v>0</v>
      </c>
      <c r="T50">
        <f>IF(AND(gamma!S9=1, VLOOKUP($A50,'40Trips'!$A$43:$I$46, 3,FALSE)=VLOOKUP(T$1,'40Trips'!$A$3:$I$42,3,FALSE)),1,0)</f>
        <v>0</v>
      </c>
      <c r="U50">
        <f>IF(AND(gamma!T9=1, VLOOKUP($A50,'40Trips'!$A$43:$I$46, 3,FALSE)=VLOOKUP(U$1,'40Trips'!$A$3:$I$42,3,FALSE)),1,0)</f>
        <v>0</v>
      </c>
      <c r="V50">
        <f>IF(AND(gamma!U9=1, VLOOKUP($A50,'40Trips'!$A$43:$I$46, 3,FALSE)=VLOOKUP(V$1,'40Trips'!$A$3:$I$42,3,FALSE)),1,0)</f>
        <v>0</v>
      </c>
      <c r="W50">
        <f>IF(AND(gamma!V9=1, VLOOKUP($A50,'40Trips'!$A$43:$I$46, 3,FALSE)=VLOOKUP(W$1,'40Trips'!$A$3:$I$42,3,FALSE)),1,0)</f>
        <v>0</v>
      </c>
      <c r="X50">
        <f>IF(AND(gamma!W9=1, VLOOKUP($A50,'40Trips'!$A$43:$I$46, 3,FALSE)=VLOOKUP(X$1,'40Trips'!$A$3:$I$42,3,FALSE)),1,0)</f>
        <v>0</v>
      </c>
      <c r="Y50">
        <f>IF(AND(gamma!X9=1, VLOOKUP($A50,'40Trips'!$A$43:$I$46, 3,FALSE)=VLOOKUP(Y$1,'40Trips'!$A$3:$I$42,3,FALSE)),1,0)</f>
        <v>0</v>
      </c>
      <c r="Z50">
        <f>IF(AND(gamma!Y9=1, VLOOKUP($A50,'40Trips'!$A$43:$I$46, 3,FALSE)=VLOOKUP(Z$1,'40Trips'!$A$3:$I$42,3,FALSE)),1,0)</f>
        <v>0</v>
      </c>
      <c r="AA50">
        <f>IF(AND(gamma!Z9=1, VLOOKUP($A50,'40Trips'!$A$43:$I$46, 3,FALSE)=VLOOKUP(AA$1,'40Trips'!$A$3:$I$42,3,FALSE)),1,0)</f>
        <v>0</v>
      </c>
      <c r="AB50">
        <f>IF(AND(gamma!AA9=1, VLOOKUP($A50,'40Trips'!$A$43:$I$46, 3,FALSE)=VLOOKUP(AB$1,'40Trips'!$A$3:$I$42,3,FALSE)),1,0)</f>
        <v>0</v>
      </c>
      <c r="AC50">
        <f>IF(AND(gamma!AB9=1, VLOOKUP($A50,'40Trips'!$A$43:$I$46, 3,FALSE)=VLOOKUP(AC$1,'40Trips'!$A$3:$I$42,3,FALSE)),1,0)</f>
        <v>0</v>
      </c>
      <c r="AD50">
        <f>IF(AND(gamma!AC9=1, VLOOKUP($A50,'40Trips'!$A$43:$I$46, 3,FALSE)=VLOOKUP(AD$1,'40Trips'!$A$3:$I$42,3,FALSE)),1,0)</f>
        <v>0</v>
      </c>
      <c r="AE50">
        <f>IF(AND(gamma!AD9=1, VLOOKUP($A50,'40Trips'!$A$43:$I$46, 3,FALSE)=VLOOKUP(AE$1,'40Trips'!$A$3:$I$42,3,FALSE)),1,0)</f>
        <v>0</v>
      </c>
      <c r="AF50">
        <f>IF(AND(gamma!AE9=1, VLOOKUP($A50,'40Trips'!$A$43:$I$46, 3,FALSE)=VLOOKUP(AF$1,'40Trips'!$A$3:$I$42,3,FALSE)),1,0)</f>
        <v>0</v>
      </c>
      <c r="AG50">
        <f>IF(AND(gamma!AF9=1, VLOOKUP($A50,'40Trips'!$A$43:$I$46, 3,FALSE)=VLOOKUP(AG$1,'40Trips'!$A$3:$I$42,3,FALSE)),1,0)</f>
        <v>0</v>
      </c>
      <c r="AH50">
        <f>IF(AND(gamma!AG9=1, VLOOKUP($A50,'40Trips'!$A$43:$I$46, 3,FALSE)=VLOOKUP(AH$1,'40Trips'!$A$3:$I$42,3,FALSE)),1,0)</f>
        <v>0</v>
      </c>
      <c r="AI50">
        <f>IF(AND(gamma!AH9=1, VLOOKUP($A50,'40Trips'!$A$43:$I$46, 3,FALSE)=VLOOKUP(AI$1,'40Trips'!$A$3:$I$42,3,FALSE)),1,0)</f>
        <v>0</v>
      </c>
      <c r="AJ50">
        <f>IF(AND(gamma!AI9=1, VLOOKUP($A50,'40Trips'!$A$43:$I$46, 3,FALSE)=VLOOKUP(AJ$1,'40Trips'!$A$3:$I$42,3,FALSE)),1,0)</f>
        <v>0</v>
      </c>
      <c r="AK50">
        <f>IF(AND(gamma!AJ9=1, VLOOKUP($A50,'40Trips'!$A$43:$I$46, 3,FALSE)=VLOOKUP(AK$1,'40Trips'!$A$3:$I$42,3,FALSE)),1,0)</f>
        <v>0</v>
      </c>
      <c r="AL50">
        <f>IF(AND(gamma!AK9=1, VLOOKUP($A50,'40Trips'!$A$43:$I$46, 3,FALSE)=VLOOKUP(AL$1,'40Trips'!$A$3:$I$42,3,FALSE)),1,0)</f>
        <v>0</v>
      </c>
      <c r="AM50">
        <f>IF(AND(gamma!AL9=1, VLOOKUP($A50,'40Trips'!$A$43:$I$46, 3,FALSE)=VLOOKUP(AM$1,'40Trips'!$A$3:$I$42,3,FALSE)),1,0)</f>
        <v>0</v>
      </c>
      <c r="AN50">
        <f>IF(AND(gamma!AM9=1, VLOOKUP($A50,'40Trips'!$A$43:$I$46, 3,FALSE)=VLOOKUP(AN$1,'40Trips'!$A$3:$I$42,3,FALSE)),1,0)</f>
        <v>0</v>
      </c>
      <c r="AO50">
        <f>IF(AND(gamma!AN9=1, VLOOKUP($A50,'40Trips'!$A$43:$I$46, 3,FALSE)=VLOOKUP(AO$1,'40Trips'!$A$3:$I$42,3,FALSE)),1,0)</f>
        <v>0</v>
      </c>
      <c r="AP50">
        <f>IF(AND(gamma!AO9=1, VLOOKUP($A50,'40Trips'!$A$43:$I$46, 3,FALSE)=VLOOKUP(AP$1,'40Trips'!$A$3:$I$42,3,FALSE)),1,0)</f>
        <v>0</v>
      </c>
      <c r="AQ50">
        <f>IF(AND(gamma!AP9=1, VLOOKUP($A50,'40Trips'!$A$43:$I$46, 3,FALSE)=VLOOKUP(AQ$1,'40Trips'!$A$3:$I$42,3,FALSE)),1,0)</f>
        <v>0</v>
      </c>
    </row>
    <row r="51" spans="1:43" x14ac:dyDescent="0.25">
      <c r="A51" t="s">
        <v>62</v>
      </c>
      <c r="B51" t="s">
        <v>22</v>
      </c>
      <c r="C51">
        <v>0</v>
      </c>
      <c r="D51">
        <f>IF(AND(gamma!C10=1, VLOOKUP($A51,'40Trips'!$A$43:$I$46, 3,FALSE)=VLOOKUP(D$1,'40Trips'!$A$3:$I$42,3,FALSE)),1,0)</f>
        <v>0</v>
      </c>
      <c r="E51">
        <f>IF(AND(gamma!D10=1, VLOOKUP($A51,'40Trips'!$A$43:$I$46, 3,FALSE)=VLOOKUP(E$1,'40Trips'!$A$3:$I$42,3,FALSE)),1,0)</f>
        <v>0</v>
      </c>
      <c r="F51">
        <f>IF(AND(gamma!E10=1, VLOOKUP($A51,'40Trips'!$A$43:$I$46, 3,FALSE)=VLOOKUP(F$1,'40Trips'!$A$3:$I$42,3,FALSE)),1,0)</f>
        <v>0</v>
      </c>
      <c r="G51">
        <f>IF(AND(gamma!F10=1, VLOOKUP($A51,'40Trips'!$A$43:$I$46, 3,FALSE)=VLOOKUP(G$1,'40Trips'!$A$3:$I$42,3,FALSE)),1,0)</f>
        <v>0</v>
      </c>
      <c r="H51">
        <f>IF(AND(gamma!G10=1, VLOOKUP($A51,'40Trips'!$A$43:$I$46, 3,FALSE)=VLOOKUP(H$1,'40Trips'!$A$3:$I$42,3,FALSE)),1,0)</f>
        <v>0</v>
      </c>
      <c r="I51">
        <f>IF(AND(gamma!H10=1, VLOOKUP($A51,'40Trips'!$A$43:$I$46, 3,FALSE)=VLOOKUP(I$1,'40Trips'!$A$3:$I$42,3,FALSE)),1,0)</f>
        <v>0</v>
      </c>
      <c r="J51">
        <f>IF(AND(gamma!I10=1, VLOOKUP($A51,'40Trips'!$A$43:$I$46, 3,FALSE)=VLOOKUP(J$1,'40Trips'!$A$3:$I$42,3,FALSE)),1,0)</f>
        <v>0</v>
      </c>
      <c r="K51">
        <f>IF(AND(gamma!J10=1, VLOOKUP($A51,'40Trips'!$A$43:$I$46, 3,FALSE)=VLOOKUP(K$1,'40Trips'!$A$3:$I$42,3,FALSE)),1,0)</f>
        <v>0</v>
      </c>
      <c r="L51">
        <f>IF(AND(gamma!K10=1, VLOOKUP($A51,'40Trips'!$A$43:$I$46, 3,FALSE)=VLOOKUP(L$1,'40Trips'!$A$3:$I$42,3,FALSE)),1,0)</f>
        <v>0</v>
      </c>
      <c r="M51">
        <f>IF(AND(gamma!L10=1, VLOOKUP($A51,'40Trips'!$A$43:$I$46, 3,FALSE)=VLOOKUP(M$1,'40Trips'!$A$3:$I$42,3,FALSE)),1,0)</f>
        <v>0</v>
      </c>
      <c r="N51">
        <f>IF(AND(gamma!M10=1, VLOOKUP($A51,'40Trips'!$A$43:$I$46, 3,FALSE)=VLOOKUP(N$1,'40Trips'!$A$3:$I$42,3,FALSE)),1,0)</f>
        <v>0</v>
      </c>
      <c r="O51">
        <f>IF(AND(gamma!N10=1, VLOOKUP($A51,'40Trips'!$A$43:$I$46, 3,FALSE)=VLOOKUP(O$1,'40Trips'!$A$3:$I$42,3,FALSE)),1,0)</f>
        <v>0</v>
      </c>
      <c r="P51">
        <f>IF(AND(gamma!O10=1, VLOOKUP($A51,'40Trips'!$A$43:$I$46, 3,FALSE)=VLOOKUP(P$1,'40Trips'!$A$3:$I$42,3,FALSE)),1,0)</f>
        <v>0</v>
      </c>
      <c r="Q51">
        <f>IF(AND(gamma!P10=1, VLOOKUP($A51,'40Trips'!$A$43:$I$46, 3,FALSE)=VLOOKUP(Q$1,'40Trips'!$A$3:$I$42,3,FALSE)),1,0)</f>
        <v>0</v>
      </c>
      <c r="R51">
        <f>IF(AND(gamma!Q10=1, VLOOKUP($A51,'40Trips'!$A$43:$I$46, 3,FALSE)=VLOOKUP(R$1,'40Trips'!$A$3:$I$42,3,FALSE)),1,0)</f>
        <v>0</v>
      </c>
      <c r="S51">
        <f>IF(AND(gamma!R10=1, VLOOKUP($A51,'40Trips'!$A$43:$I$46, 3,FALSE)=VLOOKUP(S$1,'40Trips'!$A$3:$I$42,3,FALSE)),1,0)</f>
        <v>0</v>
      </c>
      <c r="T51">
        <f>IF(AND(gamma!S10=1, VLOOKUP($A51,'40Trips'!$A$43:$I$46, 3,FALSE)=VLOOKUP(T$1,'40Trips'!$A$3:$I$42,3,FALSE)),1,0)</f>
        <v>0</v>
      </c>
      <c r="U51">
        <f>IF(AND(gamma!T10=1, VLOOKUP($A51,'40Trips'!$A$43:$I$46, 3,FALSE)=VLOOKUP(U$1,'40Trips'!$A$3:$I$42,3,FALSE)),1,0)</f>
        <v>0</v>
      </c>
      <c r="V51">
        <f>IF(AND(gamma!U10=1, VLOOKUP($A51,'40Trips'!$A$43:$I$46, 3,FALSE)=VLOOKUP(V$1,'40Trips'!$A$3:$I$42,3,FALSE)),1,0)</f>
        <v>0</v>
      </c>
      <c r="W51">
        <f>IF(AND(gamma!V10=1, VLOOKUP($A51,'40Trips'!$A$43:$I$46, 3,FALSE)=VLOOKUP(W$1,'40Trips'!$A$3:$I$42,3,FALSE)),1,0)</f>
        <v>0</v>
      </c>
      <c r="X51">
        <f>IF(AND(gamma!W10=1, VLOOKUP($A51,'40Trips'!$A$43:$I$46, 3,FALSE)=VLOOKUP(X$1,'40Trips'!$A$3:$I$42,3,FALSE)),1,0)</f>
        <v>0</v>
      </c>
      <c r="Y51">
        <f>IF(AND(gamma!X10=1, VLOOKUP($A51,'40Trips'!$A$43:$I$46, 3,FALSE)=VLOOKUP(Y$1,'40Trips'!$A$3:$I$42,3,FALSE)),1,0)</f>
        <v>0</v>
      </c>
      <c r="Z51">
        <f>IF(AND(gamma!Y10=1, VLOOKUP($A51,'40Trips'!$A$43:$I$46, 3,FALSE)=VLOOKUP(Z$1,'40Trips'!$A$3:$I$42,3,FALSE)),1,0)</f>
        <v>0</v>
      </c>
      <c r="AA51">
        <f>IF(AND(gamma!Z10=1, VLOOKUP($A51,'40Trips'!$A$43:$I$46, 3,FALSE)=VLOOKUP(AA$1,'40Trips'!$A$3:$I$42,3,FALSE)),1,0)</f>
        <v>0</v>
      </c>
      <c r="AB51">
        <f>IF(AND(gamma!AA10=1, VLOOKUP($A51,'40Trips'!$A$43:$I$46, 3,FALSE)=VLOOKUP(AB$1,'40Trips'!$A$3:$I$42,3,FALSE)),1,0)</f>
        <v>0</v>
      </c>
      <c r="AC51">
        <f>IF(AND(gamma!AB10=1, VLOOKUP($A51,'40Trips'!$A$43:$I$46, 3,FALSE)=VLOOKUP(AC$1,'40Trips'!$A$3:$I$42,3,FALSE)),1,0)</f>
        <v>0</v>
      </c>
      <c r="AD51">
        <f>IF(AND(gamma!AC10=1, VLOOKUP($A51,'40Trips'!$A$43:$I$46, 3,FALSE)=VLOOKUP(AD$1,'40Trips'!$A$3:$I$42,3,FALSE)),1,0)</f>
        <v>0</v>
      </c>
      <c r="AE51">
        <f>IF(AND(gamma!AD10=1, VLOOKUP($A51,'40Trips'!$A$43:$I$46, 3,FALSE)=VLOOKUP(AE$1,'40Trips'!$A$3:$I$42,3,FALSE)),1,0)</f>
        <v>0</v>
      </c>
      <c r="AF51">
        <f>IF(AND(gamma!AE10=1, VLOOKUP($A51,'40Trips'!$A$43:$I$46, 3,FALSE)=VLOOKUP(AF$1,'40Trips'!$A$3:$I$42,3,FALSE)),1,0)</f>
        <v>0</v>
      </c>
      <c r="AG51">
        <f>IF(AND(gamma!AF10=1, VLOOKUP($A51,'40Trips'!$A$43:$I$46, 3,FALSE)=VLOOKUP(AG$1,'40Trips'!$A$3:$I$42,3,FALSE)),1,0)</f>
        <v>0</v>
      </c>
      <c r="AH51">
        <f>IF(AND(gamma!AG10=1, VLOOKUP($A51,'40Trips'!$A$43:$I$46, 3,FALSE)=VLOOKUP(AH$1,'40Trips'!$A$3:$I$42,3,FALSE)),1,0)</f>
        <v>0</v>
      </c>
      <c r="AI51">
        <f>IF(AND(gamma!AH10=1, VLOOKUP($A51,'40Trips'!$A$43:$I$46, 3,FALSE)=VLOOKUP(AI$1,'40Trips'!$A$3:$I$42,3,FALSE)),1,0)</f>
        <v>0</v>
      </c>
      <c r="AJ51">
        <f>IF(AND(gamma!AI10=1, VLOOKUP($A51,'40Trips'!$A$43:$I$46, 3,FALSE)=VLOOKUP(AJ$1,'40Trips'!$A$3:$I$42,3,FALSE)),1,0)</f>
        <v>0</v>
      </c>
      <c r="AK51">
        <f>IF(AND(gamma!AJ10=1, VLOOKUP($A51,'40Trips'!$A$43:$I$46, 3,FALSE)=VLOOKUP(AK$1,'40Trips'!$A$3:$I$42,3,FALSE)),1,0)</f>
        <v>0</v>
      </c>
      <c r="AL51">
        <f>IF(AND(gamma!AK10=1, VLOOKUP($A51,'40Trips'!$A$43:$I$46, 3,FALSE)=VLOOKUP(AL$1,'40Trips'!$A$3:$I$42,3,FALSE)),1,0)</f>
        <v>0</v>
      </c>
      <c r="AM51">
        <f>IF(AND(gamma!AL10=1, VLOOKUP($A51,'40Trips'!$A$43:$I$46, 3,FALSE)=VLOOKUP(AM$1,'40Trips'!$A$3:$I$42,3,FALSE)),1,0)</f>
        <v>0</v>
      </c>
      <c r="AN51">
        <f>IF(AND(gamma!AM10=1, VLOOKUP($A51,'40Trips'!$A$43:$I$46, 3,FALSE)=VLOOKUP(AN$1,'40Trips'!$A$3:$I$42,3,FALSE)),1,0)</f>
        <v>0</v>
      </c>
      <c r="AO51">
        <f>IF(AND(gamma!AN10=1, VLOOKUP($A51,'40Trips'!$A$43:$I$46, 3,FALSE)=VLOOKUP(AO$1,'40Trips'!$A$3:$I$42,3,FALSE)),1,0)</f>
        <v>0</v>
      </c>
      <c r="AP51">
        <f>IF(AND(gamma!AO10=1, VLOOKUP($A51,'40Trips'!$A$43:$I$46, 3,FALSE)=VLOOKUP(AP$1,'40Trips'!$A$3:$I$42,3,FALSE)),1,0)</f>
        <v>0</v>
      </c>
      <c r="AQ51">
        <f>IF(AND(gamma!AP10=1, VLOOKUP($A51,'40Trips'!$A$43:$I$46, 3,FALSE)=VLOOKUP(AQ$1,'40Trips'!$A$3:$I$42,3,FALSE)),1,0)</f>
        <v>0</v>
      </c>
    </row>
    <row r="52" spans="1:43" x14ac:dyDescent="0.25">
      <c r="A52" t="s">
        <v>62</v>
      </c>
      <c r="B52" t="s">
        <v>24</v>
      </c>
      <c r="C52">
        <v>0</v>
      </c>
      <c r="D52">
        <f>IF(AND(gamma!C11=1, VLOOKUP($A52,'40Trips'!$A$43:$I$46, 3,FALSE)=VLOOKUP(D$1,'40Trips'!$A$3:$I$42,3,FALSE)),1,0)</f>
        <v>0</v>
      </c>
      <c r="E52">
        <f>IF(AND(gamma!D11=1, VLOOKUP($A52,'40Trips'!$A$43:$I$46, 3,FALSE)=VLOOKUP(E$1,'40Trips'!$A$3:$I$42,3,FALSE)),1,0)</f>
        <v>1</v>
      </c>
      <c r="F52">
        <f>IF(AND(gamma!E11=1, VLOOKUP($A52,'40Trips'!$A$43:$I$46, 3,FALSE)=VLOOKUP(F$1,'40Trips'!$A$3:$I$42,3,FALSE)),1,0)</f>
        <v>1</v>
      </c>
      <c r="G52">
        <f>IF(AND(gamma!F11=1, VLOOKUP($A52,'40Trips'!$A$43:$I$46, 3,FALSE)=VLOOKUP(G$1,'40Trips'!$A$3:$I$42,3,FALSE)),1,0)</f>
        <v>1</v>
      </c>
      <c r="H52">
        <f>IF(AND(gamma!G11=1, VLOOKUP($A52,'40Trips'!$A$43:$I$46, 3,FALSE)=VLOOKUP(H$1,'40Trips'!$A$3:$I$42,3,FALSE)),1,0)</f>
        <v>0</v>
      </c>
      <c r="I52">
        <f>IF(AND(gamma!H11=1, VLOOKUP($A52,'40Trips'!$A$43:$I$46, 3,FALSE)=VLOOKUP(I$1,'40Trips'!$A$3:$I$42,3,FALSE)),1,0)</f>
        <v>0</v>
      </c>
      <c r="J52">
        <f>IF(AND(gamma!I11=1, VLOOKUP($A52,'40Trips'!$A$43:$I$46, 3,FALSE)=VLOOKUP(J$1,'40Trips'!$A$3:$I$42,3,FALSE)),1,0)</f>
        <v>1</v>
      </c>
      <c r="K52">
        <f>IF(AND(gamma!J11=1, VLOOKUP($A52,'40Trips'!$A$43:$I$46, 3,FALSE)=VLOOKUP(K$1,'40Trips'!$A$3:$I$42,3,FALSE)),1,0)</f>
        <v>1</v>
      </c>
      <c r="L52">
        <f>IF(AND(gamma!K11=1, VLOOKUP($A52,'40Trips'!$A$43:$I$46, 3,FALSE)=VLOOKUP(L$1,'40Trips'!$A$3:$I$42,3,FALSE)),1,0)</f>
        <v>0</v>
      </c>
      <c r="M52">
        <f>IF(AND(gamma!L11=1, VLOOKUP($A52,'40Trips'!$A$43:$I$46, 3,FALSE)=VLOOKUP(M$1,'40Trips'!$A$3:$I$42,3,FALSE)),1,0)</f>
        <v>0</v>
      </c>
      <c r="N52">
        <f>IF(AND(gamma!M11=1, VLOOKUP($A52,'40Trips'!$A$43:$I$46, 3,FALSE)=VLOOKUP(N$1,'40Trips'!$A$3:$I$42,3,FALSE)),1,0)</f>
        <v>1</v>
      </c>
      <c r="O52">
        <f>IF(AND(gamma!N11=1, VLOOKUP($A52,'40Trips'!$A$43:$I$46, 3,FALSE)=VLOOKUP(O$1,'40Trips'!$A$3:$I$42,3,FALSE)),1,0)</f>
        <v>0</v>
      </c>
      <c r="P52">
        <f>IF(AND(gamma!O11=1, VLOOKUP($A52,'40Trips'!$A$43:$I$46, 3,FALSE)=VLOOKUP(P$1,'40Trips'!$A$3:$I$42,3,FALSE)),1,0)</f>
        <v>0</v>
      </c>
      <c r="Q52">
        <f>IF(AND(gamma!P11=1, VLOOKUP($A52,'40Trips'!$A$43:$I$46, 3,FALSE)=VLOOKUP(Q$1,'40Trips'!$A$3:$I$42,3,FALSE)),1,0)</f>
        <v>0</v>
      </c>
      <c r="R52">
        <f>IF(AND(gamma!Q11=1, VLOOKUP($A52,'40Trips'!$A$43:$I$46, 3,FALSE)=VLOOKUP(R$1,'40Trips'!$A$3:$I$42,3,FALSE)),1,0)</f>
        <v>0</v>
      </c>
      <c r="S52">
        <f>IF(AND(gamma!R11=1, VLOOKUP($A52,'40Trips'!$A$43:$I$46, 3,FALSE)=VLOOKUP(S$1,'40Trips'!$A$3:$I$42,3,FALSE)),1,0)</f>
        <v>0</v>
      </c>
      <c r="T52">
        <f>IF(AND(gamma!S11=1, VLOOKUP($A52,'40Trips'!$A$43:$I$46, 3,FALSE)=VLOOKUP(T$1,'40Trips'!$A$3:$I$42,3,FALSE)),1,0)</f>
        <v>0</v>
      </c>
      <c r="U52">
        <f>IF(AND(gamma!T11=1, VLOOKUP($A52,'40Trips'!$A$43:$I$46, 3,FALSE)=VLOOKUP(U$1,'40Trips'!$A$3:$I$42,3,FALSE)),1,0)</f>
        <v>0</v>
      </c>
      <c r="V52">
        <f>IF(AND(gamma!U11=1, VLOOKUP($A52,'40Trips'!$A$43:$I$46, 3,FALSE)=VLOOKUP(V$1,'40Trips'!$A$3:$I$42,3,FALSE)),1,0)</f>
        <v>0</v>
      </c>
      <c r="W52">
        <f>IF(AND(gamma!V11=1, VLOOKUP($A52,'40Trips'!$A$43:$I$46, 3,FALSE)=VLOOKUP(W$1,'40Trips'!$A$3:$I$42,3,FALSE)),1,0)</f>
        <v>0</v>
      </c>
      <c r="X52">
        <f>IF(AND(gamma!W11=1, VLOOKUP($A52,'40Trips'!$A$43:$I$46, 3,FALSE)=VLOOKUP(X$1,'40Trips'!$A$3:$I$42,3,FALSE)),1,0)</f>
        <v>0</v>
      </c>
      <c r="Y52">
        <f>IF(AND(gamma!X11=1, VLOOKUP($A52,'40Trips'!$A$43:$I$46, 3,FALSE)=VLOOKUP(Y$1,'40Trips'!$A$3:$I$42,3,FALSE)),1,0)</f>
        <v>0</v>
      </c>
      <c r="Z52">
        <f>IF(AND(gamma!Y11=1, VLOOKUP($A52,'40Trips'!$A$43:$I$46, 3,FALSE)=VLOOKUP(Z$1,'40Trips'!$A$3:$I$42,3,FALSE)),1,0)</f>
        <v>0</v>
      </c>
      <c r="AA52">
        <f>IF(AND(gamma!Z11=1, VLOOKUP($A52,'40Trips'!$A$43:$I$46, 3,FALSE)=VLOOKUP(AA$1,'40Trips'!$A$3:$I$42,3,FALSE)),1,0)</f>
        <v>0</v>
      </c>
      <c r="AB52">
        <f>IF(AND(gamma!AA11=1, VLOOKUP($A52,'40Trips'!$A$43:$I$46, 3,FALSE)=VLOOKUP(AB$1,'40Trips'!$A$3:$I$42,3,FALSE)),1,0)</f>
        <v>0</v>
      </c>
      <c r="AC52">
        <f>IF(AND(gamma!AB11=1, VLOOKUP($A52,'40Trips'!$A$43:$I$46, 3,FALSE)=VLOOKUP(AC$1,'40Trips'!$A$3:$I$42,3,FALSE)),1,0)</f>
        <v>0</v>
      </c>
      <c r="AD52">
        <f>IF(AND(gamma!AC11=1, VLOOKUP($A52,'40Trips'!$A$43:$I$46, 3,FALSE)=VLOOKUP(AD$1,'40Trips'!$A$3:$I$42,3,FALSE)),1,0)</f>
        <v>0</v>
      </c>
      <c r="AE52">
        <f>IF(AND(gamma!AD11=1, VLOOKUP($A52,'40Trips'!$A$43:$I$46, 3,FALSE)=VLOOKUP(AE$1,'40Trips'!$A$3:$I$42,3,FALSE)),1,0)</f>
        <v>0</v>
      </c>
      <c r="AF52">
        <f>IF(AND(gamma!AE11=1, VLOOKUP($A52,'40Trips'!$A$43:$I$46, 3,FALSE)=VLOOKUP(AF$1,'40Trips'!$A$3:$I$42,3,FALSE)),1,0)</f>
        <v>0</v>
      </c>
      <c r="AG52">
        <f>IF(AND(gamma!AF11=1, VLOOKUP($A52,'40Trips'!$A$43:$I$46, 3,FALSE)=VLOOKUP(AG$1,'40Trips'!$A$3:$I$42,3,FALSE)),1,0)</f>
        <v>0</v>
      </c>
      <c r="AH52">
        <f>IF(AND(gamma!AG11=1, VLOOKUP($A52,'40Trips'!$A$43:$I$46, 3,FALSE)=VLOOKUP(AH$1,'40Trips'!$A$3:$I$42,3,FALSE)),1,0)</f>
        <v>0</v>
      </c>
      <c r="AI52">
        <f>IF(AND(gamma!AH11=1, VLOOKUP($A52,'40Trips'!$A$43:$I$46, 3,FALSE)=VLOOKUP(AI$1,'40Trips'!$A$3:$I$42,3,FALSE)),1,0)</f>
        <v>0</v>
      </c>
      <c r="AJ52">
        <f>IF(AND(gamma!AI11=1, VLOOKUP($A52,'40Trips'!$A$43:$I$46, 3,FALSE)=VLOOKUP(AJ$1,'40Trips'!$A$3:$I$42,3,FALSE)),1,0)</f>
        <v>0</v>
      </c>
      <c r="AK52">
        <f>IF(AND(gamma!AJ11=1, VLOOKUP($A52,'40Trips'!$A$43:$I$46, 3,FALSE)=VLOOKUP(AK$1,'40Trips'!$A$3:$I$42,3,FALSE)),1,0)</f>
        <v>0</v>
      </c>
      <c r="AL52">
        <f>IF(AND(gamma!AK11=1, VLOOKUP($A52,'40Trips'!$A$43:$I$46, 3,FALSE)=VLOOKUP(AL$1,'40Trips'!$A$3:$I$42,3,FALSE)),1,0)</f>
        <v>0</v>
      </c>
      <c r="AM52">
        <f>IF(AND(gamma!AL11=1, VLOOKUP($A52,'40Trips'!$A$43:$I$46, 3,FALSE)=VLOOKUP(AM$1,'40Trips'!$A$3:$I$42,3,FALSE)),1,0)</f>
        <v>0</v>
      </c>
      <c r="AN52">
        <f>IF(AND(gamma!AM11=1, VLOOKUP($A52,'40Trips'!$A$43:$I$46, 3,FALSE)=VLOOKUP(AN$1,'40Trips'!$A$3:$I$42,3,FALSE)),1,0)</f>
        <v>0</v>
      </c>
      <c r="AO52">
        <f>IF(AND(gamma!AN11=1, VLOOKUP($A52,'40Trips'!$A$43:$I$46, 3,FALSE)=VLOOKUP(AO$1,'40Trips'!$A$3:$I$42,3,FALSE)),1,0)</f>
        <v>0</v>
      </c>
      <c r="AP52">
        <f>IF(AND(gamma!AO11=1, VLOOKUP($A52,'40Trips'!$A$43:$I$46, 3,FALSE)=VLOOKUP(AP$1,'40Trips'!$A$3:$I$42,3,FALSE)),1,0)</f>
        <v>0</v>
      </c>
      <c r="AQ52">
        <f>IF(AND(gamma!AP11=1, VLOOKUP($A52,'40Trips'!$A$43:$I$46, 3,FALSE)=VLOOKUP(AQ$1,'40Trips'!$A$3:$I$42,3,FALSE)),1,0)</f>
        <v>0</v>
      </c>
    </row>
    <row r="53" spans="1:43" x14ac:dyDescent="0.25">
      <c r="A53" t="s">
        <v>62</v>
      </c>
      <c r="B53" t="s">
        <v>73</v>
      </c>
      <c r="C53">
        <v>0</v>
      </c>
      <c r="D53">
        <f>IF(AND(gamma!C12=1, VLOOKUP($A53,'40Trips'!$A$43:$I$46, 3,FALSE)=VLOOKUP(D$1,'40Trips'!$A$3:$I$42,3,FALSE)),1,0)</f>
        <v>0</v>
      </c>
      <c r="E53">
        <f>IF(AND(gamma!D12=1, VLOOKUP($A53,'40Trips'!$A$43:$I$46, 3,FALSE)=VLOOKUP(E$1,'40Trips'!$A$3:$I$42,3,FALSE)),1,0)</f>
        <v>0</v>
      </c>
      <c r="F53">
        <f>IF(AND(gamma!E12=1, VLOOKUP($A53,'40Trips'!$A$43:$I$46, 3,FALSE)=VLOOKUP(F$1,'40Trips'!$A$3:$I$42,3,FALSE)),1,0)</f>
        <v>1</v>
      </c>
      <c r="G53">
        <f>IF(AND(gamma!F12=1, VLOOKUP($A53,'40Trips'!$A$43:$I$46, 3,FALSE)=VLOOKUP(G$1,'40Trips'!$A$3:$I$42,3,FALSE)),1,0)</f>
        <v>1</v>
      </c>
      <c r="H53">
        <f>IF(AND(gamma!G12=1, VLOOKUP($A53,'40Trips'!$A$43:$I$46, 3,FALSE)=VLOOKUP(H$1,'40Trips'!$A$3:$I$42,3,FALSE)),1,0)</f>
        <v>0</v>
      </c>
      <c r="I53">
        <f>IF(AND(gamma!H12=1, VLOOKUP($A53,'40Trips'!$A$43:$I$46, 3,FALSE)=VLOOKUP(I$1,'40Trips'!$A$3:$I$42,3,FALSE)),1,0)</f>
        <v>0</v>
      </c>
      <c r="J53">
        <f>IF(AND(gamma!I12=1, VLOOKUP($A53,'40Trips'!$A$43:$I$46, 3,FALSE)=VLOOKUP(J$1,'40Trips'!$A$3:$I$42,3,FALSE)),1,0)</f>
        <v>1</v>
      </c>
      <c r="K53">
        <f>IF(AND(gamma!J12=1, VLOOKUP($A53,'40Trips'!$A$43:$I$46, 3,FALSE)=VLOOKUP(K$1,'40Trips'!$A$3:$I$42,3,FALSE)),1,0)</f>
        <v>1</v>
      </c>
      <c r="L53">
        <f>IF(AND(gamma!K12=1, VLOOKUP($A53,'40Trips'!$A$43:$I$46, 3,FALSE)=VLOOKUP(L$1,'40Trips'!$A$3:$I$42,3,FALSE)),1,0)</f>
        <v>0</v>
      </c>
      <c r="M53">
        <f>IF(AND(gamma!L12=1, VLOOKUP($A53,'40Trips'!$A$43:$I$46, 3,FALSE)=VLOOKUP(M$1,'40Trips'!$A$3:$I$42,3,FALSE)),1,0)</f>
        <v>0</v>
      </c>
      <c r="N53">
        <f>IF(AND(gamma!M12=1, VLOOKUP($A53,'40Trips'!$A$43:$I$46, 3,FALSE)=VLOOKUP(N$1,'40Trips'!$A$3:$I$42,3,FALSE)),1,0)</f>
        <v>1</v>
      </c>
      <c r="O53">
        <f>IF(AND(gamma!N12=1, VLOOKUP($A53,'40Trips'!$A$43:$I$46, 3,FALSE)=VLOOKUP(O$1,'40Trips'!$A$3:$I$42,3,FALSE)),1,0)</f>
        <v>0</v>
      </c>
      <c r="P53">
        <f>IF(AND(gamma!O12=1, VLOOKUP($A53,'40Trips'!$A$43:$I$46, 3,FALSE)=VLOOKUP(P$1,'40Trips'!$A$3:$I$42,3,FALSE)),1,0)</f>
        <v>0</v>
      </c>
      <c r="Q53">
        <f>IF(AND(gamma!P12=1, VLOOKUP($A53,'40Trips'!$A$43:$I$46, 3,FALSE)=VLOOKUP(Q$1,'40Trips'!$A$3:$I$42,3,FALSE)),1,0)</f>
        <v>0</v>
      </c>
      <c r="R53">
        <f>IF(AND(gamma!Q12=1, VLOOKUP($A53,'40Trips'!$A$43:$I$46, 3,FALSE)=VLOOKUP(R$1,'40Trips'!$A$3:$I$42,3,FALSE)),1,0)</f>
        <v>0</v>
      </c>
      <c r="S53">
        <f>IF(AND(gamma!R12=1, VLOOKUP($A53,'40Trips'!$A$43:$I$46, 3,FALSE)=VLOOKUP(S$1,'40Trips'!$A$3:$I$42,3,FALSE)),1,0)</f>
        <v>0</v>
      </c>
      <c r="T53">
        <f>IF(AND(gamma!S12=1, VLOOKUP($A53,'40Trips'!$A$43:$I$46, 3,FALSE)=VLOOKUP(T$1,'40Trips'!$A$3:$I$42,3,FALSE)),1,0)</f>
        <v>0</v>
      </c>
      <c r="U53">
        <f>IF(AND(gamma!T12=1, VLOOKUP($A53,'40Trips'!$A$43:$I$46, 3,FALSE)=VLOOKUP(U$1,'40Trips'!$A$3:$I$42,3,FALSE)),1,0)</f>
        <v>0</v>
      </c>
      <c r="V53">
        <f>IF(AND(gamma!U12=1, VLOOKUP($A53,'40Trips'!$A$43:$I$46, 3,FALSE)=VLOOKUP(V$1,'40Trips'!$A$3:$I$42,3,FALSE)),1,0)</f>
        <v>0</v>
      </c>
      <c r="W53">
        <f>IF(AND(gamma!V12=1, VLOOKUP($A53,'40Trips'!$A$43:$I$46, 3,FALSE)=VLOOKUP(W$1,'40Trips'!$A$3:$I$42,3,FALSE)),1,0)</f>
        <v>0</v>
      </c>
      <c r="X53">
        <f>IF(AND(gamma!W12=1, VLOOKUP($A53,'40Trips'!$A$43:$I$46, 3,FALSE)=VLOOKUP(X$1,'40Trips'!$A$3:$I$42,3,FALSE)),1,0)</f>
        <v>0</v>
      </c>
      <c r="Y53">
        <f>IF(AND(gamma!X12=1, VLOOKUP($A53,'40Trips'!$A$43:$I$46, 3,FALSE)=VLOOKUP(Y$1,'40Trips'!$A$3:$I$42,3,FALSE)),1,0)</f>
        <v>0</v>
      </c>
      <c r="Z53">
        <f>IF(AND(gamma!Y12=1, VLOOKUP($A53,'40Trips'!$A$43:$I$46, 3,FALSE)=VLOOKUP(Z$1,'40Trips'!$A$3:$I$42,3,FALSE)),1,0)</f>
        <v>0</v>
      </c>
      <c r="AA53">
        <f>IF(AND(gamma!Z12=1, VLOOKUP($A53,'40Trips'!$A$43:$I$46, 3,FALSE)=VLOOKUP(AA$1,'40Trips'!$A$3:$I$42,3,FALSE)),1,0)</f>
        <v>0</v>
      </c>
      <c r="AB53">
        <f>IF(AND(gamma!AA12=1, VLOOKUP($A53,'40Trips'!$A$43:$I$46, 3,FALSE)=VLOOKUP(AB$1,'40Trips'!$A$3:$I$42,3,FALSE)),1,0)</f>
        <v>0</v>
      </c>
      <c r="AC53">
        <f>IF(AND(gamma!AB12=1, VLOOKUP($A53,'40Trips'!$A$43:$I$46, 3,FALSE)=VLOOKUP(AC$1,'40Trips'!$A$3:$I$42,3,FALSE)),1,0)</f>
        <v>0</v>
      </c>
      <c r="AD53">
        <f>IF(AND(gamma!AC12=1, VLOOKUP($A53,'40Trips'!$A$43:$I$46, 3,FALSE)=VLOOKUP(AD$1,'40Trips'!$A$3:$I$42,3,FALSE)),1,0)</f>
        <v>0</v>
      </c>
      <c r="AE53">
        <f>IF(AND(gamma!AD12=1, VLOOKUP($A53,'40Trips'!$A$43:$I$46, 3,FALSE)=VLOOKUP(AE$1,'40Trips'!$A$3:$I$42,3,FALSE)),1,0)</f>
        <v>0</v>
      </c>
      <c r="AF53">
        <f>IF(AND(gamma!AE12=1, VLOOKUP($A53,'40Trips'!$A$43:$I$46, 3,FALSE)=VLOOKUP(AF$1,'40Trips'!$A$3:$I$42,3,FALSE)),1,0)</f>
        <v>0</v>
      </c>
      <c r="AG53">
        <f>IF(AND(gamma!AF12=1, VLOOKUP($A53,'40Trips'!$A$43:$I$46, 3,FALSE)=VLOOKUP(AG$1,'40Trips'!$A$3:$I$42,3,FALSE)),1,0)</f>
        <v>0</v>
      </c>
      <c r="AH53">
        <f>IF(AND(gamma!AG12=1, VLOOKUP($A53,'40Trips'!$A$43:$I$46, 3,FALSE)=VLOOKUP(AH$1,'40Trips'!$A$3:$I$42,3,FALSE)),1,0)</f>
        <v>0</v>
      </c>
      <c r="AI53">
        <f>IF(AND(gamma!AH12=1, VLOOKUP($A53,'40Trips'!$A$43:$I$46, 3,FALSE)=VLOOKUP(AI$1,'40Trips'!$A$3:$I$42,3,FALSE)),1,0)</f>
        <v>0</v>
      </c>
      <c r="AJ53">
        <f>IF(AND(gamma!AI12=1, VLOOKUP($A53,'40Trips'!$A$43:$I$46, 3,FALSE)=VLOOKUP(AJ$1,'40Trips'!$A$3:$I$42,3,FALSE)),1,0)</f>
        <v>0</v>
      </c>
      <c r="AK53">
        <f>IF(AND(gamma!AJ12=1, VLOOKUP($A53,'40Trips'!$A$43:$I$46, 3,FALSE)=VLOOKUP(AK$1,'40Trips'!$A$3:$I$42,3,FALSE)),1,0)</f>
        <v>0</v>
      </c>
      <c r="AL53">
        <f>IF(AND(gamma!AK12=1, VLOOKUP($A53,'40Trips'!$A$43:$I$46, 3,FALSE)=VLOOKUP(AL$1,'40Trips'!$A$3:$I$42,3,FALSE)),1,0)</f>
        <v>0</v>
      </c>
      <c r="AM53">
        <f>IF(AND(gamma!AL12=1, VLOOKUP($A53,'40Trips'!$A$43:$I$46, 3,FALSE)=VLOOKUP(AM$1,'40Trips'!$A$3:$I$42,3,FALSE)),1,0)</f>
        <v>0</v>
      </c>
      <c r="AN53">
        <f>IF(AND(gamma!AM12=1, VLOOKUP($A53,'40Trips'!$A$43:$I$46, 3,FALSE)=VLOOKUP(AN$1,'40Trips'!$A$3:$I$42,3,FALSE)),1,0)</f>
        <v>0</v>
      </c>
      <c r="AO53">
        <f>IF(AND(gamma!AN12=1, VLOOKUP($A53,'40Trips'!$A$43:$I$46, 3,FALSE)=VLOOKUP(AO$1,'40Trips'!$A$3:$I$42,3,FALSE)),1,0)</f>
        <v>0</v>
      </c>
      <c r="AP53">
        <f>IF(AND(gamma!AO12=1, VLOOKUP($A53,'40Trips'!$A$43:$I$46, 3,FALSE)=VLOOKUP(AP$1,'40Trips'!$A$3:$I$42,3,FALSE)),1,0)</f>
        <v>0</v>
      </c>
      <c r="AQ53">
        <f>IF(AND(gamma!AP12=1, VLOOKUP($A53,'40Trips'!$A$43:$I$46, 3,FALSE)=VLOOKUP(AQ$1,'40Trips'!$A$3:$I$42,3,FALSE)),1,0)</f>
        <v>0</v>
      </c>
    </row>
    <row r="54" spans="1:43" x14ac:dyDescent="0.25">
      <c r="A54" t="s">
        <v>62</v>
      </c>
      <c r="B54" t="s">
        <v>74</v>
      </c>
      <c r="C54">
        <v>0</v>
      </c>
      <c r="D54">
        <f>IF(AND(gamma!C13=1, VLOOKUP($A54,'40Trips'!$A$43:$I$46, 3,FALSE)=VLOOKUP(D$1,'40Trips'!$A$3:$I$42,3,FALSE)),1,0)</f>
        <v>0</v>
      </c>
      <c r="E54">
        <f>IF(AND(gamma!D13=1, VLOOKUP($A54,'40Trips'!$A$43:$I$46, 3,FALSE)=VLOOKUP(E$1,'40Trips'!$A$3:$I$42,3,FALSE)),1,0)</f>
        <v>0</v>
      </c>
      <c r="F54">
        <f>IF(AND(gamma!E13=1, VLOOKUP($A54,'40Trips'!$A$43:$I$46, 3,FALSE)=VLOOKUP(F$1,'40Trips'!$A$3:$I$42,3,FALSE)),1,0)</f>
        <v>0</v>
      </c>
      <c r="G54">
        <f>IF(AND(gamma!F13=1, VLOOKUP($A54,'40Trips'!$A$43:$I$46, 3,FALSE)=VLOOKUP(G$1,'40Trips'!$A$3:$I$42,3,FALSE)),1,0)</f>
        <v>0</v>
      </c>
      <c r="H54">
        <f>IF(AND(gamma!G13=1, VLOOKUP($A54,'40Trips'!$A$43:$I$46, 3,FALSE)=VLOOKUP(H$1,'40Trips'!$A$3:$I$42,3,FALSE)),1,0)</f>
        <v>0</v>
      </c>
      <c r="I54">
        <f>IF(AND(gamma!H13=1, VLOOKUP($A54,'40Trips'!$A$43:$I$46, 3,FALSE)=VLOOKUP(I$1,'40Trips'!$A$3:$I$42,3,FALSE)),1,0)</f>
        <v>0</v>
      </c>
      <c r="J54">
        <f>IF(AND(gamma!I13=1, VLOOKUP($A54,'40Trips'!$A$43:$I$46, 3,FALSE)=VLOOKUP(J$1,'40Trips'!$A$3:$I$42,3,FALSE)),1,0)</f>
        <v>0</v>
      </c>
      <c r="K54">
        <f>IF(AND(gamma!J13=1, VLOOKUP($A54,'40Trips'!$A$43:$I$46, 3,FALSE)=VLOOKUP(K$1,'40Trips'!$A$3:$I$42,3,FALSE)),1,0)</f>
        <v>1</v>
      </c>
      <c r="L54">
        <f>IF(AND(gamma!K13=1, VLOOKUP($A54,'40Trips'!$A$43:$I$46, 3,FALSE)=VLOOKUP(L$1,'40Trips'!$A$3:$I$42,3,FALSE)),1,0)</f>
        <v>0</v>
      </c>
      <c r="M54">
        <f>IF(AND(gamma!L13=1, VLOOKUP($A54,'40Trips'!$A$43:$I$46, 3,FALSE)=VLOOKUP(M$1,'40Trips'!$A$3:$I$42,3,FALSE)),1,0)</f>
        <v>0</v>
      </c>
      <c r="N54">
        <f>IF(AND(gamma!M13=1, VLOOKUP($A54,'40Trips'!$A$43:$I$46, 3,FALSE)=VLOOKUP(N$1,'40Trips'!$A$3:$I$42,3,FALSE)),1,0)</f>
        <v>0</v>
      </c>
      <c r="O54">
        <f>IF(AND(gamma!N13=1, VLOOKUP($A54,'40Trips'!$A$43:$I$46, 3,FALSE)=VLOOKUP(O$1,'40Trips'!$A$3:$I$42,3,FALSE)),1,0)</f>
        <v>0</v>
      </c>
      <c r="P54">
        <f>IF(AND(gamma!O13=1, VLOOKUP($A54,'40Trips'!$A$43:$I$46, 3,FALSE)=VLOOKUP(P$1,'40Trips'!$A$3:$I$42,3,FALSE)),1,0)</f>
        <v>0</v>
      </c>
      <c r="Q54">
        <f>IF(AND(gamma!P13=1, VLOOKUP($A54,'40Trips'!$A$43:$I$46, 3,FALSE)=VLOOKUP(Q$1,'40Trips'!$A$3:$I$42,3,FALSE)),1,0)</f>
        <v>0</v>
      </c>
      <c r="R54">
        <f>IF(AND(gamma!Q13=1, VLOOKUP($A54,'40Trips'!$A$43:$I$46, 3,FALSE)=VLOOKUP(R$1,'40Trips'!$A$3:$I$42,3,FALSE)),1,0)</f>
        <v>0</v>
      </c>
      <c r="S54">
        <f>IF(AND(gamma!R13=1, VLOOKUP($A54,'40Trips'!$A$43:$I$46, 3,FALSE)=VLOOKUP(S$1,'40Trips'!$A$3:$I$42,3,FALSE)),1,0)</f>
        <v>0</v>
      </c>
      <c r="T54">
        <f>IF(AND(gamma!S13=1, VLOOKUP($A54,'40Trips'!$A$43:$I$46, 3,FALSE)=VLOOKUP(T$1,'40Trips'!$A$3:$I$42,3,FALSE)),1,0)</f>
        <v>0</v>
      </c>
      <c r="U54">
        <f>IF(AND(gamma!T13=1, VLOOKUP($A54,'40Trips'!$A$43:$I$46, 3,FALSE)=VLOOKUP(U$1,'40Trips'!$A$3:$I$42,3,FALSE)),1,0)</f>
        <v>0</v>
      </c>
      <c r="V54">
        <f>IF(AND(gamma!U13=1, VLOOKUP($A54,'40Trips'!$A$43:$I$46, 3,FALSE)=VLOOKUP(V$1,'40Trips'!$A$3:$I$42,3,FALSE)),1,0)</f>
        <v>0</v>
      </c>
      <c r="W54">
        <f>IF(AND(gamma!V13=1, VLOOKUP($A54,'40Trips'!$A$43:$I$46, 3,FALSE)=VLOOKUP(W$1,'40Trips'!$A$3:$I$42,3,FALSE)),1,0)</f>
        <v>0</v>
      </c>
      <c r="X54">
        <f>IF(AND(gamma!W13=1, VLOOKUP($A54,'40Trips'!$A$43:$I$46, 3,FALSE)=VLOOKUP(X$1,'40Trips'!$A$3:$I$42,3,FALSE)),1,0)</f>
        <v>0</v>
      </c>
      <c r="Y54">
        <f>IF(AND(gamma!X13=1, VLOOKUP($A54,'40Trips'!$A$43:$I$46, 3,FALSE)=VLOOKUP(Y$1,'40Trips'!$A$3:$I$42,3,FALSE)),1,0)</f>
        <v>0</v>
      </c>
      <c r="Z54">
        <f>IF(AND(gamma!Y13=1, VLOOKUP($A54,'40Trips'!$A$43:$I$46, 3,FALSE)=VLOOKUP(Z$1,'40Trips'!$A$3:$I$42,3,FALSE)),1,0)</f>
        <v>0</v>
      </c>
      <c r="AA54">
        <f>IF(AND(gamma!Z13=1, VLOOKUP($A54,'40Trips'!$A$43:$I$46, 3,FALSE)=VLOOKUP(AA$1,'40Trips'!$A$3:$I$42,3,FALSE)),1,0)</f>
        <v>0</v>
      </c>
      <c r="AB54">
        <f>IF(AND(gamma!AA13=1, VLOOKUP($A54,'40Trips'!$A$43:$I$46, 3,FALSE)=VLOOKUP(AB$1,'40Trips'!$A$3:$I$42,3,FALSE)),1,0)</f>
        <v>0</v>
      </c>
      <c r="AC54">
        <f>IF(AND(gamma!AB13=1, VLOOKUP($A54,'40Trips'!$A$43:$I$46, 3,FALSE)=VLOOKUP(AC$1,'40Trips'!$A$3:$I$42,3,FALSE)),1,0)</f>
        <v>0</v>
      </c>
      <c r="AD54">
        <f>IF(AND(gamma!AC13=1, VLOOKUP($A54,'40Trips'!$A$43:$I$46, 3,FALSE)=VLOOKUP(AD$1,'40Trips'!$A$3:$I$42,3,FALSE)),1,0)</f>
        <v>0</v>
      </c>
      <c r="AE54">
        <f>IF(AND(gamma!AD13=1, VLOOKUP($A54,'40Trips'!$A$43:$I$46, 3,FALSE)=VLOOKUP(AE$1,'40Trips'!$A$3:$I$42,3,FALSE)),1,0)</f>
        <v>0</v>
      </c>
      <c r="AF54">
        <f>IF(AND(gamma!AE13=1, VLOOKUP($A54,'40Trips'!$A$43:$I$46, 3,FALSE)=VLOOKUP(AF$1,'40Trips'!$A$3:$I$42,3,FALSE)),1,0)</f>
        <v>0</v>
      </c>
      <c r="AG54">
        <f>IF(AND(gamma!AF13=1, VLOOKUP($A54,'40Trips'!$A$43:$I$46, 3,FALSE)=VLOOKUP(AG$1,'40Trips'!$A$3:$I$42,3,FALSE)),1,0)</f>
        <v>0</v>
      </c>
      <c r="AH54">
        <f>IF(AND(gamma!AG13=1, VLOOKUP($A54,'40Trips'!$A$43:$I$46, 3,FALSE)=VLOOKUP(AH$1,'40Trips'!$A$3:$I$42,3,FALSE)),1,0)</f>
        <v>0</v>
      </c>
      <c r="AI54">
        <f>IF(AND(gamma!AH13=1, VLOOKUP($A54,'40Trips'!$A$43:$I$46, 3,FALSE)=VLOOKUP(AI$1,'40Trips'!$A$3:$I$42,3,FALSE)),1,0)</f>
        <v>0</v>
      </c>
      <c r="AJ54">
        <f>IF(AND(gamma!AI13=1, VLOOKUP($A54,'40Trips'!$A$43:$I$46, 3,FALSE)=VLOOKUP(AJ$1,'40Trips'!$A$3:$I$42,3,FALSE)),1,0)</f>
        <v>0</v>
      </c>
      <c r="AK54">
        <f>IF(AND(gamma!AJ13=1, VLOOKUP($A54,'40Trips'!$A$43:$I$46, 3,FALSE)=VLOOKUP(AK$1,'40Trips'!$A$3:$I$42,3,FALSE)),1,0)</f>
        <v>0</v>
      </c>
      <c r="AL54">
        <f>IF(AND(gamma!AK13=1, VLOOKUP($A54,'40Trips'!$A$43:$I$46, 3,FALSE)=VLOOKUP(AL$1,'40Trips'!$A$3:$I$42,3,FALSE)),1,0)</f>
        <v>0</v>
      </c>
      <c r="AM54">
        <f>IF(AND(gamma!AL13=1, VLOOKUP($A54,'40Trips'!$A$43:$I$46, 3,FALSE)=VLOOKUP(AM$1,'40Trips'!$A$3:$I$42,3,FALSE)),1,0)</f>
        <v>0</v>
      </c>
      <c r="AN54">
        <f>IF(AND(gamma!AM13=1, VLOOKUP($A54,'40Trips'!$A$43:$I$46, 3,FALSE)=VLOOKUP(AN$1,'40Trips'!$A$3:$I$42,3,FALSE)),1,0)</f>
        <v>0</v>
      </c>
      <c r="AO54">
        <f>IF(AND(gamma!AN13=1, VLOOKUP($A54,'40Trips'!$A$43:$I$46, 3,FALSE)=VLOOKUP(AO$1,'40Trips'!$A$3:$I$42,3,FALSE)),1,0)</f>
        <v>0</v>
      </c>
      <c r="AP54">
        <f>IF(AND(gamma!AO13=1, VLOOKUP($A54,'40Trips'!$A$43:$I$46, 3,FALSE)=VLOOKUP(AP$1,'40Trips'!$A$3:$I$42,3,FALSE)),1,0)</f>
        <v>0</v>
      </c>
      <c r="AQ54">
        <f>IF(AND(gamma!AP13=1, VLOOKUP($A54,'40Trips'!$A$43:$I$46, 3,FALSE)=VLOOKUP(AQ$1,'40Trips'!$A$3:$I$42,3,FALSE)),1,0)</f>
        <v>0</v>
      </c>
    </row>
    <row r="55" spans="1:43" x14ac:dyDescent="0.25">
      <c r="A55" t="s">
        <v>62</v>
      </c>
      <c r="B55" t="s">
        <v>26</v>
      </c>
      <c r="C55">
        <v>0</v>
      </c>
      <c r="D55">
        <f>IF(AND(gamma!C14=1, VLOOKUP($A55,'40Trips'!$A$43:$I$46, 3,FALSE)=VLOOKUP(D$1,'40Trips'!$A$3:$I$42,3,FALSE)),1,0)</f>
        <v>0</v>
      </c>
      <c r="E55">
        <f>IF(AND(gamma!D14=1, VLOOKUP($A55,'40Trips'!$A$43:$I$46, 3,FALSE)=VLOOKUP(E$1,'40Trips'!$A$3:$I$42,3,FALSE)),1,0)</f>
        <v>1</v>
      </c>
      <c r="F55">
        <f>IF(AND(gamma!E14=1, VLOOKUP($A55,'40Trips'!$A$43:$I$46, 3,FALSE)=VLOOKUP(F$1,'40Trips'!$A$3:$I$42,3,FALSE)),1,0)</f>
        <v>1</v>
      </c>
      <c r="G55">
        <f>IF(AND(gamma!F14=1, VLOOKUP($A55,'40Trips'!$A$43:$I$46, 3,FALSE)=VLOOKUP(G$1,'40Trips'!$A$3:$I$42,3,FALSE)),1,0)</f>
        <v>1</v>
      </c>
      <c r="H55">
        <f>IF(AND(gamma!G14=1, VLOOKUP($A55,'40Trips'!$A$43:$I$46, 3,FALSE)=VLOOKUP(H$1,'40Trips'!$A$3:$I$42,3,FALSE)),1,0)</f>
        <v>0</v>
      </c>
      <c r="I55">
        <f>IF(AND(gamma!H14=1, VLOOKUP($A55,'40Trips'!$A$43:$I$46, 3,FALSE)=VLOOKUP(I$1,'40Trips'!$A$3:$I$42,3,FALSE)),1,0)</f>
        <v>0</v>
      </c>
      <c r="J55">
        <f>IF(AND(gamma!I14=1, VLOOKUP($A55,'40Trips'!$A$43:$I$46, 3,FALSE)=VLOOKUP(J$1,'40Trips'!$A$3:$I$42,3,FALSE)),1,0)</f>
        <v>1</v>
      </c>
      <c r="K55">
        <f>IF(AND(gamma!J14=1, VLOOKUP($A55,'40Trips'!$A$43:$I$46, 3,FALSE)=VLOOKUP(K$1,'40Trips'!$A$3:$I$42,3,FALSE)),1,0)</f>
        <v>1</v>
      </c>
      <c r="L55">
        <f>IF(AND(gamma!K14=1, VLOOKUP($A55,'40Trips'!$A$43:$I$46, 3,FALSE)=VLOOKUP(L$1,'40Trips'!$A$3:$I$42,3,FALSE)),1,0)</f>
        <v>0</v>
      </c>
      <c r="M55">
        <f>IF(AND(gamma!L14=1, VLOOKUP($A55,'40Trips'!$A$43:$I$46, 3,FALSE)=VLOOKUP(M$1,'40Trips'!$A$3:$I$42,3,FALSE)),1,0)</f>
        <v>0</v>
      </c>
      <c r="N55">
        <f>IF(AND(gamma!M14=1, VLOOKUP($A55,'40Trips'!$A$43:$I$46, 3,FALSE)=VLOOKUP(N$1,'40Trips'!$A$3:$I$42,3,FALSE)),1,0)</f>
        <v>1</v>
      </c>
      <c r="O55">
        <f>IF(AND(gamma!N14=1, VLOOKUP($A55,'40Trips'!$A$43:$I$46, 3,FALSE)=VLOOKUP(O$1,'40Trips'!$A$3:$I$42,3,FALSE)),1,0)</f>
        <v>0</v>
      </c>
      <c r="P55">
        <f>IF(AND(gamma!O14=1, VLOOKUP($A55,'40Trips'!$A$43:$I$46, 3,FALSE)=VLOOKUP(P$1,'40Trips'!$A$3:$I$42,3,FALSE)),1,0)</f>
        <v>0</v>
      </c>
      <c r="Q55">
        <f>IF(AND(gamma!P14=1, VLOOKUP($A55,'40Trips'!$A$43:$I$46, 3,FALSE)=VLOOKUP(Q$1,'40Trips'!$A$3:$I$42,3,FALSE)),1,0)</f>
        <v>0</v>
      </c>
      <c r="R55">
        <f>IF(AND(gamma!Q14=1, VLOOKUP($A55,'40Trips'!$A$43:$I$46, 3,FALSE)=VLOOKUP(R$1,'40Trips'!$A$3:$I$42,3,FALSE)),1,0)</f>
        <v>0</v>
      </c>
      <c r="S55">
        <f>IF(AND(gamma!R14=1, VLOOKUP($A55,'40Trips'!$A$43:$I$46, 3,FALSE)=VLOOKUP(S$1,'40Trips'!$A$3:$I$42,3,FALSE)),1,0)</f>
        <v>0</v>
      </c>
      <c r="T55">
        <f>IF(AND(gamma!S14=1, VLOOKUP($A55,'40Trips'!$A$43:$I$46, 3,FALSE)=VLOOKUP(T$1,'40Trips'!$A$3:$I$42,3,FALSE)),1,0)</f>
        <v>0</v>
      </c>
      <c r="U55">
        <f>IF(AND(gamma!T14=1, VLOOKUP($A55,'40Trips'!$A$43:$I$46, 3,FALSE)=VLOOKUP(U$1,'40Trips'!$A$3:$I$42,3,FALSE)),1,0)</f>
        <v>0</v>
      </c>
      <c r="V55">
        <f>IF(AND(gamma!U14=1, VLOOKUP($A55,'40Trips'!$A$43:$I$46, 3,FALSE)=VLOOKUP(V$1,'40Trips'!$A$3:$I$42,3,FALSE)),1,0)</f>
        <v>0</v>
      </c>
      <c r="W55">
        <f>IF(AND(gamma!V14=1, VLOOKUP($A55,'40Trips'!$A$43:$I$46, 3,FALSE)=VLOOKUP(W$1,'40Trips'!$A$3:$I$42,3,FALSE)),1,0)</f>
        <v>0</v>
      </c>
      <c r="X55">
        <f>IF(AND(gamma!W14=1, VLOOKUP($A55,'40Trips'!$A$43:$I$46, 3,FALSE)=VLOOKUP(X$1,'40Trips'!$A$3:$I$42,3,FALSE)),1,0)</f>
        <v>0</v>
      </c>
      <c r="Y55">
        <f>IF(AND(gamma!X14=1, VLOOKUP($A55,'40Trips'!$A$43:$I$46, 3,FALSE)=VLOOKUP(Y$1,'40Trips'!$A$3:$I$42,3,FALSE)),1,0)</f>
        <v>0</v>
      </c>
      <c r="Z55">
        <f>IF(AND(gamma!Y14=1, VLOOKUP($A55,'40Trips'!$A$43:$I$46, 3,FALSE)=VLOOKUP(Z$1,'40Trips'!$A$3:$I$42,3,FALSE)),1,0)</f>
        <v>0</v>
      </c>
      <c r="AA55">
        <f>IF(AND(gamma!Z14=1, VLOOKUP($A55,'40Trips'!$A$43:$I$46, 3,FALSE)=VLOOKUP(AA$1,'40Trips'!$A$3:$I$42,3,FALSE)),1,0)</f>
        <v>0</v>
      </c>
      <c r="AB55">
        <f>IF(AND(gamma!AA14=1, VLOOKUP($A55,'40Trips'!$A$43:$I$46, 3,FALSE)=VLOOKUP(AB$1,'40Trips'!$A$3:$I$42,3,FALSE)),1,0)</f>
        <v>0</v>
      </c>
      <c r="AC55">
        <f>IF(AND(gamma!AB14=1, VLOOKUP($A55,'40Trips'!$A$43:$I$46, 3,FALSE)=VLOOKUP(AC$1,'40Trips'!$A$3:$I$42,3,FALSE)),1,0)</f>
        <v>0</v>
      </c>
      <c r="AD55">
        <f>IF(AND(gamma!AC14=1, VLOOKUP($A55,'40Trips'!$A$43:$I$46, 3,FALSE)=VLOOKUP(AD$1,'40Trips'!$A$3:$I$42,3,FALSE)),1,0)</f>
        <v>0</v>
      </c>
      <c r="AE55">
        <f>IF(AND(gamma!AD14=1, VLOOKUP($A55,'40Trips'!$A$43:$I$46, 3,FALSE)=VLOOKUP(AE$1,'40Trips'!$A$3:$I$42,3,FALSE)),1,0)</f>
        <v>0</v>
      </c>
      <c r="AF55">
        <f>IF(AND(gamma!AE14=1, VLOOKUP($A55,'40Trips'!$A$43:$I$46, 3,FALSE)=VLOOKUP(AF$1,'40Trips'!$A$3:$I$42,3,FALSE)),1,0)</f>
        <v>0</v>
      </c>
      <c r="AG55">
        <f>IF(AND(gamma!AF14=1, VLOOKUP($A55,'40Trips'!$A$43:$I$46, 3,FALSE)=VLOOKUP(AG$1,'40Trips'!$A$3:$I$42,3,FALSE)),1,0)</f>
        <v>0</v>
      </c>
      <c r="AH55">
        <f>IF(AND(gamma!AG14=1, VLOOKUP($A55,'40Trips'!$A$43:$I$46, 3,FALSE)=VLOOKUP(AH$1,'40Trips'!$A$3:$I$42,3,FALSE)),1,0)</f>
        <v>0</v>
      </c>
      <c r="AI55">
        <f>IF(AND(gamma!AH14=1, VLOOKUP($A55,'40Trips'!$A$43:$I$46, 3,FALSE)=VLOOKUP(AI$1,'40Trips'!$A$3:$I$42,3,FALSE)),1,0)</f>
        <v>0</v>
      </c>
      <c r="AJ55">
        <f>IF(AND(gamma!AI14=1, VLOOKUP($A55,'40Trips'!$A$43:$I$46, 3,FALSE)=VLOOKUP(AJ$1,'40Trips'!$A$3:$I$42,3,FALSE)),1,0)</f>
        <v>0</v>
      </c>
      <c r="AK55">
        <f>IF(AND(gamma!AJ14=1, VLOOKUP($A55,'40Trips'!$A$43:$I$46, 3,FALSE)=VLOOKUP(AK$1,'40Trips'!$A$3:$I$42,3,FALSE)),1,0)</f>
        <v>0</v>
      </c>
      <c r="AL55">
        <f>IF(AND(gamma!AK14=1, VLOOKUP($A55,'40Trips'!$A$43:$I$46, 3,FALSE)=VLOOKUP(AL$1,'40Trips'!$A$3:$I$42,3,FALSE)),1,0)</f>
        <v>0</v>
      </c>
      <c r="AM55">
        <f>IF(AND(gamma!AL14=1, VLOOKUP($A55,'40Trips'!$A$43:$I$46, 3,FALSE)=VLOOKUP(AM$1,'40Trips'!$A$3:$I$42,3,FALSE)),1,0)</f>
        <v>0</v>
      </c>
      <c r="AN55">
        <f>IF(AND(gamma!AM14=1, VLOOKUP($A55,'40Trips'!$A$43:$I$46, 3,FALSE)=VLOOKUP(AN$1,'40Trips'!$A$3:$I$42,3,FALSE)),1,0)</f>
        <v>0</v>
      </c>
      <c r="AO55">
        <f>IF(AND(gamma!AN14=1, VLOOKUP($A55,'40Trips'!$A$43:$I$46, 3,FALSE)=VLOOKUP(AO$1,'40Trips'!$A$3:$I$42,3,FALSE)),1,0)</f>
        <v>0</v>
      </c>
      <c r="AP55">
        <f>IF(AND(gamma!AO14=1, VLOOKUP($A55,'40Trips'!$A$43:$I$46, 3,FALSE)=VLOOKUP(AP$1,'40Trips'!$A$3:$I$42,3,FALSE)),1,0)</f>
        <v>0</v>
      </c>
      <c r="AQ55">
        <f>IF(AND(gamma!AP14=1, VLOOKUP($A55,'40Trips'!$A$43:$I$46, 3,FALSE)=VLOOKUP(AQ$1,'40Trips'!$A$3:$I$42,3,FALSE)),1,0)</f>
        <v>0</v>
      </c>
    </row>
    <row r="56" spans="1:43" x14ac:dyDescent="0.25">
      <c r="A56" t="s">
        <v>62</v>
      </c>
      <c r="B56" t="s">
        <v>27</v>
      </c>
      <c r="C56">
        <v>0</v>
      </c>
      <c r="D56">
        <f>IF(AND(gamma!C15=1, VLOOKUP($A56,'40Trips'!$A$43:$I$46, 3,FALSE)=VLOOKUP(D$1,'40Trips'!$A$3:$I$42,3,FALSE)),1,0)</f>
        <v>0</v>
      </c>
      <c r="E56">
        <f>IF(AND(gamma!D15=1, VLOOKUP($A56,'40Trips'!$A$43:$I$46, 3,FALSE)=VLOOKUP(E$1,'40Trips'!$A$3:$I$42,3,FALSE)),1,0)</f>
        <v>0</v>
      </c>
      <c r="F56">
        <f>IF(AND(gamma!E15=1, VLOOKUP($A56,'40Trips'!$A$43:$I$46, 3,FALSE)=VLOOKUP(F$1,'40Trips'!$A$3:$I$42,3,FALSE)),1,0)</f>
        <v>1</v>
      </c>
      <c r="G56">
        <f>IF(AND(gamma!F15=1, VLOOKUP($A56,'40Trips'!$A$43:$I$46, 3,FALSE)=VLOOKUP(G$1,'40Trips'!$A$3:$I$42,3,FALSE)),1,0)</f>
        <v>1</v>
      </c>
      <c r="H56">
        <f>IF(AND(gamma!G15=1, VLOOKUP($A56,'40Trips'!$A$43:$I$46, 3,FALSE)=VLOOKUP(H$1,'40Trips'!$A$3:$I$42,3,FALSE)),1,0)</f>
        <v>0</v>
      </c>
      <c r="I56">
        <f>IF(AND(gamma!H15=1, VLOOKUP($A56,'40Trips'!$A$43:$I$46, 3,FALSE)=VLOOKUP(I$1,'40Trips'!$A$3:$I$42,3,FALSE)),1,0)</f>
        <v>0</v>
      </c>
      <c r="J56">
        <f>IF(AND(gamma!I15=1, VLOOKUP($A56,'40Trips'!$A$43:$I$46, 3,FALSE)=VLOOKUP(J$1,'40Trips'!$A$3:$I$42,3,FALSE)),1,0)</f>
        <v>1</v>
      </c>
      <c r="K56">
        <f>IF(AND(gamma!J15=1, VLOOKUP($A56,'40Trips'!$A$43:$I$46, 3,FALSE)=VLOOKUP(K$1,'40Trips'!$A$3:$I$42,3,FALSE)),1,0)</f>
        <v>1</v>
      </c>
      <c r="L56">
        <f>IF(AND(gamma!K15=1, VLOOKUP($A56,'40Trips'!$A$43:$I$46, 3,FALSE)=VLOOKUP(L$1,'40Trips'!$A$3:$I$42,3,FALSE)),1,0)</f>
        <v>0</v>
      </c>
      <c r="M56">
        <f>IF(AND(gamma!L15=1, VLOOKUP($A56,'40Trips'!$A$43:$I$46, 3,FALSE)=VLOOKUP(M$1,'40Trips'!$A$3:$I$42,3,FALSE)),1,0)</f>
        <v>0</v>
      </c>
      <c r="N56">
        <f>IF(AND(gamma!M15=1, VLOOKUP($A56,'40Trips'!$A$43:$I$46, 3,FALSE)=VLOOKUP(N$1,'40Trips'!$A$3:$I$42,3,FALSE)),1,0)</f>
        <v>1</v>
      </c>
      <c r="O56">
        <f>IF(AND(gamma!N15=1, VLOOKUP($A56,'40Trips'!$A$43:$I$46, 3,FALSE)=VLOOKUP(O$1,'40Trips'!$A$3:$I$42,3,FALSE)),1,0)</f>
        <v>0</v>
      </c>
      <c r="P56">
        <f>IF(AND(gamma!O15=1, VLOOKUP($A56,'40Trips'!$A$43:$I$46, 3,FALSE)=VLOOKUP(P$1,'40Trips'!$A$3:$I$42,3,FALSE)),1,0)</f>
        <v>0</v>
      </c>
      <c r="Q56">
        <f>IF(AND(gamma!P15=1, VLOOKUP($A56,'40Trips'!$A$43:$I$46, 3,FALSE)=VLOOKUP(Q$1,'40Trips'!$A$3:$I$42,3,FALSE)),1,0)</f>
        <v>0</v>
      </c>
      <c r="R56">
        <f>IF(AND(gamma!Q15=1, VLOOKUP($A56,'40Trips'!$A$43:$I$46, 3,FALSE)=VLOOKUP(R$1,'40Trips'!$A$3:$I$42,3,FALSE)),1,0)</f>
        <v>0</v>
      </c>
      <c r="S56">
        <f>IF(AND(gamma!R15=1, VLOOKUP($A56,'40Trips'!$A$43:$I$46, 3,FALSE)=VLOOKUP(S$1,'40Trips'!$A$3:$I$42,3,FALSE)),1,0)</f>
        <v>0</v>
      </c>
      <c r="T56">
        <f>IF(AND(gamma!S15=1, VLOOKUP($A56,'40Trips'!$A$43:$I$46, 3,FALSE)=VLOOKUP(T$1,'40Trips'!$A$3:$I$42,3,FALSE)),1,0)</f>
        <v>0</v>
      </c>
      <c r="U56">
        <f>IF(AND(gamma!T15=1, VLOOKUP($A56,'40Trips'!$A$43:$I$46, 3,FALSE)=VLOOKUP(U$1,'40Trips'!$A$3:$I$42,3,FALSE)),1,0)</f>
        <v>0</v>
      </c>
      <c r="V56">
        <f>IF(AND(gamma!U15=1, VLOOKUP($A56,'40Trips'!$A$43:$I$46, 3,FALSE)=VLOOKUP(V$1,'40Trips'!$A$3:$I$42,3,FALSE)),1,0)</f>
        <v>0</v>
      </c>
      <c r="W56">
        <f>IF(AND(gamma!V15=1, VLOOKUP($A56,'40Trips'!$A$43:$I$46, 3,FALSE)=VLOOKUP(W$1,'40Trips'!$A$3:$I$42,3,FALSE)),1,0)</f>
        <v>0</v>
      </c>
      <c r="X56">
        <f>IF(AND(gamma!W15=1, VLOOKUP($A56,'40Trips'!$A$43:$I$46, 3,FALSE)=VLOOKUP(X$1,'40Trips'!$A$3:$I$42,3,FALSE)),1,0)</f>
        <v>0</v>
      </c>
      <c r="Y56">
        <f>IF(AND(gamma!X15=1, VLOOKUP($A56,'40Trips'!$A$43:$I$46, 3,FALSE)=VLOOKUP(Y$1,'40Trips'!$A$3:$I$42,3,FALSE)),1,0)</f>
        <v>0</v>
      </c>
      <c r="Z56">
        <f>IF(AND(gamma!Y15=1, VLOOKUP($A56,'40Trips'!$A$43:$I$46, 3,FALSE)=VLOOKUP(Z$1,'40Trips'!$A$3:$I$42,3,FALSE)),1,0)</f>
        <v>0</v>
      </c>
      <c r="AA56">
        <f>IF(AND(gamma!Z15=1, VLOOKUP($A56,'40Trips'!$A$43:$I$46, 3,FALSE)=VLOOKUP(AA$1,'40Trips'!$A$3:$I$42,3,FALSE)),1,0)</f>
        <v>0</v>
      </c>
      <c r="AB56">
        <f>IF(AND(gamma!AA15=1, VLOOKUP($A56,'40Trips'!$A$43:$I$46, 3,FALSE)=VLOOKUP(AB$1,'40Trips'!$A$3:$I$42,3,FALSE)),1,0)</f>
        <v>0</v>
      </c>
      <c r="AC56">
        <f>IF(AND(gamma!AB15=1, VLOOKUP($A56,'40Trips'!$A$43:$I$46, 3,FALSE)=VLOOKUP(AC$1,'40Trips'!$A$3:$I$42,3,FALSE)),1,0)</f>
        <v>0</v>
      </c>
      <c r="AD56">
        <f>IF(AND(gamma!AC15=1, VLOOKUP($A56,'40Trips'!$A$43:$I$46, 3,FALSE)=VLOOKUP(AD$1,'40Trips'!$A$3:$I$42,3,FALSE)),1,0)</f>
        <v>0</v>
      </c>
      <c r="AE56">
        <f>IF(AND(gamma!AD15=1, VLOOKUP($A56,'40Trips'!$A$43:$I$46, 3,FALSE)=VLOOKUP(AE$1,'40Trips'!$A$3:$I$42,3,FALSE)),1,0)</f>
        <v>0</v>
      </c>
      <c r="AF56">
        <f>IF(AND(gamma!AE15=1, VLOOKUP($A56,'40Trips'!$A$43:$I$46, 3,FALSE)=VLOOKUP(AF$1,'40Trips'!$A$3:$I$42,3,FALSE)),1,0)</f>
        <v>0</v>
      </c>
      <c r="AG56">
        <f>IF(AND(gamma!AF15=1, VLOOKUP($A56,'40Trips'!$A$43:$I$46, 3,FALSE)=VLOOKUP(AG$1,'40Trips'!$A$3:$I$42,3,FALSE)),1,0)</f>
        <v>0</v>
      </c>
      <c r="AH56">
        <f>IF(AND(gamma!AG15=1, VLOOKUP($A56,'40Trips'!$A$43:$I$46, 3,FALSE)=VLOOKUP(AH$1,'40Trips'!$A$3:$I$42,3,FALSE)),1,0)</f>
        <v>0</v>
      </c>
      <c r="AI56">
        <f>IF(AND(gamma!AH15=1, VLOOKUP($A56,'40Trips'!$A$43:$I$46, 3,FALSE)=VLOOKUP(AI$1,'40Trips'!$A$3:$I$42,3,FALSE)),1,0)</f>
        <v>0</v>
      </c>
      <c r="AJ56">
        <f>IF(AND(gamma!AI15=1, VLOOKUP($A56,'40Trips'!$A$43:$I$46, 3,FALSE)=VLOOKUP(AJ$1,'40Trips'!$A$3:$I$42,3,FALSE)),1,0)</f>
        <v>0</v>
      </c>
      <c r="AK56">
        <f>IF(AND(gamma!AJ15=1, VLOOKUP($A56,'40Trips'!$A$43:$I$46, 3,FALSE)=VLOOKUP(AK$1,'40Trips'!$A$3:$I$42,3,FALSE)),1,0)</f>
        <v>0</v>
      </c>
      <c r="AL56">
        <f>IF(AND(gamma!AK15=1, VLOOKUP($A56,'40Trips'!$A$43:$I$46, 3,FALSE)=VLOOKUP(AL$1,'40Trips'!$A$3:$I$42,3,FALSE)),1,0)</f>
        <v>0</v>
      </c>
      <c r="AM56">
        <f>IF(AND(gamma!AL15=1, VLOOKUP($A56,'40Trips'!$A$43:$I$46, 3,FALSE)=VLOOKUP(AM$1,'40Trips'!$A$3:$I$42,3,FALSE)),1,0)</f>
        <v>0</v>
      </c>
      <c r="AN56">
        <f>IF(AND(gamma!AM15=1, VLOOKUP($A56,'40Trips'!$A$43:$I$46, 3,FALSE)=VLOOKUP(AN$1,'40Trips'!$A$3:$I$42,3,FALSE)),1,0)</f>
        <v>0</v>
      </c>
      <c r="AO56">
        <f>IF(AND(gamma!AN15=1, VLOOKUP($A56,'40Trips'!$A$43:$I$46, 3,FALSE)=VLOOKUP(AO$1,'40Trips'!$A$3:$I$42,3,FALSE)),1,0)</f>
        <v>0</v>
      </c>
      <c r="AP56">
        <f>IF(AND(gamma!AO15=1, VLOOKUP($A56,'40Trips'!$A$43:$I$46, 3,FALSE)=VLOOKUP(AP$1,'40Trips'!$A$3:$I$42,3,FALSE)),1,0)</f>
        <v>0</v>
      </c>
      <c r="AQ56">
        <f>IF(AND(gamma!AP15=1, VLOOKUP($A56,'40Trips'!$A$43:$I$46, 3,FALSE)=VLOOKUP(AQ$1,'40Trips'!$A$3:$I$42,3,FALSE)),1,0)</f>
        <v>0</v>
      </c>
    </row>
    <row r="57" spans="1:43" x14ac:dyDescent="0.25">
      <c r="A57" t="s">
        <v>62</v>
      </c>
      <c r="B57" t="s">
        <v>28</v>
      </c>
      <c r="C57">
        <v>0</v>
      </c>
      <c r="D57">
        <f>IF(AND(gamma!C16=1, VLOOKUP($A57,'40Trips'!$A$43:$I$46, 3,FALSE)=VLOOKUP(D$1,'40Trips'!$A$3:$I$42,3,FALSE)),1,0)</f>
        <v>0</v>
      </c>
      <c r="E57">
        <f>IF(AND(gamma!D16=1, VLOOKUP($A57,'40Trips'!$A$43:$I$46, 3,FALSE)=VLOOKUP(E$1,'40Trips'!$A$3:$I$42,3,FALSE)),1,0)</f>
        <v>0</v>
      </c>
      <c r="F57">
        <f>IF(AND(gamma!E16=1, VLOOKUP($A57,'40Trips'!$A$43:$I$46, 3,FALSE)=VLOOKUP(F$1,'40Trips'!$A$3:$I$42,3,FALSE)),1,0)</f>
        <v>0</v>
      </c>
      <c r="G57">
        <f>IF(AND(gamma!F16=1, VLOOKUP($A57,'40Trips'!$A$43:$I$46, 3,FALSE)=VLOOKUP(G$1,'40Trips'!$A$3:$I$42,3,FALSE)),1,0)</f>
        <v>1</v>
      </c>
      <c r="H57">
        <f>IF(AND(gamma!G16=1, VLOOKUP($A57,'40Trips'!$A$43:$I$46, 3,FALSE)=VLOOKUP(H$1,'40Trips'!$A$3:$I$42,3,FALSE)),1,0)</f>
        <v>0</v>
      </c>
      <c r="I57">
        <f>IF(AND(gamma!H16=1, VLOOKUP($A57,'40Trips'!$A$43:$I$46, 3,FALSE)=VLOOKUP(I$1,'40Trips'!$A$3:$I$42,3,FALSE)),1,0)</f>
        <v>0</v>
      </c>
      <c r="J57">
        <f>IF(AND(gamma!I16=1, VLOOKUP($A57,'40Trips'!$A$43:$I$46, 3,FALSE)=VLOOKUP(J$1,'40Trips'!$A$3:$I$42,3,FALSE)),1,0)</f>
        <v>0</v>
      </c>
      <c r="K57">
        <f>IF(AND(gamma!J16=1, VLOOKUP($A57,'40Trips'!$A$43:$I$46, 3,FALSE)=VLOOKUP(K$1,'40Trips'!$A$3:$I$42,3,FALSE)),1,0)</f>
        <v>1</v>
      </c>
      <c r="L57">
        <f>IF(AND(gamma!K16=1, VLOOKUP($A57,'40Trips'!$A$43:$I$46, 3,FALSE)=VLOOKUP(L$1,'40Trips'!$A$3:$I$42,3,FALSE)),1,0)</f>
        <v>0</v>
      </c>
      <c r="M57">
        <f>IF(AND(gamma!L16=1, VLOOKUP($A57,'40Trips'!$A$43:$I$46, 3,FALSE)=VLOOKUP(M$1,'40Trips'!$A$3:$I$42,3,FALSE)),1,0)</f>
        <v>0</v>
      </c>
      <c r="N57">
        <f>IF(AND(gamma!M16=1, VLOOKUP($A57,'40Trips'!$A$43:$I$46, 3,FALSE)=VLOOKUP(N$1,'40Trips'!$A$3:$I$42,3,FALSE)),1,0)</f>
        <v>0</v>
      </c>
      <c r="O57">
        <f>IF(AND(gamma!N16=1, VLOOKUP($A57,'40Trips'!$A$43:$I$46, 3,FALSE)=VLOOKUP(O$1,'40Trips'!$A$3:$I$42,3,FALSE)),1,0)</f>
        <v>0</v>
      </c>
      <c r="P57">
        <f>IF(AND(gamma!O16=1, VLOOKUP($A57,'40Trips'!$A$43:$I$46, 3,FALSE)=VLOOKUP(P$1,'40Trips'!$A$3:$I$42,3,FALSE)),1,0)</f>
        <v>0</v>
      </c>
      <c r="Q57">
        <f>IF(AND(gamma!P16=1, VLOOKUP($A57,'40Trips'!$A$43:$I$46, 3,FALSE)=VLOOKUP(Q$1,'40Trips'!$A$3:$I$42,3,FALSE)),1,0)</f>
        <v>0</v>
      </c>
      <c r="R57">
        <f>IF(AND(gamma!Q16=1, VLOOKUP($A57,'40Trips'!$A$43:$I$46, 3,FALSE)=VLOOKUP(R$1,'40Trips'!$A$3:$I$42,3,FALSE)),1,0)</f>
        <v>0</v>
      </c>
      <c r="S57">
        <f>IF(AND(gamma!R16=1, VLOOKUP($A57,'40Trips'!$A$43:$I$46, 3,FALSE)=VLOOKUP(S$1,'40Trips'!$A$3:$I$42,3,FALSE)),1,0)</f>
        <v>0</v>
      </c>
      <c r="T57">
        <f>IF(AND(gamma!S16=1, VLOOKUP($A57,'40Trips'!$A$43:$I$46, 3,FALSE)=VLOOKUP(T$1,'40Trips'!$A$3:$I$42,3,FALSE)),1,0)</f>
        <v>0</v>
      </c>
      <c r="U57">
        <f>IF(AND(gamma!T16=1, VLOOKUP($A57,'40Trips'!$A$43:$I$46, 3,FALSE)=VLOOKUP(U$1,'40Trips'!$A$3:$I$42,3,FALSE)),1,0)</f>
        <v>0</v>
      </c>
      <c r="V57">
        <f>IF(AND(gamma!U16=1, VLOOKUP($A57,'40Trips'!$A$43:$I$46, 3,FALSE)=VLOOKUP(V$1,'40Trips'!$A$3:$I$42,3,FALSE)),1,0)</f>
        <v>0</v>
      </c>
      <c r="W57">
        <f>IF(AND(gamma!V16=1, VLOOKUP($A57,'40Trips'!$A$43:$I$46, 3,FALSE)=VLOOKUP(W$1,'40Trips'!$A$3:$I$42,3,FALSE)),1,0)</f>
        <v>0</v>
      </c>
      <c r="X57">
        <f>IF(AND(gamma!W16=1, VLOOKUP($A57,'40Trips'!$A$43:$I$46, 3,FALSE)=VLOOKUP(X$1,'40Trips'!$A$3:$I$42,3,FALSE)),1,0)</f>
        <v>0</v>
      </c>
      <c r="Y57">
        <f>IF(AND(gamma!X16=1, VLOOKUP($A57,'40Trips'!$A$43:$I$46, 3,FALSE)=VLOOKUP(Y$1,'40Trips'!$A$3:$I$42,3,FALSE)),1,0)</f>
        <v>0</v>
      </c>
      <c r="Z57">
        <f>IF(AND(gamma!Y16=1, VLOOKUP($A57,'40Trips'!$A$43:$I$46, 3,FALSE)=VLOOKUP(Z$1,'40Trips'!$A$3:$I$42,3,FALSE)),1,0)</f>
        <v>0</v>
      </c>
      <c r="AA57">
        <f>IF(AND(gamma!Z16=1, VLOOKUP($A57,'40Trips'!$A$43:$I$46, 3,FALSE)=VLOOKUP(AA$1,'40Trips'!$A$3:$I$42,3,FALSE)),1,0)</f>
        <v>0</v>
      </c>
      <c r="AB57">
        <f>IF(AND(gamma!AA16=1, VLOOKUP($A57,'40Trips'!$A$43:$I$46, 3,FALSE)=VLOOKUP(AB$1,'40Trips'!$A$3:$I$42,3,FALSE)),1,0)</f>
        <v>0</v>
      </c>
      <c r="AC57">
        <f>IF(AND(gamma!AB16=1, VLOOKUP($A57,'40Trips'!$A$43:$I$46, 3,FALSE)=VLOOKUP(AC$1,'40Trips'!$A$3:$I$42,3,FALSE)),1,0)</f>
        <v>0</v>
      </c>
      <c r="AD57">
        <f>IF(AND(gamma!AC16=1, VLOOKUP($A57,'40Trips'!$A$43:$I$46, 3,FALSE)=VLOOKUP(AD$1,'40Trips'!$A$3:$I$42,3,FALSE)),1,0)</f>
        <v>0</v>
      </c>
      <c r="AE57">
        <f>IF(AND(gamma!AD16=1, VLOOKUP($A57,'40Trips'!$A$43:$I$46, 3,FALSE)=VLOOKUP(AE$1,'40Trips'!$A$3:$I$42,3,FALSE)),1,0)</f>
        <v>0</v>
      </c>
      <c r="AF57">
        <f>IF(AND(gamma!AE16=1, VLOOKUP($A57,'40Trips'!$A$43:$I$46, 3,FALSE)=VLOOKUP(AF$1,'40Trips'!$A$3:$I$42,3,FALSE)),1,0)</f>
        <v>0</v>
      </c>
      <c r="AG57">
        <f>IF(AND(gamma!AF16=1, VLOOKUP($A57,'40Trips'!$A$43:$I$46, 3,FALSE)=VLOOKUP(AG$1,'40Trips'!$A$3:$I$42,3,FALSE)),1,0)</f>
        <v>0</v>
      </c>
      <c r="AH57">
        <f>IF(AND(gamma!AG16=1, VLOOKUP($A57,'40Trips'!$A$43:$I$46, 3,FALSE)=VLOOKUP(AH$1,'40Trips'!$A$3:$I$42,3,FALSE)),1,0)</f>
        <v>0</v>
      </c>
      <c r="AI57">
        <f>IF(AND(gamma!AH16=1, VLOOKUP($A57,'40Trips'!$A$43:$I$46, 3,FALSE)=VLOOKUP(AI$1,'40Trips'!$A$3:$I$42,3,FALSE)),1,0)</f>
        <v>0</v>
      </c>
      <c r="AJ57">
        <f>IF(AND(gamma!AI16=1, VLOOKUP($A57,'40Trips'!$A$43:$I$46, 3,FALSE)=VLOOKUP(AJ$1,'40Trips'!$A$3:$I$42,3,FALSE)),1,0)</f>
        <v>0</v>
      </c>
      <c r="AK57">
        <f>IF(AND(gamma!AJ16=1, VLOOKUP($A57,'40Trips'!$A$43:$I$46, 3,FALSE)=VLOOKUP(AK$1,'40Trips'!$A$3:$I$42,3,FALSE)),1,0)</f>
        <v>0</v>
      </c>
      <c r="AL57">
        <f>IF(AND(gamma!AK16=1, VLOOKUP($A57,'40Trips'!$A$43:$I$46, 3,FALSE)=VLOOKUP(AL$1,'40Trips'!$A$3:$I$42,3,FALSE)),1,0)</f>
        <v>0</v>
      </c>
      <c r="AM57">
        <f>IF(AND(gamma!AL16=1, VLOOKUP($A57,'40Trips'!$A$43:$I$46, 3,FALSE)=VLOOKUP(AM$1,'40Trips'!$A$3:$I$42,3,FALSE)),1,0)</f>
        <v>0</v>
      </c>
      <c r="AN57">
        <f>IF(AND(gamma!AM16=1, VLOOKUP($A57,'40Trips'!$A$43:$I$46, 3,FALSE)=VLOOKUP(AN$1,'40Trips'!$A$3:$I$42,3,FALSE)),1,0)</f>
        <v>0</v>
      </c>
      <c r="AO57">
        <f>IF(AND(gamma!AN16=1, VLOOKUP($A57,'40Trips'!$A$43:$I$46, 3,FALSE)=VLOOKUP(AO$1,'40Trips'!$A$3:$I$42,3,FALSE)),1,0)</f>
        <v>0</v>
      </c>
      <c r="AP57">
        <f>IF(AND(gamma!AO16=1, VLOOKUP($A57,'40Trips'!$A$43:$I$46, 3,FALSE)=VLOOKUP(AP$1,'40Trips'!$A$3:$I$42,3,FALSE)),1,0)</f>
        <v>0</v>
      </c>
      <c r="AQ57">
        <f>IF(AND(gamma!AP16=1, VLOOKUP($A57,'40Trips'!$A$43:$I$46, 3,FALSE)=VLOOKUP(AQ$1,'40Trips'!$A$3:$I$42,3,FALSE)),1,0)</f>
        <v>0</v>
      </c>
    </row>
    <row r="58" spans="1:43" x14ac:dyDescent="0.25">
      <c r="A58" t="s">
        <v>62</v>
      </c>
      <c r="B58" t="s">
        <v>29</v>
      </c>
      <c r="C58">
        <v>0</v>
      </c>
      <c r="D58">
        <f>IF(AND(gamma!C17=1, VLOOKUP($A58,'40Trips'!$A$43:$I$46, 3,FALSE)=VLOOKUP(D$1,'40Trips'!$A$3:$I$42,3,FALSE)),1,0)</f>
        <v>0</v>
      </c>
      <c r="E58">
        <f>IF(AND(gamma!D17=1, VLOOKUP($A58,'40Trips'!$A$43:$I$46, 3,FALSE)=VLOOKUP(E$1,'40Trips'!$A$3:$I$42,3,FALSE)),1,0)</f>
        <v>0</v>
      </c>
      <c r="F58">
        <f>IF(AND(gamma!E17=1, VLOOKUP($A58,'40Trips'!$A$43:$I$46, 3,FALSE)=VLOOKUP(F$1,'40Trips'!$A$3:$I$42,3,FALSE)),1,0)</f>
        <v>0</v>
      </c>
      <c r="G58">
        <f>IF(AND(gamma!F17=1, VLOOKUP($A58,'40Trips'!$A$43:$I$46, 3,FALSE)=VLOOKUP(G$1,'40Trips'!$A$3:$I$42,3,FALSE)),1,0)</f>
        <v>0</v>
      </c>
      <c r="H58">
        <f>IF(AND(gamma!G17=1, VLOOKUP($A58,'40Trips'!$A$43:$I$46, 3,FALSE)=VLOOKUP(H$1,'40Trips'!$A$3:$I$42,3,FALSE)),1,0)</f>
        <v>0</v>
      </c>
      <c r="I58">
        <f>IF(AND(gamma!H17=1, VLOOKUP($A58,'40Trips'!$A$43:$I$46, 3,FALSE)=VLOOKUP(I$1,'40Trips'!$A$3:$I$42,3,FALSE)),1,0)</f>
        <v>0</v>
      </c>
      <c r="J58">
        <f>IF(AND(gamma!I17=1, VLOOKUP($A58,'40Trips'!$A$43:$I$46, 3,FALSE)=VLOOKUP(J$1,'40Trips'!$A$3:$I$42,3,FALSE)),1,0)</f>
        <v>0</v>
      </c>
      <c r="K58">
        <f>IF(AND(gamma!J17=1, VLOOKUP($A58,'40Trips'!$A$43:$I$46, 3,FALSE)=VLOOKUP(K$1,'40Trips'!$A$3:$I$42,3,FALSE)),1,0)</f>
        <v>1</v>
      </c>
      <c r="L58">
        <f>IF(AND(gamma!K17=1, VLOOKUP($A58,'40Trips'!$A$43:$I$46, 3,FALSE)=VLOOKUP(L$1,'40Trips'!$A$3:$I$42,3,FALSE)),1,0)</f>
        <v>0</v>
      </c>
      <c r="M58">
        <f>IF(AND(gamma!L17=1, VLOOKUP($A58,'40Trips'!$A$43:$I$46, 3,FALSE)=VLOOKUP(M$1,'40Trips'!$A$3:$I$42,3,FALSE)),1,0)</f>
        <v>0</v>
      </c>
      <c r="N58">
        <f>IF(AND(gamma!M17=1, VLOOKUP($A58,'40Trips'!$A$43:$I$46, 3,FALSE)=VLOOKUP(N$1,'40Trips'!$A$3:$I$42,3,FALSE)),1,0)</f>
        <v>0</v>
      </c>
      <c r="O58">
        <f>IF(AND(gamma!N17=1, VLOOKUP($A58,'40Trips'!$A$43:$I$46, 3,FALSE)=VLOOKUP(O$1,'40Trips'!$A$3:$I$42,3,FALSE)),1,0)</f>
        <v>0</v>
      </c>
      <c r="P58">
        <f>IF(AND(gamma!O17=1, VLOOKUP($A58,'40Trips'!$A$43:$I$46, 3,FALSE)=VLOOKUP(P$1,'40Trips'!$A$3:$I$42,3,FALSE)),1,0)</f>
        <v>0</v>
      </c>
      <c r="Q58">
        <f>IF(AND(gamma!P17=1, VLOOKUP($A58,'40Trips'!$A$43:$I$46, 3,FALSE)=VLOOKUP(Q$1,'40Trips'!$A$3:$I$42,3,FALSE)),1,0)</f>
        <v>0</v>
      </c>
      <c r="R58">
        <f>IF(AND(gamma!Q17=1, VLOOKUP($A58,'40Trips'!$A$43:$I$46, 3,FALSE)=VLOOKUP(R$1,'40Trips'!$A$3:$I$42,3,FALSE)),1,0)</f>
        <v>0</v>
      </c>
      <c r="S58">
        <f>IF(AND(gamma!R17=1, VLOOKUP($A58,'40Trips'!$A$43:$I$46, 3,FALSE)=VLOOKUP(S$1,'40Trips'!$A$3:$I$42,3,FALSE)),1,0)</f>
        <v>0</v>
      </c>
      <c r="T58">
        <f>IF(AND(gamma!S17=1, VLOOKUP($A58,'40Trips'!$A$43:$I$46, 3,FALSE)=VLOOKUP(T$1,'40Trips'!$A$3:$I$42,3,FALSE)),1,0)</f>
        <v>0</v>
      </c>
      <c r="U58">
        <f>IF(AND(gamma!T17=1, VLOOKUP($A58,'40Trips'!$A$43:$I$46, 3,FALSE)=VLOOKUP(U$1,'40Trips'!$A$3:$I$42,3,FALSE)),1,0)</f>
        <v>0</v>
      </c>
      <c r="V58">
        <f>IF(AND(gamma!U17=1, VLOOKUP($A58,'40Trips'!$A$43:$I$46, 3,FALSE)=VLOOKUP(V$1,'40Trips'!$A$3:$I$42,3,FALSE)),1,0)</f>
        <v>0</v>
      </c>
      <c r="W58">
        <f>IF(AND(gamma!V17=1, VLOOKUP($A58,'40Trips'!$A$43:$I$46, 3,FALSE)=VLOOKUP(W$1,'40Trips'!$A$3:$I$42,3,FALSE)),1,0)</f>
        <v>0</v>
      </c>
      <c r="X58">
        <f>IF(AND(gamma!W17=1, VLOOKUP($A58,'40Trips'!$A$43:$I$46, 3,FALSE)=VLOOKUP(X$1,'40Trips'!$A$3:$I$42,3,FALSE)),1,0)</f>
        <v>0</v>
      </c>
      <c r="Y58">
        <f>IF(AND(gamma!X17=1, VLOOKUP($A58,'40Trips'!$A$43:$I$46, 3,FALSE)=VLOOKUP(Y$1,'40Trips'!$A$3:$I$42,3,FALSE)),1,0)</f>
        <v>0</v>
      </c>
      <c r="Z58">
        <f>IF(AND(gamma!Y17=1, VLOOKUP($A58,'40Trips'!$A$43:$I$46, 3,FALSE)=VLOOKUP(Z$1,'40Trips'!$A$3:$I$42,3,FALSE)),1,0)</f>
        <v>0</v>
      </c>
      <c r="AA58">
        <f>IF(AND(gamma!Z17=1, VLOOKUP($A58,'40Trips'!$A$43:$I$46, 3,FALSE)=VLOOKUP(AA$1,'40Trips'!$A$3:$I$42,3,FALSE)),1,0)</f>
        <v>0</v>
      </c>
      <c r="AB58">
        <f>IF(AND(gamma!AA17=1, VLOOKUP($A58,'40Trips'!$A$43:$I$46, 3,FALSE)=VLOOKUP(AB$1,'40Trips'!$A$3:$I$42,3,FALSE)),1,0)</f>
        <v>0</v>
      </c>
      <c r="AC58">
        <f>IF(AND(gamma!AB17=1, VLOOKUP($A58,'40Trips'!$A$43:$I$46, 3,FALSE)=VLOOKUP(AC$1,'40Trips'!$A$3:$I$42,3,FALSE)),1,0)</f>
        <v>0</v>
      </c>
      <c r="AD58">
        <f>IF(AND(gamma!AC17=1, VLOOKUP($A58,'40Trips'!$A$43:$I$46, 3,FALSE)=VLOOKUP(AD$1,'40Trips'!$A$3:$I$42,3,FALSE)),1,0)</f>
        <v>0</v>
      </c>
      <c r="AE58">
        <f>IF(AND(gamma!AD17=1, VLOOKUP($A58,'40Trips'!$A$43:$I$46, 3,FALSE)=VLOOKUP(AE$1,'40Trips'!$A$3:$I$42,3,FALSE)),1,0)</f>
        <v>0</v>
      </c>
      <c r="AF58">
        <f>IF(AND(gamma!AE17=1, VLOOKUP($A58,'40Trips'!$A$43:$I$46, 3,FALSE)=VLOOKUP(AF$1,'40Trips'!$A$3:$I$42,3,FALSE)),1,0)</f>
        <v>0</v>
      </c>
      <c r="AG58">
        <f>IF(AND(gamma!AF17=1, VLOOKUP($A58,'40Trips'!$A$43:$I$46, 3,FALSE)=VLOOKUP(AG$1,'40Trips'!$A$3:$I$42,3,FALSE)),1,0)</f>
        <v>0</v>
      </c>
      <c r="AH58">
        <f>IF(AND(gamma!AG17=1, VLOOKUP($A58,'40Trips'!$A$43:$I$46, 3,FALSE)=VLOOKUP(AH$1,'40Trips'!$A$3:$I$42,3,FALSE)),1,0)</f>
        <v>0</v>
      </c>
      <c r="AI58">
        <f>IF(AND(gamma!AH17=1, VLOOKUP($A58,'40Trips'!$A$43:$I$46, 3,FALSE)=VLOOKUP(AI$1,'40Trips'!$A$3:$I$42,3,FALSE)),1,0)</f>
        <v>0</v>
      </c>
      <c r="AJ58">
        <f>IF(AND(gamma!AI17=1, VLOOKUP($A58,'40Trips'!$A$43:$I$46, 3,FALSE)=VLOOKUP(AJ$1,'40Trips'!$A$3:$I$42,3,FALSE)),1,0)</f>
        <v>0</v>
      </c>
      <c r="AK58">
        <f>IF(AND(gamma!AJ17=1, VLOOKUP($A58,'40Trips'!$A$43:$I$46, 3,FALSE)=VLOOKUP(AK$1,'40Trips'!$A$3:$I$42,3,FALSE)),1,0)</f>
        <v>0</v>
      </c>
      <c r="AL58">
        <f>IF(AND(gamma!AK17=1, VLOOKUP($A58,'40Trips'!$A$43:$I$46, 3,FALSE)=VLOOKUP(AL$1,'40Trips'!$A$3:$I$42,3,FALSE)),1,0)</f>
        <v>0</v>
      </c>
      <c r="AM58">
        <f>IF(AND(gamma!AL17=1, VLOOKUP($A58,'40Trips'!$A$43:$I$46, 3,FALSE)=VLOOKUP(AM$1,'40Trips'!$A$3:$I$42,3,FALSE)),1,0)</f>
        <v>0</v>
      </c>
      <c r="AN58">
        <f>IF(AND(gamma!AM17=1, VLOOKUP($A58,'40Trips'!$A$43:$I$46, 3,FALSE)=VLOOKUP(AN$1,'40Trips'!$A$3:$I$42,3,FALSE)),1,0)</f>
        <v>0</v>
      </c>
      <c r="AO58">
        <f>IF(AND(gamma!AN17=1, VLOOKUP($A58,'40Trips'!$A$43:$I$46, 3,FALSE)=VLOOKUP(AO$1,'40Trips'!$A$3:$I$42,3,FALSE)),1,0)</f>
        <v>0</v>
      </c>
      <c r="AP58">
        <f>IF(AND(gamma!AO17=1, VLOOKUP($A58,'40Trips'!$A$43:$I$46, 3,FALSE)=VLOOKUP(AP$1,'40Trips'!$A$3:$I$42,3,FALSE)),1,0)</f>
        <v>0</v>
      </c>
      <c r="AQ58">
        <f>IF(AND(gamma!AP17=1, VLOOKUP($A58,'40Trips'!$A$43:$I$46, 3,FALSE)=VLOOKUP(AQ$1,'40Trips'!$A$3:$I$42,3,FALSE)),1,0)</f>
        <v>0</v>
      </c>
    </row>
    <row r="59" spans="1:43" x14ac:dyDescent="0.25">
      <c r="A59" t="s">
        <v>62</v>
      </c>
      <c r="B59" t="s">
        <v>30</v>
      </c>
      <c r="C59">
        <v>0</v>
      </c>
      <c r="D59">
        <f>IF(AND(gamma!C18=1, VLOOKUP($A59,'40Trips'!$A$43:$I$46, 3,FALSE)=VLOOKUP(D$1,'40Trips'!$A$3:$I$42,3,FALSE)),1,0)</f>
        <v>0</v>
      </c>
      <c r="E59">
        <f>IF(AND(gamma!D18=1, VLOOKUP($A59,'40Trips'!$A$43:$I$46, 3,FALSE)=VLOOKUP(E$1,'40Trips'!$A$3:$I$42,3,FALSE)),1,0)</f>
        <v>0</v>
      </c>
      <c r="F59">
        <f>IF(AND(gamma!E18=1, VLOOKUP($A59,'40Trips'!$A$43:$I$46, 3,FALSE)=VLOOKUP(F$1,'40Trips'!$A$3:$I$42,3,FALSE)),1,0)</f>
        <v>0</v>
      </c>
      <c r="G59">
        <f>IF(AND(gamma!F18=1, VLOOKUP($A59,'40Trips'!$A$43:$I$46, 3,FALSE)=VLOOKUP(G$1,'40Trips'!$A$3:$I$42,3,FALSE)),1,0)</f>
        <v>0</v>
      </c>
      <c r="H59">
        <f>IF(AND(gamma!G18=1, VLOOKUP($A59,'40Trips'!$A$43:$I$46, 3,FALSE)=VLOOKUP(H$1,'40Trips'!$A$3:$I$42,3,FALSE)),1,0)</f>
        <v>0</v>
      </c>
      <c r="I59">
        <f>IF(AND(gamma!H18=1, VLOOKUP($A59,'40Trips'!$A$43:$I$46, 3,FALSE)=VLOOKUP(I$1,'40Trips'!$A$3:$I$42,3,FALSE)),1,0)</f>
        <v>0</v>
      </c>
      <c r="J59">
        <f>IF(AND(gamma!I18=1, VLOOKUP($A59,'40Trips'!$A$43:$I$46, 3,FALSE)=VLOOKUP(J$1,'40Trips'!$A$3:$I$42,3,FALSE)),1,0)</f>
        <v>0</v>
      </c>
      <c r="K59">
        <f>IF(AND(gamma!J18=1, VLOOKUP($A59,'40Trips'!$A$43:$I$46, 3,FALSE)=VLOOKUP(K$1,'40Trips'!$A$3:$I$42,3,FALSE)),1,0)</f>
        <v>1</v>
      </c>
      <c r="L59">
        <f>IF(AND(gamma!K18=1, VLOOKUP($A59,'40Trips'!$A$43:$I$46, 3,FALSE)=VLOOKUP(L$1,'40Trips'!$A$3:$I$42,3,FALSE)),1,0)</f>
        <v>0</v>
      </c>
      <c r="M59">
        <f>IF(AND(gamma!L18=1, VLOOKUP($A59,'40Trips'!$A$43:$I$46, 3,FALSE)=VLOOKUP(M$1,'40Trips'!$A$3:$I$42,3,FALSE)),1,0)</f>
        <v>0</v>
      </c>
      <c r="N59">
        <f>IF(AND(gamma!M18=1, VLOOKUP($A59,'40Trips'!$A$43:$I$46, 3,FALSE)=VLOOKUP(N$1,'40Trips'!$A$3:$I$42,3,FALSE)),1,0)</f>
        <v>0</v>
      </c>
      <c r="O59">
        <f>IF(AND(gamma!N18=1, VLOOKUP($A59,'40Trips'!$A$43:$I$46, 3,FALSE)=VLOOKUP(O$1,'40Trips'!$A$3:$I$42,3,FALSE)),1,0)</f>
        <v>0</v>
      </c>
      <c r="P59">
        <f>IF(AND(gamma!O18=1, VLOOKUP($A59,'40Trips'!$A$43:$I$46, 3,FALSE)=VLOOKUP(P$1,'40Trips'!$A$3:$I$42,3,FALSE)),1,0)</f>
        <v>0</v>
      </c>
      <c r="Q59">
        <f>IF(AND(gamma!P18=1, VLOOKUP($A59,'40Trips'!$A$43:$I$46, 3,FALSE)=VLOOKUP(Q$1,'40Trips'!$A$3:$I$42,3,FALSE)),1,0)</f>
        <v>0</v>
      </c>
      <c r="R59">
        <f>IF(AND(gamma!Q18=1, VLOOKUP($A59,'40Trips'!$A$43:$I$46, 3,FALSE)=VLOOKUP(R$1,'40Trips'!$A$3:$I$42,3,FALSE)),1,0)</f>
        <v>0</v>
      </c>
      <c r="S59">
        <f>IF(AND(gamma!R18=1, VLOOKUP($A59,'40Trips'!$A$43:$I$46, 3,FALSE)=VLOOKUP(S$1,'40Trips'!$A$3:$I$42,3,FALSE)),1,0)</f>
        <v>0</v>
      </c>
      <c r="T59">
        <f>IF(AND(gamma!S18=1, VLOOKUP($A59,'40Trips'!$A$43:$I$46, 3,FALSE)=VLOOKUP(T$1,'40Trips'!$A$3:$I$42,3,FALSE)),1,0)</f>
        <v>0</v>
      </c>
      <c r="U59">
        <f>IF(AND(gamma!T18=1, VLOOKUP($A59,'40Trips'!$A$43:$I$46, 3,FALSE)=VLOOKUP(U$1,'40Trips'!$A$3:$I$42,3,FALSE)),1,0)</f>
        <v>0</v>
      </c>
      <c r="V59">
        <f>IF(AND(gamma!U18=1, VLOOKUP($A59,'40Trips'!$A$43:$I$46, 3,FALSE)=VLOOKUP(V$1,'40Trips'!$A$3:$I$42,3,FALSE)),1,0)</f>
        <v>0</v>
      </c>
      <c r="W59">
        <f>IF(AND(gamma!V18=1, VLOOKUP($A59,'40Trips'!$A$43:$I$46, 3,FALSE)=VLOOKUP(W$1,'40Trips'!$A$3:$I$42,3,FALSE)),1,0)</f>
        <v>0</v>
      </c>
      <c r="X59">
        <f>IF(AND(gamma!W18=1, VLOOKUP($A59,'40Trips'!$A$43:$I$46, 3,FALSE)=VLOOKUP(X$1,'40Trips'!$A$3:$I$42,3,FALSE)),1,0)</f>
        <v>0</v>
      </c>
      <c r="Y59">
        <f>IF(AND(gamma!X18=1, VLOOKUP($A59,'40Trips'!$A$43:$I$46, 3,FALSE)=VLOOKUP(Y$1,'40Trips'!$A$3:$I$42,3,FALSE)),1,0)</f>
        <v>0</v>
      </c>
      <c r="Z59">
        <f>IF(AND(gamma!Y18=1, VLOOKUP($A59,'40Trips'!$A$43:$I$46, 3,FALSE)=VLOOKUP(Z$1,'40Trips'!$A$3:$I$42,3,FALSE)),1,0)</f>
        <v>0</v>
      </c>
      <c r="AA59">
        <f>IF(AND(gamma!Z18=1, VLOOKUP($A59,'40Trips'!$A$43:$I$46, 3,FALSE)=VLOOKUP(AA$1,'40Trips'!$A$3:$I$42,3,FALSE)),1,0)</f>
        <v>0</v>
      </c>
      <c r="AB59">
        <f>IF(AND(gamma!AA18=1, VLOOKUP($A59,'40Trips'!$A$43:$I$46, 3,FALSE)=VLOOKUP(AB$1,'40Trips'!$A$3:$I$42,3,FALSE)),1,0)</f>
        <v>0</v>
      </c>
      <c r="AC59">
        <f>IF(AND(gamma!AB18=1, VLOOKUP($A59,'40Trips'!$A$43:$I$46, 3,FALSE)=VLOOKUP(AC$1,'40Trips'!$A$3:$I$42,3,FALSE)),1,0)</f>
        <v>0</v>
      </c>
      <c r="AD59">
        <f>IF(AND(gamma!AC18=1, VLOOKUP($A59,'40Trips'!$A$43:$I$46, 3,FALSE)=VLOOKUP(AD$1,'40Trips'!$A$3:$I$42,3,FALSE)),1,0)</f>
        <v>0</v>
      </c>
      <c r="AE59">
        <f>IF(AND(gamma!AD18=1, VLOOKUP($A59,'40Trips'!$A$43:$I$46, 3,FALSE)=VLOOKUP(AE$1,'40Trips'!$A$3:$I$42,3,FALSE)),1,0)</f>
        <v>0</v>
      </c>
      <c r="AF59">
        <f>IF(AND(gamma!AE18=1, VLOOKUP($A59,'40Trips'!$A$43:$I$46, 3,FALSE)=VLOOKUP(AF$1,'40Trips'!$A$3:$I$42,3,FALSE)),1,0)</f>
        <v>0</v>
      </c>
      <c r="AG59">
        <f>IF(AND(gamma!AF18=1, VLOOKUP($A59,'40Trips'!$A$43:$I$46, 3,FALSE)=VLOOKUP(AG$1,'40Trips'!$A$3:$I$42,3,FALSE)),1,0)</f>
        <v>0</v>
      </c>
      <c r="AH59">
        <f>IF(AND(gamma!AG18=1, VLOOKUP($A59,'40Trips'!$A$43:$I$46, 3,FALSE)=VLOOKUP(AH$1,'40Trips'!$A$3:$I$42,3,FALSE)),1,0)</f>
        <v>0</v>
      </c>
      <c r="AI59">
        <f>IF(AND(gamma!AH18=1, VLOOKUP($A59,'40Trips'!$A$43:$I$46, 3,FALSE)=VLOOKUP(AI$1,'40Trips'!$A$3:$I$42,3,FALSE)),1,0)</f>
        <v>0</v>
      </c>
      <c r="AJ59">
        <f>IF(AND(gamma!AI18=1, VLOOKUP($A59,'40Trips'!$A$43:$I$46, 3,FALSE)=VLOOKUP(AJ$1,'40Trips'!$A$3:$I$42,3,FALSE)),1,0)</f>
        <v>0</v>
      </c>
      <c r="AK59">
        <f>IF(AND(gamma!AJ18=1, VLOOKUP($A59,'40Trips'!$A$43:$I$46, 3,FALSE)=VLOOKUP(AK$1,'40Trips'!$A$3:$I$42,3,FALSE)),1,0)</f>
        <v>0</v>
      </c>
      <c r="AL59">
        <f>IF(AND(gamma!AK18=1, VLOOKUP($A59,'40Trips'!$A$43:$I$46, 3,FALSE)=VLOOKUP(AL$1,'40Trips'!$A$3:$I$42,3,FALSE)),1,0)</f>
        <v>0</v>
      </c>
      <c r="AM59">
        <f>IF(AND(gamma!AL18=1, VLOOKUP($A59,'40Trips'!$A$43:$I$46, 3,FALSE)=VLOOKUP(AM$1,'40Trips'!$A$3:$I$42,3,FALSE)),1,0)</f>
        <v>0</v>
      </c>
      <c r="AN59">
        <f>IF(AND(gamma!AM18=1, VLOOKUP($A59,'40Trips'!$A$43:$I$46, 3,FALSE)=VLOOKUP(AN$1,'40Trips'!$A$3:$I$42,3,FALSE)),1,0)</f>
        <v>0</v>
      </c>
      <c r="AO59">
        <f>IF(AND(gamma!AN18=1, VLOOKUP($A59,'40Trips'!$A$43:$I$46, 3,FALSE)=VLOOKUP(AO$1,'40Trips'!$A$3:$I$42,3,FALSE)),1,0)</f>
        <v>0</v>
      </c>
      <c r="AP59">
        <f>IF(AND(gamma!AO18=1, VLOOKUP($A59,'40Trips'!$A$43:$I$46, 3,FALSE)=VLOOKUP(AP$1,'40Trips'!$A$3:$I$42,3,FALSE)),1,0)</f>
        <v>0</v>
      </c>
      <c r="AQ59">
        <f>IF(AND(gamma!AP18=1, VLOOKUP($A59,'40Trips'!$A$43:$I$46, 3,FALSE)=VLOOKUP(AQ$1,'40Trips'!$A$3:$I$42,3,FALSE)),1,0)</f>
        <v>0</v>
      </c>
    </row>
    <row r="60" spans="1:43" x14ac:dyDescent="0.25">
      <c r="A60" t="s">
        <v>62</v>
      </c>
      <c r="B60" t="s">
        <v>75</v>
      </c>
      <c r="C60">
        <v>0</v>
      </c>
      <c r="D60">
        <f>IF(AND(gamma!C19=1, VLOOKUP($A60,'40Trips'!$A$43:$I$46, 3,FALSE)=VLOOKUP(D$1,'40Trips'!$A$3:$I$42,3,FALSE)),1,0)</f>
        <v>1</v>
      </c>
      <c r="E60">
        <f>IF(AND(gamma!D19=1, VLOOKUP($A60,'40Trips'!$A$43:$I$46, 3,FALSE)=VLOOKUP(E$1,'40Trips'!$A$3:$I$42,3,FALSE)),1,0)</f>
        <v>1</v>
      </c>
      <c r="F60">
        <f>IF(AND(gamma!E19=1, VLOOKUP($A60,'40Trips'!$A$43:$I$46, 3,FALSE)=VLOOKUP(F$1,'40Trips'!$A$3:$I$42,3,FALSE)),1,0)</f>
        <v>1</v>
      </c>
      <c r="G60">
        <f>IF(AND(gamma!F19=1, VLOOKUP($A60,'40Trips'!$A$43:$I$46, 3,FALSE)=VLOOKUP(G$1,'40Trips'!$A$3:$I$42,3,FALSE)),1,0)</f>
        <v>1</v>
      </c>
      <c r="H60">
        <f>IF(AND(gamma!G19=1, VLOOKUP($A60,'40Trips'!$A$43:$I$46, 3,FALSE)=VLOOKUP(H$1,'40Trips'!$A$3:$I$42,3,FALSE)),1,0)</f>
        <v>1</v>
      </c>
      <c r="I60">
        <f>IF(AND(gamma!H19=1, VLOOKUP($A60,'40Trips'!$A$43:$I$46, 3,FALSE)=VLOOKUP(I$1,'40Trips'!$A$3:$I$42,3,FALSE)),1,0)</f>
        <v>1</v>
      </c>
      <c r="J60">
        <f>IF(AND(gamma!I19=1, VLOOKUP($A60,'40Trips'!$A$43:$I$46, 3,FALSE)=VLOOKUP(J$1,'40Trips'!$A$3:$I$42,3,FALSE)),1,0)</f>
        <v>1</v>
      </c>
      <c r="K60">
        <f>IF(AND(gamma!J19=1, VLOOKUP($A60,'40Trips'!$A$43:$I$46, 3,FALSE)=VLOOKUP(K$1,'40Trips'!$A$3:$I$42,3,FALSE)),1,0)</f>
        <v>1</v>
      </c>
      <c r="L60">
        <f>IF(AND(gamma!K19=1, VLOOKUP($A60,'40Trips'!$A$43:$I$46, 3,FALSE)=VLOOKUP(L$1,'40Trips'!$A$3:$I$42,3,FALSE)),1,0)</f>
        <v>1</v>
      </c>
      <c r="M60">
        <f>IF(AND(gamma!L19=1, VLOOKUP($A60,'40Trips'!$A$43:$I$46, 3,FALSE)=VLOOKUP(M$1,'40Trips'!$A$3:$I$42,3,FALSE)),1,0)</f>
        <v>1</v>
      </c>
      <c r="N60">
        <f>IF(AND(gamma!M19=1, VLOOKUP($A60,'40Trips'!$A$43:$I$46, 3,FALSE)=VLOOKUP(N$1,'40Trips'!$A$3:$I$42,3,FALSE)),1,0)</f>
        <v>1</v>
      </c>
      <c r="O60">
        <f>IF(AND(gamma!N19=1, VLOOKUP($A60,'40Trips'!$A$43:$I$46, 3,FALSE)=VLOOKUP(O$1,'40Trips'!$A$3:$I$42,3,FALSE)),1,0)</f>
        <v>0</v>
      </c>
      <c r="P60">
        <f>IF(AND(gamma!O19=1, VLOOKUP($A60,'40Trips'!$A$43:$I$46, 3,FALSE)=VLOOKUP(P$1,'40Trips'!$A$3:$I$42,3,FALSE)),1,0)</f>
        <v>0</v>
      </c>
      <c r="Q60">
        <f>IF(AND(gamma!P19=1, VLOOKUP($A60,'40Trips'!$A$43:$I$46, 3,FALSE)=VLOOKUP(Q$1,'40Trips'!$A$3:$I$42,3,FALSE)),1,0)</f>
        <v>0</v>
      </c>
      <c r="R60">
        <f>IF(AND(gamma!Q19=1, VLOOKUP($A60,'40Trips'!$A$43:$I$46, 3,FALSE)=VLOOKUP(R$1,'40Trips'!$A$3:$I$42,3,FALSE)),1,0)</f>
        <v>0</v>
      </c>
      <c r="S60">
        <f>IF(AND(gamma!R19=1, VLOOKUP($A60,'40Trips'!$A$43:$I$46, 3,FALSE)=VLOOKUP(S$1,'40Trips'!$A$3:$I$42,3,FALSE)),1,0)</f>
        <v>0</v>
      </c>
      <c r="T60">
        <f>IF(AND(gamma!S19=1, VLOOKUP($A60,'40Trips'!$A$43:$I$46, 3,FALSE)=VLOOKUP(T$1,'40Trips'!$A$3:$I$42,3,FALSE)),1,0)</f>
        <v>0</v>
      </c>
      <c r="U60">
        <f>IF(AND(gamma!T19=1, VLOOKUP($A60,'40Trips'!$A$43:$I$46, 3,FALSE)=VLOOKUP(U$1,'40Trips'!$A$3:$I$42,3,FALSE)),1,0)</f>
        <v>0</v>
      </c>
      <c r="V60">
        <f>IF(AND(gamma!U19=1, VLOOKUP($A60,'40Trips'!$A$43:$I$46, 3,FALSE)=VLOOKUP(V$1,'40Trips'!$A$3:$I$42,3,FALSE)),1,0)</f>
        <v>0</v>
      </c>
      <c r="W60">
        <f>IF(AND(gamma!V19=1, VLOOKUP($A60,'40Trips'!$A$43:$I$46, 3,FALSE)=VLOOKUP(W$1,'40Trips'!$A$3:$I$42,3,FALSE)),1,0)</f>
        <v>0</v>
      </c>
      <c r="X60">
        <f>IF(AND(gamma!W19=1, VLOOKUP($A60,'40Trips'!$A$43:$I$46, 3,FALSE)=VLOOKUP(X$1,'40Trips'!$A$3:$I$42,3,FALSE)),1,0)</f>
        <v>0</v>
      </c>
      <c r="Y60">
        <f>IF(AND(gamma!X19=1, VLOOKUP($A60,'40Trips'!$A$43:$I$46, 3,FALSE)=VLOOKUP(Y$1,'40Trips'!$A$3:$I$42,3,FALSE)),1,0)</f>
        <v>0</v>
      </c>
      <c r="Z60">
        <f>IF(AND(gamma!Y19=1, VLOOKUP($A60,'40Trips'!$A$43:$I$46, 3,FALSE)=VLOOKUP(Z$1,'40Trips'!$A$3:$I$42,3,FALSE)),1,0)</f>
        <v>0</v>
      </c>
      <c r="AA60">
        <f>IF(AND(gamma!Z19=1, VLOOKUP($A60,'40Trips'!$A$43:$I$46, 3,FALSE)=VLOOKUP(AA$1,'40Trips'!$A$3:$I$42,3,FALSE)),1,0)</f>
        <v>0</v>
      </c>
      <c r="AB60">
        <f>IF(AND(gamma!AA19=1, VLOOKUP($A60,'40Trips'!$A$43:$I$46, 3,FALSE)=VLOOKUP(AB$1,'40Trips'!$A$3:$I$42,3,FALSE)),1,0)</f>
        <v>0</v>
      </c>
      <c r="AC60">
        <f>IF(AND(gamma!AB19=1, VLOOKUP($A60,'40Trips'!$A$43:$I$46, 3,FALSE)=VLOOKUP(AC$1,'40Trips'!$A$3:$I$42,3,FALSE)),1,0)</f>
        <v>0</v>
      </c>
      <c r="AD60">
        <f>IF(AND(gamma!AC19=1, VLOOKUP($A60,'40Trips'!$A$43:$I$46, 3,FALSE)=VLOOKUP(AD$1,'40Trips'!$A$3:$I$42,3,FALSE)),1,0)</f>
        <v>0</v>
      </c>
      <c r="AE60">
        <f>IF(AND(gamma!AD19=1, VLOOKUP($A60,'40Trips'!$A$43:$I$46, 3,FALSE)=VLOOKUP(AE$1,'40Trips'!$A$3:$I$42,3,FALSE)),1,0)</f>
        <v>0</v>
      </c>
      <c r="AF60">
        <f>IF(AND(gamma!AE19=1, VLOOKUP($A60,'40Trips'!$A$43:$I$46, 3,FALSE)=VLOOKUP(AF$1,'40Trips'!$A$3:$I$42,3,FALSE)),1,0)</f>
        <v>0</v>
      </c>
      <c r="AG60">
        <f>IF(AND(gamma!AF19=1, VLOOKUP($A60,'40Trips'!$A$43:$I$46, 3,FALSE)=VLOOKUP(AG$1,'40Trips'!$A$3:$I$42,3,FALSE)),1,0)</f>
        <v>0</v>
      </c>
      <c r="AH60">
        <f>IF(AND(gamma!AG19=1, VLOOKUP($A60,'40Trips'!$A$43:$I$46, 3,FALSE)=VLOOKUP(AH$1,'40Trips'!$A$3:$I$42,3,FALSE)),1,0)</f>
        <v>0</v>
      </c>
      <c r="AI60">
        <f>IF(AND(gamma!AH19=1, VLOOKUP($A60,'40Trips'!$A$43:$I$46, 3,FALSE)=VLOOKUP(AI$1,'40Trips'!$A$3:$I$42,3,FALSE)),1,0)</f>
        <v>0</v>
      </c>
      <c r="AJ60">
        <f>IF(AND(gamma!AI19=1, VLOOKUP($A60,'40Trips'!$A$43:$I$46, 3,FALSE)=VLOOKUP(AJ$1,'40Trips'!$A$3:$I$42,3,FALSE)),1,0)</f>
        <v>0</v>
      </c>
      <c r="AK60">
        <f>IF(AND(gamma!AJ19=1, VLOOKUP($A60,'40Trips'!$A$43:$I$46, 3,FALSE)=VLOOKUP(AK$1,'40Trips'!$A$3:$I$42,3,FALSE)),1,0)</f>
        <v>0</v>
      </c>
      <c r="AL60">
        <f>IF(AND(gamma!AK19=1, VLOOKUP($A60,'40Trips'!$A$43:$I$46, 3,FALSE)=VLOOKUP(AL$1,'40Trips'!$A$3:$I$42,3,FALSE)),1,0)</f>
        <v>0</v>
      </c>
      <c r="AM60">
        <f>IF(AND(gamma!AL19=1, VLOOKUP($A60,'40Trips'!$A$43:$I$46, 3,FALSE)=VLOOKUP(AM$1,'40Trips'!$A$3:$I$42,3,FALSE)),1,0)</f>
        <v>0</v>
      </c>
      <c r="AN60">
        <f>IF(AND(gamma!AM19=1, VLOOKUP($A60,'40Trips'!$A$43:$I$46, 3,FALSE)=VLOOKUP(AN$1,'40Trips'!$A$3:$I$42,3,FALSE)),1,0)</f>
        <v>0</v>
      </c>
      <c r="AO60">
        <f>IF(AND(gamma!AN19=1, VLOOKUP($A60,'40Trips'!$A$43:$I$46, 3,FALSE)=VLOOKUP(AO$1,'40Trips'!$A$3:$I$42,3,FALSE)),1,0)</f>
        <v>0</v>
      </c>
      <c r="AP60">
        <f>IF(AND(gamma!AO19=1, VLOOKUP($A60,'40Trips'!$A$43:$I$46, 3,FALSE)=VLOOKUP(AP$1,'40Trips'!$A$3:$I$42,3,FALSE)),1,0)</f>
        <v>0</v>
      </c>
      <c r="AQ60">
        <f>IF(AND(gamma!AP19=1, VLOOKUP($A60,'40Trips'!$A$43:$I$46, 3,FALSE)=VLOOKUP(AQ$1,'40Trips'!$A$3:$I$42,3,FALSE)),1,0)</f>
        <v>0</v>
      </c>
    </row>
    <row r="61" spans="1:43" x14ac:dyDescent="0.25">
      <c r="A61" t="s">
        <v>62</v>
      </c>
      <c r="B61" t="s">
        <v>76</v>
      </c>
      <c r="C61">
        <v>0</v>
      </c>
      <c r="D61">
        <f>IF(AND(gamma!C20=1, VLOOKUP($A61,'40Trips'!$A$43:$I$46, 3,FALSE)=VLOOKUP(D$1,'40Trips'!$A$3:$I$42,3,FALSE)),1,0)</f>
        <v>0</v>
      </c>
      <c r="E61">
        <f>IF(AND(gamma!D20=1, VLOOKUP($A61,'40Trips'!$A$43:$I$46, 3,FALSE)=VLOOKUP(E$1,'40Trips'!$A$3:$I$42,3,FALSE)),1,0)</f>
        <v>0</v>
      </c>
      <c r="F61">
        <f>IF(AND(gamma!E20=1, VLOOKUP($A61,'40Trips'!$A$43:$I$46, 3,FALSE)=VLOOKUP(F$1,'40Trips'!$A$3:$I$42,3,FALSE)),1,0)</f>
        <v>1</v>
      </c>
      <c r="G61">
        <f>IF(AND(gamma!F20=1, VLOOKUP($A61,'40Trips'!$A$43:$I$46, 3,FALSE)=VLOOKUP(G$1,'40Trips'!$A$3:$I$42,3,FALSE)),1,0)</f>
        <v>1</v>
      </c>
      <c r="H61">
        <f>IF(AND(gamma!G20=1, VLOOKUP($A61,'40Trips'!$A$43:$I$46, 3,FALSE)=VLOOKUP(H$1,'40Trips'!$A$3:$I$42,3,FALSE)),1,0)</f>
        <v>0</v>
      </c>
      <c r="I61">
        <f>IF(AND(gamma!H20=1, VLOOKUP($A61,'40Trips'!$A$43:$I$46, 3,FALSE)=VLOOKUP(I$1,'40Trips'!$A$3:$I$42,3,FALSE)),1,0)</f>
        <v>0</v>
      </c>
      <c r="J61">
        <f>IF(AND(gamma!I20=1, VLOOKUP($A61,'40Trips'!$A$43:$I$46, 3,FALSE)=VLOOKUP(J$1,'40Trips'!$A$3:$I$42,3,FALSE)),1,0)</f>
        <v>1</v>
      </c>
      <c r="K61">
        <f>IF(AND(gamma!J20=1, VLOOKUP($A61,'40Trips'!$A$43:$I$46, 3,FALSE)=VLOOKUP(K$1,'40Trips'!$A$3:$I$42,3,FALSE)),1,0)</f>
        <v>1</v>
      </c>
      <c r="L61">
        <f>IF(AND(gamma!K20=1, VLOOKUP($A61,'40Trips'!$A$43:$I$46, 3,FALSE)=VLOOKUP(L$1,'40Trips'!$A$3:$I$42,3,FALSE)),1,0)</f>
        <v>0</v>
      </c>
      <c r="M61">
        <f>IF(AND(gamma!L20=1, VLOOKUP($A61,'40Trips'!$A$43:$I$46, 3,FALSE)=VLOOKUP(M$1,'40Trips'!$A$3:$I$42,3,FALSE)),1,0)</f>
        <v>0</v>
      </c>
      <c r="N61">
        <f>IF(AND(gamma!M20=1, VLOOKUP($A61,'40Trips'!$A$43:$I$46, 3,FALSE)=VLOOKUP(N$1,'40Trips'!$A$3:$I$42,3,FALSE)),1,0)</f>
        <v>1</v>
      </c>
      <c r="O61">
        <f>IF(AND(gamma!N20=1, VLOOKUP($A61,'40Trips'!$A$43:$I$46, 3,FALSE)=VLOOKUP(O$1,'40Trips'!$A$3:$I$42,3,FALSE)),1,0)</f>
        <v>0</v>
      </c>
      <c r="P61">
        <f>IF(AND(gamma!O20=1, VLOOKUP($A61,'40Trips'!$A$43:$I$46, 3,FALSE)=VLOOKUP(P$1,'40Trips'!$A$3:$I$42,3,FALSE)),1,0)</f>
        <v>0</v>
      </c>
      <c r="Q61">
        <f>IF(AND(gamma!P20=1, VLOOKUP($A61,'40Trips'!$A$43:$I$46, 3,FALSE)=VLOOKUP(Q$1,'40Trips'!$A$3:$I$42,3,FALSE)),1,0)</f>
        <v>0</v>
      </c>
      <c r="R61">
        <f>IF(AND(gamma!Q20=1, VLOOKUP($A61,'40Trips'!$A$43:$I$46, 3,FALSE)=VLOOKUP(R$1,'40Trips'!$A$3:$I$42,3,FALSE)),1,0)</f>
        <v>0</v>
      </c>
      <c r="S61">
        <f>IF(AND(gamma!R20=1, VLOOKUP($A61,'40Trips'!$A$43:$I$46, 3,FALSE)=VLOOKUP(S$1,'40Trips'!$A$3:$I$42,3,FALSE)),1,0)</f>
        <v>0</v>
      </c>
      <c r="T61">
        <f>IF(AND(gamma!S20=1, VLOOKUP($A61,'40Trips'!$A$43:$I$46, 3,FALSE)=VLOOKUP(T$1,'40Trips'!$A$3:$I$42,3,FALSE)),1,0)</f>
        <v>0</v>
      </c>
      <c r="U61">
        <f>IF(AND(gamma!T20=1, VLOOKUP($A61,'40Trips'!$A$43:$I$46, 3,FALSE)=VLOOKUP(U$1,'40Trips'!$A$3:$I$42,3,FALSE)),1,0)</f>
        <v>0</v>
      </c>
      <c r="V61">
        <f>IF(AND(gamma!U20=1, VLOOKUP($A61,'40Trips'!$A$43:$I$46, 3,FALSE)=VLOOKUP(V$1,'40Trips'!$A$3:$I$42,3,FALSE)),1,0)</f>
        <v>0</v>
      </c>
      <c r="W61">
        <f>IF(AND(gamma!V20=1, VLOOKUP($A61,'40Trips'!$A$43:$I$46, 3,FALSE)=VLOOKUP(W$1,'40Trips'!$A$3:$I$42,3,FALSE)),1,0)</f>
        <v>0</v>
      </c>
      <c r="X61">
        <f>IF(AND(gamma!W20=1, VLOOKUP($A61,'40Trips'!$A$43:$I$46, 3,FALSE)=VLOOKUP(X$1,'40Trips'!$A$3:$I$42,3,FALSE)),1,0)</f>
        <v>0</v>
      </c>
      <c r="Y61">
        <f>IF(AND(gamma!X20=1, VLOOKUP($A61,'40Trips'!$A$43:$I$46, 3,FALSE)=VLOOKUP(Y$1,'40Trips'!$A$3:$I$42,3,FALSE)),1,0)</f>
        <v>0</v>
      </c>
      <c r="Z61">
        <f>IF(AND(gamma!Y20=1, VLOOKUP($A61,'40Trips'!$A$43:$I$46, 3,FALSE)=VLOOKUP(Z$1,'40Trips'!$A$3:$I$42,3,FALSE)),1,0)</f>
        <v>0</v>
      </c>
      <c r="AA61">
        <f>IF(AND(gamma!Z20=1, VLOOKUP($A61,'40Trips'!$A$43:$I$46, 3,FALSE)=VLOOKUP(AA$1,'40Trips'!$A$3:$I$42,3,FALSE)),1,0)</f>
        <v>0</v>
      </c>
      <c r="AB61">
        <f>IF(AND(gamma!AA20=1, VLOOKUP($A61,'40Trips'!$A$43:$I$46, 3,FALSE)=VLOOKUP(AB$1,'40Trips'!$A$3:$I$42,3,FALSE)),1,0)</f>
        <v>0</v>
      </c>
      <c r="AC61">
        <f>IF(AND(gamma!AB20=1, VLOOKUP($A61,'40Trips'!$A$43:$I$46, 3,FALSE)=VLOOKUP(AC$1,'40Trips'!$A$3:$I$42,3,FALSE)),1,0)</f>
        <v>0</v>
      </c>
      <c r="AD61">
        <f>IF(AND(gamma!AC20=1, VLOOKUP($A61,'40Trips'!$A$43:$I$46, 3,FALSE)=VLOOKUP(AD$1,'40Trips'!$A$3:$I$42,3,FALSE)),1,0)</f>
        <v>0</v>
      </c>
      <c r="AE61">
        <f>IF(AND(gamma!AD20=1, VLOOKUP($A61,'40Trips'!$A$43:$I$46, 3,FALSE)=VLOOKUP(AE$1,'40Trips'!$A$3:$I$42,3,FALSE)),1,0)</f>
        <v>0</v>
      </c>
      <c r="AF61">
        <f>IF(AND(gamma!AE20=1, VLOOKUP($A61,'40Trips'!$A$43:$I$46, 3,FALSE)=VLOOKUP(AF$1,'40Trips'!$A$3:$I$42,3,FALSE)),1,0)</f>
        <v>0</v>
      </c>
      <c r="AG61">
        <f>IF(AND(gamma!AF20=1, VLOOKUP($A61,'40Trips'!$A$43:$I$46, 3,FALSE)=VLOOKUP(AG$1,'40Trips'!$A$3:$I$42,3,FALSE)),1,0)</f>
        <v>0</v>
      </c>
      <c r="AH61">
        <f>IF(AND(gamma!AG20=1, VLOOKUP($A61,'40Trips'!$A$43:$I$46, 3,FALSE)=VLOOKUP(AH$1,'40Trips'!$A$3:$I$42,3,FALSE)),1,0)</f>
        <v>0</v>
      </c>
      <c r="AI61">
        <f>IF(AND(gamma!AH20=1, VLOOKUP($A61,'40Trips'!$A$43:$I$46, 3,FALSE)=VLOOKUP(AI$1,'40Trips'!$A$3:$I$42,3,FALSE)),1,0)</f>
        <v>0</v>
      </c>
      <c r="AJ61">
        <f>IF(AND(gamma!AI20=1, VLOOKUP($A61,'40Trips'!$A$43:$I$46, 3,FALSE)=VLOOKUP(AJ$1,'40Trips'!$A$3:$I$42,3,FALSE)),1,0)</f>
        <v>0</v>
      </c>
      <c r="AK61">
        <f>IF(AND(gamma!AJ20=1, VLOOKUP($A61,'40Trips'!$A$43:$I$46, 3,FALSE)=VLOOKUP(AK$1,'40Trips'!$A$3:$I$42,3,FALSE)),1,0)</f>
        <v>0</v>
      </c>
      <c r="AL61">
        <f>IF(AND(gamma!AK20=1, VLOOKUP($A61,'40Trips'!$A$43:$I$46, 3,FALSE)=VLOOKUP(AL$1,'40Trips'!$A$3:$I$42,3,FALSE)),1,0)</f>
        <v>0</v>
      </c>
      <c r="AM61">
        <f>IF(AND(gamma!AL20=1, VLOOKUP($A61,'40Trips'!$A$43:$I$46, 3,FALSE)=VLOOKUP(AM$1,'40Trips'!$A$3:$I$42,3,FALSE)),1,0)</f>
        <v>0</v>
      </c>
      <c r="AN61">
        <f>IF(AND(gamma!AM20=1, VLOOKUP($A61,'40Trips'!$A$43:$I$46, 3,FALSE)=VLOOKUP(AN$1,'40Trips'!$A$3:$I$42,3,FALSE)),1,0)</f>
        <v>0</v>
      </c>
      <c r="AO61">
        <f>IF(AND(gamma!AN20=1, VLOOKUP($A61,'40Trips'!$A$43:$I$46, 3,FALSE)=VLOOKUP(AO$1,'40Trips'!$A$3:$I$42,3,FALSE)),1,0)</f>
        <v>0</v>
      </c>
      <c r="AP61">
        <f>IF(AND(gamma!AO20=1, VLOOKUP($A61,'40Trips'!$A$43:$I$46, 3,FALSE)=VLOOKUP(AP$1,'40Trips'!$A$3:$I$42,3,FALSE)),1,0)</f>
        <v>0</v>
      </c>
      <c r="AQ61">
        <f>IF(AND(gamma!AP20=1, VLOOKUP($A61,'40Trips'!$A$43:$I$46, 3,FALSE)=VLOOKUP(AQ$1,'40Trips'!$A$3:$I$42,3,FALSE)),1,0)</f>
        <v>0</v>
      </c>
    </row>
    <row r="62" spans="1:43" x14ac:dyDescent="0.25">
      <c r="A62" t="s">
        <v>62</v>
      </c>
      <c r="B62" t="s">
        <v>77</v>
      </c>
      <c r="C62">
        <v>0</v>
      </c>
      <c r="D62">
        <f>IF(AND(gamma!C21=1, VLOOKUP($A62,'40Trips'!$A$43:$I$46, 3,FALSE)=VLOOKUP(D$1,'40Trips'!$A$3:$I$42,3,FALSE)),1,0)</f>
        <v>0</v>
      </c>
      <c r="E62">
        <f>IF(AND(gamma!D21=1, VLOOKUP($A62,'40Trips'!$A$43:$I$46, 3,FALSE)=VLOOKUP(E$1,'40Trips'!$A$3:$I$42,3,FALSE)),1,0)</f>
        <v>0</v>
      </c>
      <c r="F62">
        <f>IF(AND(gamma!E21=1, VLOOKUP($A62,'40Trips'!$A$43:$I$46, 3,FALSE)=VLOOKUP(F$1,'40Trips'!$A$3:$I$42,3,FALSE)),1,0)</f>
        <v>0</v>
      </c>
      <c r="G62">
        <f>IF(AND(gamma!F21=1, VLOOKUP($A62,'40Trips'!$A$43:$I$46, 3,FALSE)=VLOOKUP(G$1,'40Trips'!$A$3:$I$42,3,FALSE)),1,0)</f>
        <v>0</v>
      </c>
      <c r="H62">
        <f>IF(AND(gamma!G21=1, VLOOKUP($A62,'40Trips'!$A$43:$I$46, 3,FALSE)=VLOOKUP(H$1,'40Trips'!$A$3:$I$42,3,FALSE)),1,0)</f>
        <v>0</v>
      </c>
      <c r="I62">
        <f>IF(AND(gamma!H21=1, VLOOKUP($A62,'40Trips'!$A$43:$I$46, 3,FALSE)=VLOOKUP(I$1,'40Trips'!$A$3:$I$42,3,FALSE)),1,0)</f>
        <v>0</v>
      </c>
      <c r="J62">
        <f>IF(AND(gamma!I21=1, VLOOKUP($A62,'40Trips'!$A$43:$I$46, 3,FALSE)=VLOOKUP(J$1,'40Trips'!$A$3:$I$42,3,FALSE)),1,0)</f>
        <v>0</v>
      </c>
      <c r="K62">
        <f>IF(AND(gamma!J21=1, VLOOKUP($A62,'40Trips'!$A$43:$I$46, 3,FALSE)=VLOOKUP(K$1,'40Trips'!$A$3:$I$42,3,FALSE)),1,0)</f>
        <v>1</v>
      </c>
      <c r="L62">
        <f>IF(AND(gamma!K21=1, VLOOKUP($A62,'40Trips'!$A$43:$I$46, 3,FALSE)=VLOOKUP(L$1,'40Trips'!$A$3:$I$42,3,FALSE)),1,0)</f>
        <v>0</v>
      </c>
      <c r="M62">
        <f>IF(AND(gamma!L21=1, VLOOKUP($A62,'40Trips'!$A$43:$I$46, 3,FALSE)=VLOOKUP(M$1,'40Trips'!$A$3:$I$42,3,FALSE)),1,0)</f>
        <v>0</v>
      </c>
      <c r="N62">
        <f>IF(AND(gamma!M21=1, VLOOKUP($A62,'40Trips'!$A$43:$I$46, 3,FALSE)=VLOOKUP(N$1,'40Trips'!$A$3:$I$42,3,FALSE)),1,0)</f>
        <v>0</v>
      </c>
      <c r="O62">
        <f>IF(AND(gamma!N21=1, VLOOKUP($A62,'40Trips'!$A$43:$I$46, 3,FALSE)=VLOOKUP(O$1,'40Trips'!$A$3:$I$42,3,FALSE)),1,0)</f>
        <v>0</v>
      </c>
      <c r="P62">
        <f>IF(AND(gamma!O21=1, VLOOKUP($A62,'40Trips'!$A$43:$I$46, 3,FALSE)=VLOOKUP(P$1,'40Trips'!$A$3:$I$42,3,FALSE)),1,0)</f>
        <v>0</v>
      </c>
      <c r="Q62">
        <f>IF(AND(gamma!P21=1, VLOOKUP($A62,'40Trips'!$A$43:$I$46, 3,FALSE)=VLOOKUP(Q$1,'40Trips'!$A$3:$I$42,3,FALSE)),1,0)</f>
        <v>0</v>
      </c>
      <c r="R62">
        <f>IF(AND(gamma!Q21=1, VLOOKUP($A62,'40Trips'!$A$43:$I$46, 3,FALSE)=VLOOKUP(R$1,'40Trips'!$A$3:$I$42,3,FALSE)),1,0)</f>
        <v>0</v>
      </c>
      <c r="S62">
        <f>IF(AND(gamma!R21=1, VLOOKUP($A62,'40Trips'!$A$43:$I$46, 3,FALSE)=VLOOKUP(S$1,'40Trips'!$A$3:$I$42,3,FALSE)),1,0)</f>
        <v>0</v>
      </c>
      <c r="T62">
        <f>IF(AND(gamma!S21=1, VLOOKUP($A62,'40Trips'!$A$43:$I$46, 3,FALSE)=VLOOKUP(T$1,'40Trips'!$A$3:$I$42,3,FALSE)),1,0)</f>
        <v>0</v>
      </c>
      <c r="U62">
        <f>IF(AND(gamma!T21=1, VLOOKUP($A62,'40Trips'!$A$43:$I$46, 3,FALSE)=VLOOKUP(U$1,'40Trips'!$A$3:$I$42,3,FALSE)),1,0)</f>
        <v>0</v>
      </c>
      <c r="V62">
        <f>IF(AND(gamma!U21=1, VLOOKUP($A62,'40Trips'!$A$43:$I$46, 3,FALSE)=VLOOKUP(V$1,'40Trips'!$A$3:$I$42,3,FALSE)),1,0)</f>
        <v>0</v>
      </c>
      <c r="W62">
        <f>IF(AND(gamma!V21=1, VLOOKUP($A62,'40Trips'!$A$43:$I$46, 3,FALSE)=VLOOKUP(W$1,'40Trips'!$A$3:$I$42,3,FALSE)),1,0)</f>
        <v>0</v>
      </c>
      <c r="X62">
        <f>IF(AND(gamma!W21=1, VLOOKUP($A62,'40Trips'!$A$43:$I$46, 3,FALSE)=VLOOKUP(X$1,'40Trips'!$A$3:$I$42,3,FALSE)),1,0)</f>
        <v>0</v>
      </c>
      <c r="Y62">
        <f>IF(AND(gamma!X21=1, VLOOKUP($A62,'40Trips'!$A$43:$I$46, 3,FALSE)=VLOOKUP(Y$1,'40Trips'!$A$3:$I$42,3,FALSE)),1,0)</f>
        <v>0</v>
      </c>
      <c r="Z62">
        <f>IF(AND(gamma!Y21=1, VLOOKUP($A62,'40Trips'!$A$43:$I$46, 3,FALSE)=VLOOKUP(Z$1,'40Trips'!$A$3:$I$42,3,FALSE)),1,0)</f>
        <v>0</v>
      </c>
      <c r="AA62">
        <f>IF(AND(gamma!Z21=1, VLOOKUP($A62,'40Trips'!$A$43:$I$46, 3,FALSE)=VLOOKUP(AA$1,'40Trips'!$A$3:$I$42,3,FALSE)),1,0)</f>
        <v>0</v>
      </c>
      <c r="AB62">
        <f>IF(AND(gamma!AA21=1, VLOOKUP($A62,'40Trips'!$A$43:$I$46, 3,FALSE)=VLOOKUP(AB$1,'40Trips'!$A$3:$I$42,3,FALSE)),1,0)</f>
        <v>0</v>
      </c>
      <c r="AC62">
        <f>IF(AND(gamma!AB21=1, VLOOKUP($A62,'40Trips'!$A$43:$I$46, 3,FALSE)=VLOOKUP(AC$1,'40Trips'!$A$3:$I$42,3,FALSE)),1,0)</f>
        <v>0</v>
      </c>
      <c r="AD62">
        <f>IF(AND(gamma!AC21=1, VLOOKUP($A62,'40Trips'!$A$43:$I$46, 3,FALSE)=VLOOKUP(AD$1,'40Trips'!$A$3:$I$42,3,FALSE)),1,0)</f>
        <v>0</v>
      </c>
      <c r="AE62">
        <f>IF(AND(gamma!AD21=1, VLOOKUP($A62,'40Trips'!$A$43:$I$46, 3,FALSE)=VLOOKUP(AE$1,'40Trips'!$A$3:$I$42,3,FALSE)),1,0)</f>
        <v>0</v>
      </c>
      <c r="AF62">
        <f>IF(AND(gamma!AE21=1, VLOOKUP($A62,'40Trips'!$A$43:$I$46, 3,FALSE)=VLOOKUP(AF$1,'40Trips'!$A$3:$I$42,3,FALSE)),1,0)</f>
        <v>0</v>
      </c>
      <c r="AG62">
        <f>IF(AND(gamma!AF21=1, VLOOKUP($A62,'40Trips'!$A$43:$I$46, 3,FALSE)=VLOOKUP(AG$1,'40Trips'!$A$3:$I$42,3,FALSE)),1,0)</f>
        <v>0</v>
      </c>
      <c r="AH62">
        <f>IF(AND(gamma!AG21=1, VLOOKUP($A62,'40Trips'!$A$43:$I$46, 3,FALSE)=VLOOKUP(AH$1,'40Trips'!$A$3:$I$42,3,FALSE)),1,0)</f>
        <v>0</v>
      </c>
      <c r="AI62">
        <f>IF(AND(gamma!AH21=1, VLOOKUP($A62,'40Trips'!$A$43:$I$46, 3,FALSE)=VLOOKUP(AI$1,'40Trips'!$A$3:$I$42,3,FALSE)),1,0)</f>
        <v>0</v>
      </c>
      <c r="AJ62">
        <f>IF(AND(gamma!AI21=1, VLOOKUP($A62,'40Trips'!$A$43:$I$46, 3,FALSE)=VLOOKUP(AJ$1,'40Trips'!$A$3:$I$42,3,FALSE)),1,0)</f>
        <v>0</v>
      </c>
      <c r="AK62">
        <f>IF(AND(gamma!AJ21=1, VLOOKUP($A62,'40Trips'!$A$43:$I$46, 3,FALSE)=VLOOKUP(AK$1,'40Trips'!$A$3:$I$42,3,FALSE)),1,0)</f>
        <v>0</v>
      </c>
      <c r="AL62">
        <f>IF(AND(gamma!AK21=1, VLOOKUP($A62,'40Trips'!$A$43:$I$46, 3,FALSE)=VLOOKUP(AL$1,'40Trips'!$A$3:$I$42,3,FALSE)),1,0)</f>
        <v>0</v>
      </c>
      <c r="AM62">
        <f>IF(AND(gamma!AL21=1, VLOOKUP($A62,'40Trips'!$A$43:$I$46, 3,FALSE)=VLOOKUP(AM$1,'40Trips'!$A$3:$I$42,3,FALSE)),1,0)</f>
        <v>0</v>
      </c>
      <c r="AN62">
        <f>IF(AND(gamma!AM21=1, VLOOKUP($A62,'40Trips'!$A$43:$I$46, 3,FALSE)=VLOOKUP(AN$1,'40Trips'!$A$3:$I$42,3,FALSE)),1,0)</f>
        <v>0</v>
      </c>
      <c r="AO62">
        <f>IF(AND(gamma!AN21=1, VLOOKUP($A62,'40Trips'!$A$43:$I$46, 3,FALSE)=VLOOKUP(AO$1,'40Trips'!$A$3:$I$42,3,FALSE)),1,0)</f>
        <v>0</v>
      </c>
      <c r="AP62">
        <f>IF(AND(gamma!AO21=1, VLOOKUP($A62,'40Trips'!$A$43:$I$46, 3,FALSE)=VLOOKUP(AP$1,'40Trips'!$A$3:$I$42,3,FALSE)),1,0)</f>
        <v>0</v>
      </c>
      <c r="AQ62">
        <f>IF(AND(gamma!AP21=1, VLOOKUP($A62,'40Trips'!$A$43:$I$46, 3,FALSE)=VLOOKUP(AQ$1,'40Trips'!$A$3:$I$42,3,FALSE)),1,0)</f>
        <v>0</v>
      </c>
    </row>
    <row r="63" spans="1:43" x14ac:dyDescent="0.25">
      <c r="A63" t="s">
        <v>62</v>
      </c>
      <c r="B63" t="s">
        <v>78</v>
      </c>
      <c r="C63">
        <v>0</v>
      </c>
      <c r="D63">
        <f>IF(AND(gamma!C22=1, VLOOKUP($A63,'40Trips'!$A$43:$I$46, 3,FALSE)=VLOOKUP(D$1,'40Trips'!$A$3:$I$42,3,FALSE)),1,0)</f>
        <v>0</v>
      </c>
      <c r="E63">
        <f>IF(AND(gamma!D22=1, VLOOKUP($A63,'40Trips'!$A$43:$I$46, 3,FALSE)=VLOOKUP(E$1,'40Trips'!$A$3:$I$42,3,FALSE)),1,0)</f>
        <v>0</v>
      </c>
      <c r="F63">
        <f>IF(AND(gamma!E22=1, VLOOKUP($A63,'40Trips'!$A$43:$I$46, 3,FALSE)=VLOOKUP(F$1,'40Trips'!$A$3:$I$42,3,FALSE)),1,0)</f>
        <v>0</v>
      </c>
      <c r="G63">
        <f>IF(AND(gamma!F22=1, VLOOKUP($A63,'40Trips'!$A$43:$I$46, 3,FALSE)=VLOOKUP(G$1,'40Trips'!$A$3:$I$42,3,FALSE)),1,0)</f>
        <v>0</v>
      </c>
      <c r="H63">
        <f>IF(AND(gamma!G22=1, VLOOKUP($A63,'40Trips'!$A$43:$I$46, 3,FALSE)=VLOOKUP(H$1,'40Trips'!$A$3:$I$42,3,FALSE)),1,0)</f>
        <v>0</v>
      </c>
      <c r="I63">
        <f>IF(AND(gamma!H22=1, VLOOKUP($A63,'40Trips'!$A$43:$I$46, 3,FALSE)=VLOOKUP(I$1,'40Trips'!$A$3:$I$42,3,FALSE)),1,0)</f>
        <v>0</v>
      </c>
      <c r="J63">
        <f>IF(AND(gamma!I22=1, VLOOKUP($A63,'40Trips'!$A$43:$I$46, 3,FALSE)=VLOOKUP(J$1,'40Trips'!$A$3:$I$42,3,FALSE)),1,0)</f>
        <v>0</v>
      </c>
      <c r="K63">
        <f>IF(AND(gamma!J22=1, VLOOKUP($A63,'40Trips'!$A$43:$I$46, 3,FALSE)=VLOOKUP(K$1,'40Trips'!$A$3:$I$42,3,FALSE)),1,0)</f>
        <v>1</v>
      </c>
      <c r="L63">
        <f>IF(AND(gamma!K22=1, VLOOKUP($A63,'40Trips'!$A$43:$I$46, 3,FALSE)=VLOOKUP(L$1,'40Trips'!$A$3:$I$42,3,FALSE)),1,0)</f>
        <v>0</v>
      </c>
      <c r="M63">
        <f>IF(AND(gamma!L22=1, VLOOKUP($A63,'40Trips'!$A$43:$I$46, 3,FALSE)=VLOOKUP(M$1,'40Trips'!$A$3:$I$42,3,FALSE)),1,0)</f>
        <v>0</v>
      </c>
      <c r="N63">
        <f>IF(AND(gamma!M22=1, VLOOKUP($A63,'40Trips'!$A$43:$I$46, 3,FALSE)=VLOOKUP(N$1,'40Trips'!$A$3:$I$42,3,FALSE)),1,0)</f>
        <v>0</v>
      </c>
      <c r="O63">
        <f>IF(AND(gamma!N22=1, VLOOKUP($A63,'40Trips'!$A$43:$I$46, 3,FALSE)=VLOOKUP(O$1,'40Trips'!$A$3:$I$42,3,FALSE)),1,0)</f>
        <v>0</v>
      </c>
      <c r="P63">
        <f>IF(AND(gamma!O22=1, VLOOKUP($A63,'40Trips'!$A$43:$I$46, 3,FALSE)=VLOOKUP(P$1,'40Trips'!$A$3:$I$42,3,FALSE)),1,0)</f>
        <v>0</v>
      </c>
      <c r="Q63">
        <f>IF(AND(gamma!P22=1, VLOOKUP($A63,'40Trips'!$A$43:$I$46, 3,FALSE)=VLOOKUP(Q$1,'40Trips'!$A$3:$I$42,3,FALSE)),1,0)</f>
        <v>0</v>
      </c>
      <c r="R63">
        <f>IF(AND(gamma!Q22=1, VLOOKUP($A63,'40Trips'!$A$43:$I$46, 3,FALSE)=VLOOKUP(R$1,'40Trips'!$A$3:$I$42,3,FALSE)),1,0)</f>
        <v>0</v>
      </c>
      <c r="S63">
        <f>IF(AND(gamma!R22=1, VLOOKUP($A63,'40Trips'!$A$43:$I$46, 3,FALSE)=VLOOKUP(S$1,'40Trips'!$A$3:$I$42,3,FALSE)),1,0)</f>
        <v>0</v>
      </c>
      <c r="T63">
        <f>IF(AND(gamma!S22=1, VLOOKUP($A63,'40Trips'!$A$43:$I$46, 3,FALSE)=VLOOKUP(T$1,'40Trips'!$A$3:$I$42,3,FALSE)),1,0)</f>
        <v>0</v>
      </c>
      <c r="U63">
        <f>IF(AND(gamma!T22=1, VLOOKUP($A63,'40Trips'!$A$43:$I$46, 3,FALSE)=VLOOKUP(U$1,'40Trips'!$A$3:$I$42,3,FALSE)),1,0)</f>
        <v>0</v>
      </c>
      <c r="V63">
        <f>IF(AND(gamma!U22=1, VLOOKUP($A63,'40Trips'!$A$43:$I$46, 3,FALSE)=VLOOKUP(V$1,'40Trips'!$A$3:$I$42,3,FALSE)),1,0)</f>
        <v>0</v>
      </c>
      <c r="W63">
        <f>IF(AND(gamma!V22=1, VLOOKUP($A63,'40Trips'!$A$43:$I$46, 3,FALSE)=VLOOKUP(W$1,'40Trips'!$A$3:$I$42,3,FALSE)),1,0)</f>
        <v>0</v>
      </c>
      <c r="X63">
        <f>IF(AND(gamma!W22=1, VLOOKUP($A63,'40Trips'!$A$43:$I$46, 3,FALSE)=VLOOKUP(X$1,'40Trips'!$A$3:$I$42,3,FALSE)),1,0)</f>
        <v>0</v>
      </c>
      <c r="Y63">
        <f>IF(AND(gamma!X22=1, VLOOKUP($A63,'40Trips'!$A$43:$I$46, 3,FALSE)=VLOOKUP(Y$1,'40Trips'!$A$3:$I$42,3,FALSE)),1,0)</f>
        <v>0</v>
      </c>
      <c r="Z63">
        <f>IF(AND(gamma!Y22=1, VLOOKUP($A63,'40Trips'!$A$43:$I$46, 3,FALSE)=VLOOKUP(Z$1,'40Trips'!$A$3:$I$42,3,FALSE)),1,0)</f>
        <v>0</v>
      </c>
      <c r="AA63">
        <f>IF(AND(gamma!Z22=1, VLOOKUP($A63,'40Trips'!$A$43:$I$46, 3,FALSE)=VLOOKUP(AA$1,'40Trips'!$A$3:$I$42,3,FALSE)),1,0)</f>
        <v>0</v>
      </c>
      <c r="AB63">
        <f>IF(AND(gamma!AA22=1, VLOOKUP($A63,'40Trips'!$A$43:$I$46, 3,FALSE)=VLOOKUP(AB$1,'40Trips'!$A$3:$I$42,3,FALSE)),1,0)</f>
        <v>0</v>
      </c>
      <c r="AC63">
        <f>IF(AND(gamma!AB22=1, VLOOKUP($A63,'40Trips'!$A$43:$I$46, 3,FALSE)=VLOOKUP(AC$1,'40Trips'!$A$3:$I$42,3,FALSE)),1,0)</f>
        <v>0</v>
      </c>
      <c r="AD63">
        <f>IF(AND(gamma!AC22=1, VLOOKUP($A63,'40Trips'!$A$43:$I$46, 3,FALSE)=VLOOKUP(AD$1,'40Trips'!$A$3:$I$42,3,FALSE)),1,0)</f>
        <v>0</v>
      </c>
      <c r="AE63">
        <f>IF(AND(gamma!AD22=1, VLOOKUP($A63,'40Trips'!$A$43:$I$46, 3,FALSE)=VLOOKUP(AE$1,'40Trips'!$A$3:$I$42,3,FALSE)),1,0)</f>
        <v>0</v>
      </c>
      <c r="AF63">
        <f>IF(AND(gamma!AE22=1, VLOOKUP($A63,'40Trips'!$A$43:$I$46, 3,FALSE)=VLOOKUP(AF$1,'40Trips'!$A$3:$I$42,3,FALSE)),1,0)</f>
        <v>0</v>
      </c>
      <c r="AG63">
        <f>IF(AND(gamma!AF22=1, VLOOKUP($A63,'40Trips'!$A$43:$I$46, 3,FALSE)=VLOOKUP(AG$1,'40Trips'!$A$3:$I$42,3,FALSE)),1,0)</f>
        <v>0</v>
      </c>
      <c r="AH63">
        <f>IF(AND(gamma!AG22=1, VLOOKUP($A63,'40Trips'!$A$43:$I$46, 3,FALSE)=VLOOKUP(AH$1,'40Trips'!$A$3:$I$42,3,FALSE)),1,0)</f>
        <v>0</v>
      </c>
      <c r="AI63">
        <f>IF(AND(gamma!AH22=1, VLOOKUP($A63,'40Trips'!$A$43:$I$46, 3,FALSE)=VLOOKUP(AI$1,'40Trips'!$A$3:$I$42,3,FALSE)),1,0)</f>
        <v>0</v>
      </c>
      <c r="AJ63">
        <f>IF(AND(gamma!AI22=1, VLOOKUP($A63,'40Trips'!$A$43:$I$46, 3,FALSE)=VLOOKUP(AJ$1,'40Trips'!$A$3:$I$42,3,FALSE)),1,0)</f>
        <v>0</v>
      </c>
      <c r="AK63">
        <f>IF(AND(gamma!AJ22=1, VLOOKUP($A63,'40Trips'!$A$43:$I$46, 3,FALSE)=VLOOKUP(AK$1,'40Trips'!$A$3:$I$42,3,FALSE)),1,0)</f>
        <v>0</v>
      </c>
      <c r="AL63">
        <f>IF(AND(gamma!AK22=1, VLOOKUP($A63,'40Trips'!$A$43:$I$46, 3,FALSE)=VLOOKUP(AL$1,'40Trips'!$A$3:$I$42,3,FALSE)),1,0)</f>
        <v>0</v>
      </c>
      <c r="AM63">
        <f>IF(AND(gamma!AL22=1, VLOOKUP($A63,'40Trips'!$A$43:$I$46, 3,FALSE)=VLOOKUP(AM$1,'40Trips'!$A$3:$I$42,3,FALSE)),1,0)</f>
        <v>0</v>
      </c>
      <c r="AN63">
        <f>IF(AND(gamma!AM22=1, VLOOKUP($A63,'40Trips'!$A$43:$I$46, 3,FALSE)=VLOOKUP(AN$1,'40Trips'!$A$3:$I$42,3,FALSE)),1,0)</f>
        <v>0</v>
      </c>
      <c r="AO63">
        <f>IF(AND(gamma!AN22=1, VLOOKUP($A63,'40Trips'!$A$43:$I$46, 3,FALSE)=VLOOKUP(AO$1,'40Trips'!$A$3:$I$42,3,FALSE)),1,0)</f>
        <v>0</v>
      </c>
      <c r="AP63">
        <f>IF(AND(gamma!AO22=1, VLOOKUP($A63,'40Trips'!$A$43:$I$46, 3,FALSE)=VLOOKUP(AP$1,'40Trips'!$A$3:$I$42,3,FALSE)),1,0)</f>
        <v>0</v>
      </c>
      <c r="AQ63">
        <f>IF(AND(gamma!AP22=1, VLOOKUP($A63,'40Trips'!$A$43:$I$46, 3,FALSE)=VLOOKUP(AQ$1,'40Trips'!$A$3:$I$42,3,FALSE)),1,0)</f>
        <v>0</v>
      </c>
    </row>
    <row r="64" spans="1:43" x14ac:dyDescent="0.25">
      <c r="A64" t="s">
        <v>62</v>
      </c>
      <c r="B64" t="s">
        <v>34</v>
      </c>
      <c r="C64">
        <v>0</v>
      </c>
      <c r="D64">
        <f>IF(AND(gamma!C23=1, VLOOKUP($A64,'40Trips'!$A$43:$I$46, 3,FALSE)=VLOOKUP(D$1,'40Trips'!$A$3:$I$42,3,FALSE)),1,0)</f>
        <v>0</v>
      </c>
      <c r="E64">
        <f>IF(AND(gamma!D23=1, VLOOKUP($A64,'40Trips'!$A$43:$I$46, 3,FALSE)=VLOOKUP(E$1,'40Trips'!$A$3:$I$42,3,FALSE)),1,0)</f>
        <v>1</v>
      </c>
      <c r="F64">
        <f>IF(AND(gamma!E23=1, VLOOKUP($A64,'40Trips'!$A$43:$I$46, 3,FALSE)=VLOOKUP(F$1,'40Trips'!$A$3:$I$42,3,FALSE)),1,0)</f>
        <v>1</v>
      </c>
      <c r="G64">
        <f>IF(AND(gamma!F23=1, VLOOKUP($A64,'40Trips'!$A$43:$I$46, 3,FALSE)=VLOOKUP(G$1,'40Trips'!$A$3:$I$42,3,FALSE)),1,0)</f>
        <v>1</v>
      </c>
      <c r="H64">
        <f>IF(AND(gamma!G23=1, VLOOKUP($A64,'40Trips'!$A$43:$I$46, 3,FALSE)=VLOOKUP(H$1,'40Trips'!$A$3:$I$42,3,FALSE)),1,0)</f>
        <v>0</v>
      </c>
      <c r="I64">
        <f>IF(AND(gamma!H23=1, VLOOKUP($A64,'40Trips'!$A$43:$I$46, 3,FALSE)=VLOOKUP(I$1,'40Trips'!$A$3:$I$42,3,FALSE)),1,0)</f>
        <v>0</v>
      </c>
      <c r="J64">
        <f>IF(AND(gamma!I23=1, VLOOKUP($A64,'40Trips'!$A$43:$I$46, 3,FALSE)=VLOOKUP(J$1,'40Trips'!$A$3:$I$42,3,FALSE)),1,0)</f>
        <v>1</v>
      </c>
      <c r="K64">
        <f>IF(AND(gamma!J23=1, VLOOKUP($A64,'40Trips'!$A$43:$I$46, 3,FALSE)=VLOOKUP(K$1,'40Trips'!$A$3:$I$42,3,FALSE)),1,0)</f>
        <v>1</v>
      </c>
      <c r="L64">
        <f>IF(AND(gamma!K23=1, VLOOKUP($A64,'40Trips'!$A$43:$I$46, 3,FALSE)=VLOOKUP(L$1,'40Trips'!$A$3:$I$42,3,FALSE)),1,0)</f>
        <v>0</v>
      </c>
      <c r="M64">
        <f>IF(AND(gamma!L23=1, VLOOKUP($A64,'40Trips'!$A$43:$I$46, 3,FALSE)=VLOOKUP(M$1,'40Trips'!$A$3:$I$42,3,FALSE)),1,0)</f>
        <v>0</v>
      </c>
      <c r="N64">
        <f>IF(AND(gamma!M23=1, VLOOKUP($A64,'40Trips'!$A$43:$I$46, 3,FALSE)=VLOOKUP(N$1,'40Trips'!$A$3:$I$42,3,FALSE)),1,0)</f>
        <v>1</v>
      </c>
      <c r="O64">
        <f>IF(AND(gamma!N23=1, VLOOKUP($A64,'40Trips'!$A$43:$I$46, 3,FALSE)=VLOOKUP(O$1,'40Trips'!$A$3:$I$42,3,FALSE)),1,0)</f>
        <v>0</v>
      </c>
      <c r="P64">
        <f>IF(AND(gamma!O23=1, VLOOKUP($A64,'40Trips'!$A$43:$I$46, 3,FALSE)=VLOOKUP(P$1,'40Trips'!$A$3:$I$42,3,FALSE)),1,0)</f>
        <v>0</v>
      </c>
      <c r="Q64">
        <f>IF(AND(gamma!P23=1, VLOOKUP($A64,'40Trips'!$A$43:$I$46, 3,FALSE)=VLOOKUP(Q$1,'40Trips'!$A$3:$I$42,3,FALSE)),1,0)</f>
        <v>0</v>
      </c>
      <c r="R64">
        <f>IF(AND(gamma!Q23=1, VLOOKUP($A64,'40Trips'!$A$43:$I$46, 3,FALSE)=VLOOKUP(R$1,'40Trips'!$A$3:$I$42,3,FALSE)),1,0)</f>
        <v>0</v>
      </c>
      <c r="S64">
        <f>IF(AND(gamma!R23=1, VLOOKUP($A64,'40Trips'!$A$43:$I$46, 3,FALSE)=VLOOKUP(S$1,'40Trips'!$A$3:$I$42,3,FALSE)),1,0)</f>
        <v>0</v>
      </c>
      <c r="T64">
        <f>IF(AND(gamma!S23=1, VLOOKUP($A64,'40Trips'!$A$43:$I$46, 3,FALSE)=VLOOKUP(T$1,'40Trips'!$A$3:$I$42,3,FALSE)),1,0)</f>
        <v>0</v>
      </c>
      <c r="U64">
        <f>IF(AND(gamma!T23=1, VLOOKUP($A64,'40Trips'!$A$43:$I$46, 3,FALSE)=VLOOKUP(U$1,'40Trips'!$A$3:$I$42,3,FALSE)),1,0)</f>
        <v>0</v>
      </c>
      <c r="V64">
        <f>IF(AND(gamma!U23=1, VLOOKUP($A64,'40Trips'!$A$43:$I$46, 3,FALSE)=VLOOKUP(V$1,'40Trips'!$A$3:$I$42,3,FALSE)),1,0)</f>
        <v>0</v>
      </c>
      <c r="W64">
        <f>IF(AND(gamma!V23=1, VLOOKUP($A64,'40Trips'!$A$43:$I$46, 3,FALSE)=VLOOKUP(W$1,'40Trips'!$A$3:$I$42,3,FALSE)),1,0)</f>
        <v>0</v>
      </c>
      <c r="X64">
        <f>IF(AND(gamma!W23=1, VLOOKUP($A64,'40Trips'!$A$43:$I$46, 3,FALSE)=VLOOKUP(X$1,'40Trips'!$A$3:$I$42,3,FALSE)),1,0)</f>
        <v>0</v>
      </c>
      <c r="Y64">
        <f>IF(AND(gamma!X23=1, VLOOKUP($A64,'40Trips'!$A$43:$I$46, 3,FALSE)=VLOOKUP(Y$1,'40Trips'!$A$3:$I$42,3,FALSE)),1,0)</f>
        <v>0</v>
      </c>
      <c r="Z64">
        <f>IF(AND(gamma!Y23=1, VLOOKUP($A64,'40Trips'!$A$43:$I$46, 3,FALSE)=VLOOKUP(Z$1,'40Trips'!$A$3:$I$42,3,FALSE)),1,0)</f>
        <v>0</v>
      </c>
      <c r="AA64">
        <f>IF(AND(gamma!Z23=1, VLOOKUP($A64,'40Trips'!$A$43:$I$46, 3,FALSE)=VLOOKUP(AA$1,'40Trips'!$A$3:$I$42,3,FALSE)),1,0)</f>
        <v>0</v>
      </c>
      <c r="AB64">
        <f>IF(AND(gamma!AA23=1, VLOOKUP($A64,'40Trips'!$A$43:$I$46, 3,FALSE)=VLOOKUP(AB$1,'40Trips'!$A$3:$I$42,3,FALSE)),1,0)</f>
        <v>0</v>
      </c>
      <c r="AC64">
        <f>IF(AND(gamma!AB23=1, VLOOKUP($A64,'40Trips'!$A$43:$I$46, 3,FALSE)=VLOOKUP(AC$1,'40Trips'!$A$3:$I$42,3,FALSE)),1,0)</f>
        <v>0</v>
      </c>
      <c r="AD64">
        <f>IF(AND(gamma!AC23=1, VLOOKUP($A64,'40Trips'!$A$43:$I$46, 3,FALSE)=VLOOKUP(AD$1,'40Trips'!$A$3:$I$42,3,FALSE)),1,0)</f>
        <v>0</v>
      </c>
      <c r="AE64">
        <f>IF(AND(gamma!AD23=1, VLOOKUP($A64,'40Trips'!$A$43:$I$46, 3,FALSE)=VLOOKUP(AE$1,'40Trips'!$A$3:$I$42,3,FALSE)),1,0)</f>
        <v>0</v>
      </c>
      <c r="AF64">
        <f>IF(AND(gamma!AE23=1, VLOOKUP($A64,'40Trips'!$A$43:$I$46, 3,FALSE)=VLOOKUP(AF$1,'40Trips'!$A$3:$I$42,3,FALSE)),1,0)</f>
        <v>0</v>
      </c>
      <c r="AG64">
        <f>IF(AND(gamma!AF23=1, VLOOKUP($A64,'40Trips'!$A$43:$I$46, 3,FALSE)=VLOOKUP(AG$1,'40Trips'!$A$3:$I$42,3,FALSE)),1,0)</f>
        <v>0</v>
      </c>
      <c r="AH64">
        <f>IF(AND(gamma!AG23=1, VLOOKUP($A64,'40Trips'!$A$43:$I$46, 3,FALSE)=VLOOKUP(AH$1,'40Trips'!$A$3:$I$42,3,FALSE)),1,0)</f>
        <v>0</v>
      </c>
      <c r="AI64">
        <f>IF(AND(gamma!AH23=1, VLOOKUP($A64,'40Trips'!$A$43:$I$46, 3,FALSE)=VLOOKUP(AI$1,'40Trips'!$A$3:$I$42,3,FALSE)),1,0)</f>
        <v>0</v>
      </c>
      <c r="AJ64">
        <f>IF(AND(gamma!AI23=1, VLOOKUP($A64,'40Trips'!$A$43:$I$46, 3,FALSE)=VLOOKUP(AJ$1,'40Trips'!$A$3:$I$42,3,FALSE)),1,0)</f>
        <v>0</v>
      </c>
      <c r="AK64">
        <f>IF(AND(gamma!AJ23=1, VLOOKUP($A64,'40Trips'!$A$43:$I$46, 3,FALSE)=VLOOKUP(AK$1,'40Trips'!$A$3:$I$42,3,FALSE)),1,0)</f>
        <v>0</v>
      </c>
      <c r="AL64">
        <f>IF(AND(gamma!AK23=1, VLOOKUP($A64,'40Trips'!$A$43:$I$46, 3,FALSE)=VLOOKUP(AL$1,'40Trips'!$A$3:$I$42,3,FALSE)),1,0)</f>
        <v>0</v>
      </c>
      <c r="AM64">
        <f>IF(AND(gamma!AL23=1, VLOOKUP($A64,'40Trips'!$A$43:$I$46, 3,FALSE)=VLOOKUP(AM$1,'40Trips'!$A$3:$I$42,3,FALSE)),1,0)</f>
        <v>0</v>
      </c>
      <c r="AN64">
        <f>IF(AND(gamma!AM23=1, VLOOKUP($A64,'40Trips'!$A$43:$I$46, 3,FALSE)=VLOOKUP(AN$1,'40Trips'!$A$3:$I$42,3,FALSE)),1,0)</f>
        <v>0</v>
      </c>
      <c r="AO64">
        <f>IF(AND(gamma!AN23=1, VLOOKUP($A64,'40Trips'!$A$43:$I$46, 3,FALSE)=VLOOKUP(AO$1,'40Trips'!$A$3:$I$42,3,FALSE)),1,0)</f>
        <v>0</v>
      </c>
      <c r="AP64">
        <f>IF(AND(gamma!AO23=1, VLOOKUP($A64,'40Trips'!$A$43:$I$46, 3,FALSE)=VLOOKUP(AP$1,'40Trips'!$A$3:$I$42,3,FALSE)),1,0)</f>
        <v>0</v>
      </c>
      <c r="AQ64">
        <f>IF(AND(gamma!AP23=1, VLOOKUP($A64,'40Trips'!$A$43:$I$46, 3,FALSE)=VLOOKUP(AQ$1,'40Trips'!$A$3:$I$42,3,FALSE)),1,0)</f>
        <v>0</v>
      </c>
    </row>
    <row r="65" spans="1:43" x14ac:dyDescent="0.25">
      <c r="A65" t="s">
        <v>62</v>
      </c>
      <c r="B65" t="s">
        <v>35</v>
      </c>
      <c r="C65">
        <v>0</v>
      </c>
      <c r="D65">
        <f>IF(AND(gamma!C24=1, VLOOKUP($A65,'40Trips'!$A$43:$I$46, 3,FALSE)=VLOOKUP(D$1,'40Trips'!$A$3:$I$42,3,FALSE)),1,0)</f>
        <v>0</v>
      </c>
      <c r="E65">
        <f>IF(AND(gamma!D24=1, VLOOKUP($A65,'40Trips'!$A$43:$I$46, 3,FALSE)=VLOOKUP(E$1,'40Trips'!$A$3:$I$42,3,FALSE)),1,0)</f>
        <v>0</v>
      </c>
      <c r="F65">
        <f>IF(AND(gamma!E24=1, VLOOKUP($A65,'40Trips'!$A$43:$I$46, 3,FALSE)=VLOOKUP(F$1,'40Trips'!$A$3:$I$42,3,FALSE)),1,0)</f>
        <v>0</v>
      </c>
      <c r="G65">
        <f>IF(AND(gamma!F24=1, VLOOKUP($A65,'40Trips'!$A$43:$I$46, 3,FALSE)=VLOOKUP(G$1,'40Trips'!$A$3:$I$42,3,FALSE)),1,0)</f>
        <v>1</v>
      </c>
      <c r="H65">
        <f>IF(AND(gamma!G24=1, VLOOKUP($A65,'40Trips'!$A$43:$I$46, 3,FALSE)=VLOOKUP(H$1,'40Trips'!$A$3:$I$42,3,FALSE)),1,0)</f>
        <v>0</v>
      </c>
      <c r="I65">
        <f>IF(AND(gamma!H24=1, VLOOKUP($A65,'40Trips'!$A$43:$I$46, 3,FALSE)=VLOOKUP(I$1,'40Trips'!$A$3:$I$42,3,FALSE)),1,0)</f>
        <v>0</v>
      </c>
      <c r="J65">
        <f>IF(AND(gamma!I24=1, VLOOKUP($A65,'40Trips'!$A$43:$I$46, 3,FALSE)=VLOOKUP(J$1,'40Trips'!$A$3:$I$42,3,FALSE)),1,0)</f>
        <v>0</v>
      </c>
      <c r="K65">
        <f>IF(AND(gamma!J24=1, VLOOKUP($A65,'40Trips'!$A$43:$I$46, 3,FALSE)=VLOOKUP(K$1,'40Trips'!$A$3:$I$42,3,FALSE)),1,0)</f>
        <v>1</v>
      </c>
      <c r="L65">
        <f>IF(AND(gamma!K24=1, VLOOKUP($A65,'40Trips'!$A$43:$I$46, 3,FALSE)=VLOOKUP(L$1,'40Trips'!$A$3:$I$42,3,FALSE)),1,0)</f>
        <v>0</v>
      </c>
      <c r="M65">
        <f>IF(AND(gamma!L24=1, VLOOKUP($A65,'40Trips'!$A$43:$I$46, 3,FALSE)=VLOOKUP(M$1,'40Trips'!$A$3:$I$42,3,FALSE)),1,0)</f>
        <v>0</v>
      </c>
      <c r="N65">
        <f>IF(AND(gamma!M24=1, VLOOKUP($A65,'40Trips'!$A$43:$I$46, 3,FALSE)=VLOOKUP(N$1,'40Trips'!$A$3:$I$42,3,FALSE)),1,0)</f>
        <v>0</v>
      </c>
      <c r="O65">
        <f>IF(AND(gamma!N24=1, VLOOKUP($A65,'40Trips'!$A$43:$I$46, 3,FALSE)=VLOOKUP(O$1,'40Trips'!$A$3:$I$42,3,FALSE)),1,0)</f>
        <v>0</v>
      </c>
      <c r="P65">
        <f>IF(AND(gamma!O24=1, VLOOKUP($A65,'40Trips'!$A$43:$I$46, 3,FALSE)=VLOOKUP(P$1,'40Trips'!$A$3:$I$42,3,FALSE)),1,0)</f>
        <v>0</v>
      </c>
      <c r="Q65">
        <f>IF(AND(gamma!P24=1, VLOOKUP($A65,'40Trips'!$A$43:$I$46, 3,FALSE)=VLOOKUP(Q$1,'40Trips'!$A$3:$I$42,3,FALSE)),1,0)</f>
        <v>0</v>
      </c>
      <c r="R65">
        <f>IF(AND(gamma!Q24=1, VLOOKUP($A65,'40Trips'!$A$43:$I$46, 3,FALSE)=VLOOKUP(R$1,'40Trips'!$A$3:$I$42,3,FALSE)),1,0)</f>
        <v>0</v>
      </c>
      <c r="S65">
        <f>IF(AND(gamma!R24=1, VLOOKUP($A65,'40Trips'!$A$43:$I$46, 3,FALSE)=VLOOKUP(S$1,'40Trips'!$A$3:$I$42,3,FALSE)),1,0)</f>
        <v>0</v>
      </c>
      <c r="T65">
        <f>IF(AND(gamma!S24=1, VLOOKUP($A65,'40Trips'!$A$43:$I$46, 3,FALSE)=VLOOKUP(T$1,'40Trips'!$A$3:$I$42,3,FALSE)),1,0)</f>
        <v>0</v>
      </c>
      <c r="U65">
        <f>IF(AND(gamma!T24=1, VLOOKUP($A65,'40Trips'!$A$43:$I$46, 3,FALSE)=VLOOKUP(U$1,'40Trips'!$A$3:$I$42,3,FALSE)),1,0)</f>
        <v>0</v>
      </c>
      <c r="V65">
        <f>IF(AND(gamma!U24=1, VLOOKUP($A65,'40Trips'!$A$43:$I$46, 3,FALSE)=VLOOKUP(V$1,'40Trips'!$A$3:$I$42,3,FALSE)),1,0)</f>
        <v>0</v>
      </c>
      <c r="W65">
        <f>IF(AND(gamma!V24=1, VLOOKUP($A65,'40Trips'!$A$43:$I$46, 3,FALSE)=VLOOKUP(W$1,'40Trips'!$A$3:$I$42,3,FALSE)),1,0)</f>
        <v>0</v>
      </c>
      <c r="X65">
        <f>IF(AND(gamma!W24=1, VLOOKUP($A65,'40Trips'!$A$43:$I$46, 3,FALSE)=VLOOKUP(X$1,'40Trips'!$A$3:$I$42,3,FALSE)),1,0)</f>
        <v>0</v>
      </c>
      <c r="Y65">
        <f>IF(AND(gamma!X24=1, VLOOKUP($A65,'40Trips'!$A$43:$I$46, 3,FALSE)=VLOOKUP(Y$1,'40Trips'!$A$3:$I$42,3,FALSE)),1,0)</f>
        <v>0</v>
      </c>
      <c r="Z65">
        <f>IF(AND(gamma!Y24=1, VLOOKUP($A65,'40Trips'!$A$43:$I$46, 3,FALSE)=VLOOKUP(Z$1,'40Trips'!$A$3:$I$42,3,FALSE)),1,0)</f>
        <v>0</v>
      </c>
      <c r="AA65">
        <f>IF(AND(gamma!Z24=1, VLOOKUP($A65,'40Trips'!$A$43:$I$46, 3,FALSE)=VLOOKUP(AA$1,'40Trips'!$A$3:$I$42,3,FALSE)),1,0)</f>
        <v>0</v>
      </c>
      <c r="AB65">
        <f>IF(AND(gamma!AA24=1, VLOOKUP($A65,'40Trips'!$A$43:$I$46, 3,FALSE)=VLOOKUP(AB$1,'40Trips'!$A$3:$I$42,3,FALSE)),1,0)</f>
        <v>0</v>
      </c>
      <c r="AC65">
        <f>IF(AND(gamma!AB24=1, VLOOKUP($A65,'40Trips'!$A$43:$I$46, 3,FALSE)=VLOOKUP(AC$1,'40Trips'!$A$3:$I$42,3,FALSE)),1,0)</f>
        <v>0</v>
      </c>
      <c r="AD65">
        <f>IF(AND(gamma!AC24=1, VLOOKUP($A65,'40Trips'!$A$43:$I$46, 3,FALSE)=VLOOKUP(AD$1,'40Trips'!$A$3:$I$42,3,FALSE)),1,0)</f>
        <v>0</v>
      </c>
      <c r="AE65">
        <f>IF(AND(gamma!AD24=1, VLOOKUP($A65,'40Trips'!$A$43:$I$46, 3,FALSE)=VLOOKUP(AE$1,'40Trips'!$A$3:$I$42,3,FALSE)),1,0)</f>
        <v>0</v>
      </c>
      <c r="AF65">
        <f>IF(AND(gamma!AE24=1, VLOOKUP($A65,'40Trips'!$A$43:$I$46, 3,FALSE)=VLOOKUP(AF$1,'40Trips'!$A$3:$I$42,3,FALSE)),1,0)</f>
        <v>0</v>
      </c>
      <c r="AG65">
        <f>IF(AND(gamma!AF24=1, VLOOKUP($A65,'40Trips'!$A$43:$I$46, 3,FALSE)=VLOOKUP(AG$1,'40Trips'!$A$3:$I$42,3,FALSE)),1,0)</f>
        <v>0</v>
      </c>
      <c r="AH65">
        <f>IF(AND(gamma!AG24=1, VLOOKUP($A65,'40Trips'!$A$43:$I$46, 3,FALSE)=VLOOKUP(AH$1,'40Trips'!$A$3:$I$42,3,FALSE)),1,0)</f>
        <v>0</v>
      </c>
      <c r="AI65">
        <f>IF(AND(gamma!AH24=1, VLOOKUP($A65,'40Trips'!$A$43:$I$46, 3,FALSE)=VLOOKUP(AI$1,'40Trips'!$A$3:$I$42,3,FALSE)),1,0)</f>
        <v>0</v>
      </c>
      <c r="AJ65">
        <f>IF(AND(gamma!AI24=1, VLOOKUP($A65,'40Trips'!$A$43:$I$46, 3,FALSE)=VLOOKUP(AJ$1,'40Trips'!$A$3:$I$42,3,FALSE)),1,0)</f>
        <v>0</v>
      </c>
      <c r="AK65">
        <f>IF(AND(gamma!AJ24=1, VLOOKUP($A65,'40Trips'!$A$43:$I$46, 3,FALSE)=VLOOKUP(AK$1,'40Trips'!$A$3:$I$42,3,FALSE)),1,0)</f>
        <v>0</v>
      </c>
      <c r="AL65">
        <f>IF(AND(gamma!AK24=1, VLOOKUP($A65,'40Trips'!$A$43:$I$46, 3,FALSE)=VLOOKUP(AL$1,'40Trips'!$A$3:$I$42,3,FALSE)),1,0)</f>
        <v>0</v>
      </c>
      <c r="AM65">
        <f>IF(AND(gamma!AL24=1, VLOOKUP($A65,'40Trips'!$A$43:$I$46, 3,FALSE)=VLOOKUP(AM$1,'40Trips'!$A$3:$I$42,3,FALSE)),1,0)</f>
        <v>0</v>
      </c>
      <c r="AN65">
        <f>IF(AND(gamma!AM24=1, VLOOKUP($A65,'40Trips'!$A$43:$I$46, 3,FALSE)=VLOOKUP(AN$1,'40Trips'!$A$3:$I$42,3,FALSE)),1,0)</f>
        <v>0</v>
      </c>
      <c r="AO65">
        <f>IF(AND(gamma!AN24=1, VLOOKUP($A65,'40Trips'!$A$43:$I$46, 3,FALSE)=VLOOKUP(AO$1,'40Trips'!$A$3:$I$42,3,FALSE)),1,0)</f>
        <v>0</v>
      </c>
      <c r="AP65">
        <f>IF(AND(gamma!AO24=1, VLOOKUP($A65,'40Trips'!$A$43:$I$46, 3,FALSE)=VLOOKUP(AP$1,'40Trips'!$A$3:$I$42,3,FALSE)),1,0)</f>
        <v>0</v>
      </c>
      <c r="AQ65">
        <f>IF(AND(gamma!AP24=1, VLOOKUP($A65,'40Trips'!$A$43:$I$46, 3,FALSE)=VLOOKUP(AQ$1,'40Trips'!$A$3:$I$42,3,FALSE)),1,0)</f>
        <v>0</v>
      </c>
    </row>
    <row r="66" spans="1:43" x14ac:dyDescent="0.25">
      <c r="A66" t="s">
        <v>62</v>
      </c>
      <c r="B66" t="s">
        <v>36</v>
      </c>
      <c r="C66">
        <v>0</v>
      </c>
      <c r="D66">
        <f>IF(AND(gamma!C25=1, VLOOKUP($A66,'40Trips'!$A$43:$I$46, 3,FALSE)=VLOOKUP(D$1,'40Trips'!$A$3:$I$42,3,FALSE)),1,0)</f>
        <v>0</v>
      </c>
      <c r="E66">
        <f>IF(AND(gamma!D25=1, VLOOKUP($A66,'40Trips'!$A$43:$I$46, 3,FALSE)=VLOOKUP(E$1,'40Trips'!$A$3:$I$42,3,FALSE)),1,0)</f>
        <v>0</v>
      </c>
      <c r="F66">
        <f>IF(AND(gamma!E25=1, VLOOKUP($A66,'40Trips'!$A$43:$I$46, 3,FALSE)=VLOOKUP(F$1,'40Trips'!$A$3:$I$42,3,FALSE)),1,0)</f>
        <v>0</v>
      </c>
      <c r="G66">
        <f>IF(AND(gamma!F25=1, VLOOKUP($A66,'40Trips'!$A$43:$I$46, 3,FALSE)=VLOOKUP(G$1,'40Trips'!$A$3:$I$42,3,FALSE)),1,0)</f>
        <v>0</v>
      </c>
      <c r="H66">
        <f>IF(AND(gamma!G25=1, VLOOKUP($A66,'40Trips'!$A$43:$I$46, 3,FALSE)=VLOOKUP(H$1,'40Trips'!$A$3:$I$42,3,FALSE)),1,0)</f>
        <v>0</v>
      </c>
      <c r="I66">
        <f>IF(AND(gamma!H25=1, VLOOKUP($A66,'40Trips'!$A$43:$I$46, 3,FALSE)=VLOOKUP(I$1,'40Trips'!$A$3:$I$42,3,FALSE)),1,0)</f>
        <v>0</v>
      </c>
      <c r="J66">
        <f>IF(AND(gamma!I25=1, VLOOKUP($A66,'40Trips'!$A$43:$I$46, 3,FALSE)=VLOOKUP(J$1,'40Trips'!$A$3:$I$42,3,FALSE)),1,0)</f>
        <v>0</v>
      </c>
      <c r="K66">
        <f>IF(AND(gamma!J25=1, VLOOKUP($A66,'40Trips'!$A$43:$I$46, 3,FALSE)=VLOOKUP(K$1,'40Trips'!$A$3:$I$42,3,FALSE)),1,0)</f>
        <v>1</v>
      </c>
      <c r="L66">
        <f>IF(AND(gamma!K25=1, VLOOKUP($A66,'40Trips'!$A$43:$I$46, 3,FALSE)=VLOOKUP(L$1,'40Trips'!$A$3:$I$42,3,FALSE)),1,0)</f>
        <v>0</v>
      </c>
      <c r="M66">
        <f>IF(AND(gamma!L25=1, VLOOKUP($A66,'40Trips'!$A$43:$I$46, 3,FALSE)=VLOOKUP(M$1,'40Trips'!$A$3:$I$42,3,FALSE)),1,0)</f>
        <v>0</v>
      </c>
      <c r="N66">
        <f>IF(AND(gamma!M25=1, VLOOKUP($A66,'40Trips'!$A$43:$I$46, 3,FALSE)=VLOOKUP(N$1,'40Trips'!$A$3:$I$42,3,FALSE)),1,0)</f>
        <v>0</v>
      </c>
      <c r="O66">
        <f>IF(AND(gamma!N25=1, VLOOKUP($A66,'40Trips'!$A$43:$I$46, 3,FALSE)=VLOOKUP(O$1,'40Trips'!$A$3:$I$42,3,FALSE)),1,0)</f>
        <v>0</v>
      </c>
      <c r="P66">
        <f>IF(AND(gamma!O25=1, VLOOKUP($A66,'40Trips'!$A$43:$I$46, 3,FALSE)=VLOOKUP(P$1,'40Trips'!$A$3:$I$42,3,FALSE)),1,0)</f>
        <v>0</v>
      </c>
      <c r="Q66">
        <f>IF(AND(gamma!P25=1, VLOOKUP($A66,'40Trips'!$A$43:$I$46, 3,FALSE)=VLOOKUP(Q$1,'40Trips'!$A$3:$I$42,3,FALSE)),1,0)</f>
        <v>0</v>
      </c>
      <c r="R66">
        <f>IF(AND(gamma!Q25=1, VLOOKUP($A66,'40Trips'!$A$43:$I$46, 3,FALSE)=VLOOKUP(R$1,'40Trips'!$A$3:$I$42,3,FALSE)),1,0)</f>
        <v>0</v>
      </c>
      <c r="S66">
        <f>IF(AND(gamma!R25=1, VLOOKUP($A66,'40Trips'!$A$43:$I$46, 3,FALSE)=VLOOKUP(S$1,'40Trips'!$A$3:$I$42,3,FALSE)),1,0)</f>
        <v>0</v>
      </c>
      <c r="T66">
        <f>IF(AND(gamma!S25=1, VLOOKUP($A66,'40Trips'!$A$43:$I$46, 3,FALSE)=VLOOKUP(T$1,'40Trips'!$A$3:$I$42,3,FALSE)),1,0)</f>
        <v>0</v>
      </c>
      <c r="U66">
        <f>IF(AND(gamma!T25=1, VLOOKUP($A66,'40Trips'!$A$43:$I$46, 3,FALSE)=VLOOKUP(U$1,'40Trips'!$A$3:$I$42,3,FALSE)),1,0)</f>
        <v>0</v>
      </c>
      <c r="V66">
        <f>IF(AND(gamma!U25=1, VLOOKUP($A66,'40Trips'!$A$43:$I$46, 3,FALSE)=VLOOKUP(V$1,'40Trips'!$A$3:$I$42,3,FALSE)),1,0)</f>
        <v>0</v>
      </c>
      <c r="W66">
        <f>IF(AND(gamma!V25=1, VLOOKUP($A66,'40Trips'!$A$43:$I$46, 3,FALSE)=VLOOKUP(W$1,'40Trips'!$A$3:$I$42,3,FALSE)),1,0)</f>
        <v>0</v>
      </c>
      <c r="X66">
        <f>IF(AND(gamma!W25=1, VLOOKUP($A66,'40Trips'!$A$43:$I$46, 3,FALSE)=VLOOKUP(X$1,'40Trips'!$A$3:$I$42,3,FALSE)),1,0)</f>
        <v>0</v>
      </c>
      <c r="Y66">
        <f>IF(AND(gamma!X25=1, VLOOKUP($A66,'40Trips'!$A$43:$I$46, 3,FALSE)=VLOOKUP(Y$1,'40Trips'!$A$3:$I$42,3,FALSE)),1,0)</f>
        <v>0</v>
      </c>
      <c r="Z66">
        <f>IF(AND(gamma!Y25=1, VLOOKUP($A66,'40Trips'!$A$43:$I$46, 3,FALSE)=VLOOKUP(Z$1,'40Trips'!$A$3:$I$42,3,FALSE)),1,0)</f>
        <v>0</v>
      </c>
      <c r="AA66">
        <f>IF(AND(gamma!Z25=1, VLOOKUP($A66,'40Trips'!$A$43:$I$46, 3,FALSE)=VLOOKUP(AA$1,'40Trips'!$A$3:$I$42,3,FALSE)),1,0)</f>
        <v>0</v>
      </c>
      <c r="AB66">
        <f>IF(AND(gamma!AA25=1, VLOOKUP($A66,'40Trips'!$A$43:$I$46, 3,FALSE)=VLOOKUP(AB$1,'40Trips'!$A$3:$I$42,3,FALSE)),1,0)</f>
        <v>0</v>
      </c>
      <c r="AC66">
        <f>IF(AND(gamma!AB25=1, VLOOKUP($A66,'40Trips'!$A$43:$I$46, 3,FALSE)=VLOOKUP(AC$1,'40Trips'!$A$3:$I$42,3,FALSE)),1,0)</f>
        <v>0</v>
      </c>
      <c r="AD66">
        <f>IF(AND(gamma!AC25=1, VLOOKUP($A66,'40Trips'!$A$43:$I$46, 3,FALSE)=VLOOKUP(AD$1,'40Trips'!$A$3:$I$42,3,FALSE)),1,0)</f>
        <v>0</v>
      </c>
      <c r="AE66">
        <f>IF(AND(gamma!AD25=1, VLOOKUP($A66,'40Trips'!$A$43:$I$46, 3,FALSE)=VLOOKUP(AE$1,'40Trips'!$A$3:$I$42,3,FALSE)),1,0)</f>
        <v>0</v>
      </c>
      <c r="AF66">
        <f>IF(AND(gamma!AE25=1, VLOOKUP($A66,'40Trips'!$A$43:$I$46, 3,FALSE)=VLOOKUP(AF$1,'40Trips'!$A$3:$I$42,3,FALSE)),1,0)</f>
        <v>0</v>
      </c>
      <c r="AG66">
        <f>IF(AND(gamma!AF25=1, VLOOKUP($A66,'40Trips'!$A$43:$I$46, 3,FALSE)=VLOOKUP(AG$1,'40Trips'!$A$3:$I$42,3,FALSE)),1,0)</f>
        <v>0</v>
      </c>
      <c r="AH66">
        <f>IF(AND(gamma!AG25=1, VLOOKUP($A66,'40Trips'!$A$43:$I$46, 3,FALSE)=VLOOKUP(AH$1,'40Trips'!$A$3:$I$42,3,FALSE)),1,0)</f>
        <v>0</v>
      </c>
      <c r="AI66">
        <f>IF(AND(gamma!AH25=1, VLOOKUP($A66,'40Trips'!$A$43:$I$46, 3,FALSE)=VLOOKUP(AI$1,'40Trips'!$A$3:$I$42,3,FALSE)),1,0)</f>
        <v>0</v>
      </c>
      <c r="AJ66">
        <f>IF(AND(gamma!AI25=1, VLOOKUP($A66,'40Trips'!$A$43:$I$46, 3,FALSE)=VLOOKUP(AJ$1,'40Trips'!$A$3:$I$42,3,FALSE)),1,0)</f>
        <v>0</v>
      </c>
      <c r="AK66">
        <f>IF(AND(gamma!AJ25=1, VLOOKUP($A66,'40Trips'!$A$43:$I$46, 3,FALSE)=VLOOKUP(AK$1,'40Trips'!$A$3:$I$42,3,FALSE)),1,0)</f>
        <v>0</v>
      </c>
      <c r="AL66">
        <f>IF(AND(gamma!AK25=1, VLOOKUP($A66,'40Trips'!$A$43:$I$46, 3,FALSE)=VLOOKUP(AL$1,'40Trips'!$A$3:$I$42,3,FALSE)),1,0)</f>
        <v>0</v>
      </c>
      <c r="AM66">
        <f>IF(AND(gamma!AL25=1, VLOOKUP($A66,'40Trips'!$A$43:$I$46, 3,FALSE)=VLOOKUP(AM$1,'40Trips'!$A$3:$I$42,3,FALSE)),1,0)</f>
        <v>0</v>
      </c>
      <c r="AN66">
        <f>IF(AND(gamma!AM25=1, VLOOKUP($A66,'40Trips'!$A$43:$I$46, 3,FALSE)=VLOOKUP(AN$1,'40Trips'!$A$3:$I$42,3,FALSE)),1,0)</f>
        <v>0</v>
      </c>
      <c r="AO66">
        <f>IF(AND(gamma!AN25=1, VLOOKUP($A66,'40Trips'!$A$43:$I$46, 3,FALSE)=VLOOKUP(AO$1,'40Trips'!$A$3:$I$42,3,FALSE)),1,0)</f>
        <v>0</v>
      </c>
      <c r="AP66">
        <f>IF(AND(gamma!AO25=1, VLOOKUP($A66,'40Trips'!$A$43:$I$46, 3,FALSE)=VLOOKUP(AP$1,'40Trips'!$A$3:$I$42,3,FALSE)),1,0)</f>
        <v>0</v>
      </c>
      <c r="AQ66">
        <f>IF(AND(gamma!AP25=1, VLOOKUP($A66,'40Trips'!$A$43:$I$46, 3,FALSE)=VLOOKUP(AQ$1,'40Trips'!$A$3:$I$42,3,FALSE)),1,0)</f>
        <v>0</v>
      </c>
    </row>
    <row r="67" spans="1:43" x14ac:dyDescent="0.25">
      <c r="A67" t="s">
        <v>62</v>
      </c>
      <c r="B67" t="s">
        <v>37</v>
      </c>
      <c r="C67">
        <v>0</v>
      </c>
      <c r="D67">
        <f>IF(AND(gamma!C26=1, VLOOKUP($A67,'40Trips'!$A$43:$I$46, 3,FALSE)=VLOOKUP(D$1,'40Trips'!$A$3:$I$42,3,FALSE)),1,0)</f>
        <v>0</v>
      </c>
      <c r="E67">
        <f>IF(AND(gamma!D26=1, VLOOKUP($A67,'40Trips'!$A$43:$I$46, 3,FALSE)=VLOOKUP(E$1,'40Trips'!$A$3:$I$42,3,FALSE)),1,0)</f>
        <v>0</v>
      </c>
      <c r="F67">
        <f>IF(AND(gamma!E26=1, VLOOKUP($A67,'40Trips'!$A$43:$I$46, 3,FALSE)=VLOOKUP(F$1,'40Trips'!$A$3:$I$42,3,FALSE)),1,0)</f>
        <v>0</v>
      </c>
      <c r="G67">
        <f>IF(AND(gamma!F26=1, VLOOKUP($A67,'40Trips'!$A$43:$I$46, 3,FALSE)=VLOOKUP(G$1,'40Trips'!$A$3:$I$42,3,FALSE)),1,0)</f>
        <v>0</v>
      </c>
      <c r="H67">
        <f>IF(AND(gamma!G26=1, VLOOKUP($A67,'40Trips'!$A$43:$I$46, 3,FALSE)=VLOOKUP(H$1,'40Trips'!$A$3:$I$42,3,FALSE)),1,0)</f>
        <v>0</v>
      </c>
      <c r="I67">
        <f>IF(AND(gamma!H26=1, VLOOKUP($A67,'40Trips'!$A$43:$I$46, 3,FALSE)=VLOOKUP(I$1,'40Trips'!$A$3:$I$42,3,FALSE)),1,0)</f>
        <v>0</v>
      </c>
      <c r="J67">
        <f>IF(AND(gamma!I26=1, VLOOKUP($A67,'40Trips'!$A$43:$I$46, 3,FALSE)=VLOOKUP(J$1,'40Trips'!$A$3:$I$42,3,FALSE)),1,0)</f>
        <v>0</v>
      </c>
      <c r="K67">
        <f>IF(AND(gamma!J26=1, VLOOKUP($A67,'40Trips'!$A$43:$I$46, 3,FALSE)=VLOOKUP(K$1,'40Trips'!$A$3:$I$42,3,FALSE)),1,0)</f>
        <v>1</v>
      </c>
      <c r="L67">
        <f>IF(AND(gamma!K26=1, VLOOKUP($A67,'40Trips'!$A$43:$I$46, 3,FALSE)=VLOOKUP(L$1,'40Trips'!$A$3:$I$42,3,FALSE)),1,0)</f>
        <v>0</v>
      </c>
      <c r="M67">
        <f>IF(AND(gamma!L26=1, VLOOKUP($A67,'40Trips'!$A$43:$I$46, 3,FALSE)=VLOOKUP(M$1,'40Trips'!$A$3:$I$42,3,FALSE)),1,0)</f>
        <v>0</v>
      </c>
      <c r="N67">
        <f>IF(AND(gamma!M26=1, VLOOKUP($A67,'40Trips'!$A$43:$I$46, 3,FALSE)=VLOOKUP(N$1,'40Trips'!$A$3:$I$42,3,FALSE)),1,0)</f>
        <v>0</v>
      </c>
      <c r="O67">
        <f>IF(AND(gamma!N26=1, VLOOKUP($A67,'40Trips'!$A$43:$I$46, 3,FALSE)=VLOOKUP(O$1,'40Trips'!$A$3:$I$42,3,FALSE)),1,0)</f>
        <v>0</v>
      </c>
      <c r="P67">
        <f>IF(AND(gamma!O26=1, VLOOKUP($A67,'40Trips'!$A$43:$I$46, 3,FALSE)=VLOOKUP(P$1,'40Trips'!$A$3:$I$42,3,FALSE)),1,0)</f>
        <v>0</v>
      </c>
      <c r="Q67">
        <f>IF(AND(gamma!P26=1, VLOOKUP($A67,'40Trips'!$A$43:$I$46, 3,FALSE)=VLOOKUP(Q$1,'40Trips'!$A$3:$I$42,3,FALSE)),1,0)</f>
        <v>0</v>
      </c>
      <c r="R67">
        <f>IF(AND(gamma!Q26=1, VLOOKUP($A67,'40Trips'!$A$43:$I$46, 3,FALSE)=VLOOKUP(R$1,'40Trips'!$A$3:$I$42,3,FALSE)),1,0)</f>
        <v>0</v>
      </c>
      <c r="S67">
        <f>IF(AND(gamma!R26=1, VLOOKUP($A67,'40Trips'!$A$43:$I$46, 3,FALSE)=VLOOKUP(S$1,'40Trips'!$A$3:$I$42,3,FALSE)),1,0)</f>
        <v>0</v>
      </c>
      <c r="T67">
        <f>IF(AND(gamma!S26=1, VLOOKUP($A67,'40Trips'!$A$43:$I$46, 3,FALSE)=VLOOKUP(T$1,'40Trips'!$A$3:$I$42,3,FALSE)),1,0)</f>
        <v>0</v>
      </c>
      <c r="U67">
        <f>IF(AND(gamma!T26=1, VLOOKUP($A67,'40Trips'!$A$43:$I$46, 3,FALSE)=VLOOKUP(U$1,'40Trips'!$A$3:$I$42,3,FALSE)),1,0)</f>
        <v>0</v>
      </c>
      <c r="V67">
        <f>IF(AND(gamma!U26=1, VLOOKUP($A67,'40Trips'!$A$43:$I$46, 3,FALSE)=VLOOKUP(V$1,'40Trips'!$A$3:$I$42,3,FALSE)),1,0)</f>
        <v>0</v>
      </c>
      <c r="W67">
        <f>IF(AND(gamma!V26=1, VLOOKUP($A67,'40Trips'!$A$43:$I$46, 3,FALSE)=VLOOKUP(W$1,'40Trips'!$A$3:$I$42,3,FALSE)),1,0)</f>
        <v>0</v>
      </c>
      <c r="X67">
        <f>IF(AND(gamma!W26=1, VLOOKUP($A67,'40Trips'!$A$43:$I$46, 3,FALSE)=VLOOKUP(X$1,'40Trips'!$A$3:$I$42,3,FALSE)),1,0)</f>
        <v>0</v>
      </c>
      <c r="Y67">
        <f>IF(AND(gamma!X26=1, VLOOKUP($A67,'40Trips'!$A$43:$I$46, 3,FALSE)=VLOOKUP(Y$1,'40Trips'!$A$3:$I$42,3,FALSE)),1,0)</f>
        <v>0</v>
      </c>
      <c r="Z67">
        <f>IF(AND(gamma!Y26=1, VLOOKUP($A67,'40Trips'!$A$43:$I$46, 3,FALSE)=VLOOKUP(Z$1,'40Trips'!$A$3:$I$42,3,FALSE)),1,0)</f>
        <v>0</v>
      </c>
      <c r="AA67">
        <f>IF(AND(gamma!Z26=1, VLOOKUP($A67,'40Trips'!$A$43:$I$46, 3,FALSE)=VLOOKUP(AA$1,'40Trips'!$A$3:$I$42,3,FALSE)),1,0)</f>
        <v>0</v>
      </c>
      <c r="AB67">
        <f>IF(AND(gamma!AA26=1, VLOOKUP($A67,'40Trips'!$A$43:$I$46, 3,FALSE)=VLOOKUP(AB$1,'40Trips'!$A$3:$I$42,3,FALSE)),1,0)</f>
        <v>0</v>
      </c>
      <c r="AC67">
        <f>IF(AND(gamma!AB26=1, VLOOKUP($A67,'40Trips'!$A$43:$I$46, 3,FALSE)=VLOOKUP(AC$1,'40Trips'!$A$3:$I$42,3,FALSE)),1,0)</f>
        <v>0</v>
      </c>
      <c r="AD67">
        <f>IF(AND(gamma!AC26=1, VLOOKUP($A67,'40Trips'!$A$43:$I$46, 3,FALSE)=VLOOKUP(AD$1,'40Trips'!$A$3:$I$42,3,FALSE)),1,0)</f>
        <v>0</v>
      </c>
      <c r="AE67">
        <f>IF(AND(gamma!AD26=1, VLOOKUP($A67,'40Trips'!$A$43:$I$46, 3,FALSE)=VLOOKUP(AE$1,'40Trips'!$A$3:$I$42,3,FALSE)),1,0)</f>
        <v>0</v>
      </c>
      <c r="AF67">
        <f>IF(AND(gamma!AE26=1, VLOOKUP($A67,'40Trips'!$A$43:$I$46, 3,FALSE)=VLOOKUP(AF$1,'40Trips'!$A$3:$I$42,3,FALSE)),1,0)</f>
        <v>0</v>
      </c>
      <c r="AG67">
        <f>IF(AND(gamma!AF26=1, VLOOKUP($A67,'40Trips'!$A$43:$I$46, 3,FALSE)=VLOOKUP(AG$1,'40Trips'!$A$3:$I$42,3,FALSE)),1,0)</f>
        <v>0</v>
      </c>
      <c r="AH67">
        <f>IF(AND(gamma!AG26=1, VLOOKUP($A67,'40Trips'!$A$43:$I$46, 3,FALSE)=VLOOKUP(AH$1,'40Trips'!$A$3:$I$42,3,FALSE)),1,0)</f>
        <v>0</v>
      </c>
      <c r="AI67">
        <f>IF(AND(gamma!AH26=1, VLOOKUP($A67,'40Trips'!$A$43:$I$46, 3,FALSE)=VLOOKUP(AI$1,'40Trips'!$A$3:$I$42,3,FALSE)),1,0)</f>
        <v>0</v>
      </c>
      <c r="AJ67">
        <f>IF(AND(gamma!AI26=1, VLOOKUP($A67,'40Trips'!$A$43:$I$46, 3,FALSE)=VLOOKUP(AJ$1,'40Trips'!$A$3:$I$42,3,FALSE)),1,0)</f>
        <v>0</v>
      </c>
      <c r="AK67">
        <f>IF(AND(gamma!AJ26=1, VLOOKUP($A67,'40Trips'!$A$43:$I$46, 3,FALSE)=VLOOKUP(AK$1,'40Trips'!$A$3:$I$42,3,FALSE)),1,0)</f>
        <v>0</v>
      </c>
      <c r="AL67">
        <f>IF(AND(gamma!AK26=1, VLOOKUP($A67,'40Trips'!$A$43:$I$46, 3,FALSE)=VLOOKUP(AL$1,'40Trips'!$A$3:$I$42,3,FALSE)),1,0)</f>
        <v>0</v>
      </c>
      <c r="AM67">
        <f>IF(AND(gamma!AL26=1, VLOOKUP($A67,'40Trips'!$A$43:$I$46, 3,FALSE)=VLOOKUP(AM$1,'40Trips'!$A$3:$I$42,3,FALSE)),1,0)</f>
        <v>0</v>
      </c>
      <c r="AN67">
        <f>IF(AND(gamma!AM26=1, VLOOKUP($A67,'40Trips'!$A$43:$I$46, 3,FALSE)=VLOOKUP(AN$1,'40Trips'!$A$3:$I$42,3,FALSE)),1,0)</f>
        <v>0</v>
      </c>
      <c r="AO67">
        <f>IF(AND(gamma!AN26=1, VLOOKUP($A67,'40Trips'!$A$43:$I$46, 3,FALSE)=VLOOKUP(AO$1,'40Trips'!$A$3:$I$42,3,FALSE)),1,0)</f>
        <v>0</v>
      </c>
      <c r="AP67">
        <f>IF(AND(gamma!AO26=1, VLOOKUP($A67,'40Trips'!$A$43:$I$46, 3,FALSE)=VLOOKUP(AP$1,'40Trips'!$A$3:$I$42,3,FALSE)),1,0)</f>
        <v>0</v>
      </c>
      <c r="AQ67">
        <f>IF(AND(gamma!AP26=1, VLOOKUP($A67,'40Trips'!$A$43:$I$46, 3,FALSE)=VLOOKUP(AQ$1,'40Trips'!$A$3:$I$42,3,FALSE)),1,0)</f>
        <v>0</v>
      </c>
    </row>
    <row r="68" spans="1:43" x14ac:dyDescent="0.25">
      <c r="A68" t="s">
        <v>62</v>
      </c>
      <c r="B68" t="s">
        <v>79</v>
      </c>
      <c r="C68">
        <v>0</v>
      </c>
      <c r="D68">
        <f>IF(AND(gamma!C27=1, VLOOKUP($A68,'40Trips'!$A$43:$I$46, 3,FALSE)=VLOOKUP(D$1,'40Trips'!$A$3:$I$42,3,FALSE)),1,0)</f>
        <v>0</v>
      </c>
      <c r="E68">
        <f>IF(AND(gamma!D27=1, VLOOKUP($A68,'40Trips'!$A$43:$I$46, 3,FALSE)=VLOOKUP(E$1,'40Trips'!$A$3:$I$42,3,FALSE)),1,0)</f>
        <v>1</v>
      </c>
      <c r="F68">
        <f>IF(AND(gamma!E27=1, VLOOKUP($A68,'40Trips'!$A$43:$I$46, 3,FALSE)=VLOOKUP(F$1,'40Trips'!$A$3:$I$42,3,FALSE)),1,0)</f>
        <v>1</v>
      </c>
      <c r="G68">
        <f>IF(AND(gamma!F27=1, VLOOKUP($A68,'40Trips'!$A$43:$I$46, 3,FALSE)=VLOOKUP(G$1,'40Trips'!$A$3:$I$42,3,FALSE)),1,0)</f>
        <v>1</v>
      </c>
      <c r="H68">
        <f>IF(AND(gamma!G27=1, VLOOKUP($A68,'40Trips'!$A$43:$I$46, 3,FALSE)=VLOOKUP(H$1,'40Trips'!$A$3:$I$42,3,FALSE)),1,0)</f>
        <v>0</v>
      </c>
      <c r="I68">
        <f>IF(AND(gamma!H27=1, VLOOKUP($A68,'40Trips'!$A$43:$I$46, 3,FALSE)=VLOOKUP(I$1,'40Trips'!$A$3:$I$42,3,FALSE)),1,0)</f>
        <v>0</v>
      </c>
      <c r="J68">
        <f>IF(AND(gamma!I27=1, VLOOKUP($A68,'40Trips'!$A$43:$I$46, 3,FALSE)=VLOOKUP(J$1,'40Trips'!$A$3:$I$42,3,FALSE)),1,0)</f>
        <v>1</v>
      </c>
      <c r="K68">
        <f>IF(AND(gamma!J27=1, VLOOKUP($A68,'40Trips'!$A$43:$I$46, 3,FALSE)=VLOOKUP(K$1,'40Trips'!$A$3:$I$42,3,FALSE)),1,0)</f>
        <v>1</v>
      </c>
      <c r="L68">
        <f>IF(AND(gamma!K27=1, VLOOKUP($A68,'40Trips'!$A$43:$I$46, 3,FALSE)=VLOOKUP(L$1,'40Trips'!$A$3:$I$42,3,FALSE)),1,0)</f>
        <v>0</v>
      </c>
      <c r="M68">
        <f>IF(AND(gamma!L27=1, VLOOKUP($A68,'40Trips'!$A$43:$I$46, 3,FALSE)=VLOOKUP(M$1,'40Trips'!$A$3:$I$42,3,FALSE)),1,0)</f>
        <v>0</v>
      </c>
      <c r="N68">
        <f>IF(AND(gamma!M27=1, VLOOKUP($A68,'40Trips'!$A$43:$I$46, 3,FALSE)=VLOOKUP(N$1,'40Trips'!$A$3:$I$42,3,FALSE)),1,0)</f>
        <v>1</v>
      </c>
      <c r="O68">
        <f>IF(AND(gamma!N27=1, VLOOKUP($A68,'40Trips'!$A$43:$I$46, 3,FALSE)=VLOOKUP(O$1,'40Trips'!$A$3:$I$42,3,FALSE)),1,0)</f>
        <v>0</v>
      </c>
      <c r="P68">
        <f>IF(AND(gamma!O27=1, VLOOKUP($A68,'40Trips'!$A$43:$I$46, 3,FALSE)=VLOOKUP(P$1,'40Trips'!$A$3:$I$42,3,FALSE)),1,0)</f>
        <v>0</v>
      </c>
      <c r="Q68">
        <f>IF(AND(gamma!P27=1, VLOOKUP($A68,'40Trips'!$A$43:$I$46, 3,FALSE)=VLOOKUP(Q$1,'40Trips'!$A$3:$I$42,3,FALSE)),1,0)</f>
        <v>0</v>
      </c>
      <c r="R68">
        <f>IF(AND(gamma!Q27=1, VLOOKUP($A68,'40Trips'!$A$43:$I$46, 3,FALSE)=VLOOKUP(R$1,'40Trips'!$A$3:$I$42,3,FALSE)),1,0)</f>
        <v>0</v>
      </c>
      <c r="S68">
        <f>IF(AND(gamma!R27=1, VLOOKUP($A68,'40Trips'!$A$43:$I$46, 3,FALSE)=VLOOKUP(S$1,'40Trips'!$A$3:$I$42,3,FALSE)),1,0)</f>
        <v>0</v>
      </c>
      <c r="T68">
        <f>IF(AND(gamma!S27=1, VLOOKUP($A68,'40Trips'!$A$43:$I$46, 3,FALSE)=VLOOKUP(T$1,'40Trips'!$A$3:$I$42,3,FALSE)),1,0)</f>
        <v>0</v>
      </c>
      <c r="U68">
        <f>IF(AND(gamma!T27=1, VLOOKUP($A68,'40Trips'!$A$43:$I$46, 3,FALSE)=VLOOKUP(U$1,'40Trips'!$A$3:$I$42,3,FALSE)),1,0)</f>
        <v>0</v>
      </c>
      <c r="V68">
        <f>IF(AND(gamma!U27=1, VLOOKUP($A68,'40Trips'!$A$43:$I$46, 3,FALSE)=VLOOKUP(V$1,'40Trips'!$A$3:$I$42,3,FALSE)),1,0)</f>
        <v>0</v>
      </c>
      <c r="W68">
        <f>IF(AND(gamma!V27=1, VLOOKUP($A68,'40Trips'!$A$43:$I$46, 3,FALSE)=VLOOKUP(W$1,'40Trips'!$A$3:$I$42,3,FALSE)),1,0)</f>
        <v>0</v>
      </c>
      <c r="X68">
        <f>IF(AND(gamma!W27=1, VLOOKUP($A68,'40Trips'!$A$43:$I$46, 3,FALSE)=VLOOKUP(X$1,'40Trips'!$A$3:$I$42,3,FALSE)),1,0)</f>
        <v>0</v>
      </c>
      <c r="Y68">
        <f>IF(AND(gamma!X27=1, VLOOKUP($A68,'40Trips'!$A$43:$I$46, 3,FALSE)=VLOOKUP(Y$1,'40Trips'!$A$3:$I$42,3,FALSE)),1,0)</f>
        <v>0</v>
      </c>
      <c r="Z68">
        <f>IF(AND(gamma!Y27=1, VLOOKUP($A68,'40Trips'!$A$43:$I$46, 3,FALSE)=VLOOKUP(Z$1,'40Trips'!$A$3:$I$42,3,FALSE)),1,0)</f>
        <v>0</v>
      </c>
      <c r="AA68">
        <f>IF(AND(gamma!Z27=1, VLOOKUP($A68,'40Trips'!$A$43:$I$46, 3,FALSE)=VLOOKUP(AA$1,'40Trips'!$A$3:$I$42,3,FALSE)),1,0)</f>
        <v>0</v>
      </c>
      <c r="AB68">
        <f>IF(AND(gamma!AA27=1, VLOOKUP($A68,'40Trips'!$A$43:$I$46, 3,FALSE)=VLOOKUP(AB$1,'40Trips'!$A$3:$I$42,3,FALSE)),1,0)</f>
        <v>0</v>
      </c>
      <c r="AC68">
        <f>IF(AND(gamma!AB27=1, VLOOKUP($A68,'40Trips'!$A$43:$I$46, 3,FALSE)=VLOOKUP(AC$1,'40Trips'!$A$3:$I$42,3,FALSE)),1,0)</f>
        <v>0</v>
      </c>
      <c r="AD68">
        <f>IF(AND(gamma!AC27=1, VLOOKUP($A68,'40Trips'!$A$43:$I$46, 3,FALSE)=VLOOKUP(AD$1,'40Trips'!$A$3:$I$42,3,FALSE)),1,0)</f>
        <v>0</v>
      </c>
      <c r="AE68">
        <f>IF(AND(gamma!AD27=1, VLOOKUP($A68,'40Trips'!$A$43:$I$46, 3,FALSE)=VLOOKUP(AE$1,'40Trips'!$A$3:$I$42,3,FALSE)),1,0)</f>
        <v>0</v>
      </c>
      <c r="AF68">
        <f>IF(AND(gamma!AE27=1, VLOOKUP($A68,'40Trips'!$A$43:$I$46, 3,FALSE)=VLOOKUP(AF$1,'40Trips'!$A$3:$I$42,3,FALSE)),1,0)</f>
        <v>0</v>
      </c>
      <c r="AG68">
        <f>IF(AND(gamma!AF27=1, VLOOKUP($A68,'40Trips'!$A$43:$I$46, 3,FALSE)=VLOOKUP(AG$1,'40Trips'!$A$3:$I$42,3,FALSE)),1,0)</f>
        <v>0</v>
      </c>
      <c r="AH68">
        <f>IF(AND(gamma!AG27=1, VLOOKUP($A68,'40Trips'!$A$43:$I$46, 3,FALSE)=VLOOKUP(AH$1,'40Trips'!$A$3:$I$42,3,FALSE)),1,0)</f>
        <v>0</v>
      </c>
      <c r="AI68">
        <f>IF(AND(gamma!AH27=1, VLOOKUP($A68,'40Trips'!$A$43:$I$46, 3,FALSE)=VLOOKUP(AI$1,'40Trips'!$A$3:$I$42,3,FALSE)),1,0)</f>
        <v>0</v>
      </c>
      <c r="AJ68">
        <f>IF(AND(gamma!AI27=1, VLOOKUP($A68,'40Trips'!$A$43:$I$46, 3,FALSE)=VLOOKUP(AJ$1,'40Trips'!$A$3:$I$42,3,FALSE)),1,0)</f>
        <v>0</v>
      </c>
      <c r="AK68">
        <f>IF(AND(gamma!AJ27=1, VLOOKUP($A68,'40Trips'!$A$43:$I$46, 3,FALSE)=VLOOKUP(AK$1,'40Trips'!$A$3:$I$42,3,FALSE)),1,0)</f>
        <v>0</v>
      </c>
      <c r="AL68">
        <f>IF(AND(gamma!AK27=1, VLOOKUP($A68,'40Trips'!$A$43:$I$46, 3,FALSE)=VLOOKUP(AL$1,'40Trips'!$A$3:$I$42,3,FALSE)),1,0)</f>
        <v>0</v>
      </c>
      <c r="AM68">
        <f>IF(AND(gamma!AL27=1, VLOOKUP($A68,'40Trips'!$A$43:$I$46, 3,FALSE)=VLOOKUP(AM$1,'40Trips'!$A$3:$I$42,3,FALSE)),1,0)</f>
        <v>0</v>
      </c>
      <c r="AN68">
        <f>IF(AND(gamma!AM27=1, VLOOKUP($A68,'40Trips'!$A$43:$I$46, 3,FALSE)=VLOOKUP(AN$1,'40Trips'!$A$3:$I$42,3,FALSE)),1,0)</f>
        <v>0</v>
      </c>
      <c r="AO68">
        <f>IF(AND(gamma!AN27=1, VLOOKUP($A68,'40Trips'!$A$43:$I$46, 3,FALSE)=VLOOKUP(AO$1,'40Trips'!$A$3:$I$42,3,FALSE)),1,0)</f>
        <v>0</v>
      </c>
      <c r="AP68">
        <f>IF(AND(gamma!AO27=1, VLOOKUP($A68,'40Trips'!$A$43:$I$46, 3,FALSE)=VLOOKUP(AP$1,'40Trips'!$A$3:$I$42,3,FALSE)),1,0)</f>
        <v>0</v>
      </c>
      <c r="AQ68">
        <f>IF(AND(gamma!AP27=1, VLOOKUP($A68,'40Trips'!$A$43:$I$46, 3,FALSE)=VLOOKUP(AQ$1,'40Trips'!$A$3:$I$42,3,FALSE)),1,0)</f>
        <v>0</v>
      </c>
    </row>
    <row r="69" spans="1:43" x14ac:dyDescent="0.25">
      <c r="A69" t="s">
        <v>62</v>
      </c>
      <c r="B69" t="s">
        <v>80</v>
      </c>
      <c r="C69">
        <v>0</v>
      </c>
      <c r="D69">
        <f>IF(AND(gamma!C28=1, VLOOKUP($A69,'40Trips'!$A$43:$I$46, 3,FALSE)=VLOOKUP(D$1,'40Trips'!$A$3:$I$42,3,FALSE)),1,0)</f>
        <v>0</v>
      </c>
      <c r="E69">
        <f>IF(AND(gamma!D28=1, VLOOKUP($A69,'40Trips'!$A$43:$I$46, 3,FALSE)=VLOOKUP(E$1,'40Trips'!$A$3:$I$42,3,FALSE)),1,0)</f>
        <v>0</v>
      </c>
      <c r="F69">
        <f>IF(AND(gamma!E28=1, VLOOKUP($A69,'40Trips'!$A$43:$I$46, 3,FALSE)=VLOOKUP(F$1,'40Trips'!$A$3:$I$42,3,FALSE)),1,0)</f>
        <v>1</v>
      </c>
      <c r="G69">
        <f>IF(AND(gamma!F28=1, VLOOKUP($A69,'40Trips'!$A$43:$I$46, 3,FALSE)=VLOOKUP(G$1,'40Trips'!$A$3:$I$42,3,FALSE)),1,0)</f>
        <v>1</v>
      </c>
      <c r="H69">
        <f>IF(AND(gamma!G28=1, VLOOKUP($A69,'40Trips'!$A$43:$I$46, 3,FALSE)=VLOOKUP(H$1,'40Trips'!$A$3:$I$42,3,FALSE)),1,0)</f>
        <v>0</v>
      </c>
      <c r="I69">
        <f>IF(AND(gamma!H28=1, VLOOKUP($A69,'40Trips'!$A$43:$I$46, 3,FALSE)=VLOOKUP(I$1,'40Trips'!$A$3:$I$42,3,FALSE)),1,0)</f>
        <v>0</v>
      </c>
      <c r="J69">
        <f>IF(AND(gamma!I28=1, VLOOKUP($A69,'40Trips'!$A$43:$I$46, 3,FALSE)=VLOOKUP(J$1,'40Trips'!$A$3:$I$42,3,FALSE)),1,0)</f>
        <v>0</v>
      </c>
      <c r="K69">
        <f>IF(AND(gamma!J28=1, VLOOKUP($A69,'40Trips'!$A$43:$I$46, 3,FALSE)=VLOOKUP(K$1,'40Trips'!$A$3:$I$42,3,FALSE)),1,0)</f>
        <v>1</v>
      </c>
      <c r="L69">
        <f>IF(AND(gamma!K28=1, VLOOKUP($A69,'40Trips'!$A$43:$I$46, 3,FALSE)=VLOOKUP(L$1,'40Trips'!$A$3:$I$42,3,FALSE)),1,0)</f>
        <v>0</v>
      </c>
      <c r="M69">
        <f>IF(AND(gamma!L28=1, VLOOKUP($A69,'40Trips'!$A$43:$I$46, 3,FALSE)=VLOOKUP(M$1,'40Trips'!$A$3:$I$42,3,FALSE)),1,0)</f>
        <v>0</v>
      </c>
      <c r="N69">
        <f>IF(AND(gamma!M28=1, VLOOKUP($A69,'40Trips'!$A$43:$I$46, 3,FALSE)=VLOOKUP(N$1,'40Trips'!$A$3:$I$42,3,FALSE)),1,0)</f>
        <v>0</v>
      </c>
      <c r="O69">
        <f>IF(AND(gamma!N28=1, VLOOKUP($A69,'40Trips'!$A$43:$I$46, 3,FALSE)=VLOOKUP(O$1,'40Trips'!$A$3:$I$42,3,FALSE)),1,0)</f>
        <v>0</v>
      </c>
      <c r="P69">
        <f>IF(AND(gamma!O28=1, VLOOKUP($A69,'40Trips'!$A$43:$I$46, 3,FALSE)=VLOOKUP(P$1,'40Trips'!$A$3:$I$42,3,FALSE)),1,0)</f>
        <v>0</v>
      </c>
      <c r="Q69">
        <f>IF(AND(gamma!P28=1, VLOOKUP($A69,'40Trips'!$A$43:$I$46, 3,FALSE)=VLOOKUP(Q$1,'40Trips'!$A$3:$I$42,3,FALSE)),1,0)</f>
        <v>0</v>
      </c>
      <c r="R69">
        <f>IF(AND(gamma!Q28=1, VLOOKUP($A69,'40Trips'!$A$43:$I$46, 3,FALSE)=VLOOKUP(R$1,'40Trips'!$A$3:$I$42,3,FALSE)),1,0)</f>
        <v>0</v>
      </c>
      <c r="S69">
        <f>IF(AND(gamma!R28=1, VLOOKUP($A69,'40Trips'!$A$43:$I$46, 3,FALSE)=VLOOKUP(S$1,'40Trips'!$A$3:$I$42,3,FALSE)),1,0)</f>
        <v>0</v>
      </c>
      <c r="T69">
        <f>IF(AND(gamma!S28=1, VLOOKUP($A69,'40Trips'!$A$43:$I$46, 3,FALSE)=VLOOKUP(T$1,'40Trips'!$A$3:$I$42,3,FALSE)),1,0)</f>
        <v>0</v>
      </c>
      <c r="U69">
        <f>IF(AND(gamma!T28=1, VLOOKUP($A69,'40Trips'!$A$43:$I$46, 3,FALSE)=VLOOKUP(U$1,'40Trips'!$A$3:$I$42,3,FALSE)),1,0)</f>
        <v>0</v>
      </c>
      <c r="V69">
        <f>IF(AND(gamma!U28=1, VLOOKUP($A69,'40Trips'!$A$43:$I$46, 3,FALSE)=VLOOKUP(V$1,'40Trips'!$A$3:$I$42,3,FALSE)),1,0)</f>
        <v>0</v>
      </c>
      <c r="W69">
        <f>IF(AND(gamma!V28=1, VLOOKUP($A69,'40Trips'!$A$43:$I$46, 3,FALSE)=VLOOKUP(W$1,'40Trips'!$A$3:$I$42,3,FALSE)),1,0)</f>
        <v>0</v>
      </c>
      <c r="X69">
        <f>IF(AND(gamma!W28=1, VLOOKUP($A69,'40Trips'!$A$43:$I$46, 3,FALSE)=VLOOKUP(X$1,'40Trips'!$A$3:$I$42,3,FALSE)),1,0)</f>
        <v>0</v>
      </c>
      <c r="Y69">
        <f>IF(AND(gamma!X28=1, VLOOKUP($A69,'40Trips'!$A$43:$I$46, 3,FALSE)=VLOOKUP(Y$1,'40Trips'!$A$3:$I$42,3,FALSE)),1,0)</f>
        <v>0</v>
      </c>
      <c r="Z69">
        <f>IF(AND(gamma!Y28=1, VLOOKUP($A69,'40Trips'!$A$43:$I$46, 3,FALSE)=VLOOKUP(Z$1,'40Trips'!$A$3:$I$42,3,FALSE)),1,0)</f>
        <v>0</v>
      </c>
      <c r="AA69">
        <f>IF(AND(gamma!Z28=1, VLOOKUP($A69,'40Trips'!$A$43:$I$46, 3,FALSE)=VLOOKUP(AA$1,'40Trips'!$A$3:$I$42,3,FALSE)),1,0)</f>
        <v>0</v>
      </c>
      <c r="AB69">
        <f>IF(AND(gamma!AA28=1, VLOOKUP($A69,'40Trips'!$A$43:$I$46, 3,FALSE)=VLOOKUP(AB$1,'40Trips'!$A$3:$I$42,3,FALSE)),1,0)</f>
        <v>0</v>
      </c>
      <c r="AC69">
        <f>IF(AND(gamma!AB28=1, VLOOKUP($A69,'40Trips'!$A$43:$I$46, 3,FALSE)=VLOOKUP(AC$1,'40Trips'!$A$3:$I$42,3,FALSE)),1,0)</f>
        <v>0</v>
      </c>
      <c r="AD69">
        <f>IF(AND(gamma!AC28=1, VLOOKUP($A69,'40Trips'!$A$43:$I$46, 3,FALSE)=VLOOKUP(AD$1,'40Trips'!$A$3:$I$42,3,FALSE)),1,0)</f>
        <v>0</v>
      </c>
      <c r="AE69">
        <f>IF(AND(gamma!AD28=1, VLOOKUP($A69,'40Trips'!$A$43:$I$46, 3,FALSE)=VLOOKUP(AE$1,'40Trips'!$A$3:$I$42,3,FALSE)),1,0)</f>
        <v>0</v>
      </c>
      <c r="AF69">
        <f>IF(AND(gamma!AE28=1, VLOOKUP($A69,'40Trips'!$A$43:$I$46, 3,FALSE)=VLOOKUP(AF$1,'40Trips'!$A$3:$I$42,3,FALSE)),1,0)</f>
        <v>0</v>
      </c>
      <c r="AG69">
        <f>IF(AND(gamma!AF28=1, VLOOKUP($A69,'40Trips'!$A$43:$I$46, 3,FALSE)=VLOOKUP(AG$1,'40Trips'!$A$3:$I$42,3,FALSE)),1,0)</f>
        <v>0</v>
      </c>
      <c r="AH69">
        <f>IF(AND(gamma!AG28=1, VLOOKUP($A69,'40Trips'!$A$43:$I$46, 3,FALSE)=VLOOKUP(AH$1,'40Trips'!$A$3:$I$42,3,FALSE)),1,0)</f>
        <v>0</v>
      </c>
      <c r="AI69">
        <f>IF(AND(gamma!AH28=1, VLOOKUP($A69,'40Trips'!$A$43:$I$46, 3,FALSE)=VLOOKUP(AI$1,'40Trips'!$A$3:$I$42,3,FALSE)),1,0)</f>
        <v>0</v>
      </c>
      <c r="AJ69">
        <f>IF(AND(gamma!AI28=1, VLOOKUP($A69,'40Trips'!$A$43:$I$46, 3,FALSE)=VLOOKUP(AJ$1,'40Trips'!$A$3:$I$42,3,FALSE)),1,0)</f>
        <v>0</v>
      </c>
      <c r="AK69">
        <f>IF(AND(gamma!AJ28=1, VLOOKUP($A69,'40Trips'!$A$43:$I$46, 3,FALSE)=VLOOKUP(AK$1,'40Trips'!$A$3:$I$42,3,FALSE)),1,0)</f>
        <v>0</v>
      </c>
      <c r="AL69">
        <f>IF(AND(gamma!AK28=1, VLOOKUP($A69,'40Trips'!$A$43:$I$46, 3,FALSE)=VLOOKUP(AL$1,'40Trips'!$A$3:$I$42,3,FALSE)),1,0)</f>
        <v>0</v>
      </c>
      <c r="AM69">
        <f>IF(AND(gamma!AL28=1, VLOOKUP($A69,'40Trips'!$A$43:$I$46, 3,FALSE)=VLOOKUP(AM$1,'40Trips'!$A$3:$I$42,3,FALSE)),1,0)</f>
        <v>0</v>
      </c>
      <c r="AN69">
        <f>IF(AND(gamma!AM28=1, VLOOKUP($A69,'40Trips'!$A$43:$I$46, 3,FALSE)=VLOOKUP(AN$1,'40Trips'!$A$3:$I$42,3,FALSE)),1,0)</f>
        <v>0</v>
      </c>
      <c r="AO69">
        <f>IF(AND(gamma!AN28=1, VLOOKUP($A69,'40Trips'!$A$43:$I$46, 3,FALSE)=VLOOKUP(AO$1,'40Trips'!$A$3:$I$42,3,FALSE)),1,0)</f>
        <v>0</v>
      </c>
      <c r="AP69">
        <f>IF(AND(gamma!AO28=1, VLOOKUP($A69,'40Trips'!$A$43:$I$46, 3,FALSE)=VLOOKUP(AP$1,'40Trips'!$A$3:$I$42,3,FALSE)),1,0)</f>
        <v>0</v>
      </c>
      <c r="AQ69">
        <f>IF(AND(gamma!AP28=1, VLOOKUP($A69,'40Trips'!$A$43:$I$46, 3,FALSE)=VLOOKUP(AQ$1,'40Trips'!$A$3:$I$42,3,FALSE)),1,0)</f>
        <v>0</v>
      </c>
    </row>
    <row r="70" spans="1:43" x14ac:dyDescent="0.25">
      <c r="A70" t="s">
        <v>62</v>
      </c>
      <c r="B70" t="s">
        <v>81</v>
      </c>
      <c r="C70">
        <v>0</v>
      </c>
      <c r="D70">
        <f>IF(AND(gamma!C29=1, VLOOKUP($A70,'40Trips'!$A$43:$I$46, 3,FALSE)=VLOOKUP(D$1,'40Trips'!$A$3:$I$42,3,FALSE)),1,0)</f>
        <v>0</v>
      </c>
      <c r="E70">
        <f>IF(AND(gamma!D29=1, VLOOKUP($A70,'40Trips'!$A$43:$I$46, 3,FALSE)=VLOOKUP(E$1,'40Trips'!$A$3:$I$42,3,FALSE)),1,0)</f>
        <v>0</v>
      </c>
      <c r="F70">
        <f>IF(AND(gamma!E29=1, VLOOKUP($A70,'40Trips'!$A$43:$I$46, 3,FALSE)=VLOOKUP(F$1,'40Trips'!$A$3:$I$42,3,FALSE)),1,0)</f>
        <v>0</v>
      </c>
      <c r="G70">
        <f>IF(AND(gamma!F29=1, VLOOKUP($A70,'40Trips'!$A$43:$I$46, 3,FALSE)=VLOOKUP(G$1,'40Trips'!$A$3:$I$42,3,FALSE)),1,0)</f>
        <v>0</v>
      </c>
      <c r="H70">
        <f>IF(AND(gamma!G29=1, VLOOKUP($A70,'40Trips'!$A$43:$I$46, 3,FALSE)=VLOOKUP(H$1,'40Trips'!$A$3:$I$42,3,FALSE)),1,0)</f>
        <v>0</v>
      </c>
      <c r="I70">
        <f>IF(AND(gamma!H29=1, VLOOKUP($A70,'40Trips'!$A$43:$I$46, 3,FALSE)=VLOOKUP(I$1,'40Trips'!$A$3:$I$42,3,FALSE)),1,0)</f>
        <v>0</v>
      </c>
      <c r="J70">
        <f>IF(AND(gamma!I29=1, VLOOKUP($A70,'40Trips'!$A$43:$I$46, 3,FALSE)=VLOOKUP(J$1,'40Trips'!$A$3:$I$42,3,FALSE)),1,0)</f>
        <v>0</v>
      </c>
      <c r="K70">
        <f>IF(AND(gamma!J29=1, VLOOKUP($A70,'40Trips'!$A$43:$I$46, 3,FALSE)=VLOOKUP(K$1,'40Trips'!$A$3:$I$42,3,FALSE)),1,0)</f>
        <v>1</v>
      </c>
      <c r="L70">
        <f>IF(AND(gamma!K29=1, VLOOKUP($A70,'40Trips'!$A$43:$I$46, 3,FALSE)=VLOOKUP(L$1,'40Trips'!$A$3:$I$42,3,FALSE)),1,0)</f>
        <v>0</v>
      </c>
      <c r="M70">
        <f>IF(AND(gamma!L29=1, VLOOKUP($A70,'40Trips'!$A$43:$I$46, 3,FALSE)=VLOOKUP(M$1,'40Trips'!$A$3:$I$42,3,FALSE)),1,0)</f>
        <v>0</v>
      </c>
      <c r="N70">
        <f>IF(AND(gamma!M29=1, VLOOKUP($A70,'40Trips'!$A$43:$I$46, 3,FALSE)=VLOOKUP(N$1,'40Trips'!$A$3:$I$42,3,FALSE)),1,0)</f>
        <v>0</v>
      </c>
      <c r="O70">
        <f>IF(AND(gamma!N29=1, VLOOKUP($A70,'40Trips'!$A$43:$I$46, 3,FALSE)=VLOOKUP(O$1,'40Trips'!$A$3:$I$42,3,FALSE)),1,0)</f>
        <v>0</v>
      </c>
      <c r="P70">
        <f>IF(AND(gamma!O29=1, VLOOKUP($A70,'40Trips'!$A$43:$I$46, 3,FALSE)=VLOOKUP(P$1,'40Trips'!$A$3:$I$42,3,FALSE)),1,0)</f>
        <v>0</v>
      </c>
      <c r="Q70">
        <f>IF(AND(gamma!P29=1, VLOOKUP($A70,'40Trips'!$A$43:$I$46, 3,FALSE)=VLOOKUP(Q$1,'40Trips'!$A$3:$I$42,3,FALSE)),1,0)</f>
        <v>0</v>
      </c>
      <c r="R70">
        <f>IF(AND(gamma!Q29=1, VLOOKUP($A70,'40Trips'!$A$43:$I$46, 3,FALSE)=VLOOKUP(R$1,'40Trips'!$A$3:$I$42,3,FALSE)),1,0)</f>
        <v>0</v>
      </c>
      <c r="S70">
        <f>IF(AND(gamma!R29=1, VLOOKUP($A70,'40Trips'!$A$43:$I$46, 3,FALSE)=VLOOKUP(S$1,'40Trips'!$A$3:$I$42,3,FALSE)),1,0)</f>
        <v>0</v>
      </c>
      <c r="T70">
        <f>IF(AND(gamma!S29=1, VLOOKUP($A70,'40Trips'!$A$43:$I$46, 3,FALSE)=VLOOKUP(T$1,'40Trips'!$A$3:$I$42,3,FALSE)),1,0)</f>
        <v>0</v>
      </c>
      <c r="U70">
        <f>IF(AND(gamma!T29=1, VLOOKUP($A70,'40Trips'!$A$43:$I$46, 3,FALSE)=VLOOKUP(U$1,'40Trips'!$A$3:$I$42,3,FALSE)),1,0)</f>
        <v>0</v>
      </c>
      <c r="V70">
        <f>IF(AND(gamma!U29=1, VLOOKUP($A70,'40Trips'!$A$43:$I$46, 3,FALSE)=VLOOKUP(V$1,'40Trips'!$A$3:$I$42,3,FALSE)),1,0)</f>
        <v>0</v>
      </c>
      <c r="W70">
        <f>IF(AND(gamma!V29=1, VLOOKUP($A70,'40Trips'!$A$43:$I$46, 3,FALSE)=VLOOKUP(W$1,'40Trips'!$A$3:$I$42,3,FALSE)),1,0)</f>
        <v>0</v>
      </c>
      <c r="X70">
        <f>IF(AND(gamma!W29=1, VLOOKUP($A70,'40Trips'!$A$43:$I$46, 3,FALSE)=VLOOKUP(X$1,'40Trips'!$A$3:$I$42,3,FALSE)),1,0)</f>
        <v>0</v>
      </c>
      <c r="Y70">
        <f>IF(AND(gamma!X29=1, VLOOKUP($A70,'40Trips'!$A$43:$I$46, 3,FALSE)=VLOOKUP(Y$1,'40Trips'!$A$3:$I$42,3,FALSE)),1,0)</f>
        <v>0</v>
      </c>
      <c r="Z70">
        <f>IF(AND(gamma!Y29=1, VLOOKUP($A70,'40Trips'!$A$43:$I$46, 3,FALSE)=VLOOKUP(Z$1,'40Trips'!$A$3:$I$42,3,FALSE)),1,0)</f>
        <v>0</v>
      </c>
      <c r="AA70">
        <f>IF(AND(gamma!Z29=1, VLOOKUP($A70,'40Trips'!$A$43:$I$46, 3,FALSE)=VLOOKUP(AA$1,'40Trips'!$A$3:$I$42,3,FALSE)),1,0)</f>
        <v>0</v>
      </c>
      <c r="AB70">
        <f>IF(AND(gamma!AA29=1, VLOOKUP($A70,'40Trips'!$A$43:$I$46, 3,FALSE)=VLOOKUP(AB$1,'40Trips'!$A$3:$I$42,3,FALSE)),1,0)</f>
        <v>0</v>
      </c>
      <c r="AC70">
        <f>IF(AND(gamma!AB29=1, VLOOKUP($A70,'40Trips'!$A$43:$I$46, 3,FALSE)=VLOOKUP(AC$1,'40Trips'!$A$3:$I$42,3,FALSE)),1,0)</f>
        <v>0</v>
      </c>
      <c r="AD70">
        <f>IF(AND(gamma!AC29=1, VLOOKUP($A70,'40Trips'!$A$43:$I$46, 3,FALSE)=VLOOKUP(AD$1,'40Trips'!$A$3:$I$42,3,FALSE)),1,0)</f>
        <v>0</v>
      </c>
      <c r="AE70">
        <f>IF(AND(gamma!AD29=1, VLOOKUP($A70,'40Trips'!$A$43:$I$46, 3,FALSE)=VLOOKUP(AE$1,'40Trips'!$A$3:$I$42,3,FALSE)),1,0)</f>
        <v>0</v>
      </c>
      <c r="AF70">
        <f>IF(AND(gamma!AE29=1, VLOOKUP($A70,'40Trips'!$A$43:$I$46, 3,FALSE)=VLOOKUP(AF$1,'40Trips'!$A$3:$I$42,3,FALSE)),1,0)</f>
        <v>0</v>
      </c>
      <c r="AG70">
        <f>IF(AND(gamma!AF29=1, VLOOKUP($A70,'40Trips'!$A$43:$I$46, 3,FALSE)=VLOOKUP(AG$1,'40Trips'!$A$3:$I$42,3,FALSE)),1,0)</f>
        <v>0</v>
      </c>
      <c r="AH70">
        <f>IF(AND(gamma!AG29=1, VLOOKUP($A70,'40Trips'!$A$43:$I$46, 3,FALSE)=VLOOKUP(AH$1,'40Trips'!$A$3:$I$42,3,FALSE)),1,0)</f>
        <v>0</v>
      </c>
      <c r="AI70">
        <f>IF(AND(gamma!AH29=1, VLOOKUP($A70,'40Trips'!$A$43:$I$46, 3,FALSE)=VLOOKUP(AI$1,'40Trips'!$A$3:$I$42,3,FALSE)),1,0)</f>
        <v>0</v>
      </c>
      <c r="AJ70">
        <f>IF(AND(gamma!AI29=1, VLOOKUP($A70,'40Trips'!$A$43:$I$46, 3,FALSE)=VLOOKUP(AJ$1,'40Trips'!$A$3:$I$42,3,FALSE)),1,0)</f>
        <v>0</v>
      </c>
      <c r="AK70">
        <f>IF(AND(gamma!AJ29=1, VLOOKUP($A70,'40Trips'!$A$43:$I$46, 3,FALSE)=VLOOKUP(AK$1,'40Trips'!$A$3:$I$42,3,FALSE)),1,0)</f>
        <v>0</v>
      </c>
      <c r="AL70">
        <f>IF(AND(gamma!AK29=1, VLOOKUP($A70,'40Trips'!$A$43:$I$46, 3,FALSE)=VLOOKUP(AL$1,'40Trips'!$A$3:$I$42,3,FALSE)),1,0)</f>
        <v>0</v>
      </c>
      <c r="AM70">
        <f>IF(AND(gamma!AL29=1, VLOOKUP($A70,'40Trips'!$A$43:$I$46, 3,FALSE)=VLOOKUP(AM$1,'40Trips'!$A$3:$I$42,3,FALSE)),1,0)</f>
        <v>0</v>
      </c>
      <c r="AN70">
        <f>IF(AND(gamma!AM29=1, VLOOKUP($A70,'40Trips'!$A$43:$I$46, 3,FALSE)=VLOOKUP(AN$1,'40Trips'!$A$3:$I$42,3,FALSE)),1,0)</f>
        <v>0</v>
      </c>
      <c r="AO70">
        <f>IF(AND(gamma!AN29=1, VLOOKUP($A70,'40Trips'!$A$43:$I$46, 3,FALSE)=VLOOKUP(AO$1,'40Trips'!$A$3:$I$42,3,FALSE)),1,0)</f>
        <v>0</v>
      </c>
      <c r="AP70">
        <f>IF(AND(gamma!AO29=1, VLOOKUP($A70,'40Trips'!$A$43:$I$46, 3,FALSE)=VLOOKUP(AP$1,'40Trips'!$A$3:$I$42,3,FALSE)),1,0)</f>
        <v>0</v>
      </c>
      <c r="AQ70">
        <f>IF(AND(gamma!AP29=1, VLOOKUP($A70,'40Trips'!$A$43:$I$46, 3,FALSE)=VLOOKUP(AQ$1,'40Trips'!$A$3:$I$42,3,FALSE)),1,0)</f>
        <v>0</v>
      </c>
    </row>
    <row r="71" spans="1:43" x14ac:dyDescent="0.25">
      <c r="A71" t="s">
        <v>62</v>
      </c>
      <c r="B71" t="s">
        <v>82</v>
      </c>
      <c r="C71">
        <v>0</v>
      </c>
      <c r="D71">
        <f>IF(AND(gamma!C30=1, VLOOKUP($A71,'40Trips'!$A$43:$I$46, 3,FALSE)=VLOOKUP(D$1,'40Trips'!$A$3:$I$42,3,FALSE)),1,0)</f>
        <v>0</v>
      </c>
      <c r="E71">
        <f>IF(AND(gamma!D30=1, VLOOKUP($A71,'40Trips'!$A$43:$I$46, 3,FALSE)=VLOOKUP(E$1,'40Trips'!$A$3:$I$42,3,FALSE)),1,0)</f>
        <v>0</v>
      </c>
      <c r="F71">
        <f>IF(AND(gamma!E30=1, VLOOKUP($A71,'40Trips'!$A$43:$I$46, 3,FALSE)=VLOOKUP(F$1,'40Trips'!$A$3:$I$42,3,FALSE)),1,0)</f>
        <v>0</v>
      </c>
      <c r="G71">
        <f>IF(AND(gamma!F30=1, VLOOKUP($A71,'40Trips'!$A$43:$I$46, 3,FALSE)=VLOOKUP(G$1,'40Trips'!$A$3:$I$42,3,FALSE)),1,0)</f>
        <v>0</v>
      </c>
      <c r="H71">
        <f>IF(AND(gamma!G30=1, VLOOKUP($A71,'40Trips'!$A$43:$I$46, 3,FALSE)=VLOOKUP(H$1,'40Trips'!$A$3:$I$42,3,FALSE)),1,0)</f>
        <v>0</v>
      </c>
      <c r="I71">
        <f>IF(AND(gamma!H30=1, VLOOKUP($A71,'40Trips'!$A$43:$I$46, 3,FALSE)=VLOOKUP(I$1,'40Trips'!$A$3:$I$42,3,FALSE)),1,0)</f>
        <v>0</v>
      </c>
      <c r="J71">
        <f>IF(AND(gamma!I30=1, VLOOKUP($A71,'40Trips'!$A$43:$I$46, 3,FALSE)=VLOOKUP(J$1,'40Trips'!$A$3:$I$42,3,FALSE)),1,0)</f>
        <v>0</v>
      </c>
      <c r="K71">
        <f>IF(AND(gamma!J30=1, VLOOKUP($A71,'40Trips'!$A$43:$I$46, 3,FALSE)=VLOOKUP(K$1,'40Trips'!$A$3:$I$42,3,FALSE)),1,0)</f>
        <v>1</v>
      </c>
      <c r="L71">
        <f>IF(AND(gamma!K30=1, VLOOKUP($A71,'40Trips'!$A$43:$I$46, 3,FALSE)=VLOOKUP(L$1,'40Trips'!$A$3:$I$42,3,FALSE)),1,0)</f>
        <v>0</v>
      </c>
      <c r="M71">
        <f>IF(AND(gamma!L30=1, VLOOKUP($A71,'40Trips'!$A$43:$I$46, 3,FALSE)=VLOOKUP(M$1,'40Trips'!$A$3:$I$42,3,FALSE)),1,0)</f>
        <v>0</v>
      </c>
      <c r="N71">
        <f>IF(AND(gamma!M30=1, VLOOKUP($A71,'40Trips'!$A$43:$I$46, 3,FALSE)=VLOOKUP(N$1,'40Trips'!$A$3:$I$42,3,FALSE)),1,0)</f>
        <v>0</v>
      </c>
      <c r="O71">
        <f>IF(AND(gamma!N30=1, VLOOKUP($A71,'40Trips'!$A$43:$I$46, 3,FALSE)=VLOOKUP(O$1,'40Trips'!$A$3:$I$42,3,FALSE)),1,0)</f>
        <v>0</v>
      </c>
      <c r="P71">
        <f>IF(AND(gamma!O30=1, VLOOKUP($A71,'40Trips'!$A$43:$I$46, 3,FALSE)=VLOOKUP(P$1,'40Trips'!$A$3:$I$42,3,FALSE)),1,0)</f>
        <v>0</v>
      </c>
      <c r="Q71">
        <f>IF(AND(gamma!P30=1, VLOOKUP($A71,'40Trips'!$A$43:$I$46, 3,FALSE)=VLOOKUP(Q$1,'40Trips'!$A$3:$I$42,3,FALSE)),1,0)</f>
        <v>0</v>
      </c>
      <c r="R71">
        <f>IF(AND(gamma!Q30=1, VLOOKUP($A71,'40Trips'!$A$43:$I$46, 3,FALSE)=VLOOKUP(R$1,'40Trips'!$A$3:$I$42,3,FALSE)),1,0)</f>
        <v>0</v>
      </c>
      <c r="S71">
        <f>IF(AND(gamma!R30=1, VLOOKUP($A71,'40Trips'!$A$43:$I$46, 3,FALSE)=VLOOKUP(S$1,'40Trips'!$A$3:$I$42,3,FALSE)),1,0)</f>
        <v>0</v>
      </c>
      <c r="T71">
        <f>IF(AND(gamma!S30=1, VLOOKUP($A71,'40Trips'!$A$43:$I$46, 3,FALSE)=VLOOKUP(T$1,'40Trips'!$A$3:$I$42,3,FALSE)),1,0)</f>
        <v>0</v>
      </c>
      <c r="U71">
        <f>IF(AND(gamma!T30=1, VLOOKUP($A71,'40Trips'!$A$43:$I$46, 3,FALSE)=VLOOKUP(U$1,'40Trips'!$A$3:$I$42,3,FALSE)),1,0)</f>
        <v>0</v>
      </c>
      <c r="V71">
        <f>IF(AND(gamma!U30=1, VLOOKUP($A71,'40Trips'!$A$43:$I$46, 3,FALSE)=VLOOKUP(V$1,'40Trips'!$A$3:$I$42,3,FALSE)),1,0)</f>
        <v>0</v>
      </c>
      <c r="W71">
        <f>IF(AND(gamma!V30=1, VLOOKUP($A71,'40Trips'!$A$43:$I$46, 3,FALSE)=VLOOKUP(W$1,'40Trips'!$A$3:$I$42,3,FALSE)),1,0)</f>
        <v>0</v>
      </c>
      <c r="X71">
        <f>IF(AND(gamma!W30=1, VLOOKUP($A71,'40Trips'!$A$43:$I$46, 3,FALSE)=VLOOKUP(X$1,'40Trips'!$A$3:$I$42,3,FALSE)),1,0)</f>
        <v>0</v>
      </c>
      <c r="Y71">
        <f>IF(AND(gamma!X30=1, VLOOKUP($A71,'40Trips'!$A$43:$I$46, 3,FALSE)=VLOOKUP(Y$1,'40Trips'!$A$3:$I$42,3,FALSE)),1,0)</f>
        <v>0</v>
      </c>
      <c r="Z71">
        <f>IF(AND(gamma!Y30=1, VLOOKUP($A71,'40Trips'!$A$43:$I$46, 3,FALSE)=VLOOKUP(Z$1,'40Trips'!$A$3:$I$42,3,FALSE)),1,0)</f>
        <v>0</v>
      </c>
      <c r="AA71">
        <f>IF(AND(gamma!Z30=1, VLOOKUP($A71,'40Trips'!$A$43:$I$46, 3,FALSE)=VLOOKUP(AA$1,'40Trips'!$A$3:$I$42,3,FALSE)),1,0)</f>
        <v>0</v>
      </c>
      <c r="AB71">
        <f>IF(AND(gamma!AA30=1, VLOOKUP($A71,'40Trips'!$A$43:$I$46, 3,FALSE)=VLOOKUP(AB$1,'40Trips'!$A$3:$I$42,3,FALSE)),1,0)</f>
        <v>0</v>
      </c>
      <c r="AC71">
        <f>IF(AND(gamma!AB30=1, VLOOKUP($A71,'40Trips'!$A$43:$I$46, 3,FALSE)=VLOOKUP(AC$1,'40Trips'!$A$3:$I$42,3,FALSE)),1,0)</f>
        <v>0</v>
      </c>
      <c r="AD71">
        <f>IF(AND(gamma!AC30=1, VLOOKUP($A71,'40Trips'!$A$43:$I$46, 3,FALSE)=VLOOKUP(AD$1,'40Trips'!$A$3:$I$42,3,FALSE)),1,0)</f>
        <v>0</v>
      </c>
      <c r="AE71">
        <f>IF(AND(gamma!AD30=1, VLOOKUP($A71,'40Trips'!$A$43:$I$46, 3,FALSE)=VLOOKUP(AE$1,'40Trips'!$A$3:$I$42,3,FALSE)),1,0)</f>
        <v>0</v>
      </c>
      <c r="AF71">
        <f>IF(AND(gamma!AE30=1, VLOOKUP($A71,'40Trips'!$A$43:$I$46, 3,FALSE)=VLOOKUP(AF$1,'40Trips'!$A$3:$I$42,3,FALSE)),1,0)</f>
        <v>0</v>
      </c>
      <c r="AG71">
        <f>IF(AND(gamma!AF30=1, VLOOKUP($A71,'40Trips'!$A$43:$I$46, 3,FALSE)=VLOOKUP(AG$1,'40Trips'!$A$3:$I$42,3,FALSE)),1,0)</f>
        <v>0</v>
      </c>
      <c r="AH71">
        <f>IF(AND(gamma!AG30=1, VLOOKUP($A71,'40Trips'!$A$43:$I$46, 3,FALSE)=VLOOKUP(AH$1,'40Trips'!$A$3:$I$42,3,FALSE)),1,0)</f>
        <v>0</v>
      </c>
      <c r="AI71">
        <f>IF(AND(gamma!AH30=1, VLOOKUP($A71,'40Trips'!$A$43:$I$46, 3,FALSE)=VLOOKUP(AI$1,'40Trips'!$A$3:$I$42,3,FALSE)),1,0)</f>
        <v>0</v>
      </c>
      <c r="AJ71">
        <f>IF(AND(gamma!AI30=1, VLOOKUP($A71,'40Trips'!$A$43:$I$46, 3,FALSE)=VLOOKUP(AJ$1,'40Trips'!$A$3:$I$42,3,FALSE)),1,0)</f>
        <v>0</v>
      </c>
      <c r="AK71">
        <f>IF(AND(gamma!AJ30=1, VLOOKUP($A71,'40Trips'!$A$43:$I$46, 3,FALSE)=VLOOKUP(AK$1,'40Trips'!$A$3:$I$42,3,FALSE)),1,0)</f>
        <v>0</v>
      </c>
      <c r="AL71">
        <f>IF(AND(gamma!AK30=1, VLOOKUP($A71,'40Trips'!$A$43:$I$46, 3,FALSE)=VLOOKUP(AL$1,'40Trips'!$A$3:$I$42,3,FALSE)),1,0)</f>
        <v>0</v>
      </c>
      <c r="AM71">
        <f>IF(AND(gamma!AL30=1, VLOOKUP($A71,'40Trips'!$A$43:$I$46, 3,FALSE)=VLOOKUP(AM$1,'40Trips'!$A$3:$I$42,3,FALSE)),1,0)</f>
        <v>0</v>
      </c>
      <c r="AN71">
        <f>IF(AND(gamma!AM30=1, VLOOKUP($A71,'40Trips'!$A$43:$I$46, 3,FALSE)=VLOOKUP(AN$1,'40Trips'!$A$3:$I$42,3,FALSE)),1,0)</f>
        <v>0</v>
      </c>
      <c r="AO71">
        <f>IF(AND(gamma!AN30=1, VLOOKUP($A71,'40Trips'!$A$43:$I$46, 3,FALSE)=VLOOKUP(AO$1,'40Trips'!$A$3:$I$42,3,FALSE)),1,0)</f>
        <v>0</v>
      </c>
      <c r="AP71">
        <f>IF(AND(gamma!AO30=1, VLOOKUP($A71,'40Trips'!$A$43:$I$46, 3,FALSE)=VLOOKUP(AP$1,'40Trips'!$A$3:$I$42,3,FALSE)),1,0)</f>
        <v>0</v>
      </c>
      <c r="AQ71">
        <f>IF(AND(gamma!AP30=1, VLOOKUP($A71,'40Trips'!$A$43:$I$46, 3,FALSE)=VLOOKUP(AQ$1,'40Trips'!$A$3:$I$42,3,FALSE)),1,0)</f>
        <v>0</v>
      </c>
    </row>
    <row r="72" spans="1:43" x14ac:dyDescent="0.25">
      <c r="A72" t="s">
        <v>62</v>
      </c>
      <c r="B72" t="s">
        <v>39</v>
      </c>
      <c r="C72">
        <v>0</v>
      </c>
      <c r="D72">
        <f>IF(AND(gamma!C31=1, VLOOKUP($A72,'40Trips'!$A$43:$I$46, 3,FALSE)=VLOOKUP(D$1,'40Trips'!$A$3:$I$42,3,FALSE)),1,0)</f>
        <v>0</v>
      </c>
      <c r="E72">
        <f>IF(AND(gamma!D31=1, VLOOKUP($A72,'40Trips'!$A$43:$I$46, 3,FALSE)=VLOOKUP(E$1,'40Trips'!$A$3:$I$42,3,FALSE)),1,0)</f>
        <v>1</v>
      </c>
      <c r="F72">
        <f>IF(AND(gamma!E31=1, VLOOKUP($A72,'40Trips'!$A$43:$I$46, 3,FALSE)=VLOOKUP(F$1,'40Trips'!$A$3:$I$42,3,FALSE)),1,0)</f>
        <v>1</v>
      </c>
      <c r="G72">
        <f>IF(AND(gamma!F31=1, VLOOKUP($A72,'40Trips'!$A$43:$I$46, 3,FALSE)=VLOOKUP(G$1,'40Trips'!$A$3:$I$42,3,FALSE)),1,0)</f>
        <v>1</v>
      </c>
      <c r="H72">
        <f>IF(AND(gamma!G31=1, VLOOKUP($A72,'40Trips'!$A$43:$I$46, 3,FALSE)=VLOOKUP(H$1,'40Trips'!$A$3:$I$42,3,FALSE)),1,0)</f>
        <v>0</v>
      </c>
      <c r="I72">
        <f>IF(AND(gamma!H31=1, VLOOKUP($A72,'40Trips'!$A$43:$I$46, 3,FALSE)=VLOOKUP(I$1,'40Trips'!$A$3:$I$42,3,FALSE)),1,0)</f>
        <v>1</v>
      </c>
      <c r="J72">
        <f>IF(AND(gamma!I31=1, VLOOKUP($A72,'40Trips'!$A$43:$I$46, 3,FALSE)=VLOOKUP(J$1,'40Trips'!$A$3:$I$42,3,FALSE)),1,0)</f>
        <v>1</v>
      </c>
      <c r="K72">
        <f>IF(AND(gamma!J31=1, VLOOKUP($A72,'40Trips'!$A$43:$I$46, 3,FALSE)=VLOOKUP(K$1,'40Trips'!$A$3:$I$42,3,FALSE)),1,0)</f>
        <v>1</v>
      </c>
      <c r="L72">
        <f>IF(AND(gamma!K31=1, VLOOKUP($A72,'40Trips'!$A$43:$I$46, 3,FALSE)=VLOOKUP(L$1,'40Trips'!$A$3:$I$42,3,FALSE)),1,0)</f>
        <v>0</v>
      </c>
      <c r="M72">
        <f>IF(AND(gamma!L31=1, VLOOKUP($A72,'40Trips'!$A$43:$I$46, 3,FALSE)=VLOOKUP(M$1,'40Trips'!$A$3:$I$42,3,FALSE)),1,0)</f>
        <v>1</v>
      </c>
      <c r="N72">
        <f>IF(AND(gamma!M31=1, VLOOKUP($A72,'40Trips'!$A$43:$I$46, 3,FALSE)=VLOOKUP(N$1,'40Trips'!$A$3:$I$42,3,FALSE)),1,0)</f>
        <v>1</v>
      </c>
      <c r="O72">
        <f>IF(AND(gamma!N31=1, VLOOKUP($A72,'40Trips'!$A$43:$I$46, 3,FALSE)=VLOOKUP(O$1,'40Trips'!$A$3:$I$42,3,FALSE)),1,0)</f>
        <v>0</v>
      </c>
      <c r="P72">
        <f>IF(AND(gamma!O31=1, VLOOKUP($A72,'40Trips'!$A$43:$I$46, 3,FALSE)=VLOOKUP(P$1,'40Trips'!$A$3:$I$42,3,FALSE)),1,0)</f>
        <v>0</v>
      </c>
      <c r="Q72">
        <f>IF(AND(gamma!P31=1, VLOOKUP($A72,'40Trips'!$A$43:$I$46, 3,FALSE)=VLOOKUP(Q$1,'40Trips'!$A$3:$I$42,3,FALSE)),1,0)</f>
        <v>0</v>
      </c>
      <c r="R72">
        <f>IF(AND(gamma!Q31=1, VLOOKUP($A72,'40Trips'!$A$43:$I$46, 3,FALSE)=VLOOKUP(R$1,'40Trips'!$A$3:$I$42,3,FALSE)),1,0)</f>
        <v>0</v>
      </c>
      <c r="S72">
        <f>IF(AND(gamma!R31=1, VLOOKUP($A72,'40Trips'!$A$43:$I$46, 3,FALSE)=VLOOKUP(S$1,'40Trips'!$A$3:$I$42,3,FALSE)),1,0)</f>
        <v>0</v>
      </c>
      <c r="T72">
        <f>IF(AND(gamma!S31=1, VLOOKUP($A72,'40Trips'!$A$43:$I$46, 3,FALSE)=VLOOKUP(T$1,'40Trips'!$A$3:$I$42,3,FALSE)),1,0)</f>
        <v>0</v>
      </c>
      <c r="U72">
        <f>IF(AND(gamma!T31=1, VLOOKUP($A72,'40Trips'!$A$43:$I$46, 3,FALSE)=VLOOKUP(U$1,'40Trips'!$A$3:$I$42,3,FALSE)),1,0)</f>
        <v>0</v>
      </c>
      <c r="V72">
        <f>IF(AND(gamma!U31=1, VLOOKUP($A72,'40Trips'!$A$43:$I$46, 3,FALSE)=VLOOKUP(V$1,'40Trips'!$A$3:$I$42,3,FALSE)),1,0)</f>
        <v>0</v>
      </c>
      <c r="W72">
        <f>IF(AND(gamma!V31=1, VLOOKUP($A72,'40Trips'!$A$43:$I$46, 3,FALSE)=VLOOKUP(W$1,'40Trips'!$A$3:$I$42,3,FALSE)),1,0)</f>
        <v>0</v>
      </c>
      <c r="X72">
        <f>IF(AND(gamma!W31=1, VLOOKUP($A72,'40Trips'!$A$43:$I$46, 3,FALSE)=VLOOKUP(X$1,'40Trips'!$A$3:$I$42,3,FALSE)),1,0)</f>
        <v>0</v>
      </c>
      <c r="Y72">
        <f>IF(AND(gamma!X31=1, VLOOKUP($A72,'40Trips'!$A$43:$I$46, 3,FALSE)=VLOOKUP(Y$1,'40Trips'!$A$3:$I$42,3,FALSE)),1,0)</f>
        <v>0</v>
      </c>
      <c r="Z72">
        <f>IF(AND(gamma!Y31=1, VLOOKUP($A72,'40Trips'!$A$43:$I$46, 3,FALSE)=VLOOKUP(Z$1,'40Trips'!$A$3:$I$42,3,FALSE)),1,0)</f>
        <v>0</v>
      </c>
      <c r="AA72">
        <f>IF(AND(gamma!Z31=1, VLOOKUP($A72,'40Trips'!$A$43:$I$46, 3,FALSE)=VLOOKUP(AA$1,'40Trips'!$A$3:$I$42,3,FALSE)),1,0)</f>
        <v>0</v>
      </c>
      <c r="AB72">
        <f>IF(AND(gamma!AA31=1, VLOOKUP($A72,'40Trips'!$A$43:$I$46, 3,FALSE)=VLOOKUP(AB$1,'40Trips'!$A$3:$I$42,3,FALSE)),1,0)</f>
        <v>0</v>
      </c>
      <c r="AC72">
        <f>IF(AND(gamma!AB31=1, VLOOKUP($A72,'40Trips'!$A$43:$I$46, 3,FALSE)=VLOOKUP(AC$1,'40Trips'!$A$3:$I$42,3,FALSE)),1,0)</f>
        <v>0</v>
      </c>
      <c r="AD72">
        <f>IF(AND(gamma!AC31=1, VLOOKUP($A72,'40Trips'!$A$43:$I$46, 3,FALSE)=VLOOKUP(AD$1,'40Trips'!$A$3:$I$42,3,FALSE)),1,0)</f>
        <v>0</v>
      </c>
      <c r="AE72">
        <f>IF(AND(gamma!AD31=1, VLOOKUP($A72,'40Trips'!$A$43:$I$46, 3,FALSE)=VLOOKUP(AE$1,'40Trips'!$A$3:$I$42,3,FALSE)),1,0)</f>
        <v>0</v>
      </c>
      <c r="AF72">
        <f>IF(AND(gamma!AE31=1, VLOOKUP($A72,'40Trips'!$A$43:$I$46, 3,FALSE)=VLOOKUP(AF$1,'40Trips'!$A$3:$I$42,3,FALSE)),1,0)</f>
        <v>0</v>
      </c>
      <c r="AG72">
        <f>IF(AND(gamma!AF31=1, VLOOKUP($A72,'40Trips'!$A$43:$I$46, 3,FALSE)=VLOOKUP(AG$1,'40Trips'!$A$3:$I$42,3,FALSE)),1,0)</f>
        <v>0</v>
      </c>
      <c r="AH72">
        <f>IF(AND(gamma!AG31=1, VLOOKUP($A72,'40Trips'!$A$43:$I$46, 3,FALSE)=VLOOKUP(AH$1,'40Trips'!$A$3:$I$42,3,FALSE)),1,0)</f>
        <v>0</v>
      </c>
      <c r="AI72">
        <f>IF(AND(gamma!AH31=1, VLOOKUP($A72,'40Trips'!$A$43:$I$46, 3,FALSE)=VLOOKUP(AI$1,'40Trips'!$A$3:$I$42,3,FALSE)),1,0)</f>
        <v>0</v>
      </c>
      <c r="AJ72">
        <f>IF(AND(gamma!AI31=1, VLOOKUP($A72,'40Trips'!$A$43:$I$46, 3,FALSE)=VLOOKUP(AJ$1,'40Trips'!$A$3:$I$42,3,FALSE)),1,0)</f>
        <v>0</v>
      </c>
      <c r="AK72">
        <f>IF(AND(gamma!AJ31=1, VLOOKUP($A72,'40Trips'!$A$43:$I$46, 3,FALSE)=VLOOKUP(AK$1,'40Trips'!$A$3:$I$42,3,FALSE)),1,0)</f>
        <v>0</v>
      </c>
      <c r="AL72">
        <f>IF(AND(gamma!AK31=1, VLOOKUP($A72,'40Trips'!$A$43:$I$46, 3,FALSE)=VLOOKUP(AL$1,'40Trips'!$A$3:$I$42,3,FALSE)),1,0)</f>
        <v>0</v>
      </c>
      <c r="AM72">
        <f>IF(AND(gamma!AL31=1, VLOOKUP($A72,'40Trips'!$A$43:$I$46, 3,FALSE)=VLOOKUP(AM$1,'40Trips'!$A$3:$I$42,3,FALSE)),1,0)</f>
        <v>0</v>
      </c>
      <c r="AN72">
        <f>IF(AND(gamma!AM31=1, VLOOKUP($A72,'40Trips'!$A$43:$I$46, 3,FALSE)=VLOOKUP(AN$1,'40Trips'!$A$3:$I$42,3,FALSE)),1,0)</f>
        <v>0</v>
      </c>
      <c r="AO72">
        <f>IF(AND(gamma!AN31=1, VLOOKUP($A72,'40Trips'!$A$43:$I$46, 3,FALSE)=VLOOKUP(AO$1,'40Trips'!$A$3:$I$42,3,FALSE)),1,0)</f>
        <v>0</v>
      </c>
      <c r="AP72">
        <f>IF(AND(gamma!AO31=1, VLOOKUP($A72,'40Trips'!$A$43:$I$46, 3,FALSE)=VLOOKUP(AP$1,'40Trips'!$A$3:$I$42,3,FALSE)),1,0)</f>
        <v>0</v>
      </c>
      <c r="AQ72">
        <f>IF(AND(gamma!AP31=1, VLOOKUP($A72,'40Trips'!$A$43:$I$46, 3,FALSE)=VLOOKUP(AQ$1,'40Trips'!$A$3:$I$42,3,FALSE)),1,0)</f>
        <v>0</v>
      </c>
    </row>
    <row r="73" spans="1:43" x14ac:dyDescent="0.25">
      <c r="A73" t="s">
        <v>62</v>
      </c>
      <c r="B73" t="s">
        <v>83</v>
      </c>
      <c r="C73">
        <v>0</v>
      </c>
      <c r="D73">
        <f>IF(AND(gamma!C32=1, VLOOKUP($A73,'40Trips'!$A$43:$I$46, 3,FALSE)=VLOOKUP(D$1,'40Trips'!$A$3:$I$42,3,FALSE)),1,0)</f>
        <v>0</v>
      </c>
      <c r="E73">
        <f>IF(AND(gamma!D32=1, VLOOKUP($A73,'40Trips'!$A$43:$I$46, 3,FALSE)=VLOOKUP(E$1,'40Trips'!$A$3:$I$42,3,FALSE)),1,0)</f>
        <v>1</v>
      </c>
      <c r="F73">
        <f>IF(AND(gamma!E32=1, VLOOKUP($A73,'40Trips'!$A$43:$I$46, 3,FALSE)=VLOOKUP(F$1,'40Trips'!$A$3:$I$42,3,FALSE)),1,0)</f>
        <v>1</v>
      </c>
      <c r="G73">
        <f>IF(AND(gamma!F32=1, VLOOKUP($A73,'40Trips'!$A$43:$I$46, 3,FALSE)=VLOOKUP(G$1,'40Trips'!$A$3:$I$42,3,FALSE)),1,0)</f>
        <v>1</v>
      </c>
      <c r="H73">
        <f>IF(AND(gamma!G32=1, VLOOKUP($A73,'40Trips'!$A$43:$I$46, 3,FALSE)=VLOOKUP(H$1,'40Trips'!$A$3:$I$42,3,FALSE)),1,0)</f>
        <v>0</v>
      </c>
      <c r="I73">
        <f>IF(AND(gamma!H32=1, VLOOKUP($A73,'40Trips'!$A$43:$I$46, 3,FALSE)=VLOOKUP(I$1,'40Trips'!$A$3:$I$42,3,FALSE)),1,0)</f>
        <v>0</v>
      </c>
      <c r="J73">
        <f>IF(AND(gamma!I32=1, VLOOKUP($A73,'40Trips'!$A$43:$I$46, 3,FALSE)=VLOOKUP(J$1,'40Trips'!$A$3:$I$42,3,FALSE)),1,0)</f>
        <v>1</v>
      </c>
      <c r="K73">
        <f>IF(AND(gamma!J32=1, VLOOKUP($A73,'40Trips'!$A$43:$I$46, 3,FALSE)=VLOOKUP(K$1,'40Trips'!$A$3:$I$42,3,FALSE)),1,0)</f>
        <v>1</v>
      </c>
      <c r="L73">
        <f>IF(AND(gamma!K32=1, VLOOKUP($A73,'40Trips'!$A$43:$I$46, 3,FALSE)=VLOOKUP(L$1,'40Trips'!$A$3:$I$42,3,FALSE)),1,0)</f>
        <v>0</v>
      </c>
      <c r="M73">
        <f>IF(AND(gamma!L32=1, VLOOKUP($A73,'40Trips'!$A$43:$I$46, 3,FALSE)=VLOOKUP(M$1,'40Trips'!$A$3:$I$42,3,FALSE)),1,0)</f>
        <v>0</v>
      </c>
      <c r="N73">
        <f>IF(AND(gamma!M32=1, VLOOKUP($A73,'40Trips'!$A$43:$I$46, 3,FALSE)=VLOOKUP(N$1,'40Trips'!$A$3:$I$42,3,FALSE)),1,0)</f>
        <v>1</v>
      </c>
      <c r="O73">
        <f>IF(AND(gamma!N32=1, VLOOKUP($A73,'40Trips'!$A$43:$I$46, 3,FALSE)=VLOOKUP(O$1,'40Trips'!$A$3:$I$42,3,FALSE)),1,0)</f>
        <v>0</v>
      </c>
      <c r="P73">
        <f>IF(AND(gamma!O32=1, VLOOKUP($A73,'40Trips'!$A$43:$I$46, 3,FALSE)=VLOOKUP(P$1,'40Trips'!$A$3:$I$42,3,FALSE)),1,0)</f>
        <v>0</v>
      </c>
      <c r="Q73">
        <f>IF(AND(gamma!P32=1, VLOOKUP($A73,'40Trips'!$A$43:$I$46, 3,FALSE)=VLOOKUP(Q$1,'40Trips'!$A$3:$I$42,3,FALSE)),1,0)</f>
        <v>0</v>
      </c>
      <c r="R73">
        <f>IF(AND(gamma!Q32=1, VLOOKUP($A73,'40Trips'!$A$43:$I$46, 3,FALSE)=VLOOKUP(R$1,'40Trips'!$A$3:$I$42,3,FALSE)),1,0)</f>
        <v>0</v>
      </c>
      <c r="S73">
        <f>IF(AND(gamma!R32=1, VLOOKUP($A73,'40Trips'!$A$43:$I$46, 3,FALSE)=VLOOKUP(S$1,'40Trips'!$A$3:$I$42,3,FALSE)),1,0)</f>
        <v>0</v>
      </c>
      <c r="T73">
        <f>IF(AND(gamma!S32=1, VLOOKUP($A73,'40Trips'!$A$43:$I$46, 3,FALSE)=VLOOKUP(T$1,'40Trips'!$A$3:$I$42,3,FALSE)),1,0)</f>
        <v>0</v>
      </c>
      <c r="U73">
        <f>IF(AND(gamma!T32=1, VLOOKUP($A73,'40Trips'!$A$43:$I$46, 3,FALSE)=VLOOKUP(U$1,'40Trips'!$A$3:$I$42,3,FALSE)),1,0)</f>
        <v>0</v>
      </c>
      <c r="V73">
        <f>IF(AND(gamma!U32=1, VLOOKUP($A73,'40Trips'!$A$43:$I$46, 3,FALSE)=VLOOKUP(V$1,'40Trips'!$A$3:$I$42,3,FALSE)),1,0)</f>
        <v>0</v>
      </c>
      <c r="W73">
        <f>IF(AND(gamma!V32=1, VLOOKUP($A73,'40Trips'!$A$43:$I$46, 3,FALSE)=VLOOKUP(W$1,'40Trips'!$A$3:$I$42,3,FALSE)),1,0)</f>
        <v>0</v>
      </c>
      <c r="X73">
        <f>IF(AND(gamma!W32=1, VLOOKUP($A73,'40Trips'!$A$43:$I$46, 3,FALSE)=VLOOKUP(X$1,'40Trips'!$A$3:$I$42,3,FALSE)),1,0)</f>
        <v>0</v>
      </c>
      <c r="Y73">
        <f>IF(AND(gamma!X32=1, VLOOKUP($A73,'40Trips'!$A$43:$I$46, 3,FALSE)=VLOOKUP(Y$1,'40Trips'!$A$3:$I$42,3,FALSE)),1,0)</f>
        <v>0</v>
      </c>
      <c r="Z73">
        <f>IF(AND(gamma!Y32=1, VLOOKUP($A73,'40Trips'!$A$43:$I$46, 3,FALSE)=VLOOKUP(Z$1,'40Trips'!$A$3:$I$42,3,FALSE)),1,0)</f>
        <v>0</v>
      </c>
      <c r="AA73">
        <f>IF(AND(gamma!Z32=1, VLOOKUP($A73,'40Trips'!$A$43:$I$46, 3,FALSE)=VLOOKUP(AA$1,'40Trips'!$A$3:$I$42,3,FALSE)),1,0)</f>
        <v>0</v>
      </c>
      <c r="AB73">
        <f>IF(AND(gamma!AA32=1, VLOOKUP($A73,'40Trips'!$A$43:$I$46, 3,FALSE)=VLOOKUP(AB$1,'40Trips'!$A$3:$I$42,3,FALSE)),1,0)</f>
        <v>0</v>
      </c>
      <c r="AC73">
        <f>IF(AND(gamma!AB32=1, VLOOKUP($A73,'40Trips'!$A$43:$I$46, 3,FALSE)=VLOOKUP(AC$1,'40Trips'!$A$3:$I$42,3,FALSE)),1,0)</f>
        <v>0</v>
      </c>
      <c r="AD73">
        <f>IF(AND(gamma!AC32=1, VLOOKUP($A73,'40Trips'!$A$43:$I$46, 3,FALSE)=VLOOKUP(AD$1,'40Trips'!$A$3:$I$42,3,FALSE)),1,0)</f>
        <v>0</v>
      </c>
      <c r="AE73">
        <f>IF(AND(gamma!AD32=1, VLOOKUP($A73,'40Trips'!$A$43:$I$46, 3,FALSE)=VLOOKUP(AE$1,'40Trips'!$A$3:$I$42,3,FALSE)),1,0)</f>
        <v>0</v>
      </c>
      <c r="AF73">
        <f>IF(AND(gamma!AE32=1, VLOOKUP($A73,'40Trips'!$A$43:$I$46, 3,FALSE)=VLOOKUP(AF$1,'40Trips'!$A$3:$I$42,3,FALSE)),1,0)</f>
        <v>0</v>
      </c>
      <c r="AG73">
        <f>IF(AND(gamma!AF32=1, VLOOKUP($A73,'40Trips'!$A$43:$I$46, 3,FALSE)=VLOOKUP(AG$1,'40Trips'!$A$3:$I$42,3,FALSE)),1,0)</f>
        <v>0</v>
      </c>
      <c r="AH73">
        <f>IF(AND(gamma!AG32=1, VLOOKUP($A73,'40Trips'!$A$43:$I$46, 3,FALSE)=VLOOKUP(AH$1,'40Trips'!$A$3:$I$42,3,FALSE)),1,0)</f>
        <v>0</v>
      </c>
      <c r="AI73">
        <f>IF(AND(gamma!AH32=1, VLOOKUP($A73,'40Trips'!$A$43:$I$46, 3,FALSE)=VLOOKUP(AI$1,'40Trips'!$A$3:$I$42,3,FALSE)),1,0)</f>
        <v>0</v>
      </c>
      <c r="AJ73">
        <f>IF(AND(gamma!AI32=1, VLOOKUP($A73,'40Trips'!$A$43:$I$46, 3,FALSE)=VLOOKUP(AJ$1,'40Trips'!$A$3:$I$42,3,FALSE)),1,0)</f>
        <v>0</v>
      </c>
      <c r="AK73">
        <f>IF(AND(gamma!AJ32=1, VLOOKUP($A73,'40Trips'!$A$43:$I$46, 3,FALSE)=VLOOKUP(AK$1,'40Trips'!$A$3:$I$42,3,FALSE)),1,0)</f>
        <v>0</v>
      </c>
      <c r="AL73">
        <f>IF(AND(gamma!AK32=1, VLOOKUP($A73,'40Trips'!$A$43:$I$46, 3,FALSE)=VLOOKUP(AL$1,'40Trips'!$A$3:$I$42,3,FALSE)),1,0)</f>
        <v>0</v>
      </c>
      <c r="AM73">
        <f>IF(AND(gamma!AL32=1, VLOOKUP($A73,'40Trips'!$A$43:$I$46, 3,FALSE)=VLOOKUP(AM$1,'40Trips'!$A$3:$I$42,3,FALSE)),1,0)</f>
        <v>0</v>
      </c>
      <c r="AN73">
        <f>IF(AND(gamma!AM32=1, VLOOKUP($A73,'40Trips'!$A$43:$I$46, 3,FALSE)=VLOOKUP(AN$1,'40Trips'!$A$3:$I$42,3,FALSE)),1,0)</f>
        <v>0</v>
      </c>
      <c r="AO73">
        <f>IF(AND(gamma!AN32=1, VLOOKUP($A73,'40Trips'!$A$43:$I$46, 3,FALSE)=VLOOKUP(AO$1,'40Trips'!$A$3:$I$42,3,FALSE)),1,0)</f>
        <v>0</v>
      </c>
      <c r="AP73">
        <f>IF(AND(gamma!AO32=1, VLOOKUP($A73,'40Trips'!$A$43:$I$46, 3,FALSE)=VLOOKUP(AP$1,'40Trips'!$A$3:$I$42,3,FALSE)),1,0)</f>
        <v>0</v>
      </c>
      <c r="AQ73">
        <f>IF(AND(gamma!AP32=1, VLOOKUP($A73,'40Trips'!$A$43:$I$46, 3,FALSE)=VLOOKUP(AQ$1,'40Trips'!$A$3:$I$42,3,FALSE)),1,0)</f>
        <v>0</v>
      </c>
    </row>
    <row r="74" spans="1:43" x14ac:dyDescent="0.25">
      <c r="A74" t="s">
        <v>62</v>
      </c>
      <c r="B74" t="s">
        <v>84</v>
      </c>
      <c r="C74">
        <v>0</v>
      </c>
      <c r="D74">
        <f>IF(AND(gamma!C33=1, VLOOKUP($A74,'40Trips'!$A$43:$I$46, 3,FALSE)=VLOOKUP(D$1,'40Trips'!$A$3:$I$42,3,FALSE)),1,0)</f>
        <v>0</v>
      </c>
      <c r="E74">
        <f>IF(AND(gamma!D33=1, VLOOKUP($A74,'40Trips'!$A$43:$I$46, 3,FALSE)=VLOOKUP(E$1,'40Trips'!$A$3:$I$42,3,FALSE)),1,0)</f>
        <v>0</v>
      </c>
      <c r="F74">
        <f>IF(AND(gamma!E33=1, VLOOKUP($A74,'40Trips'!$A$43:$I$46, 3,FALSE)=VLOOKUP(F$1,'40Trips'!$A$3:$I$42,3,FALSE)),1,0)</f>
        <v>1</v>
      </c>
      <c r="G74">
        <f>IF(AND(gamma!F33=1, VLOOKUP($A74,'40Trips'!$A$43:$I$46, 3,FALSE)=VLOOKUP(G$1,'40Trips'!$A$3:$I$42,3,FALSE)),1,0)</f>
        <v>1</v>
      </c>
      <c r="H74">
        <f>IF(AND(gamma!G33=1, VLOOKUP($A74,'40Trips'!$A$43:$I$46, 3,FALSE)=VLOOKUP(H$1,'40Trips'!$A$3:$I$42,3,FALSE)),1,0)</f>
        <v>0</v>
      </c>
      <c r="I74">
        <f>IF(AND(gamma!H33=1, VLOOKUP($A74,'40Trips'!$A$43:$I$46, 3,FALSE)=VLOOKUP(I$1,'40Trips'!$A$3:$I$42,3,FALSE)),1,0)</f>
        <v>0</v>
      </c>
      <c r="J74">
        <f>IF(AND(gamma!I33=1, VLOOKUP($A74,'40Trips'!$A$43:$I$46, 3,FALSE)=VLOOKUP(J$1,'40Trips'!$A$3:$I$42,3,FALSE)),1,0)</f>
        <v>1</v>
      </c>
      <c r="K74">
        <f>IF(AND(gamma!J33=1, VLOOKUP($A74,'40Trips'!$A$43:$I$46, 3,FALSE)=VLOOKUP(K$1,'40Trips'!$A$3:$I$42,3,FALSE)),1,0)</f>
        <v>1</v>
      </c>
      <c r="L74">
        <f>IF(AND(gamma!K33=1, VLOOKUP($A74,'40Trips'!$A$43:$I$46, 3,FALSE)=VLOOKUP(L$1,'40Trips'!$A$3:$I$42,3,FALSE)),1,0)</f>
        <v>0</v>
      </c>
      <c r="M74">
        <f>IF(AND(gamma!L33=1, VLOOKUP($A74,'40Trips'!$A$43:$I$46, 3,FALSE)=VLOOKUP(M$1,'40Trips'!$A$3:$I$42,3,FALSE)),1,0)</f>
        <v>0</v>
      </c>
      <c r="N74">
        <f>IF(AND(gamma!M33=1, VLOOKUP($A74,'40Trips'!$A$43:$I$46, 3,FALSE)=VLOOKUP(N$1,'40Trips'!$A$3:$I$42,3,FALSE)),1,0)</f>
        <v>1</v>
      </c>
      <c r="O74">
        <f>IF(AND(gamma!N33=1, VLOOKUP($A74,'40Trips'!$A$43:$I$46, 3,FALSE)=VLOOKUP(O$1,'40Trips'!$A$3:$I$42,3,FALSE)),1,0)</f>
        <v>0</v>
      </c>
      <c r="P74">
        <f>IF(AND(gamma!O33=1, VLOOKUP($A74,'40Trips'!$A$43:$I$46, 3,FALSE)=VLOOKUP(P$1,'40Trips'!$A$3:$I$42,3,FALSE)),1,0)</f>
        <v>0</v>
      </c>
      <c r="Q74">
        <f>IF(AND(gamma!P33=1, VLOOKUP($A74,'40Trips'!$A$43:$I$46, 3,FALSE)=VLOOKUP(Q$1,'40Trips'!$A$3:$I$42,3,FALSE)),1,0)</f>
        <v>0</v>
      </c>
      <c r="R74">
        <f>IF(AND(gamma!Q33=1, VLOOKUP($A74,'40Trips'!$A$43:$I$46, 3,FALSE)=VLOOKUP(R$1,'40Trips'!$A$3:$I$42,3,FALSE)),1,0)</f>
        <v>0</v>
      </c>
      <c r="S74">
        <f>IF(AND(gamma!R33=1, VLOOKUP($A74,'40Trips'!$A$43:$I$46, 3,FALSE)=VLOOKUP(S$1,'40Trips'!$A$3:$I$42,3,FALSE)),1,0)</f>
        <v>0</v>
      </c>
      <c r="T74">
        <f>IF(AND(gamma!S33=1, VLOOKUP($A74,'40Trips'!$A$43:$I$46, 3,FALSE)=VLOOKUP(T$1,'40Trips'!$A$3:$I$42,3,FALSE)),1,0)</f>
        <v>0</v>
      </c>
      <c r="U74">
        <f>IF(AND(gamma!T33=1, VLOOKUP($A74,'40Trips'!$A$43:$I$46, 3,FALSE)=VLOOKUP(U$1,'40Trips'!$A$3:$I$42,3,FALSE)),1,0)</f>
        <v>0</v>
      </c>
      <c r="V74">
        <f>IF(AND(gamma!U33=1, VLOOKUP($A74,'40Trips'!$A$43:$I$46, 3,FALSE)=VLOOKUP(V$1,'40Trips'!$A$3:$I$42,3,FALSE)),1,0)</f>
        <v>0</v>
      </c>
      <c r="W74">
        <f>IF(AND(gamma!V33=1, VLOOKUP($A74,'40Trips'!$A$43:$I$46, 3,FALSE)=VLOOKUP(W$1,'40Trips'!$A$3:$I$42,3,FALSE)),1,0)</f>
        <v>0</v>
      </c>
      <c r="X74">
        <f>IF(AND(gamma!W33=1, VLOOKUP($A74,'40Trips'!$A$43:$I$46, 3,FALSE)=VLOOKUP(X$1,'40Trips'!$A$3:$I$42,3,FALSE)),1,0)</f>
        <v>0</v>
      </c>
      <c r="Y74">
        <f>IF(AND(gamma!X33=1, VLOOKUP($A74,'40Trips'!$A$43:$I$46, 3,FALSE)=VLOOKUP(Y$1,'40Trips'!$A$3:$I$42,3,FALSE)),1,0)</f>
        <v>0</v>
      </c>
      <c r="Z74">
        <f>IF(AND(gamma!Y33=1, VLOOKUP($A74,'40Trips'!$A$43:$I$46, 3,FALSE)=VLOOKUP(Z$1,'40Trips'!$A$3:$I$42,3,FALSE)),1,0)</f>
        <v>0</v>
      </c>
      <c r="AA74">
        <f>IF(AND(gamma!Z33=1, VLOOKUP($A74,'40Trips'!$A$43:$I$46, 3,FALSE)=VLOOKUP(AA$1,'40Trips'!$A$3:$I$42,3,FALSE)),1,0)</f>
        <v>0</v>
      </c>
      <c r="AB74">
        <f>IF(AND(gamma!AA33=1, VLOOKUP($A74,'40Trips'!$A$43:$I$46, 3,FALSE)=VLOOKUP(AB$1,'40Trips'!$A$3:$I$42,3,FALSE)),1,0)</f>
        <v>0</v>
      </c>
      <c r="AC74">
        <f>IF(AND(gamma!AB33=1, VLOOKUP($A74,'40Trips'!$A$43:$I$46, 3,FALSE)=VLOOKUP(AC$1,'40Trips'!$A$3:$I$42,3,FALSE)),1,0)</f>
        <v>0</v>
      </c>
      <c r="AD74">
        <f>IF(AND(gamma!AC33=1, VLOOKUP($A74,'40Trips'!$A$43:$I$46, 3,FALSE)=VLOOKUP(AD$1,'40Trips'!$A$3:$I$42,3,FALSE)),1,0)</f>
        <v>0</v>
      </c>
      <c r="AE74">
        <f>IF(AND(gamma!AD33=1, VLOOKUP($A74,'40Trips'!$A$43:$I$46, 3,FALSE)=VLOOKUP(AE$1,'40Trips'!$A$3:$I$42,3,FALSE)),1,0)</f>
        <v>0</v>
      </c>
      <c r="AF74">
        <f>IF(AND(gamma!AE33=1, VLOOKUP($A74,'40Trips'!$A$43:$I$46, 3,FALSE)=VLOOKUP(AF$1,'40Trips'!$A$3:$I$42,3,FALSE)),1,0)</f>
        <v>0</v>
      </c>
      <c r="AG74">
        <f>IF(AND(gamma!AF33=1, VLOOKUP($A74,'40Trips'!$A$43:$I$46, 3,FALSE)=VLOOKUP(AG$1,'40Trips'!$A$3:$I$42,3,FALSE)),1,0)</f>
        <v>0</v>
      </c>
      <c r="AH74">
        <f>IF(AND(gamma!AG33=1, VLOOKUP($A74,'40Trips'!$A$43:$I$46, 3,FALSE)=VLOOKUP(AH$1,'40Trips'!$A$3:$I$42,3,FALSE)),1,0)</f>
        <v>0</v>
      </c>
      <c r="AI74">
        <f>IF(AND(gamma!AH33=1, VLOOKUP($A74,'40Trips'!$A$43:$I$46, 3,FALSE)=VLOOKUP(AI$1,'40Trips'!$A$3:$I$42,3,FALSE)),1,0)</f>
        <v>0</v>
      </c>
      <c r="AJ74">
        <f>IF(AND(gamma!AI33=1, VLOOKUP($A74,'40Trips'!$A$43:$I$46, 3,FALSE)=VLOOKUP(AJ$1,'40Trips'!$A$3:$I$42,3,FALSE)),1,0)</f>
        <v>0</v>
      </c>
      <c r="AK74">
        <f>IF(AND(gamma!AJ33=1, VLOOKUP($A74,'40Trips'!$A$43:$I$46, 3,FALSE)=VLOOKUP(AK$1,'40Trips'!$A$3:$I$42,3,FALSE)),1,0)</f>
        <v>0</v>
      </c>
      <c r="AL74">
        <f>IF(AND(gamma!AK33=1, VLOOKUP($A74,'40Trips'!$A$43:$I$46, 3,FALSE)=VLOOKUP(AL$1,'40Trips'!$A$3:$I$42,3,FALSE)),1,0)</f>
        <v>0</v>
      </c>
      <c r="AM74">
        <f>IF(AND(gamma!AL33=1, VLOOKUP($A74,'40Trips'!$A$43:$I$46, 3,FALSE)=VLOOKUP(AM$1,'40Trips'!$A$3:$I$42,3,FALSE)),1,0)</f>
        <v>0</v>
      </c>
      <c r="AN74">
        <f>IF(AND(gamma!AM33=1, VLOOKUP($A74,'40Trips'!$A$43:$I$46, 3,FALSE)=VLOOKUP(AN$1,'40Trips'!$A$3:$I$42,3,FALSE)),1,0)</f>
        <v>0</v>
      </c>
      <c r="AO74">
        <f>IF(AND(gamma!AN33=1, VLOOKUP($A74,'40Trips'!$A$43:$I$46, 3,FALSE)=VLOOKUP(AO$1,'40Trips'!$A$3:$I$42,3,FALSE)),1,0)</f>
        <v>0</v>
      </c>
      <c r="AP74">
        <f>IF(AND(gamma!AO33=1, VLOOKUP($A74,'40Trips'!$A$43:$I$46, 3,FALSE)=VLOOKUP(AP$1,'40Trips'!$A$3:$I$42,3,FALSE)),1,0)</f>
        <v>0</v>
      </c>
      <c r="AQ74">
        <f>IF(AND(gamma!AP33=1, VLOOKUP($A74,'40Trips'!$A$43:$I$46, 3,FALSE)=VLOOKUP(AQ$1,'40Trips'!$A$3:$I$42,3,FALSE)),1,0)</f>
        <v>0</v>
      </c>
    </row>
    <row r="75" spans="1:43" x14ac:dyDescent="0.25">
      <c r="A75" t="s">
        <v>62</v>
      </c>
      <c r="B75" t="s">
        <v>85</v>
      </c>
      <c r="C75">
        <v>0</v>
      </c>
      <c r="D75">
        <f>IF(AND(gamma!C34=1, VLOOKUP($A75,'40Trips'!$A$43:$I$46, 3,FALSE)=VLOOKUP(D$1,'40Trips'!$A$3:$I$42,3,FALSE)),1,0)</f>
        <v>0</v>
      </c>
      <c r="E75">
        <f>IF(AND(gamma!D34=1, VLOOKUP($A75,'40Trips'!$A$43:$I$46, 3,FALSE)=VLOOKUP(E$1,'40Trips'!$A$3:$I$42,3,FALSE)),1,0)</f>
        <v>0</v>
      </c>
      <c r="F75">
        <f>IF(AND(gamma!E34=1, VLOOKUP($A75,'40Trips'!$A$43:$I$46, 3,FALSE)=VLOOKUP(F$1,'40Trips'!$A$3:$I$42,3,FALSE)),1,0)</f>
        <v>0</v>
      </c>
      <c r="G75">
        <f>IF(AND(gamma!F34=1, VLOOKUP($A75,'40Trips'!$A$43:$I$46, 3,FALSE)=VLOOKUP(G$1,'40Trips'!$A$3:$I$42,3,FALSE)),1,0)</f>
        <v>1</v>
      </c>
      <c r="H75">
        <f>IF(AND(gamma!G34=1, VLOOKUP($A75,'40Trips'!$A$43:$I$46, 3,FALSE)=VLOOKUP(H$1,'40Trips'!$A$3:$I$42,3,FALSE)),1,0)</f>
        <v>0</v>
      </c>
      <c r="I75">
        <f>IF(AND(gamma!H34=1, VLOOKUP($A75,'40Trips'!$A$43:$I$46, 3,FALSE)=VLOOKUP(I$1,'40Trips'!$A$3:$I$42,3,FALSE)),1,0)</f>
        <v>0</v>
      </c>
      <c r="J75">
        <f>IF(AND(gamma!I34=1, VLOOKUP($A75,'40Trips'!$A$43:$I$46, 3,FALSE)=VLOOKUP(J$1,'40Trips'!$A$3:$I$42,3,FALSE)),1,0)</f>
        <v>0</v>
      </c>
      <c r="K75">
        <f>IF(AND(gamma!J34=1, VLOOKUP($A75,'40Trips'!$A$43:$I$46, 3,FALSE)=VLOOKUP(K$1,'40Trips'!$A$3:$I$42,3,FALSE)),1,0)</f>
        <v>1</v>
      </c>
      <c r="L75">
        <f>IF(AND(gamma!K34=1, VLOOKUP($A75,'40Trips'!$A$43:$I$46, 3,FALSE)=VLOOKUP(L$1,'40Trips'!$A$3:$I$42,3,FALSE)),1,0)</f>
        <v>0</v>
      </c>
      <c r="M75">
        <f>IF(AND(gamma!L34=1, VLOOKUP($A75,'40Trips'!$A$43:$I$46, 3,FALSE)=VLOOKUP(M$1,'40Trips'!$A$3:$I$42,3,FALSE)),1,0)</f>
        <v>0</v>
      </c>
      <c r="N75">
        <f>IF(AND(gamma!M34=1, VLOOKUP($A75,'40Trips'!$A$43:$I$46, 3,FALSE)=VLOOKUP(N$1,'40Trips'!$A$3:$I$42,3,FALSE)),1,0)</f>
        <v>0</v>
      </c>
      <c r="O75">
        <f>IF(AND(gamma!N34=1, VLOOKUP($A75,'40Trips'!$A$43:$I$46, 3,FALSE)=VLOOKUP(O$1,'40Trips'!$A$3:$I$42,3,FALSE)),1,0)</f>
        <v>0</v>
      </c>
      <c r="P75">
        <f>IF(AND(gamma!O34=1, VLOOKUP($A75,'40Trips'!$A$43:$I$46, 3,FALSE)=VLOOKUP(P$1,'40Trips'!$A$3:$I$42,3,FALSE)),1,0)</f>
        <v>0</v>
      </c>
      <c r="Q75">
        <f>IF(AND(gamma!P34=1, VLOOKUP($A75,'40Trips'!$A$43:$I$46, 3,FALSE)=VLOOKUP(Q$1,'40Trips'!$A$3:$I$42,3,FALSE)),1,0)</f>
        <v>0</v>
      </c>
      <c r="R75">
        <f>IF(AND(gamma!Q34=1, VLOOKUP($A75,'40Trips'!$A$43:$I$46, 3,FALSE)=VLOOKUP(R$1,'40Trips'!$A$3:$I$42,3,FALSE)),1,0)</f>
        <v>0</v>
      </c>
      <c r="S75">
        <f>IF(AND(gamma!R34=1, VLOOKUP($A75,'40Trips'!$A$43:$I$46, 3,FALSE)=VLOOKUP(S$1,'40Trips'!$A$3:$I$42,3,FALSE)),1,0)</f>
        <v>0</v>
      </c>
      <c r="T75">
        <f>IF(AND(gamma!S34=1, VLOOKUP($A75,'40Trips'!$A$43:$I$46, 3,FALSE)=VLOOKUP(T$1,'40Trips'!$A$3:$I$42,3,FALSE)),1,0)</f>
        <v>0</v>
      </c>
      <c r="U75">
        <f>IF(AND(gamma!T34=1, VLOOKUP($A75,'40Trips'!$A$43:$I$46, 3,FALSE)=VLOOKUP(U$1,'40Trips'!$A$3:$I$42,3,FALSE)),1,0)</f>
        <v>0</v>
      </c>
      <c r="V75">
        <f>IF(AND(gamma!U34=1, VLOOKUP($A75,'40Trips'!$A$43:$I$46, 3,FALSE)=VLOOKUP(V$1,'40Trips'!$A$3:$I$42,3,FALSE)),1,0)</f>
        <v>0</v>
      </c>
      <c r="W75">
        <f>IF(AND(gamma!V34=1, VLOOKUP($A75,'40Trips'!$A$43:$I$46, 3,FALSE)=VLOOKUP(W$1,'40Trips'!$A$3:$I$42,3,FALSE)),1,0)</f>
        <v>0</v>
      </c>
      <c r="X75">
        <f>IF(AND(gamma!W34=1, VLOOKUP($A75,'40Trips'!$A$43:$I$46, 3,FALSE)=VLOOKUP(X$1,'40Trips'!$A$3:$I$42,3,FALSE)),1,0)</f>
        <v>0</v>
      </c>
      <c r="Y75">
        <f>IF(AND(gamma!X34=1, VLOOKUP($A75,'40Trips'!$A$43:$I$46, 3,FALSE)=VLOOKUP(Y$1,'40Trips'!$A$3:$I$42,3,FALSE)),1,0)</f>
        <v>0</v>
      </c>
      <c r="Z75">
        <f>IF(AND(gamma!Y34=1, VLOOKUP($A75,'40Trips'!$A$43:$I$46, 3,FALSE)=VLOOKUP(Z$1,'40Trips'!$A$3:$I$42,3,FALSE)),1,0)</f>
        <v>0</v>
      </c>
      <c r="AA75">
        <f>IF(AND(gamma!Z34=1, VLOOKUP($A75,'40Trips'!$A$43:$I$46, 3,FALSE)=VLOOKUP(AA$1,'40Trips'!$A$3:$I$42,3,FALSE)),1,0)</f>
        <v>0</v>
      </c>
      <c r="AB75">
        <f>IF(AND(gamma!AA34=1, VLOOKUP($A75,'40Trips'!$A$43:$I$46, 3,FALSE)=VLOOKUP(AB$1,'40Trips'!$A$3:$I$42,3,FALSE)),1,0)</f>
        <v>0</v>
      </c>
      <c r="AC75">
        <f>IF(AND(gamma!AB34=1, VLOOKUP($A75,'40Trips'!$A$43:$I$46, 3,FALSE)=VLOOKUP(AC$1,'40Trips'!$A$3:$I$42,3,FALSE)),1,0)</f>
        <v>0</v>
      </c>
      <c r="AD75">
        <f>IF(AND(gamma!AC34=1, VLOOKUP($A75,'40Trips'!$A$43:$I$46, 3,FALSE)=VLOOKUP(AD$1,'40Trips'!$A$3:$I$42,3,FALSE)),1,0)</f>
        <v>0</v>
      </c>
      <c r="AE75">
        <f>IF(AND(gamma!AD34=1, VLOOKUP($A75,'40Trips'!$A$43:$I$46, 3,FALSE)=VLOOKUP(AE$1,'40Trips'!$A$3:$I$42,3,FALSE)),1,0)</f>
        <v>0</v>
      </c>
      <c r="AF75">
        <f>IF(AND(gamma!AE34=1, VLOOKUP($A75,'40Trips'!$A$43:$I$46, 3,FALSE)=VLOOKUP(AF$1,'40Trips'!$A$3:$I$42,3,FALSE)),1,0)</f>
        <v>0</v>
      </c>
      <c r="AG75">
        <f>IF(AND(gamma!AF34=1, VLOOKUP($A75,'40Trips'!$A$43:$I$46, 3,FALSE)=VLOOKUP(AG$1,'40Trips'!$A$3:$I$42,3,FALSE)),1,0)</f>
        <v>0</v>
      </c>
      <c r="AH75">
        <f>IF(AND(gamma!AG34=1, VLOOKUP($A75,'40Trips'!$A$43:$I$46, 3,FALSE)=VLOOKUP(AH$1,'40Trips'!$A$3:$I$42,3,FALSE)),1,0)</f>
        <v>0</v>
      </c>
      <c r="AI75">
        <f>IF(AND(gamma!AH34=1, VLOOKUP($A75,'40Trips'!$A$43:$I$46, 3,FALSE)=VLOOKUP(AI$1,'40Trips'!$A$3:$I$42,3,FALSE)),1,0)</f>
        <v>0</v>
      </c>
      <c r="AJ75">
        <f>IF(AND(gamma!AI34=1, VLOOKUP($A75,'40Trips'!$A$43:$I$46, 3,FALSE)=VLOOKUP(AJ$1,'40Trips'!$A$3:$I$42,3,FALSE)),1,0)</f>
        <v>0</v>
      </c>
      <c r="AK75">
        <f>IF(AND(gamma!AJ34=1, VLOOKUP($A75,'40Trips'!$A$43:$I$46, 3,FALSE)=VLOOKUP(AK$1,'40Trips'!$A$3:$I$42,3,FALSE)),1,0)</f>
        <v>0</v>
      </c>
      <c r="AL75">
        <f>IF(AND(gamma!AK34=1, VLOOKUP($A75,'40Trips'!$A$43:$I$46, 3,FALSE)=VLOOKUP(AL$1,'40Trips'!$A$3:$I$42,3,FALSE)),1,0)</f>
        <v>0</v>
      </c>
      <c r="AM75">
        <f>IF(AND(gamma!AL34=1, VLOOKUP($A75,'40Trips'!$A$43:$I$46, 3,FALSE)=VLOOKUP(AM$1,'40Trips'!$A$3:$I$42,3,FALSE)),1,0)</f>
        <v>0</v>
      </c>
      <c r="AN75">
        <f>IF(AND(gamma!AM34=1, VLOOKUP($A75,'40Trips'!$A$43:$I$46, 3,FALSE)=VLOOKUP(AN$1,'40Trips'!$A$3:$I$42,3,FALSE)),1,0)</f>
        <v>0</v>
      </c>
      <c r="AO75">
        <f>IF(AND(gamma!AN34=1, VLOOKUP($A75,'40Trips'!$A$43:$I$46, 3,FALSE)=VLOOKUP(AO$1,'40Trips'!$A$3:$I$42,3,FALSE)),1,0)</f>
        <v>0</v>
      </c>
      <c r="AP75">
        <f>IF(AND(gamma!AO34=1, VLOOKUP($A75,'40Trips'!$A$43:$I$46, 3,FALSE)=VLOOKUP(AP$1,'40Trips'!$A$3:$I$42,3,FALSE)),1,0)</f>
        <v>0</v>
      </c>
      <c r="AQ75">
        <f>IF(AND(gamma!AP34=1, VLOOKUP($A75,'40Trips'!$A$43:$I$46, 3,FALSE)=VLOOKUP(AQ$1,'40Trips'!$A$3:$I$42,3,FALSE)),1,0)</f>
        <v>0</v>
      </c>
    </row>
    <row r="76" spans="1:43" x14ac:dyDescent="0.25">
      <c r="A76" t="s">
        <v>62</v>
      </c>
      <c r="B76" t="s">
        <v>40</v>
      </c>
      <c r="C76">
        <v>0</v>
      </c>
      <c r="D76">
        <f>IF(AND(gamma!C35=1, VLOOKUP($A76,'40Trips'!$A$43:$I$46, 3,FALSE)=VLOOKUP(D$1,'40Trips'!$A$3:$I$42,3,FALSE)),1,0)</f>
        <v>0</v>
      </c>
      <c r="E76">
        <f>IF(AND(gamma!D35=1, VLOOKUP($A76,'40Trips'!$A$43:$I$46, 3,FALSE)=VLOOKUP(E$1,'40Trips'!$A$3:$I$42,3,FALSE)),1,0)</f>
        <v>0</v>
      </c>
      <c r="F76">
        <f>IF(AND(gamma!E35=1, VLOOKUP($A76,'40Trips'!$A$43:$I$46, 3,FALSE)=VLOOKUP(F$1,'40Trips'!$A$3:$I$42,3,FALSE)),1,0)</f>
        <v>0</v>
      </c>
      <c r="G76">
        <f>IF(AND(gamma!F35=1, VLOOKUP($A76,'40Trips'!$A$43:$I$46, 3,FALSE)=VLOOKUP(G$1,'40Trips'!$A$3:$I$42,3,FALSE)),1,0)</f>
        <v>1</v>
      </c>
      <c r="H76">
        <f>IF(AND(gamma!G35=1, VLOOKUP($A76,'40Trips'!$A$43:$I$46, 3,FALSE)=VLOOKUP(H$1,'40Trips'!$A$3:$I$42,3,FALSE)),1,0)</f>
        <v>0</v>
      </c>
      <c r="I76">
        <f>IF(AND(gamma!H35=1, VLOOKUP($A76,'40Trips'!$A$43:$I$46, 3,FALSE)=VLOOKUP(I$1,'40Trips'!$A$3:$I$42,3,FALSE)),1,0)</f>
        <v>0</v>
      </c>
      <c r="J76">
        <f>IF(AND(gamma!I35=1, VLOOKUP($A76,'40Trips'!$A$43:$I$46, 3,FALSE)=VLOOKUP(J$1,'40Trips'!$A$3:$I$42,3,FALSE)),1,0)</f>
        <v>0</v>
      </c>
      <c r="K76">
        <f>IF(AND(gamma!J35=1, VLOOKUP($A76,'40Trips'!$A$43:$I$46, 3,FALSE)=VLOOKUP(K$1,'40Trips'!$A$3:$I$42,3,FALSE)),1,0)</f>
        <v>1</v>
      </c>
      <c r="L76">
        <f>IF(AND(gamma!K35=1, VLOOKUP($A76,'40Trips'!$A$43:$I$46, 3,FALSE)=VLOOKUP(L$1,'40Trips'!$A$3:$I$42,3,FALSE)),1,0)</f>
        <v>0</v>
      </c>
      <c r="M76">
        <f>IF(AND(gamma!L35=1, VLOOKUP($A76,'40Trips'!$A$43:$I$46, 3,FALSE)=VLOOKUP(M$1,'40Trips'!$A$3:$I$42,3,FALSE)),1,0)</f>
        <v>0</v>
      </c>
      <c r="N76">
        <f>IF(AND(gamma!M35=1, VLOOKUP($A76,'40Trips'!$A$43:$I$46, 3,FALSE)=VLOOKUP(N$1,'40Trips'!$A$3:$I$42,3,FALSE)),1,0)</f>
        <v>0</v>
      </c>
      <c r="O76">
        <f>IF(AND(gamma!N35=1, VLOOKUP($A76,'40Trips'!$A$43:$I$46, 3,FALSE)=VLOOKUP(O$1,'40Trips'!$A$3:$I$42,3,FALSE)),1,0)</f>
        <v>0</v>
      </c>
      <c r="P76">
        <f>IF(AND(gamma!O35=1, VLOOKUP($A76,'40Trips'!$A$43:$I$46, 3,FALSE)=VLOOKUP(P$1,'40Trips'!$A$3:$I$42,3,FALSE)),1,0)</f>
        <v>0</v>
      </c>
      <c r="Q76">
        <f>IF(AND(gamma!P35=1, VLOOKUP($A76,'40Trips'!$A$43:$I$46, 3,FALSE)=VLOOKUP(Q$1,'40Trips'!$A$3:$I$42,3,FALSE)),1,0)</f>
        <v>0</v>
      </c>
      <c r="R76">
        <f>IF(AND(gamma!Q35=1, VLOOKUP($A76,'40Trips'!$A$43:$I$46, 3,FALSE)=VLOOKUP(R$1,'40Trips'!$A$3:$I$42,3,FALSE)),1,0)</f>
        <v>0</v>
      </c>
      <c r="S76">
        <f>IF(AND(gamma!R35=1, VLOOKUP($A76,'40Trips'!$A$43:$I$46, 3,FALSE)=VLOOKUP(S$1,'40Trips'!$A$3:$I$42,3,FALSE)),1,0)</f>
        <v>0</v>
      </c>
      <c r="T76">
        <f>IF(AND(gamma!S35=1, VLOOKUP($A76,'40Trips'!$A$43:$I$46, 3,FALSE)=VLOOKUP(T$1,'40Trips'!$A$3:$I$42,3,FALSE)),1,0)</f>
        <v>0</v>
      </c>
      <c r="U76">
        <f>IF(AND(gamma!T35=1, VLOOKUP($A76,'40Trips'!$A$43:$I$46, 3,FALSE)=VLOOKUP(U$1,'40Trips'!$A$3:$I$42,3,FALSE)),1,0)</f>
        <v>0</v>
      </c>
      <c r="V76">
        <f>IF(AND(gamma!U35=1, VLOOKUP($A76,'40Trips'!$A$43:$I$46, 3,FALSE)=VLOOKUP(V$1,'40Trips'!$A$3:$I$42,3,FALSE)),1,0)</f>
        <v>0</v>
      </c>
      <c r="W76">
        <f>IF(AND(gamma!V35=1, VLOOKUP($A76,'40Trips'!$A$43:$I$46, 3,FALSE)=VLOOKUP(W$1,'40Trips'!$A$3:$I$42,3,FALSE)),1,0)</f>
        <v>0</v>
      </c>
      <c r="X76">
        <f>IF(AND(gamma!W35=1, VLOOKUP($A76,'40Trips'!$A$43:$I$46, 3,FALSE)=VLOOKUP(X$1,'40Trips'!$A$3:$I$42,3,FALSE)),1,0)</f>
        <v>0</v>
      </c>
      <c r="Y76">
        <f>IF(AND(gamma!X35=1, VLOOKUP($A76,'40Trips'!$A$43:$I$46, 3,FALSE)=VLOOKUP(Y$1,'40Trips'!$A$3:$I$42,3,FALSE)),1,0)</f>
        <v>0</v>
      </c>
      <c r="Z76">
        <f>IF(AND(gamma!Y35=1, VLOOKUP($A76,'40Trips'!$A$43:$I$46, 3,FALSE)=VLOOKUP(Z$1,'40Trips'!$A$3:$I$42,3,FALSE)),1,0)</f>
        <v>0</v>
      </c>
      <c r="AA76">
        <f>IF(AND(gamma!Z35=1, VLOOKUP($A76,'40Trips'!$A$43:$I$46, 3,FALSE)=VLOOKUP(AA$1,'40Trips'!$A$3:$I$42,3,FALSE)),1,0)</f>
        <v>0</v>
      </c>
      <c r="AB76">
        <f>IF(AND(gamma!AA35=1, VLOOKUP($A76,'40Trips'!$A$43:$I$46, 3,FALSE)=VLOOKUP(AB$1,'40Trips'!$A$3:$I$42,3,FALSE)),1,0)</f>
        <v>0</v>
      </c>
      <c r="AC76">
        <f>IF(AND(gamma!AB35=1, VLOOKUP($A76,'40Trips'!$A$43:$I$46, 3,FALSE)=VLOOKUP(AC$1,'40Trips'!$A$3:$I$42,3,FALSE)),1,0)</f>
        <v>0</v>
      </c>
      <c r="AD76">
        <f>IF(AND(gamma!AC35=1, VLOOKUP($A76,'40Trips'!$A$43:$I$46, 3,FALSE)=VLOOKUP(AD$1,'40Trips'!$A$3:$I$42,3,FALSE)),1,0)</f>
        <v>0</v>
      </c>
      <c r="AE76">
        <f>IF(AND(gamma!AD35=1, VLOOKUP($A76,'40Trips'!$A$43:$I$46, 3,FALSE)=VLOOKUP(AE$1,'40Trips'!$A$3:$I$42,3,FALSE)),1,0)</f>
        <v>0</v>
      </c>
      <c r="AF76">
        <f>IF(AND(gamma!AE35=1, VLOOKUP($A76,'40Trips'!$A$43:$I$46, 3,FALSE)=VLOOKUP(AF$1,'40Trips'!$A$3:$I$42,3,FALSE)),1,0)</f>
        <v>0</v>
      </c>
      <c r="AG76">
        <f>IF(AND(gamma!AF35=1, VLOOKUP($A76,'40Trips'!$A$43:$I$46, 3,FALSE)=VLOOKUP(AG$1,'40Trips'!$A$3:$I$42,3,FALSE)),1,0)</f>
        <v>0</v>
      </c>
      <c r="AH76">
        <f>IF(AND(gamma!AG35=1, VLOOKUP($A76,'40Trips'!$A$43:$I$46, 3,FALSE)=VLOOKUP(AH$1,'40Trips'!$A$3:$I$42,3,FALSE)),1,0)</f>
        <v>0</v>
      </c>
      <c r="AI76">
        <f>IF(AND(gamma!AH35=1, VLOOKUP($A76,'40Trips'!$A$43:$I$46, 3,FALSE)=VLOOKUP(AI$1,'40Trips'!$A$3:$I$42,3,FALSE)),1,0)</f>
        <v>0</v>
      </c>
      <c r="AJ76">
        <f>IF(AND(gamma!AI35=1, VLOOKUP($A76,'40Trips'!$A$43:$I$46, 3,FALSE)=VLOOKUP(AJ$1,'40Trips'!$A$3:$I$42,3,FALSE)),1,0)</f>
        <v>0</v>
      </c>
      <c r="AK76">
        <f>IF(AND(gamma!AJ35=1, VLOOKUP($A76,'40Trips'!$A$43:$I$46, 3,FALSE)=VLOOKUP(AK$1,'40Trips'!$A$3:$I$42,3,FALSE)),1,0)</f>
        <v>0</v>
      </c>
      <c r="AL76">
        <f>IF(AND(gamma!AK35=1, VLOOKUP($A76,'40Trips'!$A$43:$I$46, 3,FALSE)=VLOOKUP(AL$1,'40Trips'!$A$3:$I$42,3,FALSE)),1,0)</f>
        <v>0</v>
      </c>
      <c r="AM76">
        <f>IF(AND(gamma!AL35=1, VLOOKUP($A76,'40Trips'!$A$43:$I$46, 3,FALSE)=VLOOKUP(AM$1,'40Trips'!$A$3:$I$42,3,FALSE)),1,0)</f>
        <v>0</v>
      </c>
      <c r="AN76">
        <f>IF(AND(gamma!AM35=1, VLOOKUP($A76,'40Trips'!$A$43:$I$46, 3,FALSE)=VLOOKUP(AN$1,'40Trips'!$A$3:$I$42,3,FALSE)),1,0)</f>
        <v>0</v>
      </c>
      <c r="AO76">
        <f>IF(AND(gamma!AN35=1, VLOOKUP($A76,'40Trips'!$A$43:$I$46, 3,FALSE)=VLOOKUP(AO$1,'40Trips'!$A$3:$I$42,3,FALSE)),1,0)</f>
        <v>0</v>
      </c>
      <c r="AP76">
        <f>IF(AND(gamma!AO35=1, VLOOKUP($A76,'40Trips'!$A$43:$I$46, 3,FALSE)=VLOOKUP(AP$1,'40Trips'!$A$3:$I$42,3,FALSE)),1,0)</f>
        <v>0</v>
      </c>
      <c r="AQ76">
        <f>IF(AND(gamma!AP35=1, VLOOKUP($A76,'40Trips'!$A$43:$I$46, 3,FALSE)=VLOOKUP(AQ$1,'40Trips'!$A$3:$I$42,3,FALSE)),1,0)</f>
        <v>0</v>
      </c>
    </row>
    <row r="77" spans="1:43" x14ac:dyDescent="0.25">
      <c r="A77" t="s">
        <v>62</v>
      </c>
      <c r="B77" t="s">
        <v>86</v>
      </c>
      <c r="C77">
        <v>0</v>
      </c>
      <c r="D77">
        <f>IF(AND(gamma!C36=1, VLOOKUP($A77,'40Trips'!$A$43:$I$46, 3,FALSE)=VLOOKUP(D$1,'40Trips'!$A$3:$I$42,3,FALSE)),1,0)</f>
        <v>0</v>
      </c>
      <c r="E77">
        <f>IF(AND(gamma!D36=1, VLOOKUP($A77,'40Trips'!$A$43:$I$46, 3,FALSE)=VLOOKUP(E$1,'40Trips'!$A$3:$I$42,3,FALSE)),1,0)</f>
        <v>0</v>
      </c>
      <c r="F77">
        <f>IF(AND(gamma!E36=1, VLOOKUP($A77,'40Trips'!$A$43:$I$46, 3,FALSE)=VLOOKUP(F$1,'40Trips'!$A$3:$I$42,3,FALSE)),1,0)</f>
        <v>0</v>
      </c>
      <c r="G77">
        <f>IF(AND(gamma!F36=1, VLOOKUP($A77,'40Trips'!$A$43:$I$46, 3,FALSE)=VLOOKUP(G$1,'40Trips'!$A$3:$I$42,3,FALSE)),1,0)</f>
        <v>1</v>
      </c>
      <c r="H77">
        <f>IF(AND(gamma!G36=1, VLOOKUP($A77,'40Trips'!$A$43:$I$46, 3,FALSE)=VLOOKUP(H$1,'40Trips'!$A$3:$I$42,3,FALSE)),1,0)</f>
        <v>0</v>
      </c>
      <c r="I77">
        <f>IF(AND(gamma!H36=1, VLOOKUP($A77,'40Trips'!$A$43:$I$46, 3,FALSE)=VLOOKUP(I$1,'40Trips'!$A$3:$I$42,3,FALSE)),1,0)</f>
        <v>0</v>
      </c>
      <c r="J77">
        <f>IF(AND(gamma!I36=1, VLOOKUP($A77,'40Trips'!$A$43:$I$46, 3,FALSE)=VLOOKUP(J$1,'40Trips'!$A$3:$I$42,3,FALSE)),1,0)</f>
        <v>0</v>
      </c>
      <c r="K77">
        <f>IF(AND(gamma!J36=1, VLOOKUP($A77,'40Trips'!$A$43:$I$46, 3,FALSE)=VLOOKUP(K$1,'40Trips'!$A$3:$I$42,3,FALSE)),1,0)</f>
        <v>1</v>
      </c>
      <c r="L77">
        <f>IF(AND(gamma!K36=1, VLOOKUP($A77,'40Trips'!$A$43:$I$46, 3,FALSE)=VLOOKUP(L$1,'40Trips'!$A$3:$I$42,3,FALSE)),1,0)</f>
        <v>0</v>
      </c>
      <c r="M77">
        <f>IF(AND(gamma!L36=1, VLOOKUP($A77,'40Trips'!$A$43:$I$46, 3,FALSE)=VLOOKUP(M$1,'40Trips'!$A$3:$I$42,3,FALSE)),1,0)</f>
        <v>0</v>
      </c>
      <c r="N77">
        <f>IF(AND(gamma!M36=1, VLOOKUP($A77,'40Trips'!$A$43:$I$46, 3,FALSE)=VLOOKUP(N$1,'40Trips'!$A$3:$I$42,3,FALSE)),1,0)</f>
        <v>0</v>
      </c>
      <c r="O77">
        <f>IF(AND(gamma!N36=1, VLOOKUP($A77,'40Trips'!$A$43:$I$46, 3,FALSE)=VLOOKUP(O$1,'40Trips'!$A$3:$I$42,3,FALSE)),1,0)</f>
        <v>0</v>
      </c>
      <c r="P77">
        <f>IF(AND(gamma!O36=1, VLOOKUP($A77,'40Trips'!$A$43:$I$46, 3,FALSE)=VLOOKUP(P$1,'40Trips'!$A$3:$I$42,3,FALSE)),1,0)</f>
        <v>0</v>
      </c>
      <c r="Q77">
        <f>IF(AND(gamma!P36=1, VLOOKUP($A77,'40Trips'!$A$43:$I$46, 3,FALSE)=VLOOKUP(Q$1,'40Trips'!$A$3:$I$42,3,FALSE)),1,0)</f>
        <v>0</v>
      </c>
      <c r="R77">
        <f>IF(AND(gamma!Q36=1, VLOOKUP($A77,'40Trips'!$A$43:$I$46, 3,FALSE)=VLOOKUP(R$1,'40Trips'!$A$3:$I$42,3,FALSE)),1,0)</f>
        <v>0</v>
      </c>
      <c r="S77">
        <f>IF(AND(gamma!R36=1, VLOOKUP($A77,'40Trips'!$A$43:$I$46, 3,FALSE)=VLOOKUP(S$1,'40Trips'!$A$3:$I$42,3,FALSE)),1,0)</f>
        <v>0</v>
      </c>
      <c r="T77">
        <f>IF(AND(gamma!S36=1, VLOOKUP($A77,'40Trips'!$A$43:$I$46, 3,FALSE)=VLOOKUP(T$1,'40Trips'!$A$3:$I$42,3,FALSE)),1,0)</f>
        <v>0</v>
      </c>
      <c r="U77">
        <f>IF(AND(gamma!T36=1, VLOOKUP($A77,'40Trips'!$A$43:$I$46, 3,FALSE)=VLOOKUP(U$1,'40Trips'!$A$3:$I$42,3,FALSE)),1,0)</f>
        <v>0</v>
      </c>
      <c r="V77">
        <f>IF(AND(gamma!U36=1, VLOOKUP($A77,'40Trips'!$A$43:$I$46, 3,FALSE)=VLOOKUP(V$1,'40Trips'!$A$3:$I$42,3,FALSE)),1,0)</f>
        <v>0</v>
      </c>
      <c r="W77">
        <f>IF(AND(gamma!V36=1, VLOOKUP($A77,'40Trips'!$A$43:$I$46, 3,FALSE)=VLOOKUP(W$1,'40Trips'!$A$3:$I$42,3,FALSE)),1,0)</f>
        <v>0</v>
      </c>
      <c r="X77">
        <f>IF(AND(gamma!W36=1, VLOOKUP($A77,'40Trips'!$A$43:$I$46, 3,FALSE)=VLOOKUP(X$1,'40Trips'!$A$3:$I$42,3,FALSE)),1,0)</f>
        <v>0</v>
      </c>
      <c r="Y77">
        <f>IF(AND(gamma!X36=1, VLOOKUP($A77,'40Trips'!$A$43:$I$46, 3,FALSE)=VLOOKUP(Y$1,'40Trips'!$A$3:$I$42,3,FALSE)),1,0)</f>
        <v>0</v>
      </c>
      <c r="Z77">
        <f>IF(AND(gamma!Y36=1, VLOOKUP($A77,'40Trips'!$A$43:$I$46, 3,FALSE)=VLOOKUP(Z$1,'40Trips'!$A$3:$I$42,3,FALSE)),1,0)</f>
        <v>0</v>
      </c>
      <c r="AA77">
        <f>IF(AND(gamma!Z36=1, VLOOKUP($A77,'40Trips'!$A$43:$I$46, 3,FALSE)=VLOOKUP(AA$1,'40Trips'!$A$3:$I$42,3,FALSE)),1,0)</f>
        <v>0</v>
      </c>
      <c r="AB77">
        <f>IF(AND(gamma!AA36=1, VLOOKUP($A77,'40Trips'!$A$43:$I$46, 3,FALSE)=VLOOKUP(AB$1,'40Trips'!$A$3:$I$42,3,FALSE)),1,0)</f>
        <v>0</v>
      </c>
      <c r="AC77">
        <f>IF(AND(gamma!AB36=1, VLOOKUP($A77,'40Trips'!$A$43:$I$46, 3,FALSE)=VLOOKUP(AC$1,'40Trips'!$A$3:$I$42,3,FALSE)),1,0)</f>
        <v>0</v>
      </c>
      <c r="AD77">
        <f>IF(AND(gamma!AC36=1, VLOOKUP($A77,'40Trips'!$A$43:$I$46, 3,FALSE)=VLOOKUP(AD$1,'40Trips'!$A$3:$I$42,3,FALSE)),1,0)</f>
        <v>0</v>
      </c>
      <c r="AE77">
        <f>IF(AND(gamma!AD36=1, VLOOKUP($A77,'40Trips'!$A$43:$I$46, 3,FALSE)=VLOOKUP(AE$1,'40Trips'!$A$3:$I$42,3,FALSE)),1,0)</f>
        <v>0</v>
      </c>
      <c r="AF77">
        <f>IF(AND(gamma!AE36=1, VLOOKUP($A77,'40Trips'!$A$43:$I$46, 3,FALSE)=VLOOKUP(AF$1,'40Trips'!$A$3:$I$42,3,FALSE)),1,0)</f>
        <v>0</v>
      </c>
      <c r="AG77">
        <f>IF(AND(gamma!AF36=1, VLOOKUP($A77,'40Trips'!$A$43:$I$46, 3,FALSE)=VLOOKUP(AG$1,'40Trips'!$A$3:$I$42,3,FALSE)),1,0)</f>
        <v>0</v>
      </c>
      <c r="AH77">
        <f>IF(AND(gamma!AG36=1, VLOOKUP($A77,'40Trips'!$A$43:$I$46, 3,FALSE)=VLOOKUP(AH$1,'40Trips'!$A$3:$I$42,3,FALSE)),1,0)</f>
        <v>0</v>
      </c>
      <c r="AI77">
        <f>IF(AND(gamma!AH36=1, VLOOKUP($A77,'40Trips'!$A$43:$I$46, 3,FALSE)=VLOOKUP(AI$1,'40Trips'!$A$3:$I$42,3,FALSE)),1,0)</f>
        <v>0</v>
      </c>
      <c r="AJ77">
        <f>IF(AND(gamma!AI36=1, VLOOKUP($A77,'40Trips'!$A$43:$I$46, 3,FALSE)=VLOOKUP(AJ$1,'40Trips'!$A$3:$I$42,3,FALSE)),1,0)</f>
        <v>0</v>
      </c>
      <c r="AK77">
        <f>IF(AND(gamma!AJ36=1, VLOOKUP($A77,'40Trips'!$A$43:$I$46, 3,FALSE)=VLOOKUP(AK$1,'40Trips'!$A$3:$I$42,3,FALSE)),1,0)</f>
        <v>0</v>
      </c>
      <c r="AL77">
        <f>IF(AND(gamma!AK36=1, VLOOKUP($A77,'40Trips'!$A$43:$I$46, 3,FALSE)=VLOOKUP(AL$1,'40Trips'!$A$3:$I$42,3,FALSE)),1,0)</f>
        <v>0</v>
      </c>
      <c r="AM77">
        <f>IF(AND(gamma!AL36=1, VLOOKUP($A77,'40Trips'!$A$43:$I$46, 3,FALSE)=VLOOKUP(AM$1,'40Trips'!$A$3:$I$42,3,FALSE)),1,0)</f>
        <v>0</v>
      </c>
      <c r="AN77">
        <f>IF(AND(gamma!AM36=1, VLOOKUP($A77,'40Trips'!$A$43:$I$46, 3,FALSE)=VLOOKUP(AN$1,'40Trips'!$A$3:$I$42,3,FALSE)),1,0)</f>
        <v>0</v>
      </c>
      <c r="AO77">
        <f>IF(AND(gamma!AN36=1, VLOOKUP($A77,'40Trips'!$A$43:$I$46, 3,FALSE)=VLOOKUP(AO$1,'40Trips'!$A$3:$I$42,3,FALSE)),1,0)</f>
        <v>0</v>
      </c>
      <c r="AP77">
        <f>IF(AND(gamma!AO36=1, VLOOKUP($A77,'40Trips'!$A$43:$I$46, 3,FALSE)=VLOOKUP(AP$1,'40Trips'!$A$3:$I$42,3,FALSE)),1,0)</f>
        <v>0</v>
      </c>
      <c r="AQ77">
        <f>IF(AND(gamma!AP36=1, VLOOKUP($A77,'40Trips'!$A$43:$I$46, 3,FALSE)=VLOOKUP(AQ$1,'40Trips'!$A$3:$I$42,3,FALSE)),1,0)</f>
        <v>0</v>
      </c>
    </row>
    <row r="78" spans="1:43" x14ac:dyDescent="0.25">
      <c r="A78" t="s">
        <v>62</v>
      </c>
      <c r="B78" t="s">
        <v>87</v>
      </c>
      <c r="C78">
        <v>0</v>
      </c>
      <c r="D78">
        <f>IF(AND(gamma!C37=1, VLOOKUP($A78,'40Trips'!$A$43:$I$46, 3,FALSE)=VLOOKUP(D$1,'40Trips'!$A$3:$I$42,3,FALSE)),1,0)</f>
        <v>0</v>
      </c>
      <c r="E78">
        <f>IF(AND(gamma!D37=1, VLOOKUP($A78,'40Trips'!$A$43:$I$46, 3,FALSE)=VLOOKUP(E$1,'40Trips'!$A$3:$I$42,3,FALSE)),1,0)</f>
        <v>0</v>
      </c>
      <c r="F78">
        <f>IF(AND(gamma!E37=1, VLOOKUP($A78,'40Trips'!$A$43:$I$46, 3,FALSE)=VLOOKUP(F$1,'40Trips'!$A$3:$I$42,3,FALSE)),1,0)</f>
        <v>0</v>
      </c>
      <c r="G78">
        <f>IF(AND(gamma!F37=1, VLOOKUP($A78,'40Trips'!$A$43:$I$46, 3,FALSE)=VLOOKUP(G$1,'40Trips'!$A$3:$I$42,3,FALSE)),1,0)</f>
        <v>0</v>
      </c>
      <c r="H78">
        <f>IF(AND(gamma!G37=1, VLOOKUP($A78,'40Trips'!$A$43:$I$46, 3,FALSE)=VLOOKUP(H$1,'40Trips'!$A$3:$I$42,3,FALSE)),1,0)</f>
        <v>0</v>
      </c>
      <c r="I78">
        <f>IF(AND(gamma!H37=1, VLOOKUP($A78,'40Trips'!$A$43:$I$46, 3,FALSE)=VLOOKUP(I$1,'40Trips'!$A$3:$I$42,3,FALSE)),1,0)</f>
        <v>0</v>
      </c>
      <c r="J78">
        <f>IF(AND(gamma!I37=1, VLOOKUP($A78,'40Trips'!$A$43:$I$46, 3,FALSE)=VLOOKUP(J$1,'40Trips'!$A$3:$I$42,3,FALSE)),1,0)</f>
        <v>0</v>
      </c>
      <c r="K78">
        <f>IF(AND(gamma!J37=1, VLOOKUP($A78,'40Trips'!$A$43:$I$46, 3,FALSE)=VLOOKUP(K$1,'40Trips'!$A$3:$I$42,3,FALSE)),1,0)</f>
        <v>1</v>
      </c>
      <c r="L78">
        <f>IF(AND(gamma!K37=1, VLOOKUP($A78,'40Trips'!$A$43:$I$46, 3,FALSE)=VLOOKUP(L$1,'40Trips'!$A$3:$I$42,3,FALSE)),1,0)</f>
        <v>0</v>
      </c>
      <c r="M78">
        <f>IF(AND(gamma!L37=1, VLOOKUP($A78,'40Trips'!$A$43:$I$46, 3,FALSE)=VLOOKUP(M$1,'40Trips'!$A$3:$I$42,3,FALSE)),1,0)</f>
        <v>0</v>
      </c>
      <c r="N78">
        <f>IF(AND(gamma!M37=1, VLOOKUP($A78,'40Trips'!$A$43:$I$46, 3,FALSE)=VLOOKUP(N$1,'40Trips'!$A$3:$I$42,3,FALSE)),1,0)</f>
        <v>0</v>
      </c>
      <c r="O78">
        <f>IF(AND(gamma!N37=1, VLOOKUP($A78,'40Trips'!$A$43:$I$46, 3,FALSE)=VLOOKUP(O$1,'40Trips'!$A$3:$I$42,3,FALSE)),1,0)</f>
        <v>0</v>
      </c>
      <c r="P78">
        <f>IF(AND(gamma!O37=1, VLOOKUP($A78,'40Trips'!$A$43:$I$46, 3,FALSE)=VLOOKUP(P$1,'40Trips'!$A$3:$I$42,3,FALSE)),1,0)</f>
        <v>0</v>
      </c>
      <c r="Q78">
        <f>IF(AND(gamma!P37=1, VLOOKUP($A78,'40Trips'!$A$43:$I$46, 3,FALSE)=VLOOKUP(Q$1,'40Trips'!$A$3:$I$42,3,FALSE)),1,0)</f>
        <v>0</v>
      </c>
      <c r="R78">
        <f>IF(AND(gamma!Q37=1, VLOOKUP($A78,'40Trips'!$A$43:$I$46, 3,FALSE)=VLOOKUP(R$1,'40Trips'!$A$3:$I$42,3,FALSE)),1,0)</f>
        <v>0</v>
      </c>
      <c r="S78">
        <f>IF(AND(gamma!R37=1, VLOOKUP($A78,'40Trips'!$A$43:$I$46, 3,FALSE)=VLOOKUP(S$1,'40Trips'!$A$3:$I$42,3,FALSE)),1,0)</f>
        <v>0</v>
      </c>
      <c r="T78">
        <f>IF(AND(gamma!S37=1, VLOOKUP($A78,'40Trips'!$A$43:$I$46, 3,FALSE)=VLOOKUP(T$1,'40Trips'!$A$3:$I$42,3,FALSE)),1,0)</f>
        <v>0</v>
      </c>
      <c r="U78">
        <f>IF(AND(gamma!T37=1, VLOOKUP($A78,'40Trips'!$A$43:$I$46, 3,FALSE)=VLOOKUP(U$1,'40Trips'!$A$3:$I$42,3,FALSE)),1,0)</f>
        <v>0</v>
      </c>
      <c r="V78">
        <f>IF(AND(gamma!U37=1, VLOOKUP($A78,'40Trips'!$A$43:$I$46, 3,FALSE)=VLOOKUP(V$1,'40Trips'!$A$3:$I$42,3,FALSE)),1,0)</f>
        <v>0</v>
      </c>
      <c r="W78">
        <f>IF(AND(gamma!V37=1, VLOOKUP($A78,'40Trips'!$A$43:$I$46, 3,FALSE)=VLOOKUP(W$1,'40Trips'!$A$3:$I$42,3,FALSE)),1,0)</f>
        <v>0</v>
      </c>
      <c r="X78">
        <f>IF(AND(gamma!W37=1, VLOOKUP($A78,'40Trips'!$A$43:$I$46, 3,FALSE)=VLOOKUP(X$1,'40Trips'!$A$3:$I$42,3,FALSE)),1,0)</f>
        <v>0</v>
      </c>
      <c r="Y78">
        <f>IF(AND(gamma!X37=1, VLOOKUP($A78,'40Trips'!$A$43:$I$46, 3,FALSE)=VLOOKUP(Y$1,'40Trips'!$A$3:$I$42,3,FALSE)),1,0)</f>
        <v>0</v>
      </c>
      <c r="Z78">
        <f>IF(AND(gamma!Y37=1, VLOOKUP($A78,'40Trips'!$A$43:$I$46, 3,FALSE)=VLOOKUP(Z$1,'40Trips'!$A$3:$I$42,3,FALSE)),1,0)</f>
        <v>0</v>
      </c>
      <c r="AA78">
        <f>IF(AND(gamma!Z37=1, VLOOKUP($A78,'40Trips'!$A$43:$I$46, 3,FALSE)=VLOOKUP(AA$1,'40Trips'!$A$3:$I$42,3,FALSE)),1,0)</f>
        <v>0</v>
      </c>
      <c r="AB78">
        <f>IF(AND(gamma!AA37=1, VLOOKUP($A78,'40Trips'!$A$43:$I$46, 3,FALSE)=VLOOKUP(AB$1,'40Trips'!$A$3:$I$42,3,FALSE)),1,0)</f>
        <v>0</v>
      </c>
      <c r="AC78">
        <f>IF(AND(gamma!AB37=1, VLOOKUP($A78,'40Trips'!$A$43:$I$46, 3,FALSE)=VLOOKUP(AC$1,'40Trips'!$A$3:$I$42,3,FALSE)),1,0)</f>
        <v>0</v>
      </c>
      <c r="AD78">
        <f>IF(AND(gamma!AC37=1, VLOOKUP($A78,'40Trips'!$A$43:$I$46, 3,FALSE)=VLOOKUP(AD$1,'40Trips'!$A$3:$I$42,3,FALSE)),1,0)</f>
        <v>0</v>
      </c>
      <c r="AE78">
        <f>IF(AND(gamma!AD37=1, VLOOKUP($A78,'40Trips'!$A$43:$I$46, 3,FALSE)=VLOOKUP(AE$1,'40Trips'!$A$3:$I$42,3,FALSE)),1,0)</f>
        <v>0</v>
      </c>
      <c r="AF78">
        <f>IF(AND(gamma!AE37=1, VLOOKUP($A78,'40Trips'!$A$43:$I$46, 3,FALSE)=VLOOKUP(AF$1,'40Trips'!$A$3:$I$42,3,FALSE)),1,0)</f>
        <v>0</v>
      </c>
      <c r="AG78">
        <f>IF(AND(gamma!AF37=1, VLOOKUP($A78,'40Trips'!$A$43:$I$46, 3,FALSE)=VLOOKUP(AG$1,'40Trips'!$A$3:$I$42,3,FALSE)),1,0)</f>
        <v>0</v>
      </c>
      <c r="AH78">
        <f>IF(AND(gamma!AG37=1, VLOOKUP($A78,'40Trips'!$A$43:$I$46, 3,FALSE)=VLOOKUP(AH$1,'40Trips'!$A$3:$I$42,3,FALSE)),1,0)</f>
        <v>0</v>
      </c>
      <c r="AI78">
        <f>IF(AND(gamma!AH37=1, VLOOKUP($A78,'40Trips'!$A$43:$I$46, 3,FALSE)=VLOOKUP(AI$1,'40Trips'!$A$3:$I$42,3,FALSE)),1,0)</f>
        <v>0</v>
      </c>
      <c r="AJ78">
        <f>IF(AND(gamma!AI37=1, VLOOKUP($A78,'40Trips'!$A$43:$I$46, 3,FALSE)=VLOOKUP(AJ$1,'40Trips'!$A$3:$I$42,3,FALSE)),1,0)</f>
        <v>0</v>
      </c>
      <c r="AK78">
        <f>IF(AND(gamma!AJ37=1, VLOOKUP($A78,'40Trips'!$A$43:$I$46, 3,FALSE)=VLOOKUP(AK$1,'40Trips'!$A$3:$I$42,3,FALSE)),1,0)</f>
        <v>0</v>
      </c>
      <c r="AL78">
        <f>IF(AND(gamma!AK37=1, VLOOKUP($A78,'40Trips'!$A$43:$I$46, 3,FALSE)=VLOOKUP(AL$1,'40Trips'!$A$3:$I$42,3,FALSE)),1,0)</f>
        <v>0</v>
      </c>
      <c r="AM78">
        <f>IF(AND(gamma!AL37=1, VLOOKUP($A78,'40Trips'!$A$43:$I$46, 3,FALSE)=VLOOKUP(AM$1,'40Trips'!$A$3:$I$42,3,FALSE)),1,0)</f>
        <v>0</v>
      </c>
      <c r="AN78">
        <f>IF(AND(gamma!AM37=1, VLOOKUP($A78,'40Trips'!$A$43:$I$46, 3,FALSE)=VLOOKUP(AN$1,'40Trips'!$A$3:$I$42,3,FALSE)),1,0)</f>
        <v>0</v>
      </c>
      <c r="AO78">
        <f>IF(AND(gamma!AN37=1, VLOOKUP($A78,'40Trips'!$A$43:$I$46, 3,FALSE)=VLOOKUP(AO$1,'40Trips'!$A$3:$I$42,3,FALSE)),1,0)</f>
        <v>0</v>
      </c>
      <c r="AP78">
        <f>IF(AND(gamma!AO37=1, VLOOKUP($A78,'40Trips'!$A$43:$I$46, 3,FALSE)=VLOOKUP(AP$1,'40Trips'!$A$3:$I$42,3,FALSE)),1,0)</f>
        <v>0</v>
      </c>
      <c r="AQ78">
        <f>IF(AND(gamma!AP37=1, VLOOKUP($A78,'40Trips'!$A$43:$I$46, 3,FALSE)=VLOOKUP(AQ$1,'40Trips'!$A$3:$I$42,3,FALSE)),1,0)</f>
        <v>0</v>
      </c>
    </row>
    <row r="79" spans="1:43" x14ac:dyDescent="0.25">
      <c r="A79" t="s">
        <v>62</v>
      </c>
      <c r="B79" t="s">
        <v>88</v>
      </c>
      <c r="C79">
        <v>0</v>
      </c>
      <c r="D79">
        <f>IF(AND(gamma!C38=1, VLOOKUP($A79,'40Trips'!$A$43:$I$46, 3,FALSE)=VLOOKUP(D$1,'40Trips'!$A$3:$I$42,3,FALSE)),1,0)</f>
        <v>0</v>
      </c>
      <c r="E79">
        <f>IF(AND(gamma!D38=1, VLOOKUP($A79,'40Trips'!$A$43:$I$46, 3,FALSE)=VLOOKUP(E$1,'40Trips'!$A$3:$I$42,3,FALSE)),1,0)</f>
        <v>0</v>
      </c>
      <c r="F79">
        <f>IF(AND(gamma!E38=1, VLOOKUP($A79,'40Trips'!$A$43:$I$46, 3,FALSE)=VLOOKUP(F$1,'40Trips'!$A$3:$I$42,3,FALSE)),1,0)</f>
        <v>0</v>
      </c>
      <c r="G79">
        <f>IF(AND(gamma!F38=1, VLOOKUP($A79,'40Trips'!$A$43:$I$46, 3,FALSE)=VLOOKUP(G$1,'40Trips'!$A$3:$I$42,3,FALSE)),1,0)</f>
        <v>0</v>
      </c>
      <c r="H79">
        <f>IF(AND(gamma!G38=1, VLOOKUP($A79,'40Trips'!$A$43:$I$46, 3,FALSE)=VLOOKUP(H$1,'40Trips'!$A$3:$I$42,3,FALSE)),1,0)</f>
        <v>0</v>
      </c>
      <c r="I79">
        <f>IF(AND(gamma!H38=1, VLOOKUP($A79,'40Trips'!$A$43:$I$46, 3,FALSE)=VLOOKUP(I$1,'40Trips'!$A$3:$I$42,3,FALSE)),1,0)</f>
        <v>0</v>
      </c>
      <c r="J79">
        <f>IF(AND(gamma!I38=1, VLOOKUP($A79,'40Trips'!$A$43:$I$46, 3,FALSE)=VLOOKUP(J$1,'40Trips'!$A$3:$I$42,3,FALSE)),1,0)</f>
        <v>0</v>
      </c>
      <c r="K79">
        <f>IF(AND(gamma!J38=1, VLOOKUP($A79,'40Trips'!$A$43:$I$46, 3,FALSE)=VLOOKUP(K$1,'40Trips'!$A$3:$I$42,3,FALSE)),1,0)</f>
        <v>1</v>
      </c>
      <c r="L79">
        <f>IF(AND(gamma!K38=1, VLOOKUP($A79,'40Trips'!$A$43:$I$46, 3,FALSE)=VLOOKUP(L$1,'40Trips'!$A$3:$I$42,3,FALSE)),1,0)</f>
        <v>0</v>
      </c>
      <c r="M79">
        <f>IF(AND(gamma!L38=1, VLOOKUP($A79,'40Trips'!$A$43:$I$46, 3,FALSE)=VLOOKUP(M$1,'40Trips'!$A$3:$I$42,3,FALSE)),1,0)</f>
        <v>0</v>
      </c>
      <c r="N79">
        <f>IF(AND(gamma!M38=1, VLOOKUP($A79,'40Trips'!$A$43:$I$46, 3,FALSE)=VLOOKUP(N$1,'40Trips'!$A$3:$I$42,3,FALSE)),1,0)</f>
        <v>0</v>
      </c>
      <c r="O79">
        <f>IF(AND(gamma!N38=1, VLOOKUP($A79,'40Trips'!$A$43:$I$46, 3,FALSE)=VLOOKUP(O$1,'40Trips'!$A$3:$I$42,3,FALSE)),1,0)</f>
        <v>0</v>
      </c>
      <c r="P79">
        <f>IF(AND(gamma!O38=1, VLOOKUP($A79,'40Trips'!$A$43:$I$46, 3,FALSE)=VLOOKUP(P$1,'40Trips'!$A$3:$I$42,3,FALSE)),1,0)</f>
        <v>0</v>
      </c>
      <c r="Q79">
        <f>IF(AND(gamma!P38=1, VLOOKUP($A79,'40Trips'!$A$43:$I$46, 3,FALSE)=VLOOKUP(Q$1,'40Trips'!$A$3:$I$42,3,FALSE)),1,0)</f>
        <v>0</v>
      </c>
      <c r="R79">
        <f>IF(AND(gamma!Q38=1, VLOOKUP($A79,'40Trips'!$A$43:$I$46, 3,FALSE)=VLOOKUP(R$1,'40Trips'!$A$3:$I$42,3,FALSE)),1,0)</f>
        <v>0</v>
      </c>
      <c r="S79">
        <f>IF(AND(gamma!R38=1, VLOOKUP($A79,'40Trips'!$A$43:$I$46, 3,FALSE)=VLOOKUP(S$1,'40Trips'!$A$3:$I$42,3,FALSE)),1,0)</f>
        <v>0</v>
      </c>
      <c r="T79">
        <f>IF(AND(gamma!S38=1, VLOOKUP($A79,'40Trips'!$A$43:$I$46, 3,FALSE)=VLOOKUP(T$1,'40Trips'!$A$3:$I$42,3,FALSE)),1,0)</f>
        <v>0</v>
      </c>
      <c r="U79">
        <f>IF(AND(gamma!T38=1, VLOOKUP($A79,'40Trips'!$A$43:$I$46, 3,FALSE)=VLOOKUP(U$1,'40Trips'!$A$3:$I$42,3,FALSE)),1,0)</f>
        <v>0</v>
      </c>
      <c r="V79">
        <f>IF(AND(gamma!U38=1, VLOOKUP($A79,'40Trips'!$A$43:$I$46, 3,FALSE)=VLOOKUP(V$1,'40Trips'!$A$3:$I$42,3,FALSE)),1,0)</f>
        <v>0</v>
      </c>
      <c r="W79">
        <f>IF(AND(gamma!V38=1, VLOOKUP($A79,'40Trips'!$A$43:$I$46, 3,FALSE)=VLOOKUP(W$1,'40Trips'!$A$3:$I$42,3,FALSE)),1,0)</f>
        <v>0</v>
      </c>
      <c r="X79">
        <f>IF(AND(gamma!W38=1, VLOOKUP($A79,'40Trips'!$A$43:$I$46, 3,FALSE)=VLOOKUP(X$1,'40Trips'!$A$3:$I$42,3,FALSE)),1,0)</f>
        <v>0</v>
      </c>
      <c r="Y79">
        <f>IF(AND(gamma!X38=1, VLOOKUP($A79,'40Trips'!$A$43:$I$46, 3,FALSE)=VLOOKUP(Y$1,'40Trips'!$A$3:$I$42,3,FALSE)),1,0)</f>
        <v>0</v>
      </c>
      <c r="Z79">
        <f>IF(AND(gamma!Y38=1, VLOOKUP($A79,'40Trips'!$A$43:$I$46, 3,FALSE)=VLOOKUP(Z$1,'40Trips'!$A$3:$I$42,3,FALSE)),1,0)</f>
        <v>0</v>
      </c>
      <c r="AA79">
        <f>IF(AND(gamma!Z38=1, VLOOKUP($A79,'40Trips'!$A$43:$I$46, 3,FALSE)=VLOOKUP(AA$1,'40Trips'!$A$3:$I$42,3,FALSE)),1,0)</f>
        <v>0</v>
      </c>
      <c r="AB79">
        <f>IF(AND(gamma!AA38=1, VLOOKUP($A79,'40Trips'!$A$43:$I$46, 3,FALSE)=VLOOKUP(AB$1,'40Trips'!$A$3:$I$42,3,FALSE)),1,0)</f>
        <v>0</v>
      </c>
      <c r="AC79">
        <f>IF(AND(gamma!AB38=1, VLOOKUP($A79,'40Trips'!$A$43:$I$46, 3,FALSE)=VLOOKUP(AC$1,'40Trips'!$A$3:$I$42,3,FALSE)),1,0)</f>
        <v>0</v>
      </c>
      <c r="AD79">
        <f>IF(AND(gamma!AC38=1, VLOOKUP($A79,'40Trips'!$A$43:$I$46, 3,FALSE)=VLOOKUP(AD$1,'40Trips'!$A$3:$I$42,3,FALSE)),1,0)</f>
        <v>0</v>
      </c>
      <c r="AE79">
        <f>IF(AND(gamma!AD38=1, VLOOKUP($A79,'40Trips'!$A$43:$I$46, 3,FALSE)=VLOOKUP(AE$1,'40Trips'!$A$3:$I$42,3,FALSE)),1,0)</f>
        <v>0</v>
      </c>
      <c r="AF79">
        <f>IF(AND(gamma!AE38=1, VLOOKUP($A79,'40Trips'!$A$43:$I$46, 3,FALSE)=VLOOKUP(AF$1,'40Trips'!$A$3:$I$42,3,FALSE)),1,0)</f>
        <v>0</v>
      </c>
      <c r="AG79">
        <f>IF(AND(gamma!AF38=1, VLOOKUP($A79,'40Trips'!$A$43:$I$46, 3,FALSE)=VLOOKUP(AG$1,'40Trips'!$A$3:$I$42,3,FALSE)),1,0)</f>
        <v>0</v>
      </c>
      <c r="AH79">
        <f>IF(AND(gamma!AG38=1, VLOOKUP($A79,'40Trips'!$A$43:$I$46, 3,FALSE)=VLOOKUP(AH$1,'40Trips'!$A$3:$I$42,3,FALSE)),1,0)</f>
        <v>0</v>
      </c>
      <c r="AI79">
        <f>IF(AND(gamma!AH38=1, VLOOKUP($A79,'40Trips'!$A$43:$I$46, 3,FALSE)=VLOOKUP(AI$1,'40Trips'!$A$3:$I$42,3,FALSE)),1,0)</f>
        <v>0</v>
      </c>
      <c r="AJ79">
        <f>IF(AND(gamma!AI38=1, VLOOKUP($A79,'40Trips'!$A$43:$I$46, 3,FALSE)=VLOOKUP(AJ$1,'40Trips'!$A$3:$I$42,3,FALSE)),1,0)</f>
        <v>0</v>
      </c>
      <c r="AK79">
        <f>IF(AND(gamma!AJ38=1, VLOOKUP($A79,'40Trips'!$A$43:$I$46, 3,FALSE)=VLOOKUP(AK$1,'40Trips'!$A$3:$I$42,3,FALSE)),1,0)</f>
        <v>0</v>
      </c>
      <c r="AL79">
        <f>IF(AND(gamma!AK38=1, VLOOKUP($A79,'40Trips'!$A$43:$I$46, 3,FALSE)=VLOOKUP(AL$1,'40Trips'!$A$3:$I$42,3,FALSE)),1,0)</f>
        <v>0</v>
      </c>
      <c r="AM79">
        <f>IF(AND(gamma!AL38=1, VLOOKUP($A79,'40Trips'!$A$43:$I$46, 3,FALSE)=VLOOKUP(AM$1,'40Trips'!$A$3:$I$42,3,FALSE)),1,0)</f>
        <v>0</v>
      </c>
      <c r="AN79">
        <f>IF(AND(gamma!AM38=1, VLOOKUP($A79,'40Trips'!$A$43:$I$46, 3,FALSE)=VLOOKUP(AN$1,'40Trips'!$A$3:$I$42,3,FALSE)),1,0)</f>
        <v>0</v>
      </c>
      <c r="AO79">
        <f>IF(AND(gamma!AN38=1, VLOOKUP($A79,'40Trips'!$A$43:$I$46, 3,FALSE)=VLOOKUP(AO$1,'40Trips'!$A$3:$I$42,3,FALSE)),1,0)</f>
        <v>0</v>
      </c>
      <c r="AP79">
        <f>IF(AND(gamma!AO38=1, VLOOKUP($A79,'40Trips'!$A$43:$I$46, 3,FALSE)=VLOOKUP(AP$1,'40Trips'!$A$3:$I$42,3,FALSE)),1,0)</f>
        <v>0</v>
      </c>
      <c r="AQ79">
        <f>IF(AND(gamma!AP38=1, VLOOKUP($A79,'40Trips'!$A$43:$I$46, 3,FALSE)=VLOOKUP(AQ$1,'40Trips'!$A$3:$I$42,3,FALSE)),1,0)</f>
        <v>0</v>
      </c>
    </row>
    <row r="80" spans="1:43" x14ac:dyDescent="0.25">
      <c r="A80" t="s">
        <v>62</v>
      </c>
      <c r="B80" t="s">
        <v>41</v>
      </c>
      <c r="C80">
        <v>0</v>
      </c>
      <c r="D80">
        <f>IF(AND(gamma!C39=1, VLOOKUP($A80,'40Trips'!$A$43:$I$46, 3,FALSE)=VLOOKUP(D$1,'40Trips'!$A$3:$I$42,3,FALSE)),1,0)</f>
        <v>0</v>
      </c>
      <c r="E80">
        <f>IF(AND(gamma!D39=1, VLOOKUP($A80,'40Trips'!$A$43:$I$46, 3,FALSE)=VLOOKUP(E$1,'40Trips'!$A$3:$I$42,3,FALSE)),1,0)</f>
        <v>0</v>
      </c>
      <c r="F80">
        <f>IF(AND(gamma!E39=1, VLOOKUP($A80,'40Trips'!$A$43:$I$46, 3,FALSE)=VLOOKUP(F$1,'40Trips'!$A$3:$I$42,3,FALSE)),1,0)</f>
        <v>1</v>
      </c>
      <c r="G80">
        <f>IF(AND(gamma!F39=1, VLOOKUP($A80,'40Trips'!$A$43:$I$46, 3,FALSE)=VLOOKUP(G$1,'40Trips'!$A$3:$I$42,3,FALSE)),1,0)</f>
        <v>1</v>
      </c>
      <c r="H80">
        <f>IF(AND(gamma!G39=1, VLOOKUP($A80,'40Trips'!$A$43:$I$46, 3,FALSE)=VLOOKUP(H$1,'40Trips'!$A$3:$I$42,3,FALSE)),1,0)</f>
        <v>0</v>
      </c>
      <c r="I80">
        <f>IF(AND(gamma!H39=1, VLOOKUP($A80,'40Trips'!$A$43:$I$46, 3,FALSE)=VLOOKUP(I$1,'40Trips'!$A$3:$I$42,3,FALSE)),1,0)</f>
        <v>0</v>
      </c>
      <c r="J80">
        <f>IF(AND(gamma!I39=1, VLOOKUP($A80,'40Trips'!$A$43:$I$46, 3,FALSE)=VLOOKUP(J$1,'40Trips'!$A$3:$I$42,3,FALSE)),1,0)</f>
        <v>1</v>
      </c>
      <c r="K80">
        <f>IF(AND(gamma!J39=1, VLOOKUP($A80,'40Trips'!$A$43:$I$46, 3,FALSE)=VLOOKUP(K$1,'40Trips'!$A$3:$I$42,3,FALSE)),1,0)</f>
        <v>1</v>
      </c>
      <c r="L80">
        <f>IF(AND(gamma!K39=1, VLOOKUP($A80,'40Trips'!$A$43:$I$46, 3,FALSE)=VLOOKUP(L$1,'40Trips'!$A$3:$I$42,3,FALSE)),1,0)</f>
        <v>0</v>
      </c>
      <c r="M80">
        <f>IF(AND(gamma!L39=1, VLOOKUP($A80,'40Trips'!$A$43:$I$46, 3,FALSE)=VLOOKUP(M$1,'40Trips'!$A$3:$I$42,3,FALSE)),1,0)</f>
        <v>0</v>
      </c>
      <c r="N80">
        <f>IF(AND(gamma!M39=1, VLOOKUP($A80,'40Trips'!$A$43:$I$46, 3,FALSE)=VLOOKUP(N$1,'40Trips'!$A$3:$I$42,3,FALSE)),1,0)</f>
        <v>1</v>
      </c>
      <c r="O80">
        <f>IF(AND(gamma!N39=1, VLOOKUP($A80,'40Trips'!$A$43:$I$46, 3,FALSE)=VLOOKUP(O$1,'40Trips'!$A$3:$I$42,3,FALSE)),1,0)</f>
        <v>0</v>
      </c>
      <c r="P80">
        <f>IF(AND(gamma!O39=1, VLOOKUP($A80,'40Trips'!$A$43:$I$46, 3,FALSE)=VLOOKUP(P$1,'40Trips'!$A$3:$I$42,3,FALSE)),1,0)</f>
        <v>0</v>
      </c>
      <c r="Q80">
        <f>IF(AND(gamma!P39=1, VLOOKUP($A80,'40Trips'!$A$43:$I$46, 3,FALSE)=VLOOKUP(Q$1,'40Trips'!$A$3:$I$42,3,FALSE)),1,0)</f>
        <v>0</v>
      </c>
      <c r="R80">
        <f>IF(AND(gamma!Q39=1, VLOOKUP($A80,'40Trips'!$A$43:$I$46, 3,FALSE)=VLOOKUP(R$1,'40Trips'!$A$3:$I$42,3,FALSE)),1,0)</f>
        <v>0</v>
      </c>
      <c r="S80">
        <f>IF(AND(gamma!R39=1, VLOOKUP($A80,'40Trips'!$A$43:$I$46, 3,FALSE)=VLOOKUP(S$1,'40Trips'!$A$3:$I$42,3,FALSE)),1,0)</f>
        <v>0</v>
      </c>
      <c r="T80">
        <f>IF(AND(gamma!S39=1, VLOOKUP($A80,'40Trips'!$A$43:$I$46, 3,FALSE)=VLOOKUP(T$1,'40Trips'!$A$3:$I$42,3,FALSE)),1,0)</f>
        <v>0</v>
      </c>
      <c r="U80">
        <f>IF(AND(gamma!T39=1, VLOOKUP($A80,'40Trips'!$A$43:$I$46, 3,FALSE)=VLOOKUP(U$1,'40Trips'!$A$3:$I$42,3,FALSE)),1,0)</f>
        <v>0</v>
      </c>
      <c r="V80">
        <f>IF(AND(gamma!U39=1, VLOOKUP($A80,'40Trips'!$A$43:$I$46, 3,FALSE)=VLOOKUP(V$1,'40Trips'!$A$3:$I$42,3,FALSE)),1,0)</f>
        <v>0</v>
      </c>
      <c r="W80">
        <f>IF(AND(gamma!V39=1, VLOOKUP($A80,'40Trips'!$A$43:$I$46, 3,FALSE)=VLOOKUP(W$1,'40Trips'!$A$3:$I$42,3,FALSE)),1,0)</f>
        <v>0</v>
      </c>
      <c r="X80">
        <f>IF(AND(gamma!W39=1, VLOOKUP($A80,'40Trips'!$A$43:$I$46, 3,FALSE)=VLOOKUP(X$1,'40Trips'!$A$3:$I$42,3,FALSE)),1,0)</f>
        <v>0</v>
      </c>
      <c r="Y80">
        <f>IF(AND(gamma!X39=1, VLOOKUP($A80,'40Trips'!$A$43:$I$46, 3,FALSE)=VLOOKUP(Y$1,'40Trips'!$A$3:$I$42,3,FALSE)),1,0)</f>
        <v>0</v>
      </c>
      <c r="Z80">
        <f>IF(AND(gamma!Y39=1, VLOOKUP($A80,'40Trips'!$A$43:$I$46, 3,FALSE)=VLOOKUP(Z$1,'40Trips'!$A$3:$I$42,3,FALSE)),1,0)</f>
        <v>0</v>
      </c>
      <c r="AA80">
        <f>IF(AND(gamma!Z39=1, VLOOKUP($A80,'40Trips'!$A$43:$I$46, 3,FALSE)=VLOOKUP(AA$1,'40Trips'!$A$3:$I$42,3,FALSE)),1,0)</f>
        <v>0</v>
      </c>
      <c r="AB80">
        <f>IF(AND(gamma!AA39=1, VLOOKUP($A80,'40Trips'!$A$43:$I$46, 3,FALSE)=VLOOKUP(AB$1,'40Trips'!$A$3:$I$42,3,FALSE)),1,0)</f>
        <v>0</v>
      </c>
      <c r="AC80">
        <f>IF(AND(gamma!AB39=1, VLOOKUP($A80,'40Trips'!$A$43:$I$46, 3,FALSE)=VLOOKUP(AC$1,'40Trips'!$A$3:$I$42,3,FALSE)),1,0)</f>
        <v>0</v>
      </c>
      <c r="AD80">
        <f>IF(AND(gamma!AC39=1, VLOOKUP($A80,'40Trips'!$A$43:$I$46, 3,FALSE)=VLOOKUP(AD$1,'40Trips'!$A$3:$I$42,3,FALSE)),1,0)</f>
        <v>0</v>
      </c>
      <c r="AE80">
        <f>IF(AND(gamma!AD39=1, VLOOKUP($A80,'40Trips'!$A$43:$I$46, 3,FALSE)=VLOOKUP(AE$1,'40Trips'!$A$3:$I$42,3,FALSE)),1,0)</f>
        <v>0</v>
      </c>
      <c r="AF80">
        <f>IF(AND(gamma!AE39=1, VLOOKUP($A80,'40Trips'!$A$43:$I$46, 3,FALSE)=VLOOKUP(AF$1,'40Trips'!$A$3:$I$42,3,FALSE)),1,0)</f>
        <v>0</v>
      </c>
      <c r="AG80">
        <f>IF(AND(gamma!AF39=1, VLOOKUP($A80,'40Trips'!$A$43:$I$46, 3,FALSE)=VLOOKUP(AG$1,'40Trips'!$A$3:$I$42,3,FALSE)),1,0)</f>
        <v>0</v>
      </c>
      <c r="AH80">
        <f>IF(AND(gamma!AG39=1, VLOOKUP($A80,'40Trips'!$A$43:$I$46, 3,FALSE)=VLOOKUP(AH$1,'40Trips'!$A$3:$I$42,3,FALSE)),1,0)</f>
        <v>0</v>
      </c>
      <c r="AI80">
        <f>IF(AND(gamma!AH39=1, VLOOKUP($A80,'40Trips'!$A$43:$I$46, 3,FALSE)=VLOOKUP(AI$1,'40Trips'!$A$3:$I$42,3,FALSE)),1,0)</f>
        <v>0</v>
      </c>
      <c r="AJ80">
        <f>IF(AND(gamma!AI39=1, VLOOKUP($A80,'40Trips'!$A$43:$I$46, 3,FALSE)=VLOOKUP(AJ$1,'40Trips'!$A$3:$I$42,3,FALSE)),1,0)</f>
        <v>0</v>
      </c>
      <c r="AK80">
        <f>IF(AND(gamma!AJ39=1, VLOOKUP($A80,'40Trips'!$A$43:$I$46, 3,FALSE)=VLOOKUP(AK$1,'40Trips'!$A$3:$I$42,3,FALSE)),1,0)</f>
        <v>0</v>
      </c>
      <c r="AL80">
        <f>IF(AND(gamma!AK39=1, VLOOKUP($A80,'40Trips'!$A$43:$I$46, 3,FALSE)=VLOOKUP(AL$1,'40Trips'!$A$3:$I$42,3,FALSE)),1,0)</f>
        <v>0</v>
      </c>
      <c r="AM80">
        <f>IF(AND(gamma!AL39=1, VLOOKUP($A80,'40Trips'!$A$43:$I$46, 3,FALSE)=VLOOKUP(AM$1,'40Trips'!$A$3:$I$42,3,FALSE)),1,0)</f>
        <v>0</v>
      </c>
      <c r="AN80">
        <f>IF(AND(gamma!AM39=1, VLOOKUP($A80,'40Trips'!$A$43:$I$46, 3,FALSE)=VLOOKUP(AN$1,'40Trips'!$A$3:$I$42,3,FALSE)),1,0)</f>
        <v>0</v>
      </c>
      <c r="AO80">
        <f>IF(AND(gamma!AN39=1, VLOOKUP($A80,'40Trips'!$A$43:$I$46, 3,FALSE)=VLOOKUP(AO$1,'40Trips'!$A$3:$I$42,3,FALSE)),1,0)</f>
        <v>0</v>
      </c>
      <c r="AP80">
        <f>IF(AND(gamma!AO39=1, VLOOKUP($A80,'40Trips'!$A$43:$I$46, 3,FALSE)=VLOOKUP(AP$1,'40Trips'!$A$3:$I$42,3,FALSE)),1,0)</f>
        <v>0</v>
      </c>
      <c r="AQ80">
        <f>IF(AND(gamma!AP39=1, VLOOKUP($A80,'40Trips'!$A$43:$I$46, 3,FALSE)=VLOOKUP(AQ$1,'40Trips'!$A$3:$I$42,3,FALSE)),1,0)</f>
        <v>0</v>
      </c>
    </row>
    <row r="81" spans="1:43" x14ac:dyDescent="0.25">
      <c r="A81" t="s">
        <v>62</v>
      </c>
      <c r="B81" t="s">
        <v>89</v>
      </c>
      <c r="C81">
        <v>0</v>
      </c>
      <c r="D81">
        <f>IF(AND(gamma!C40=1, VLOOKUP($A81,'40Trips'!$A$43:$I$46, 3,FALSE)=VLOOKUP(D$1,'40Trips'!$A$3:$I$42,3,FALSE)),1,0)</f>
        <v>0</v>
      </c>
      <c r="E81">
        <f>IF(AND(gamma!D40=1, VLOOKUP($A81,'40Trips'!$A$43:$I$46, 3,FALSE)=VLOOKUP(E$1,'40Trips'!$A$3:$I$42,3,FALSE)),1,0)</f>
        <v>0</v>
      </c>
      <c r="F81">
        <f>IF(AND(gamma!E40=1, VLOOKUP($A81,'40Trips'!$A$43:$I$46, 3,FALSE)=VLOOKUP(F$1,'40Trips'!$A$3:$I$42,3,FALSE)),1,0)</f>
        <v>0</v>
      </c>
      <c r="G81">
        <f>IF(AND(gamma!F40=1, VLOOKUP($A81,'40Trips'!$A$43:$I$46, 3,FALSE)=VLOOKUP(G$1,'40Trips'!$A$3:$I$42,3,FALSE)),1,0)</f>
        <v>1</v>
      </c>
      <c r="H81">
        <f>IF(AND(gamma!G40=1, VLOOKUP($A81,'40Trips'!$A$43:$I$46, 3,FALSE)=VLOOKUP(H$1,'40Trips'!$A$3:$I$42,3,FALSE)),1,0)</f>
        <v>0</v>
      </c>
      <c r="I81">
        <f>IF(AND(gamma!H40=1, VLOOKUP($A81,'40Trips'!$A$43:$I$46, 3,FALSE)=VLOOKUP(I$1,'40Trips'!$A$3:$I$42,3,FALSE)),1,0)</f>
        <v>0</v>
      </c>
      <c r="J81">
        <f>IF(AND(gamma!I40=1, VLOOKUP($A81,'40Trips'!$A$43:$I$46, 3,FALSE)=VLOOKUP(J$1,'40Trips'!$A$3:$I$42,3,FALSE)),1,0)</f>
        <v>0</v>
      </c>
      <c r="K81">
        <f>IF(AND(gamma!J40=1, VLOOKUP($A81,'40Trips'!$A$43:$I$46, 3,FALSE)=VLOOKUP(K$1,'40Trips'!$A$3:$I$42,3,FALSE)),1,0)</f>
        <v>1</v>
      </c>
      <c r="L81">
        <f>IF(AND(gamma!K40=1, VLOOKUP($A81,'40Trips'!$A$43:$I$46, 3,FALSE)=VLOOKUP(L$1,'40Trips'!$A$3:$I$42,3,FALSE)),1,0)</f>
        <v>0</v>
      </c>
      <c r="M81">
        <f>IF(AND(gamma!L40=1, VLOOKUP($A81,'40Trips'!$A$43:$I$46, 3,FALSE)=VLOOKUP(M$1,'40Trips'!$A$3:$I$42,3,FALSE)),1,0)</f>
        <v>0</v>
      </c>
      <c r="N81">
        <f>IF(AND(gamma!M40=1, VLOOKUP($A81,'40Trips'!$A$43:$I$46, 3,FALSE)=VLOOKUP(N$1,'40Trips'!$A$3:$I$42,3,FALSE)),1,0)</f>
        <v>0</v>
      </c>
      <c r="O81">
        <f>IF(AND(gamma!N40=1, VLOOKUP($A81,'40Trips'!$A$43:$I$46, 3,FALSE)=VLOOKUP(O$1,'40Trips'!$A$3:$I$42,3,FALSE)),1,0)</f>
        <v>0</v>
      </c>
      <c r="P81">
        <f>IF(AND(gamma!O40=1, VLOOKUP($A81,'40Trips'!$A$43:$I$46, 3,FALSE)=VLOOKUP(P$1,'40Trips'!$A$3:$I$42,3,FALSE)),1,0)</f>
        <v>0</v>
      </c>
      <c r="Q81">
        <f>IF(AND(gamma!P40=1, VLOOKUP($A81,'40Trips'!$A$43:$I$46, 3,FALSE)=VLOOKUP(Q$1,'40Trips'!$A$3:$I$42,3,FALSE)),1,0)</f>
        <v>0</v>
      </c>
      <c r="R81">
        <f>IF(AND(gamma!Q40=1, VLOOKUP($A81,'40Trips'!$A$43:$I$46, 3,FALSE)=VLOOKUP(R$1,'40Trips'!$A$3:$I$42,3,FALSE)),1,0)</f>
        <v>0</v>
      </c>
      <c r="S81">
        <f>IF(AND(gamma!R40=1, VLOOKUP($A81,'40Trips'!$A$43:$I$46, 3,FALSE)=VLOOKUP(S$1,'40Trips'!$A$3:$I$42,3,FALSE)),1,0)</f>
        <v>0</v>
      </c>
      <c r="T81">
        <f>IF(AND(gamma!S40=1, VLOOKUP($A81,'40Trips'!$A$43:$I$46, 3,FALSE)=VLOOKUP(T$1,'40Trips'!$A$3:$I$42,3,FALSE)),1,0)</f>
        <v>0</v>
      </c>
      <c r="U81">
        <f>IF(AND(gamma!T40=1, VLOOKUP($A81,'40Trips'!$A$43:$I$46, 3,FALSE)=VLOOKUP(U$1,'40Trips'!$A$3:$I$42,3,FALSE)),1,0)</f>
        <v>0</v>
      </c>
      <c r="V81">
        <f>IF(AND(gamma!U40=1, VLOOKUP($A81,'40Trips'!$A$43:$I$46, 3,FALSE)=VLOOKUP(V$1,'40Trips'!$A$3:$I$42,3,FALSE)),1,0)</f>
        <v>0</v>
      </c>
      <c r="W81">
        <f>IF(AND(gamma!V40=1, VLOOKUP($A81,'40Trips'!$A$43:$I$46, 3,FALSE)=VLOOKUP(W$1,'40Trips'!$A$3:$I$42,3,FALSE)),1,0)</f>
        <v>0</v>
      </c>
      <c r="X81">
        <f>IF(AND(gamma!W40=1, VLOOKUP($A81,'40Trips'!$A$43:$I$46, 3,FALSE)=VLOOKUP(X$1,'40Trips'!$A$3:$I$42,3,FALSE)),1,0)</f>
        <v>0</v>
      </c>
      <c r="Y81">
        <f>IF(AND(gamma!X40=1, VLOOKUP($A81,'40Trips'!$A$43:$I$46, 3,FALSE)=VLOOKUP(Y$1,'40Trips'!$A$3:$I$42,3,FALSE)),1,0)</f>
        <v>0</v>
      </c>
      <c r="Z81">
        <f>IF(AND(gamma!Y40=1, VLOOKUP($A81,'40Trips'!$A$43:$I$46, 3,FALSE)=VLOOKUP(Z$1,'40Trips'!$A$3:$I$42,3,FALSE)),1,0)</f>
        <v>0</v>
      </c>
      <c r="AA81">
        <f>IF(AND(gamma!Z40=1, VLOOKUP($A81,'40Trips'!$A$43:$I$46, 3,FALSE)=VLOOKUP(AA$1,'40Trips'!$A$3:$I$42,3,FALSE)),1,0)</f>
        <v>0</v>
      </c>
      <c r="AB81">
        <f>IF(AND(gamma!AA40=1, VLOOKUP($A81,'40Trips'!$A$43:$I$46, 3,FALSE)=VLOOKUP(AB$1,'40Trips'!$A$3:$I$42,3,FALSE)),1,0)</f>
        <v>0</v>
      </c>
      <c r="AC81">
        <f>IF(AND(gamma!AB40=1, VLOOKUP($A81,'40Trips'!$A$43:$I$46, 3,FALSE)=VLOOKUP(AC$1,'40Trips'!$A$3:$I$42,3,FALSE)),1,0)</f>
        <v>0</v>
      </c>
      <c r="AD81">
        <f>IF(AND(gamma!AC40=1, VLOOKUP($A81,'40Trips'!$A$43:$I$46, 3,FALSE)=VLOOKUP(AD$1,'40Trips'!$A$3:$I$42,3,FALSE)),1,0)</f>
        <v>0</v>
      </c>
      <c r="AE81">
        <f>IF(AND(gamma!AD40=1, VLOOKUP($A81,'40Trips'!$A$43:$I$46, 3,FALSE)=VLOOKUP(AE$1,'40Trips'!$A$3:$I$42,3,FALSE)),1,0)</f>
        <v>0</v>
      </c>
      <c r="AF81">
        <f>IF(AND(gamma!AE40=1, VLOOKUP($A81,'40Trips'!$A$43:$I$46, 3,FALSE)=VLOOKUP(AF$1,'40Trips'!$A$3:$I$42,3,FALSE)),1,0)</f>
        <v>0</v>
      </c>
      <c r="AG81">
        <f>IF(AND(gamma!AF40=1, VLOOKUP($A81,'40Trips'!$A$43:$I$46, 3,FALSE)=VLOOKUP(AG$1,'40Trips'!$A$3:$I$42,3,FALSE)),1,0)</f>
        <v>0</v>
      </c>
      <c r="AH81">
        <f>IF(AND(gamma!AG40=1, VLOOKUP($A81,'40Trips'!$A$43:$I$46, 3,FALSE)=VLOOKUP(AH$1,'40Trips'!$A$3:$I$42,3,FALSE)),1,0)</f>
        <v>0</v>
      </c>
      <c r="AI81">
        <f>IF(AND(gamma!AH40=1, VLOOKUP($A81,'40Trips'!$A$43:$I$46, 3,FALSE)=VLOOKUP(AI$1,'40Trips'!$A$3:$I$42,3,FALSE)),1,0)</f>
        <v>0</v>
      </c>
      <c r="AJ81">
        <f>IF(AND(gamma!AI40=1, VLOOKUP($A81,'40Trips'!$A$43:$I$46, 3,FALSE)=VLOOKUP(AJ$1,'40Trips'!$A$3:$I$42,3,FALSE)),1,0)</f>
        <v>0</v>
      </c>
      <c r="AK81">
        <f>IF(AND(gamma!AJ40=1, VLOOKUP($A81,'40Trips'!$A$43:$I$46, 3,FALSE)=VLOOKUP(AK$1,'40Trips'!$A$3:$I$42,3,FALSE)),1,0)</f>
        <v>0</v>
      </c>
      <c r="AL81">
        <f>IF(AND(gamma!AK40=1, VLOOKUP($A81,'40Trips'!$A$43:$I$46, 3,FALSE)=VLOOKUP(AL$1,'40Trips'!$A$3:$I$42,3,FALSE)),1,0)</f>
        <v>0</v>
      </c>
      <c r="AM81">
        <f>IF(AND(gamma!AL40=1, VLOOKUP($A81,'40Trips'!$A$43:$I$46, 3,FALSE)=VLOOKUP(AM$1,'40Trips'!$A$3:$I$42,3,FALSE)),1,0)</f>
        <v>0</v>
      </c>
      <c r="AN81">
        <f>IF(AND(gamma!AM40=1, VLOOKUP($A81,'40Trips'!$A$43:$I$46, 3,FALSE)=VLOOKUP(AN$1,'40Trips'!$A$3:$I$42,3,FALSE)),1,0)</f>
        <v>0</v>
      </c>
      <c r="AO81">
        <f>IF(AND(gamma!AN40=1, VLOOKUP($A81,'40Trips'!$A$43:$I$46, 3,FALSE)=VLOOKUP(AO$1,'40Trips'!$A$3:$I$42,3,FALSE)),1,0)</f>
        <v>0</v>
      </c>
      <c r="AP81">
        <f>IF(AND(gamma!AO40=1, VLOOKUP($A81,'40Trips'!$A$43:$I$46, 3,FALSE)=VLOOKUP(AP$1,'40Trips'!$A$3:$I$42,3,FALSE)),1,0)</f>
        <v>0</v>
      </c>
      <c r="AQ81">
        <f>IF(AND(gamma!AP40=1, VLOOKUP($A81,'40Trips'!$A$43:$I$46, 3,FALSE)=VLOOKUP(AQ$1,'40Trips'!$A$3:$I$42,3,FALSE)),1,0)</f>
        <v>0</v>
      </c>
    </row>
    <row r="82" spans="1:43" x14ac:dyDescent="0.25">
      <c r="A82" t="s">
        <v>62</v>
      </c>
      <c r="B82" t="s">
        <v>90</v>
      </c>
      <c r="C82">
        <v>0</v>
      </c>
      <c r="D82">
        <f>IF(AND(gamma!C41=1, VLOOKUP($A82,'40Trips'!$A$43:$I$46, 3,FALSE)=VLOOKUP(D$1,'40Trips'!$A$3:$I$42,3,FALSE)),1,0)</f>
        <v>0</v>
      </c>
      <c r="E82">
        <f>IF(AND(gamma!D41=1, VLOOKUP($A82,'40Trips'!$A$43:$I$46, 3,FALSE)=VLOOKUP(E$1,'40Trips'!$A$3:$I$42,3,FALSE)),1,0)</f>
        <v>0</v>
      </c>
      <c r="F82">
        <f>IF(AND(gamma!E41=1, VLOOKUP($A82,'40Trips'!$A$43:$I$46, 3,FALSE)=VLOOKUP(F$1,'40Trips'!$A$3:$I$42,3,FALSE)),1,0)</f>
        <v>0</v>
      </c>
      <c r="G82">
        <f>IF(AND(gamma!F41=1, VLOOKUP($A82,'40Trips'!$A$43:$I$46, 3,FALSE)=VLOOKUP(G$1,'40Trips'!$A$3:$I$42,3,FALSE)),1,0)</f>
        <v>1</v>
      </c>
      <c r="H82">
        <f>IF(AND(gamma!G41=1, VLOOKUP($A82,'40Trips'!$A$43:$I$46, 3,FALSE)=VLOOKUP(H$1,'40Trips'!$A$3:$I$42,3,FALSE)),1,0)</f>
        <v>0</v>
      </c>
      <c r="I82">
        <f>IF(AND(gamma!H41=1, VLOOKUP($A82,'40Trips'!$A$43:$I$46, 3,FALSE)=VLOOKUP(I$1,'40Trips'!$A$3:$I$42,3,FALSE)),1,0)</f>
        <v>0</v>
      </c>
      <c r="J82">
        <f>IF(AND(gamma!I41=1, VLOOKUP($A82,'40Trips'!$A$43:$I$46, 3,FALSE)=VLOOKUP(J$1,'40Trips'!$A$3:$I$42,3,FALSE)),1,0)</f>
        <v>0</v>
      </c>
      <c r="K82">
        <f>IF(AND(gamma!J41=1, VLOOKUP($A82,'40Trips'!$A$43:$I$46, 3,FALSE)=VLOOKUP(K$1,'40Trips'!$A$3:$I$42,3,FALSE)),1,0)</f>
        <v>1</v>
      </c>
      <c r="L82">
        <f>IF(AND(gamma!K41=1, VLOOKUP($A82,'40Trips'!$A$43:$I$46, 3,FALSE)=VLOOKUP(L$1,'40Trips'!$A$3:$I$42,3,FALSE)),1,0)</f>
        <v>0</v>
      </c>
      <c r="M82">
        <f>IF(AND(gamma!L41=1, VLOOKUP($A82,'40Trips'!$A$43:$I$46, 3,FALSE)=VLOOKUP(M$1,'40Trips'!$A$3:$I$42,3,FALSE)),1,0)</f>
        <v>0</v>
      </c>
      <c r="N82">
        <f>IF(AND(gamma!M41=1, VLOOKUP($A82,'40Trips'!$A$43:$I$46, 3,FALSE)=VLOOKUP(N$1,'40Trips'!$A$3:$I$42,3,FALSE)),1,0)</f>
        <v>0</v>
      </c>
      <c r="O82">
        <f>IF(AND(gamma!N41=1, VLOOKUP($A82,'40Trips'!$A$43:$I$46, 3,FALSE)=VLOOKUP(O$1,'40Trips'!$A$3:$I$42,3,FALSE)),1,0)</f>
        <v>0</v>
      </c>
      <c r="P82">
        <f>IF(AND(gamma!O41=1, VLOOKUP($A82,'40Trips'!$A$43:$I$46, 3,FALSE)=VLOOKUP(P$1,'40Trips'!$A$3:$I$42,3,FALSE)),1,0)</f>
        <v>0</v>
      </c>
      <c r="Q82">
        <f>IF(AND(gamma!P41=1, VLOOKUP($A82,'40Trips'!$A$43:$I$46, 3,FALSE)=VLOOKUP(Q$1,'40Trips'!$A$3:$I$42,3,FALSE)),1,0)</f>
        <v>0</v>
      </c>
      <c r="R82">
        <f>IF(AND(gamma!Q41=1, VLOOKUP($A82,'40Trips'!$A$43:$I$46, 3,FALSE)=VLOOKUP(R$1,'40Trips'!$A$3:$I$42,3,FALSE)),1,0)</f>
        <v>0</v>
      </c>
      <c r="S82">
        <f>IF(AND(gamma!R41=1, VLOOKUP($A82,'40Trips'!$A$43:$I$46, 3,FALSE)=VLOOKUP(S$1,'40Trips'!$A$3:$I$42,3,FALSE)),1,0)</f>
        <v>0</v>
      </c>
      <c r="T82">
        <f>IF(AND(gamma!S41=1, VLOOKUP($A82,'40Trips'!$A$43:$I$46, 3,FALSE)=VLOOKUP(T$1,'40Trips'!$A$3:$I$42,3,FALSE)),1,0)</f>
        <v>0</v>
      </c>
      <c r="U82">
        <f>IF(AND(gamma!T41=1, VLOOKUP($A82,'40Trips'!$A$43:$I$46, 3,FALSE)=VLOOKUP(U$1,'40Trips'!$A$3:$I$42,3,FALSE)),1,0)</f>
        <v>0</v>
      </c>
      <c r="V82">
        <f>IF(AND(gamma!U41=1, VLOOKUP($A82,'40Trips'!$A$43:$I$46, 3,FALSE)=VLOOKUP(V$1,'40Trips'!$A$3:$I$42,3,FALSE)),1,0)</f>
        <v>0</v>
      </c>
      <c r="W82">
        <f>IF(AND(gamma!V41=1, VLOOKUP($A82,'40Trips'!$A$43:$I$46, 3,FALSE)=VLOOKUP(W$1,'40Trips'!$A$3:$I$42,3,FALSE)),1,0)</f>
        <v>0</v>
      </c>
      <c r="X82">
        <f>IF(AND(gamma!W41=1, VLOOKUP($A82,'40Trips'!$A$43:$I$46, 3,FALSE)=VLOOKUP(X$1,'40Trips'!$A$3:$I$42,3,FALSE)),1,0)</f>
        <v>0</v>
      </c>
      <c r="Y82">
        <f>IF(AND(gamma!X41=1, VLOOKUP($A82,'40Trips'!$A$43:$I$46, 3,FALSE)=VLOOKUP(Y$1,'40Trips'!$A$3:$I$42,3,FALSE)),1,0)</f>
        <v>0</v>
      </c>
      <c r="Z82">
        <f>IF(AND(gamma!Y41=1, VLOOKUP($A82,'40Trips'!$A$43:$I$46, 3,FALSE)=VLOOKUP(Z$1,'40Trips'!$A$3:$I$42,3,FALSE)),1,0)</f>
        <v>0</v>
      </c>
      <c r="AA82">
        <f>IF(AND(gamma!Z41=1, VLOOKUP($A82,'40Trips'!$A$43:$I$46, 3,FALSE)=VLOOKUP(AA$1,'40Trips'!$A$3:$I$42,3,FALSE)),1,0)</f>
        <v>0</v>
      </c>
      <c r="AB82">
        <f>IF(AND(gamma!AA41=1, VLOOKUP($A82,'40Trips'!$A$43:$I$46, 3,FALSE)=VLOOKUP(AB$1,'40Trips'!$A$3:$I$42,3,FALSE)),1,0)</f>
        <v>0</v>
      </c>
      <c r="AC82">
        <f>IF(AND(gamma!AB41=1, VLOOKUP($A82,'40Trips'!$A$43:$I$46, 3,FALSE)=VLOOKUP(AC$1,'40Trips'!$A$3:$I$42,3,FALSE)),1,0)</f>
        <v>0</v>
      </c>
      <c r="AD82">
        <f>IF(AND(gamma!AC41=1, VLOOKUP($A82,'40Trips'!$A$43:$I$46, 3,FALSE)=VLOOKUP(AD$1,'40Trips'!$A$3:$I$42,3,FALSE)),1,0)</f>
        <v>0</v>
      </c>
      <c r="AE82">
        <f>IF(AND(gamma!AD41=1, VLOOKUP($A82,'40Trips'!$A$43:$I$46, 3,FALSE)=VLOOKUP(AE$1,'40Trips'!$A$3:$I$42,3,FALSE)),1,0)</f>
        <v>0</v>
      </c>
      <c r="AF82">
        <f>IF(AND(gamma!AE41=1, VLOOKUP($A82,'40Trips'!$A$43:$I$46, 3,FALSE)=VLOOKUP(AF$1,'40Trips'!$A$3:$I$42,3,FALSE)),1,0)</f>
        <v>0</v>
      </c>
      <c r="AG82">
        <f>IF(AND(gamma!AF41=1, VLOOKUP($A82,'40Trips'!$A$43:$I$46, 3,FALSE)=VLOOKUP(AG$1,'40Trips'!$A$3:$I$42,3,FALSE)),1,0)</f>
        <v>0</v>
      </c>
      <c r="AH82">
        <f>IF(AND(gamma!AG41=1, VLOOKUP($A82,'40Trips'!$A$43:$I$46, 3,FALSE)=VLOOKUP(AH$1,'40Trips'!$A$3:$I$42,3,FALSE)),1,0)</f>
        <v>0</v>
      </c>
      <c r="AI82">
        <f>IF(AND(gamma!AH41=1, VLOOKUP($A82,'40Trips'!$A$43:$I$46, 3,FALSE)=VLOOKUP(AI$1,'40Trips'!$A$3:$I$42,3,FALSE)),1,0)</f>
        <v>0</v>
      </c>
      <c r="AJ82">
        <f>IF(AND(gamma!AI41=1, VLOOKUP($A82,'40Trips'!$A$43:$I$46, 3,FALSE)=VLOOKUP(AJ$1,'40Trips'!$A$3:$I$42,3,FALSE)),1,0)</f>
        <v>0</v>
      </c>
      <c r="AK82">
        <f>IF(AND(gamma!AJ41=1, VLOOKUP($A82,'40Trips'!$A$43:$I$46, 3,FALSE)=VLOOKUP(AK$1,'40Trips'!$A$3:$I$42,3,FALSE)),1,0)</f>
        <v>0</v>
      </c>
      <c r="AL82">
        <f>IF(AND(gamma!AK41=1, VLOOKUP($A82,'40Trips'!$A$43:$I$46, 3,FALSE)=VLOOKUP(AL$1,'40Trips'!$A$3:$I$42,3,FALSE)),1,0)</f>
        <v>0</v>
      </c>
      <c r="AM82">
        <f>IF(AND(gamma!AL41=1, VLOOKUP($A82,'40Trips'!$A$43:$I$46, 3,FALSE)=VLOOKUP(AM$1,'40Trips'!$A$3:$I$42,3,FALSE)),1,0)</f>
        <v>0</v>
      </c>
      <c r="AN82">
        <f>IF(AND(gamma!AM41=1, VLOOKUP($A82,'40Trips'!$A$43:$I$46, 3,FALSE)=VLOOKUP(AN$1,'40Trips'!$A$3:$I$42,3,FALSE)),1,0)</f>
        <v>0</v>
      </c>
      <c r="AO82">
        <f>IF(AND(gamma!AN41=1, VLOOKUP($A82,'40Trips'!$A$43:$I$46, 3,FALSE)=VLOOKUP(AO$1,'40Trips'!$A$3:$I$42,3,FALSE)),1,0)</f>
        <v>0</v>
      </c>
      <c r="AP82">
        <f>IF(AND(gamma!AO41=1, VLOOKUP($A82,'40Trips'!$A$43:$I$46, 3,FALSE)=VLOOKUP(AP$1,'40Trips'!$A$3:$I$42,3,FALSE)),1,0)</f>
        <v>0</v>
      </c>
      <c r="AQ82">
        <f>IF(AND(gamma!AP41=1, VLOOKUP($A82,'40Trips'!$A$43:$I$46, 3,FALSE)=VLOOKUP(AQ$1,'40Trips'!$A$3:$I$42,3,FALSE)),1,0)</f>
        <v>0</v>
      </c>
    </row>
    <row r="83" spans="1:43" x14ac:dyDescent="0.25">
      <c r="A83" t="s">
        <v>62</v>
      </c>
      <c r="B83" t="s">
        <v>91</v>
      </c>
      <c r="C83">
        <v>0</v>
      </c>
      <c r="D83">
        <f>IF(AND(gamma!C42=1, VLOOKUP($A83,'40Trips'!$A$43:$I$46, 3,FALSE)=VLOOKUP(D$1,'40Trips'!$A$3:$I$42,3,FALSE)),1,0)</f>
        <v>0</v>
      </c>
      <c r="E83">
        <f>IF(AND(gamma!D42=1, VLOOKUP($A83,'40Trips'!$A$43:$I$46, 3,FALSE)=VLOOKUP(E$1,'40Trips'!$A$3:$I$42,3,FALSE)),1,0)</f>
        <v>0</v>
      </c>
      <c r="F83">
        <f>IF(AND(gamma!E42=1, VLOOKUP($A83,'40Trips'!$A$43:$I$46, 3,FALSE)=VLOOKUP(F$1,'40Trips'!$A$3:$I$42,3,FALSE)),1,0)</f>
        <v>0</v>
      </c>
      <c r="G83">
        <f>IF(AND(gamma!F42=1, VLOOKUP($A83,'40Trips'!$A$43:$I$46, 3,FALSE)=VLOOKUP(G$1,'40Trips'!$A$3:$I$42,3,FALSE)),1,0)</f>
        <v>0</v>
      </c>
      <c r="H83">
        <f>IF(AND(gamma!G42=1, VLOOKUP($A83,'40Trips'!$A$43:$I$46, 3,FALSE)=VLOOKUP(H$1,'40Trips'!$A$3:$I$42,3,FALSE)),1,0)</f>
        <v>0</v>
      </c>
      <c r="I83">
        <f>IF(AND(gamma!H42=1, VLOOKUP($A83,'40Trips'!$A$43:$I$46, 3,FALSE)=VLOOKUP(I$1,'40Trips'!$A$3:$I$42,3,FALSE)),1,0)</f>
        <v>0</v>
      </c>
      <c r="J83">
        <f>IF(AND(gamma!I42=1, VLOOKUP($A83,'40Trips'!$A$43:$I$46, 3,FALSE)=VLOOKUP(J$1,'40Trips'!$A$3:$I$42,3,FALSE)),1,0)</f>
        <v>0</v>
      </c>
      <c r="K83">
        <f>IF(AND(gamma!J42=1, VLOOKUP($A83,'40Trips'!$A$43:$I$46, 3,FALSE)=VLOOKUP(K$1,'40Trips'!$A$3:$I$42,3,FALSE)),1,0)</f>
        <v>1</v>
      </c>
      <c r="L83">
        <f>IF(AND(gamma!K42=1, VLOOKUP($A83,'40Trips'!$A$43:$I$46, 3,FALSE)=VLOOKUP(L$1,'40Trips'!$A$3:$I$42,3,FALSE)),1,0)</f>
        <v>0</v>
      </c>
      <c r="M83">
        <f>IF(AND(gamma!L42=1, VLOOKUP($A83,'40Trips'!$A$43:$I$46, 3,FALSE)=VLOOKUP(M$1,'40Trips'!$A$3:$I$42,3,FALSE)),1,0)</f>
        <v>0</v>
      </c>
      <c r="N83">
        <f>IF(AND(gamma!M42=1, VLOOKUP($A83,'40Trips'!$A$43:$I$46, 3,FALSE)=VLOOKUP(N$1,'40Trips'!$A$3:$I$42,3,FALSE)),1,0)</f>
        <v>0</v>
      </c>
      <c r="O83">
        <f>IF(AND(gamma!N42=1, VLOOKUP($A83,'40Trips'!$A$43:$I$46, 3,FALSE)=VLOOKUP(O$1,'40Trips'!$A$3:$I$42,3,FALSE)),1,0)</f>
        <v>0</v>
      </c>
      <c r="P83">
        <f>IF(AND(gamma!O42=1, VLOOKUP($A83,'40Trips'!$A$43:$I$46, 3,FALSE)=VLOOKUP(P$1,'40Trips'!$A$3:$I$42,3,FALSE)),1,0)</f>
        <v>0</v>
      </c>
      <c r="Q83">
        <f>IF(AND(gamma!P42=1, VLOOKUP($A83,'40Trips'!$A$43:$I$46, 3,FALSE)=VLOOKUP(Q$1,'40Trips'!$A$3:$I$42,3,FALSE)),1,0)</f>
        <v>0</v>
      </c>
      <c r="R83">
        <f>IF(AND(gamma!Q42=1, VLOOKUP($A83,'40Trips'!$A$43:$I$46, 3,FALSE)=VLOOKUP(R$1,'40Trips'!$A$3:$I$42,3,FALSE)),1,0)</f>
        <v>0</v>
      </c>
      <c r="S83">
        <f>IF(AND(gamma!R42=1, VLOOKUP($A83,'40Trips'!$A$43:$I$46, 3,FALSE)=VLOOKUP(S$1,'40Trips'!$A$3:$I$42,3,FALSE)),1,0)</f>
        <v>0</v>
      </c>
      <c r="T83">
        <f>IF(AND(gamma!S42=1, VLOOKUP($A83,'40Trips'!$A$43:$I$46, 3,FALSE)=VLOOKUP(T$1,'40Trips'!$A$3:$I$42,3,FALSE)),1,0)</f>
        <v>0</v>
      </c>
      <c r="U83">
        <f>IF(AND(gamma!T42=1, VLOOKUP($A83,'40Trips'!$A$43:$I$46, 3,FALSE)=VLOOKUP(U$1,'40Trips'!$A$3:$I$42,3,FALSE)),1,0)</f>
        <v>0</v>
      </c>
      <c r="V83">
        <f>IF(AND(gamma!U42=1, VLOOKUP($A83,'40Trips'!$A$43:$I$46, 3,FALSE)=VLOOKUP(V$1,'40Trips'!$A$3:$I$42,3,FALSE)),1,0)</f>
        <v>0</v>
      </c>
      <c r="W83">
        <f>IF(AND(gamma!V42=1, VLOOKUP($A83,'40Trips'!$A$43:$I$46, 3,FALSE)=VLOOKUP(W$1,'40Trips'!$A$3:$I$42,3,FALSE)),1,0)</f>
        <v>0</v>
      </c>
      <c r="X83">
        <f>IF(AND(gamma!W42=1, VLOOKUP($A83,'40Trips'!$A$43:$I$46, 3,FALSE)=VLOOKUP(X$1,'40Trips'!$A$3:$I$42,3,FALSE)),1,0)</f>
        <v>0</v>
      </c>
      <c r="Y83">
        <f>IF(AND(gamma!X42=1, VLOOKUP($A83,'40Trips'!$A$43:$I$46, 3,FALSE)=VLOOKUP(Y$1,'40Trips'!$A$3:$I$42,3,FALSE)),1,0)</f>
        <v>0</v>
      </c>
      <c r="Z83">
        <f>IF(AND(gamma!Y42=1, VLOOKUP($A83,'40Trips'!$A$43:$I$46, 3,FALSE)=VLOOKUP(Z$1,'40Trips'!$A$3:$I$42,3,FALSE)),1,0)</f>
        <v>0</v>
      </c>
      <c r="AA83">
        <f>IF(AND(gamma!Z42=1, VLOOKUP($A83,'40Trips'!$A$43:$I$46, 3,FALSE)=VLOOKUP(AA$1,'40Trips'!$A$3:$I$42,3,FALSE)),1,0)</f>
        <v>0</v>
      </c>
      <c r="AB83">
        <f>IF(AND(gamma!AA42=1, VLOOKUP($A83,'40Trips'!$A$43:$I$46, 3,FALSE)=VLOOKUP(AB$1,'40Trips'!$A$3:$I$42,3,FALSE)),1,0)</f>
        <v>0</v>
      </c>
      <c r="AC83">
        <f>IF(AND(gamma!AB42=1, VLOOKUP($A83,'40Trips'!$A$43:$I$46, 3,FALSE)=VLOOKUP(AC$1,'40Trips'!$A$3:$I$42,3,FALSE)),1,0)</f>
        <v>0</v>
      </c>
      <c r="AD83">
        <f>IF(AND(gamma!AC42=1, VLOOKUP($A83,'40Trips'!$A$43:$I$46, 3,FALSE)=VLOOKUP(AD$1,'40Trips'!$A$3:$I$42,3,FALSE)),1,0)</f>
        <v>0</v>
      </c>
      <c r="AE83">
        <f>IF(AND(gamma!AD42=1, VLOOKUP($A83,'40Trips'!$A$43:$I$46, 3,FALSE)=VLOOKUP(AE$1,'40Trips'!$A$3:$I$42,3,FALSE)),1,0)</f>
        <v>0</v>
      </c>
      <c r="AF83">
        <f>IF(AND(gamma!AE42=1, VLOOKUP($A83,'40Trips'!$A$43:$I$46, 3,FALSE)=VLOOKUP(AF$1,'40Trips'!$A$3:$I$42,3,FALSE)),1,0)</f>
        <v>0</v>
      </c>
      <c r="AG83">
        <f>IF(AND(gamma!AF42=1, VLOOKUP($A83,'40Trips'!$A$43:$I$46, 3,FALSE)=VLOOKUP(AG$1,'40Trips'!$A$3:$I$42,3,FALSE)),1,0)</f>
        <v>0</v>
      </c>
      <c r="AH83">
        <f>IF(AND(gamma!AG42=1, VLOOKUP($A83,'40Trips'!$A$43:$I$46, 3,FALSE)=VLOOKUP(AH$1,'40Trips'!$A$3:$I$42,3,FALSE)),1,0)</f>
        <v>0</v>
      </c>
      <c r="AI83">
        <f>IF(AND(gamma!AH42=1, VLOOKUP($A83,'40Trips'!$A$43:$I$46, 3,FALSE)=VLOOKUP(AI$1,'40Trips'!$A$3:$I$42,3,FALSE)),1,0)</f>
        <v>0</v>
      </c>
      <c r="AJ83">
        <f>IF(AND(gamma!AI42=1, VLOOKUP($A83,'40Trips'!$A$43:$I$46, 3,FALSE)=VLOOKUP(AJ$1,'40Trips'!$A$3:$I$42,3,FALSE)),1,0)</f>
        <v>0</v>
      </c>
      <c r="AK83">
        <f>IF(AND(gamma!AJ42=1, VLOOKUP($A83,'40Trips'!$A$43:$I$46, 3,FALSE)=VLOOKUP(AK$1,'40Trips'!$A$3:$I$42,3,FALSE)),1,0)</f>
        <v>0</v>
      </c>
      <c r="AL83">
        <f>IF(AND(gamma!AK42=1, VLOOKUP($A83,'40Trips'!$A$43:$I$46, 3,FALSE)=VLOOKUP(AL$1,'40Trips'!$A$3:$I$42,3,FALSE)),1,0)</f>
        <v>0</v>
      </c>
      <c r="AM83">
        <f>IF(AND(gamma!AL42=1, VLOOKUP($A83,'40Trips'!$A$43:$I$46, 3,FALSE)=VLOOKUP(AM$1,'40Trips'!$A$3:$I$42,3,FALSE)),1,0)</f>
        <v>0</v>
      </c>
      <c r="AN83">
        <f>IF(AND(gamma!AM42=1, VLOOKUP($A83,'40Trips'!$A$43:$I$46, 3,FALSE)=VLOOKUP(AN$1,'40Trips'!$A$3:$I$42,3,FALSE)),1,0)</f>
        <v>0</v>
      </c>
      <c r="AO83">
        <f>IF(AND(gamma!AN42=1, VLOOKUP($A83,'40Trips'!$A$43:$I$46, 3,FALSE)=VLOOKUP(AO$1,'40Trips'!$A$3:$I$42,3,FALSE)),1,0)</f>
        <v>0</v>
      </c>
      <c r="AP83">
        <f>IF(AND(gamma!AO42=1, VLOOKUP($A83,'40Trips'!$A$43:$I$46, 3,FALSE)=VLOOKUP(AP$1,'40Trips'!$A$3:$I$42,3,FALSE)),1,0)</f>
        <v>0</v>
      </c>
      <c r="AQ83">
        <f>IF(AND(gamma!AP42=1, VLOOKUP($A83,'40Trips'!$A$43:$I$46, 3,FALSE)=VLOOKUP(AQ$1,'40Trips'!$A$3:$I$42,3,FALSE)),1,0)</f>
        <v>0</v>
      </c>
    </row>
    <row r="84" spans="1:43" x14ac:dyDescent="0.25">
      <c r="A84" t="s">
        <v>67</v>
      </c>
      <c r="B84" t="s">
        <v>46</v>
      </c>
      <c r="C84">
        <v>0</v>
      </c>
      <c r="D84">
        <f>IF(AND(gamma!C43=1, VLOOKUP($A84,'40Trips'!$A$43:$I$46, 3,FALSE)=VLOOKUP(D$1,'40Trips'!$A$3:$I$42,3,FALSE)),1,0)</f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 t="s">
        <v>67</v>
      </c>
      <c r="B85" t="s">
        <v>6</v>
      </c>
      <c r="C85">
        <v>0</v>
      </c>
      <c r="D85">
        <f>IF(AND(gamma!C3=1, VLOOKUP($A85,'40Trips'!$A$43:$I$46, 3,FALSE)=VLOOKUP(D$1,'40Trips'!$A$3:$I$42,3,FALSE)),1,0)</f>
        <v>0</v>
      </c>
      <c r="E85">
        <f>IF(AND(gamma!D3=1, VLOOKUP($A85,'40Trips'!$A$43:$I$46, 3,FALSE)=VLOOKUP(E$1,'40Trips'!$A$3:$I$42,3,FALSE)),1,0)</f>
        <v>0</v>
      </c>
      <c r="F85">
        <f>IF(AND(gamma!E3=1, VLOOKUP($A85,'40Trips'!$A$43:$I$46, 3,FALSE)=VLOOKUP(F$1,'40Trips'!$A$3:$I$42,3,FALSE)),1,0)</f>
        <v>0</v>
      </c>
      <c r="G85">
        <f>IF(AND(gamma!F3=1, VLOOKUP($A85,'40Trips'!$A$43:$I$46, 3,FALSE)=VLOOKUP(G$1,'40Trips'!$A$3:$I$42,3,FALSE)),1,0)</f>
        <v>0</v>
      </c>
      <c r="H85">
        <f>IF(AND(gamma!G3=1, VLOOKUP($A85,'40Trips'!$A$43:$I$46, 3,FALSE)=VLOOKUP(H$1,'40Trips'!$A$3:$I$42,3,FALSE)),1,0)</f>
        <v>0</v>
      </c>
      <c r="I85">
        <f>IF(AND(gamma!H3=1, VLOOKUP($A85,'40Trips'!$A$43:$I$46, 3,FALSE)=VLOOKUP(I$1,'40Trips'!$A$3:$I$42,3,FALSE)),1,0)</f>
        <v>0</v>
      </c>
      <c r="J85">
        <f>IF(AND(gamma!I3=1, VLOOKUP($A85,'40Trips'!$A$43:$I$46, 3,FALSE)=VLOOKUP(J$1,'40Trips'!$A$3:$I$42,3,FALSE)),1,0)</f>
        <v>0</v>
      </c>
      <c r="K85">
        <f>IF(AND(gamma!J3=1, VLOOKUP($A85,'40Trips'!$A$43:$I$46, 3,FALSE)=VLOOKUP(K$1,'40Trips'!$A$3:$I$42,3,FALSE)),1,0)</f>
        <v>0</v>
      </c>
      <c r="L85">
        <f>IF(AND(gamma!K3=1, VLOOKUP($A85,'40Trips'!$A$43:$I$46, 3,FALSE)=VLOOKUP(L$1,'40Trips'!$A$3:$I$42,3,FALSE)),1,0)</f>
        <v>0</v>
      </c>
      <c r="M85">
        <f>IF(AND(gamma!L3=1, VLOOKUP($A85,'40Trips'!$A$43:$I$46, 3,FALSE)=VLOOKUP(M$1,'40Trips'!$A$3:$I$42,3,FALSE)),1,0)</f>
        <v>0</v>
      </c>
      <c r="N85">
        <f>IF(AND(gamma!M3=1, VLOOKUP($A85,'40Trips'!$A$43:$I$46, 3,FALSE)=VLOOKUP(N$1,'40Trips'!$A$3:$I$42,3,FALSE)),1,0)</f>
        <v>0</v>
      </c>
      <c r="O85">
        <f>IF(AND(gamma!N3=1, VLOOKUP($A85,'40Trips'!$A$43:$I$46, 3,FALSE)=VLOOKUP(O$1,'40Trips'!$A$3:$I$42,3,FALSE)),1,0)</f>
        <v>0</v>
      </c>
      <c r="P85">
        <f>IF(AND(gamma!O3=1, VLOOKUP($A85,'40Trips'!$A$43:$I$46, 3,FALSE)=VLOOKUP(P$1,'40Trips'!$A$3:$I$42,3,FALSE)),1,0)</f>
        <v>0</v>
      </c>
      <c r="Q85">
        <f>IF(AND(gamma!P3=1, VLOOKUP($A85,'40Trips'!$A$43:$I$46, 3,FALSE)=VLOOKUP(Q$1,'40Trips'!$A$3:$I$42,3,FALSE)),1,0)</f>
        <v>1</v>
      </c>
      <c r="R85">
        <f>IF(AND(gamma!Q3=1, VLOOKUP($A85,'40Trips'!$A$43:$I$46, 3,FALSE)=VLOOKUP(R$1,'40Trips'!$A$3:$I$42,3,FALSE)),1,0)</f>
        <v>1</v>
      </c>
      <c r="S85">
        <f>IF(AND(gamma!R3=1, VLOOKUP($A85,'40Trips'!$A$43:$I$46, 3,FALSE)=VLOOKUP(S$1,'40Trips'!$A$3:$I$42,3,FALSE)),1,0)</f>
        <v>1</v>
      </c>
      <c r="T85">
        <f>IF(AND(gamma!S3=1, VLOOKUP($A85,'40Trips'!$A$43:$I$46, 3,FALSE)=VLOOKUP(T$1,'40Trips'!$A$3:$I$42,3,FALSE)),1,0)</f>
        <v>0</v>
      </c>
      <c r="U85">
        <f>IF(AND(gamma!T3=1, VLOOKUP($A85,'40Trips'!$A$43:$I$46, 3,FALSE)=VLOOKUP(U$1,'40Trips'!$A$3:$I$42,3,FALSE)),1,0)</f>
        <v>0</v>
      </c>
      <c r="V85">
        <f>IF(AND(gamma!U3=1, VLOOKUP($A85,'40Trips'!$A$43:$I$46, 3,FALSE)=VLOOKUP(V$1,'40Trips'!$A$3:$I$42,3,FALSE)),1,0)</f>
        <v>1</v>
      </c>
      <c r="W85">
        <f>IF(AND(gamma!V3=1, VLOOKUP($A85,'40Trips'!$A$43:$I$46, 3,FALSE)=VLOOKUP(W$1,'40Trips'!$A$3:$I$42,3,FALSE)),1,0)</f>
        <v>1</v>
      </c>
      <c r="X85">
        <f>IF(AND(gamma!W3=1, VLOOKUP($A85,'40Trips'!$A$43:$I$46, 3,FALSE)=VLOOKUP(X$1,'40Trips'!$A$3:$I$42,3,FALSE)),1,0)</f>
        <v>0</v>
      </c>
      <c r="Y85">
        <f>IF(AND(gamma!X3=1, VLOOKUP($A85,'40Trips'!$A$43:$I$46, 3,FALSE)=VLOOKUP(Y$1,'40Trips'!$A$3:$I$42,3,FALSE)),1,0)</f>
        <v>0</v>
      </c>
      <c r="Z85">
        <f>IF(AND(gamma!Y3=1, VLOOKUP($A85,'40Trips'!$A$43:$I$46, 3,FALSE)=VLOOKUP(Z$1,'40Trips'!$A$3:$I$42,3,FALSE)),1,0)</f>
        <v>0</v>
      </c>
      <c r="AA85">
        <f>IF(AND(gamma!Z3=1, VLOOKUP($A85,'40Trips'!$A$43:$I$46, 3,FALSE)=VLOOKUP(AA$1,'40Trips'!$A$3:$I$42,3,FALSE)),1,0)</f>
        <v>0</v>
      </c>
      <c r="AB85">
        <f>IF(AND(gamma!AA3=1, VLOOKUP($A85,'40Trips'!$A$43:$I$46, 3,FALSE)=VLOOKUP(AB$1,'40Trips'!$A$3:$I$42,3,FALSE)),1,0)</f>
        <v>0</v>
      </c>
      <c r="AC85">
        <f>IF(AND(gamma!AB3=1, VLOOKUP($A85,'40Trips'!$A$43:$I$46, 3,FALSE)=VLOOKUP(AC$1,'40Trips'!$A$3:$I$42,3,FALSE)),1,0)</f>
        <v>0</v>
      </c>
      <c r="AD85">
        <f>IF(AND(gamma!AC3=1, VLOOKUP($A85,'40Trips'!$A$43:$I$46, 3,FALSE)=VLOOKUP(AD$1,'40Trips'!$A$3:$I$42,3,FALSE)),1,0)</f>
        <v>0</v>
      </c>
      <c r="AE85">
        <f>IF(AND(gamma!AD3=1, VLOOKUP($A85,'40Trips'!$A$43:$I$46, 3,FALSE)=VLOOKUP(AE$1,'40Trips'!$A$3:$I$42,3,FALSE)),1,0)</f>
        <v>0</v>
      </c>
      <c r="AF85">
        <f>IF(AND(gamma!AE3=1, VLOOKUP($A85,'40Trips'!$A$43:$I$46, 3,FALSE)=VLOOKUP(AF$1,'40Trips'!$A$3:$I$42,3,FALSE)),1,0)</f>
        <v>0</v>
      </c>
      <c r="AG85">
        <f>IF(AND(gamma!AF3=1, VLOOKUP($A85,'40Trips'!$A$43:$I$46, 3,FALSE)=VLOOKUP(AG$1,'40Trips'!$A$3:$I$42,3,FALSE)),1,0)</f>
        <v>0</v>
      </c>
      <c r="AH85">
        <f>IF(AND(gamma!AG3=1, VLOOKUP($A85,'40Trips'!$A$43:$I$46, 3,FALSE)=VLOOKUP(AH$1,'40Trips'!$A$3:$I$42,3,FALSE)),1,0)</f>
        <v>0</v>
      </c>
      <c r="AI85">
        <f>IF(AND(gamma!AH3=1, VLOOKUP($A85,'40Trips'!$A$43:$I$46, 3,FALSE)=VLOOKUP(AI$1,'40Trips'!$A$3:$I$42,3,FALSE)),1,0)</f>
        <v>0</v>
      </c>
      <c r="AJ85">
        <f>IF(AND(gamma!AI3=1, VLOOKUP($A85,'40Trips'!$A$43:$I$46, 3,FALSE)=VLOOKUP(AJ$1,'40Trips'!$A$3:$I$42,3,FALSE)),1,0)</f>
        <v>0</v>
      </c>
      <c r="AK85">
        <f>IF(AND(gamma!AJ3=1, VLOOKUP($A85,'40Trips'!$A$43:$I$46, 3,FALSE)=VLOOKUP(AK$1,'40Trips'!$A$3:$I$42,3,FALSE)),1,0)</f>
        <v>0</v>
      </c>
      <c r="AL85">
        <f>IF(AND(gamma!AK3=1, VLOOKUP($A85,'40Trips'!$A$43:$I$46, 3,FALSE)=VLOOKUP(AL$1,'40Trips'!$A$3:$I$42,3,FALSE)),1,0)</f>
        <v>0</v>
      </c>
      <c r="AM85">
        <f>IF(AND(gamma!AL3=1, VLOOKUP($A85,'40Trips'!$A$43:$I$46, 3,FALSE)=VLOOKUP(AM$1,'40Trips'!$A$3:$I$42,3,FALSE)),1,0)</f>
        <v>0</v>
      </c>
      <c r="AN85">
        <f>IF(AND(gamma!AM3=1, VLOOKUP($A85,'40Trips'!$A$43:$I$46, 3,FALSE)=VLOOKUP(AN$1,'40Trips'!$A$3:$I$42,3,FALSE)),1,0)</f>
        <v>0</v>
      </c>
      <c r="AO85">
        <f>IF(AND(gamma!AN3=1, VLOOKUP($A85,'40Trips'!$A$43:$I$46, 3,FALSE)=VLOOKUP(AO$1,'40Trips'!$A$3:$I$42,3,FALSE)),1,0)</f>
        <v>0</v>
      </c>
      <c r="AP85">
        <f>IF(AND(gamma!AO3=1, VLOOKUP($A85,'40Trips'!$A$43:$I$46, 3,FALSE)=VLOOKUP(AP$1,'40Trips'!$A$3:$I$42,3,FALSE)),1,0)</f>
        <v>0</v>
      </c>
      <c r="AQ85">
        <f>IF(AND(gamma!AP3=1, VLOOKUP($A85,'40Trips'!$A$43:$I$46, 3,FALSE)=VLOOKUP(AQ$1,'40Trips'!$A$3:$I$42,3,FALSE)),1,0)</f>
        <v>0</v>
      </c>
    </row>
    <row r="86" spans="1:43" x14ac:dyDescent="0.25">
      <c r="A86" t="s">
        <v>67</v>
      </c>
      <c r="B86" t="s">
        <v>9</v>
      </c>
      <c r="C86">
        <v>0</v>
      </c>
      <c r="D86">
        <f>IF(AND(gamma!C4=1, VLOOKUP($A86,'40Trips'!$A$43:$I$46, 3,FALSE)=VLOOKUP(D$1,'40Trips'!$A$3:$I$42,3,FALSE)),1,0)</f>
        <v>0</v>
      </c>
      <c r="E86">
        <f>IF(AND(gamma!D4=1, VLOOKUP($A86,'40Trips'!$A$43:$I$46, 3,FALSE)=VLOOKUP(E$1,'40Trips'!$A$3:$I$42,3,FALSE)),1,0)</f>
        <v>0</v>
      </c>
      <c r="F86">
        <f>IF(AND(gamma!E4=1, VLOOKUP($A86,'40Trips'!$A$43:$I$46, 3,FALSE)=VLOOKUP(F$1,'40Trips'!$A$3:$I$42,3,FALSE)),1,0)</f>
        <v>0</v>
      </c>
      <c r="G86">
        <f>IF(AND(gamma!F4=1, VLOOKUP($A86,'40Trips'!$A$43:$I$46, 3,FALSE)=VLOOKUP(G$1,'40Trips'!$A$3:$I$42,3,FALSE)),1,0)</f>
        <v>0</v>
      </c>
      <c r="H86">
        <f>IF(AND(gamma!G4=1, VLOOKUP($A86,'40Trips'!$A$43:$I$46, 3,FALSE)=VLOOKUP(H$1,'40Trips'!$A$3:$I$42,3,FALSE)),1,0)</f>
        <v>0</v>
      </c>
      <c r="I86">
        <f>IF(AND(gamma!H4=1, VLOOKUP($A86,'40Trips'!$A$43:$I$46, 3,FALSE)=VLOOKUP(I$1,'40Trips'!$A$3:$I$42,3,FALSE)),1,0)</f>
        <v>0</v>
      </c>
      <c r="J86">
        <f>IF(AND(gamma!I4=1, VLOOKUP($A86,'40Trips'!$A$43:$I$46, 3,FALSE)=VLOOKUP(J$1,'40Trips'!$A$3:$I$42,3,FALSE)),1,0)</f>
        <v>0</v>
      </c>
      <c r="K86">
        <f>IF(AND(gamma!J4=1, VLOOKUP($A86,'40Trips'!$A$43:$I$46, 3,FALSE)=VLOOKUP(K$1,'40Trips'!$A$3:$I$42,3,FALSE)),1,0)</f>
        <v>0</v>
      </c>
      <c r="L86">
        <f>IF(AND(gamma!K4=1, VLOOKUP($A86,'40Trips'!$A$43:$I$46, 3,FALSE)=VLOOKUP(L$1,'40Trips'!$A$3:$I$42,3,FALSE)),1,0)</f>
        <v>0</v>
      </c>
      <c r="M86">
        <f>IF(AND(gamma!L4=1, VLOOKUP($A86,'40Trips'!$A$43:$I$46, 3,FALSE)=VLOOKUP(M$1,'40Trips'!$A$3:$I$42,3,FALSE)),1,0)</f>
        <v>0</v>
      </c>
      <c r="N86">
        <f>IF(AND(gamma!M4=1, VLOOKUP($A86,'40Trips'!$A$43:$I$46, 3,FALSE)=VLOOKUP(N$1,'40Trips'!$A$3:$I$42,3,FALSE)),1,0)</f>
        <v>0</v>
      </c>
      <c r="O86">
        <f>IF(AND(gamma!N4=1, VLOOKUP($A86,'40Trips'!$A$43:$I$46, 3,FALSE)=VLOOKUP(O$1,'40Trips'!$A$3:$I$42,3,FALSE)),1,0)</f>
        <v>0</v>
      </c>
      <c r="P86">
        <f>IF(AND(gamma!O4=1, VLOOKUP($A86,'40Trips'!$A$43:$I$46, 3,FALSE)=VLOOKUP(P$1,'40Trips'!$A$3:$I$42,3,FALSE)),1,0)</f>
        <v>0</v>
      </c>
      <c r="Q86">
        <f>IF(AND(gamma!P4=1, VLOOKUP($A86,'40Trips'!$A$43:$I$46, 3,FALSE)=VLOOKUP(Q$1,'40Trips'!$A$3:$I$42,3,FALSE)),1,0)</f>
        <v>0</v>
      </c>
      <c r="R86">
        <f>IF(AND(gamma!Q4=1, VLOOKUP($A86,'40Trips'!$A$43:$I$46, 3,FALSE)=VLOOKUP(R$1,'40Trips'!$A$3:$I$42,3,FALSE)),1,0)</f>
        <v>0</v>
      </c>
      <c r="S86">
        <f>IF(AND(gamma!R4=1, VLOOKUP($A86,'40Trips'!$A$43:$I$46, 3,FALSE)=VLOOKUP(S$1,'40Trips'!$A$3:$I$42,3,FALSE)),1,0)</f>
        <v>1</v>
      </c>
      <c r="T86">
        <f>IF(AND(gamma!S4=1, VLOOKUP($A86,'40Trips'!$A$43:$I$46, 3,FALSE)=VLOOKUP(T$1,'40Trips'!$A$3:$I$42,3,FALSE)),1,0)</f>
        <v>0</v>
      </c>
      <c r="U86">
        <f>IF(AND(gamma!T4=1, VLOOKUP($A86,'40Trips'!$A$43:$I$46, 3,FALSE)=VLOOKUP(U$1,'40Trips'!$A$3:$I$42,3,FALSE)),1,0)</f>
        <v>0</v>
      </c>
      <c r="V86">
        <f>IF(AND(gamma!U4=1, VLOOKUP($A86,'40Trips'!$A$43:$I$46, 3,FALSE)=VLOOKUP(V$1,'40Trips'!$A$3:$I$42,3,FALSE)),1,0)</f>
        <v>0</v>
      </c>
      <c r="W86">
        <f>IF(AND(gamma!V4=1, VLOOKUP($A86,'40Trips'!$A$43:$I$46, 3,FALSE)=VLOOKUP(W$1,'40Trips'!$A$3:$I$42,3,FALSE)),1,0)</f>
        <v>1</v>
      </c>
      <c r="X86">
        <f>IF(AND(gamma!W4=1, VLOOKUP($A86,'40Trips'!$A$43:$I$46, 3,FALSE)=VLOOKUP(X$1,'40Trips'!$A$3:$I$42,3,FALSE)),1,0)</f>
        <v>0</v>
      </c>
      <c r="Y86">
        <f>IF(AND(gamma!X4=1, VLOOKUP($A86,'40Trips'!$A$43:$I$46, 3,FALSE)=VLOOKUP(Y$1,'40Trips'!$A$3:$I$42,3,FALSE)),1,0)</f>
        <v>0</v>
      </c>
      <c r="Z86">
        <f>IF(AND(gamma!Y4=1, VLOOKUP($A86,'40Trips'!$A$43:$I$46, 3,FALSE)=VLOOKUP(Z$1,'40Trips'!$A$3:$I$42,3,FALSE)),1,0)</f>
        <v>0</v>
      </c>
      <c r="AA86">
        <f>IF(AND(gamma!Z4=1, VLOOKUP($A86,'40Trips'!$A$43:$I$46, 3,FALSE)=VLOOKUP(AA$1,'40Trips'!$A$3:$I$42,3,FALSE)),1,0)</f>
        <v>0</v>
      </c>
      <c r="AB86">
        <f>IF(AND(gamma!AA4=1, VLOOKUP($A86,'40Trips'!$A$43:$I$46, 3,FALSE)=VLOOKUP(AB$1,'40Trips'!$A$3:$I$42,3,FALSE)),1,0)</f>
        <v>0</v>
      </c>
      <c r="AC86">
        <f>IF(AND(gamma!AB4=1, VLOOKUP($A86,'40Trips'!$A$43:$I$46, 3,FALSE)=VLOOKUP(AC$1,'40Trips'!$A$3:$I$42,3,FALSE)),1,0)</f>
        <v>0</v>
      </c>
      <c r="AD86">
        <f>IF(AND(gamma!AC4=1, VLOOKUP($A86,'40Trips'!$A$43:$I$46, 3,FALSE)=VLOOKUP(AD$1,'40Trips'!$A$3:$I$42,3,FALSE)),1,0)</f>
        <v>0</v>
      </c>
      <c r="AE86">
        <f>IF(AND(gamma!AD4=1, VLOOKUP($A86,'40Trips'!$A$43:$I$46, 3,FALSE)=VLOOKUP(AE$1,'40Trips'!$A$3:$I$42,3,FALSE)),1,0)</f>
        <v>0</v>
      </c>
      <c r="AF86">
        <f>IF(AND(gamma!AE4=1, VLOOKUP($A86,'40Trips'!$A$43:$I$46, 3,FALSE)=VLOOKUP(AF$1,'40Trips'!$A$3:$I$42,3,FALSE)),1,0)</f>
        <v>0</v>
      </c>
      <c r="AG86">
        <f>IF(AND(gamma!AF4=1, VLOOKUP($A86,'40Trips'!$A$43:$I$46, 3,FALSE)=VLOOKUP(AG$1,'40Trips'!$A$3:$I$42,3,FALSE)),1,0)</f>
        <v>0</v>
      </c>
      <c r="AH86">
        <f>IF(AND(gamma!AG4=1, VLOOKUP($A86,'40Trips'!$A$43:$I$46, 3,FALSE)=VLOOKUP(AH$1,'40Trips'!$A$3:$I$42,3,FALSE)),1,0)</f>
        <v>0</v>
      </c>
      <c r="AI86">
        <f>IF(AND(gamma!AH4=1, VLOOKUP($A86,'40Trips'!$A$43:$I$46, 3,FALSE)=VLOOKUP(AI$1,'40Trips'!$A$3:$I$42,3,FALSE)),1,0)</f>
        <v>0</v>
      </c>
      <c r="AJ86">
        <f>IF(AND(gamma!AI4=1, VLOOKUP($A86,'40Trips'!$A$43:$I$46, 3,FALSE)=VLOOKUP(AJ$1,'40Trips'!$A$3:$I$42,3,FALSE)),1,0)</f>
        <v>0</v>
      </c>
      <c r="AK86">
        <f>IF(AND(gamma!AJ4=1, VLOOKUP($A86,'40Trips'!$A$43:$I$46, 3,FALSE)=VLOOKUP(AK$1,'40Trips'!$A$3:$I$42,3,FALSE)),1,0)</f>
        <v>0</v>
      </c>
      <c r="AL86">
        <f>IF(AND(gamma!AK4=1, VLOOKUP($A86,'40Trips'!$A$43:$I$46, 3,FALSE)=VLOOKUP(AL$1,'40Trips'!$A$3:$I$42,3,FALSE)),1,0)</f>
        <v>0</v>
      </c>
      <c r="AM86">
        <f>IF(AND(gamma!AL4=1, VLOOKUP($A86,'40Trips'!$A$43:$I$46, 3,FALSE)=VLOOKUP(AM$1,'40Trips'!$A$3:$I$42,3,FALSE)),1,0)</f>
        <v>0</v>
      </c>
      <c r="AN86">
        <f>IF(AND(gamma!AM4=1, VLOOKUP($A86,'40Trips'!$A$43:$I$46, 3,FALSE)=VLOOKUP(AN$1,'40Trips'!$A$3:$I$42,3,FALSE)),1,0)</f>
        <v>0</v>
      </c>
      <c r="AO86">
        <f>IF(AND(gamma!AN4=1, VLOOKUP($A86,'40Trips'!$A$43:$I$46, 3,FALSE)=VLOOKUP(AO$1,'40Trips'!$A$3:$I$42,3,FALSE)),1,0)</f>
        <v>0</v>
      </c>
      <c r="AP86">
        <f>IF(AND(gamma!AO4=1, VLOOKUP($A86,'40Trips'!$A$43:$I$46, 3,FALSE)=VLOOKUP(AP$1,'40Trips'!$A$3:$I$42,3,FALSE)),1,0)</f>
        <v>0</v>
      </c>
      <c r="AQ86">
        <f>IF(AND(gamma!AP4=1, VLOOKUP($A86,'40Trips'!$A$43:$I$46, 3,FALSE)=VLOOKUP(AQ$1,'40Trips'!$A$3:$I$42,3,FALSE)),1,0)</f>
        <v>0</v>
      </c>
    </row>
    <row r="87" spans="1:43" x14ac:dyDescent="0.25">
      <c r="A87" t="s">
        <v>67</v>
      </c>
      <c r="B87" t="s">
        <v>10</v>
      </c>
      <c r="C87">
        <v>0</v>
      </c>
      <c r="D87">
        <f>IF(AND(gamma!C5=1, VLOOKUP($A87,'40Trips'!$A$43:$I$46, 3,FALSE)=VLOOKUP(D$1,'40Trips'!$A$3:$I$42,3,FALSE)),1,0)</f>
        <v>0</v>
      </c>
      <c r="E87">
        <f>IF(AND(gamma!D5=1, VLOOKUP($A87,'40Trips'!$A$43:$I$46, 3,FALSE)=VLOOKUP(E$1,'40Trips'!$A$3:$I$42,3,FALSE)),1,0)</f>
        <v>0</v>
      </c>
      <c r="F87">
        <f>IF(AND(gamma!E5=1, VLOOKUP($A87,'40Trips'!$A$43:$I$46, 3,FALSE)=VLOOKUP(F$1,'40Trips'!$A$3:$I$42,3,FALSE)),1,0)</f>
        <v>0</v>
      </c>
      <c r="G87">
        <f>IF(AND(gamma!F5=1, VLOOKUP($A87,'40Trips'!$A$43:$I$46, 3,FALSE)=VLOOKUP(G$1,'40Trips'!$A$3:$I$42,3,FALSE)),1,0)</f>
        <v>0</v>
      </c>
      <c r="H87">
        <f>IF(AND(gamma!G5=1, VLOOKUP($A87,'40Trips'!$A$43:$I$46, 3,FALSE)=VLOOKUP(H$1,'40Trips'!$A$3:$I$42,3,FALSE)),1,0)</f>
        <v>0</v>
      </c>
      <c r="I87">
        <f>IF(AND(gamma!H5=1, VLOOKUP($A87,'40Trips'!$A$43:$I$46, 3,FALSE)=VLOOKUP(I$1,'40Trips'!$A$3:$I$42,3,FALSE)),1,0)</f>
        <v>0</v>
      </c>
      <c r="J87">
        <f>IF(AND(gamma!I5=1, VLOOKUP($A87,'40Trips'!$A$43:$I$46, 3,FALSE)=VLOOKUP(J$1,'40Trips'!$A$3:$I$42,3,FALSE)),1,0)</f>
        <v>0</v>
      </c>
      <c r="K87">
        <f>IF(AND(gamma!J5=1, VLOOKUP($A87,'40Trips'!$A$43:$I$46, 3,FALSE)=VLOOKUP(K$1,'40Trips'!$A$3:$I$42,3,FALSE)),1,0)</f>
        <v>0</v>
      </c>
      <c r="L87">
        <f>IF(AND(gamma!K5=1, VLOOKUP($A87,'40Trips'!$A$43:$I$46, 3,FALSE)=VLOOKUP(L$1,'40Trips'!$A$3:$I$42,3,FALSE)),1,0)</f>
        <v>0</v>
      </c>
      <c r="M87">
        <f>IF(AND(gamma!L5=1, VLOOKUP($A87,'40Trips'!$A$43:$I$46, 3,FALSE)=VLOOKUP(M$1,'40Trips'!$A$3:$I$42,3,FALSE)),1,0)</f>
        <v>0</v>
      </c>
      <c r="N87">
        <f>IF(AND(gamma!M5=1, VLOOKUP($A87,'40Trips'!$A$43:$I$46, 3,FALSE)=VLOOKUP(N$1,'40Trips'!$A$3:$I$42,3,FALSE)),1,0)</f>
        <v>0</v>
      </c>
      <c r="O87">
        <f>IF(AND(gamma!N5=1, VLOOKUP($A87,'40Trips'!$A$43:$I$46, 3,FALSE)=VLOOKUP(O$1,'40Trips'!$A$3:$I$42,3,FALSE)),1,0)</f>
        <v>0</v>
      </c>
      <c r="P87">
        <f>IF(AND(gamma!O5=1, VLOOKUP($A87,'40Trips'!$A$43:$I$46, 3,FALSE)=VLOOKUP(P$1,'40Trips'!$A$3:$I$42,3,FALSE)),1,0)</f>
        <v>0</v>
      </c>
      <c r="Q87">
        <f>IF(AND(gamma!P5=1, VLOOKUP($A87,'40Trips'!$A$43:$I$46, 3,FALSE)=VLOOKUP(Q$1,'40Trips'!$A$3:$I$42,3,FALSE)),1,0)</f>
        <v>0</v>
      </c>
      <c r="R87">
        <f>IF(AND(gamma!Q5=1, VLOOKUP($A87,'40Trips'!$A$43:$I$46, 3,FALSE)=VLOOKUP(R$1,'40Trips'!$A$3:$I$42,3,FALSE)),1,0)</f>
        <v>0</v>
      </c>
      <c r="S87">
        <f>IF(AND(gamma!R5=1, VLOOKUP($A87,'40Trips'!$A$43:$I$46, 3,FALSE)=VLOOKUP(S$1,'40Trips'!$A$3:$I$42,3,FALSE)),1,0)</f>
        <v>0</v>
      </c>
      <c r="T87">
        <f>IF(AND(gamma!S5=1, VLOOKUP($A87,'40Trips'!$A$43:$I$46, 3,FALSE)=VLOOKUP(T$1,'40Trips'!$A$3:$I$42,3,FALSE)),1,0)</f>
        <v>0</v>
      </c>
      <c r="U87">
        <f>IF(AND(gamma!T5=1, VLOOKUP($A87,'40Trips'!$A$43:$I$46, 3,FALSE)=VLOOKUP(U$1,'40Trips'!$A$3:$I$42,3,FALSE)),1,0)</f>
        <v>0</v>
      </c>
      <c r="V87">
        <f>IF(AND(gamma!U5=1, VLOOKUP($A87,'40Trips'!$A$43:$I$46, 3,FALSE)=VLOOKUP(V$1,'40Trips'!$A$3:$I$42,3,FALSE)),1,0)</f>
        <v>0</v>
      </c>
      <c r="W87">
        <f>IF(AND(gamma!V5=1, VLOOKUP($A87,'40Trips'!$A$43:$I$46, 3,FALSE)=VLOOKUP(W$1,'40Trips'!$A$3:$I$42,3,FALSE)),1,0)</f>
        <v>0</v>
      </c>
      <c r="X87">
        <f>IF(AND(gamma!W5=1, VLOOKUP($A87,'40Trips'!$A$43:$I$46, 3,FALSE)=VLOOKUP(X$1,'40Trips'!$A$3:$I$42,3,FALSE)),1,0)</f>
        <v>0</v>
      </c>
      <c r="Y87">
        <f>IF(AND(gamma!X5=1, VLOOKUP($A87,'40Trips'!$A$43:$I$46, 3,FALSE)=VLOOKUP(Y$1,'40Trips'!$A$3:$I$42,3,FALSE)),1,0)</f>
        <v>0</v>
      </c>
      <c r="Z87">
        <f>IF(AND(gamma!Y5=1, VLOOKUP($A87,'40Trips'!$A$43:$I$46, 3,FALSE)=VLOOKUP(Z$1,'40Trips'!$A$3:$I$42,3,FALSE)),1,0)</f>
        <v>0</v>
      </c>
      <c r="AA87">
        <f>IF(AND(gamma!Z5=1, VLOOKUP($A87,'40Trips'!$A$43:$I$46, 3,FALSE)=VLOOKUP(AA$1,'40Trips'!$A$3:$I$42,3,FALSE)),1,0)</f>
        <v>0</v>
      </c>
      <c r="AB87">
        <f>IF(AND(gamma!AA5=1, VLOOKUP($A87,'40Trips'!$A$43:$I$46, 3,FALSE)=VLOOKUP(AB$1,'40Trips'!$A$3:$I$42,3,FALSE)),1,0)</f>
        <v>0</v>
      </c>
      <c r="AC87">
        <f>IF(AND(gamma!AB5=1, VLOOKUP($A87,'40Trips'!$A$43:$I$46, 3,FALSE)=VLOOKUP(AC$1,'40Trips'!$A$3:$I$42,3,FALSE)),1,0)</f>
        <v>0</v>
      </c>
      <c r="AD87">
        <f>IF(AND(gamma!AC5=1, VLOOKUP($A87,'40Trips'!$A$43:$I$46, 3,FALSE)=VLOOKUP(AD$1,'40Trips'!$A$3:$I$42,3,FALSE)),1,0)</f>
        <v>0</v>
      </c>
      <c r="AE87">
        <f>IF(AND(gamma!AD5=1, VLOOKUP($A87,'40Trips'!$A$43:$I$46, 3,FALSE)=VLOOKUP(AE$1,'40Trips'!$A$3:$I$42,3,FALSE)),1,0)</f>
        <v>0</v>
      </c>
      <c r="AF87">
        <f>IF(AND(gamma!AE5=1, VLOOKUP($A87,'40Trips'!$A$43:$I$46, 3,FALSE)=VLOOKUP(AF$1,'40Trips'!$A$3:$I$42,3,FALSE)),1,0)</f>
        <v>0</v>
      </c>
      <c r="AG87">
        <f>IF(AND(gamma!AF5=1, VLOOKUP($A87,'40Trips'!$A$43:$I$46, 3,FALSE)=VLOOKUP(AG$1,'40Trips'!$A$3:$I$42,3,FALSE)),1,0)</f>
        <v>0</v>
      </c>
      <c r="AH87">
        <f>IF(AND(gamma!AG5=1, VLOOKUP($A87,'40Trips'!$A$43:$I$46, 3,FALSE)=VLOOKUP(AH$1,'40Trips'!$A$3:$I$42,3,FALSE)),1,0)</f>
        <v>0</v>
      </c>
      <c r="AI87">
        <f>IF(AND(gamma!AH5=1, VLOOKUP($A87,'40Trips'!$A$43:$I$46, 3,FALSE)=VLOOKUP(AI$1,'40Trips'!$A$3:$I$42,3,FALSE)),1,0)</f>
        <v>0</v>
      </c>
      <c r="AJ87">
        <f>IF(AND(gamma!AI5=1, VLOOKUP($A87,'40Trips'!$A$43:$I$46, 3,FALSE)=VLOOKUP(AJ$1,'40Trips'!$A$3:$I$42,3,FALSE)),1,0)</f>
        <v>0</v>
      </c>
      <c r="AK87">
        <f>IF(AND(gamma!AJ5=1, VLOOKUP($A87,'40Trips'!$A$43:$I$46, 3,FALSE)=VLOOKUP(AK$1,'40Trips'!$A$3:$I$42,3,FALSE)),1,0)</f>
        <v>0</v>
      </c>
      <c r="AL87">
        <f>IF(AND(gamma!AK5=1, VLOOKUP($A87,'40Trips'!$A$43:$I$46, 3,FALSE)=VLOOKUP(AL$1,'40Trips'!$A$3:$I$42,3,FALSE)),1,0)</f>
        <v>0</v>
      </c>
      <c r="AM87">
        <f>IF(AND(gamma!AL5=1, VLOOKUP($A87,'40Trips'!$A$43:$I$46, 3,FALSE)=VLOOKUP(AM$1,'40Trips'!$A$3:$I$42,3,FALSE)),1,0)</f>
        <v>0</v>
      </c>
      <c r="AN87">
        <f>IF(AND(gamma!AM5=1, VLOOKUP($A87,'40Trips'!$A$43:$I$46, 3,FALSE)=VLOOKUP(AN$1,'40Trips'!$A$3:$I$42,3,FALSE)),1,0)</f>
        <v>0</v>
      </c>
      <c r="AO87">
        <f>IF(AND(gamma!AN5=1, VLOOKUP($A87,'40Trips'!$A$43:$I$46, 3,FALSE)=VLOOKUP(AO$1,'40Trips'!$A$3:$I$42,3,FALSE)),1,0)</f>
        <v>0</v>
      </c>
      <c r="AP87">
        <f>IF(AND(gamma!AO5=1, VLOOKUP($A87,'40Trips'!$A$43:$I$46, 3,FALSE)=VLOOKUP(AP$1,'40Trips'!$A$3:$I$42,3,FALSE)),1,0)</f>
        <v>0</v>
      </c>
      <c r="AQ87">
        <f>IF(AND(gamma!AP5=1, VLOOKUP($A87,'40Trips'!$A$43:$I$46, 3,FALSE)=VLOOKUP(AQ$1,'40Trips'!$A$3:$I$42,3,FALSE)),1,0)</f>
        <v>0</v>
      </c>
    </row>
    <row r="88" spans="1:43" x14ac:dyDescent="0.25">
      <c r="A88" t="s">
        <v>67</v>
      </c>
      <c r="B88" t="s">
        <v>11</v>
      </c>
      <c r="C88">
        <v>0</v>
      </c>
      <c r="D88">
        <f>IF(AND(gamma!C6=1, VLOOKUP($A88,'40Trips'!$A$43:$I$46, 3,FALSE)=VLOOKUP(D$1,'40Trips'!$A$3:$I$42,3,FALSE)),1,0)</f>
        <v>0</v>
      </c>
      <c r="E88">
        <f>IF(AND(gamma!D6=1, VLOOKUP($A88,'40Trips'!$A$43:$I$46, 3,FALSE)=VLOOKUP(E$1,'40Trips'!$A$3:$I$42,3,FALSE)),1,0)</f>
        <v>0</v>
      </c>
      <c r="F88">
        <f>IF(AND(gamma!E6=1, VLOOKUP($A88,'40Trips'!$A$43:$I$46, 3,FALSE)=VLOOKUP(F$1,'40Trips'!$A$3:$I$42,3,FALSE)),1,0)</f>
        <v>0</v>
      </c>
      <c r="G88">
        <f>IF(AND(gamma!F6=1, VLOOKUP($A88,'40Trips'!$A$43:$I$46, 3,FALSE)=VLOOKUP(G$1,'40Trips'!$A$3:$I$42,3,FALSE)),1,0)</f>
        <v>0</v>
      </c>
      <c r="H88">
        <f>IF(AND(gamma!G6=1, VLOOKUP($A88,'40Trips'!$A$43:$I$46, 3,FALSE)=VLOOKUP(H$1,'40Trips'!$A$3:$I$42,3,FALSE)),1,0)</f>
        <v>0</v>
      </c>
      <c r="I88">
        <f>IF(AND(gamma!H6=1, VLOOKUP($A88,'40Trips'!$A$43:$I$46, 3,FALSE)=VLOOKUP(I$1,'40Trips'!$A$3:$I$42,3,FALSE)),1,0)</f>
        <v>0</v>
      </c>
      <c r="J88">
        <f>IF(AND(gamma!I6=1, VLOOKUP($A88,'40Trips'!$A$43:$I$46, 3,FALSE)=VLOOKUP(J$1,'40Trips'!$A$3:$I$42,3,FALSE)),1,0)</f>
        <v>0</v>
      </c>
      <c r="K88">
        <f>IF(AND(gamma!J6=1, VLOOKUP($A88,'40Trips'!$A$43:$I$46, 3,FALSE)=VLOOKUP(K$1,'40Trips'!$A$3:$I$42,3,FALSE)),1,0)</f>
        <v>0</v>
      </c>
      <c r="L88">
        <f>IF(AND(gamma!K6=1, VLOOKUP($A88,'40Trips'!$A$43:$I$46, 3,FALSE)=VLOOKUP(L$1,'40Trips'!$A$3:$I$42,3,FALSE)),1,0)</f>
        <v>0</v>
      </c>
      <c r="M88">
        <f>IF(AND(gamma!L6=1, VLOOKUP($A88,'40Trips'!$A$43:$I$46, 3,FALSE)=VLOOKUP(M$1,'40Trips'!$A$3:$I$42,3,FALSE)),1,0)</f>
        <v>0</v>
      </c>
      <c r="N88">
        <f>IF(AND(gamma!M6=1, VLOOKUP($A88,'40Trips'!$A$43:$I$46, 3,FALSE)=VLOOKUP(N$1,'40Trips'!$A$3:$I$42,3,FALSE)),1,0)</f>
        <v>0</v>
      </c>
      <c r="O88">
        <f>IF(AND(gamma!N6=1, VLOOKUP($A88,'40Trips'!$A$43:$I$46, 3,FALSE)=VLOOKUP(O$1,'40Trips'!$A$3:$I$42,3,FALSE)),1,0)</f>
        <v>0</v>
      </c>
      <c r="P88">
        <f>IF(AND(gamma!O6=1, VLOOKUP($A88,'40Trips'!$A$43:$I$46, 3,FALSE)=VLOOKUP(P$1,'40Trips'!$A$3:$I$42,3,FALSE)),1,0)</f>
        <v>0</v>
      </c>
      <c r="Q88">
        <f>IF(AND(gamma!P6=1, VLOOKUP($A88,'40Trips'!$A$43:$I$46, 3,FALSE)=VLOOKUP(Q$1,'40Trips'!$A$3:$I$42,3,FALSE)),1,0)</f>
        <v>0</v>
      </c>
      <c r="R88">
        <f>IF(AND(gamma!Q6=1, VLOOKUP($A88,'40Trips'!$A$43:$I$46, 3,FALSE)=VLOOKUP(R$1,'40Trips'!$A$3:$I$42,3,FALSE)),1,0)</f>
        <v>0</v>
      </c>
      <c r="S88">
        <f>IF(AND(gamma!R6=1, VLOOKUP($A88,'40Trips'!$A$43:$I$46, 3,FALSE)=VLOOKUP(S$1,'40Trips'!$A$3:$I$42,3,FALSE)),1,0)</f>
        <v>0</v>
      </c>
      <c r="T88">
        <f>IF(AND(gamma!S6=1, VLOOKUP($A88,'40Trips'!$A$43:$I$46, 3,FALSE)=VLOOKUP(T$1,'40Trips'!$A$3:$I$42,3,FALSE)),1,0)</f>
        <v>0</v>
      </c>
      <c r="U88">
        <f>IF(AND(gamma!T6=1, VLOOKUP($A88,'40Trips'!$A$43:$I$46, 3,FALSE)=VLOOKUP(U$1,'40Trips'!$A$3:$I$42,3,FALSE)),1,0)</f>
        <v>0</v>
      </c>
      <c r="V88">
        <f>IF(AND(gamma!U6=1, VLOOKUP($A88,'40Trips'!$A$43:$I$46, 3,FALSE)=VLOOKUP(V$1,'40Trips'!$A$3:$I$42,3,FALSE)),1,0)</f>
        <v>0</v>
      </c>
      <c r="W88">
        <f>IF(AND(gamma!V6=1, VLOOKUP($A88,'40Trips'!$A$43:$I$46, 3,FALSE)=VLOOKUP(W$1,'40Trips'!$A$3:$I$42,3,FALSE)),1,0)</f>
        <v>0</v>
      </c>
      <c r="X88">
        <f>IF(AND(gamma!W6=1, VLOOKUP($A88,'40Trips'!$A$43:$I$46, 3,FALSE)=VLOOKUP(X$1,'40Trips'!$A$3:$I$42,3,FALSE)),1,0)</f>
        <v>0</v>
      </c>
      <c r="Y88">
        <f>IF(AND(gamma!X6=1, VLOOKUP($A88,'40Trips'!$A$43:$I$46, 3,FALSE)=VLOOKUP(Y$1,'40Trips'!$A$3:$I$42,3,FALSE)),1,0)</f>
        <v>0</v>
      </c>
      <c r="Z88">
        <f>IF(AND(gamma!Y6=1, VLOOKUP($A88,'40Trips'!$A$43:$I$46, 3,FALSE)=VLOOKUP(Z$1,'40Trips'!$A$3:$I$42,3,FALSE)),1,0)</f>
        <v>0</v>
      </c>
      <c r="AA88">
        <f>IF(AND(gamma!Z6=1, VLOOKUP($A88,'40Trips'!$A$43:$I$46, 3,FALSE)=VLOOKUP(AA$1,'40Trips'!$A$3:$I$42,3,FALSE)),1,0)</f>
        <v>0</v>
      </c>
      <c r="AB88">
        <f>IF(AND(gamma!AA6=1, VLOOKUP($A88,'40Trips'!$A$43:$I$46, 3,FALSE)=VLOOKUP(AB$1,'40Trips'!$A$3:$I$42,3,FALSE)),1,0)</f>
        <v>0</v>
      </c>
      <c r="AC88">
        <f>IF(AND(gamma!AB6=1, VLOOKUP($A88,'40Trips'!$A$43:$I$46, 3,FALSE)=VLOOKUP(AC$1,'40Trips'!$A$3:$I$42,3,FALSE)),1,0)</f>
        <v>0</v>
      </c>
      <c r="AD88">
        <f>IF(AND(gamma!AC6=1, VLOOKUP($A88,'40Trips'!$A$43:$I$46, 3,FALSE)=VLOOKUP(AD$1,'40Trips'!$A$3:$I$42,3,FALSE)),1,0)</f>
        <v>0</v>
      </c>
      <c r="AE88">
        <f>IF(AND(gamma!AD6=1, VLOOKUP($A88,'40Trips'!$A$43:$I$46, 3,FALSE)=VLOOKUP(AE$1,'40Trips'!$A$3:$I$42,3,FALSE)),1,0)</f>
        <v>0</v>
      </c>
      <c r="AF88">
        <f>IF(AND(gamma!AE6=1, VLOOKUP($A88,'40Trips'!$A$43:$I$46, 3,FALSE)=VLOOKUP(AF$1,'40Trips'!$A$3:$I$42,3,FALSE)),1,0)</f>
        <v>0</v>
      </c>
      <c r="AG88">
        <f>IF(AND(gamma!AF6=1, VLOOKUP($A88,'40Trips'!$A$43:$I$46, 3,FALSE)=VLOOKUP(AG$1,'40Trips'!$A$3:$I$42,3,FALSE)),1,0)</f>
        <v>0</v>
      </c>
      <c r="AH88">
        <f>IF(AND(gamma!AG6=1, VLOOKUP($A88,'40Trips'!$A$43:$I$46, 3,FALSE)=VLOOKUP(AH$1,'40Trips'!$A$3:$I$42,3,FALSE)),1,0)</f>
        <v>0</v>
      </c>
      <c r="AI88">
        <f>IF(AND(gamma!AH6=1, VLOOKUP($A88,'40Trips'!$A$43:$I$46, 3,FALSE)=VLOOKUP(AI$1,'40Trips'!$A$3:$I$42,3,FALSE)),1,0)</f>
        <v>0</v>
      </c>
      <c r="AJ88">
        <f>IF(AND(gamma!AI6=1, VLOOKUP($A88,'40Trips'!$A$43:$I$46, 3,FALSE)=VLOOKUP(AJ$1,'40Trips'!$A$3:$I$42,3,FALSE)),1,0)</f>
        <v>0</v>
      </c>
      <c r="AK88">
        <f>IF(AND(gamma!AJ6=1, VLOOKUP($A88,'40Trips'!$A$43:$I$46, 3,FALSE)=VLOOKUP(AK$1,'40Trips'!$A$3:$I$42,3,FALSE)),1,0)</f>
        <v>0</v>
      </c>
      <c r="AL88">
        <f>IF(AND(gamma!AK6=1, VLOOKUP($A88,'40Trips'!$A$43:$I$46, 3,FALSE)=VLOOKUP(AL$1,'40Trips'!$A$3:$I$42,3,FALSE)),1,0)</f>
        <v>0</v>
      </c>
      <c r="AM88">
        <f>IF(AND(gamma!AL6=1, VLOOKUP($A88,'40Trips'!$A$43:$I$46, 3,FALSE)=VLOOKUP(AM$1,'40Trips'!$A$3:$I$42,3,FALSE)),1,0)</f>
        <v>0</v>
      </c>
      <c r="AN88">
        <f>IF(AND(gamma!AM6=1, VLOOKUP($A88,'40Trips'!$A$43:$I$46, 3,FALSE)=VLOOKUP(AN$1,'40Trips'!$A$3:$I$42,3,FALSE)),1,0)</f>
        <v>0</v>
      </c>
      <c r="AO88">
        <f>IF(AND(gamma!AN6=1, VLOOKUP($A88,'40Trips'!$A$43:$I$46, 3,FALSE)=VLOOKUP(AO$1,'40Trips'!$A$3:$I$42,3,FALSE)),1,0)</f>
        <v>0</v>
      </c>
      <c r="AP88">
        <f>IF(AND(gamma!AO6=1, VLOOKUP($A88,'40Trips'!$A$43:$I$46, 3,FALSE)=VLOOKUP(AP$1,'40Trips'!$A$3:$I$42,3,FALSE)),1,0)</f>
        <v>0</v>
      </c>
      <c r="AQ88">
        <f>IF(AND(gamma!AP6=1, VLOOKUP($A88,'40Trips'!$A$43:$I$46, 3,FALSE)=VLOOKUP(AQ$1,'40Trips'!$A$3:$I$42,3,FALSE)),1,0)</f>
        <v>0</v>
      </c>
    </row>
    <row r="89" spans="1:43" x14ac:dyDescent="0.25">
      <c r="A89" t="s">
        <v>67</v>
      </c>
      <c r="B89" t="s">
        <v>18</v>
      </c>
      <c r="C89">
        <v>0</v>
      </c>
      <c r="D89">
        <f>IF(AND(gamma!C7=1, VLOOKUP($A89,'40Trips'!$A$43:$I$46, 3,FALSE)=VLOOKUP(D$1,'40Trips'!$A$3:$I$42,3,FALSE)),1,0)</f>
        <v>0</v>
      </c>
      <c r="E89">
        <f>IF(AND(gamma!D7=1, VLOOKUP($A89,'40Trips'!$A$43:$I$46, 3,FALSE)=VLOOKUP(E$1,'40Trips'!$A$3:$I$42,3,FALSE)),1,0)</f>
        <v>0</v>
      </c>
      <c r="F89">
        <f>IF(AND(gamma!E7=1, VLOOKUP($A89,'40Trips'!$A$43:$I$46, 3,FALSE)=VLOOKUP(F$1,'40Trips'!$A$3:$I$42,3,FALSE)),1,0)</f>
        <v>0</v>
      </c>
      <c r="G89">
        <f>IF(AND(gamma!F7=1, VLOOKUP($A89,'40Trips'!$A$43:$I$46, 3,FALSE)=VLOOKUP(G$1,'40Trips'!$A$3:$I$42,3,FALSE)),1,0)</f>
        <v>0</v>
      </c>
      <c r="H89">
        <f>IF(AND(gamma!G7=1, VLOOKUP($A89,'40Trips'!$A$43:$I$46, 3,FALSE)=VLOOKUP(H$1,'40Trips'!$A$3:$I$42,3,FALSE)),1,0)</f>
        <v>0</v>
      </c>
      <c r="I89">
        <f>IF(AND(gamma!H7=1, VLOOKUP($A89,'40Trips'!$A$43:$I$46, 3,FALSE)=VLOOKUP(I$1,'40Trips'!$A$3:$I$42,3,FALSE)),1,0)</f>
        <v>0</v>
      </c>
      <c r="J89">
        <f>IF(AND(gamma!I7=1, VLOOKUP($A89,'40Trips'!$A$43:$I$46, 3,FALSE)=VLOOKUP(J$1,'40Trips'!$A$3:$I$42,3,FALSE)),1,0)</f>
        <v>0</v>
      </c>
      <c r="K89">
        <f>IF(AND(gamma!J7=1, VLOOKUP($A89,'40Trips'!$A$43:$I$46, 3,FALSE)=VLOOKUP(K$1,'40Trips'!$A$3:$I$42,3,FALSE)),1,0)</f>
        <v>0</v>
      </c>
      <c r="L89">
        <f>IF(AND(gamma!K7=1, VLOOKUP($A89,'40Trips'!$A$43:$I$46, 3,FALSE)=VLOOKUP(L$1,'40Trips'!$A$3:$I$42,3,FALSE)),1,0)</f>
        <v>0</v>
      </c>
      <c r="M89">
        <f>IF(AND(gamma!L7=1, VLOOKUP($A89,'40Trips'!$A$43:$I$46, 3,FALSE)=VLOOKUP(M$1,'40Trips'!$A$3:$I$42,3,FALSE)),1,0)</f>
        <v>0</v>
      </c>
      <c r="N89">
        <f>IF(AND(gamma!M7=1, VLOOKUP($A89,'40Trips'!$A$43:$I$46, 3,FALSE)=VLOOKUP(N$1,'40Trips'!$A$3:$I$42,3,FALSE)),1,0)</f>
        <v>0</v>
      </c>
      <c r="O89">
        <f>IF(AND(gamma!N7=1, VLOOKUP($A89,'40Trips'!$A$43:$I$46, 3,FALSE)=VLOOKUP(O$1,'40Trips'!$A$3:$I$42,3,FALSE)),1,0)</f>
        <v>0</v>
      </c>
      <c r="P89">
        <f>IF(AND(gamma!O7=1, VLOOKUP($A89,'40Trips'!$A$43:$I$46, 3,FALSE)=VLOOKUP(P$1,'40Trips'!$A$3:$I$42,3,FALSE)),1,0)</f>
        <v>0</v>
      </c>
      <c r="Q89">
        <f>IF(AND(gamma!P7=1, VLOOKUP($A89,'40Trips'!$A$43:$I$46, 3,FALSE)=VLOOKUP(Q$1,'40Trips'!$A$3:$I$42,3,FALSE)),1,0)</f>
        <v>1</v>
      </c>
      <c r="R89">
        <f>IF(AND(gamma!Q7=1, VLOOKUP($A89,'40Trips'!$A$43:$I$46, 3,FALSE)=VLOOKUP(R$1,'40Trips'!$A$3:$I$42,3,FALSE)),1,0)</f>
        <v>1</v>
      </c>
      <c r="S89">
        <f>IF(AND(gamma!R7=1, VLOOKUP($A89,'40Trips'!$A$43:$I$46, 3,FALSE)=VLOOKUP(S$1,'40Trips'!$A$3:$I$42,3,FALSE)),1,0)</f>
        <v>1</v>
      </c>
      <c r="T89">
        <f>IF(AND(gamma!S7=1, VLOOKUP($A89,'40Trips'!$A$43:$I$46, 3,FALSE)=VLOOKUP(T$1,'40Trips'!$A$3:$I$42,3,FALSE)),1,0)</f>
        <v>0</v>
      </c>
      <c r="U89">
        <f>IF(AND(gamma!T7=1, VLOOKUP($A89,'40Trips'!$A$43:$I$46, 3,FALSE)=VLOOKUP(U$1,'40Trips'!$A$3:$I$42,3,FALSE)),1,0)</f>
        <v>0</v>
      </c>
      <c r="V89">
        <f>IF(AND(gamma!U7=1, VLOOKUP($A89,'40Trips'!$A$43:$I$46, 3,FALSE)=VLOOKUP(V$1,'40Trips'!$A$3:$I$42,3,FALSE)),1,0)</f>
        <v>1</v>
      </c>
      <c r="W89">
        <f>IF(AND(gamma!V7=1, VLOOKUP($A89,'40Trips'!$A$43:$I$46, 3,FALSE)=VLOOKUP(W$1,'40Trips'!$A$3:$I$42,3,FALSE)),1,0)</f>
        <v>1</v>
      </c>
      <c r="X89">
        <f>IF(AND(gamma!W7=1, VLOOKUP($A89,'40Trips'!$A$43:$I$46, 3,FALSE)=VLOOKUP(X$1,'40Trips'!$A$3:$I$42,3,FALSE)),1,0)</f>
        <v>0</v>
      </c>
      <c r="Y89">
        <f>IF(AND(gamma!X7=1, VLOOKUP($A89,'40Trips'!$A$43:$I$46, 3,FALSE)=VLOOKUP(Y$1,'40Trips'!$A$3:$I$42,3,FALSE)),1,0)</f>
        <v>0</v>
      </c>
      <c r="Z89">
        <f>IF(AND(gamma!Y7=1, VLOOKUP($A89,'40Trips'!$A$43:$I$46, 3,FALSE)=VLOOKUP(Z$1,'40Trips'!$A$3:$I$42,3,FALSE)),1,0)</f>
        <v>0</v>
      </c>
      <c r="AA89">
        <f>IF(AND(gamma!Z7=1, VLOOKUP($A89,'40Trips'!$A$43:$I$46, 3,FALSE)=VLOOKUP(AA$1,'40Trips'!$A$3:$I$42,3,FALSE)),1,0)</f>
        <v>0</v>
      </c>
      <c r="AB89">
        <f>IF(AND(gamma!AA7=1, VLOOKUP($A89,'40Trips'!$A$43:$I$46, 3,FALSE)=VLOOKUP(AB$1,'40Trips'!$A$3:$I$42,3,FALSE)),1,0)</f>
        <v>0</v>
      </c>
      <c r="AC89">
        <f>IF(AND(gamma!AB7=1, VLOOKUP($A89,'40Trips'!$A$43:$I$46, 3,FALSE)=VLOOKUP(AC$1,'40Trips'!$A$3:$I$42,3,FALSE)),1,0)</f>
        <v>0</v>
      </c>
      <c r="AD89">
        <f>IF(AND(gamma!AC7=1, VLOOKUP($A89,'40Trips'!$A$43:$I$46, 3,FALSE)=VLOOKUP(AD$1,'40Trips'!$A$3:$I$42,3,FALSE)),1,0)</f>
        <v>0</v>
      </c>
      <c r="AE89">
        <f>IF(AND(gamma!AD7=1, VLOOKUP($A89,'40Trips'!$A$43:$I$46, 3,FALSE)=VLOOKUP(AE$1,'40Trips'!$A$3:$I$42,3,FALSE)),1,0)</f>
        <v>0</v>
      </c>
      <c r="AF89">
        <f>IF(AND(gamma!AE7=1, VLOOKUP($A89,'40Trips'!$A$43:$I$46, 3,FALSE)=VLOOKUP(AF$1,'40Trips'!$A$3:$I$42,3,FALSE)),1,0)</f>
        <v>0</v>
      </c>
      <c r="AG89">
        <f>IF(AND(gamma!AF7=1, VLOOKUP($A89,'40Trips'!$A$43:$I$46, 3,FALSE)=VLOOKUP(AG$1,'40Trips'!$A$3:$I$42,3,FALSE)),1,0)</f>
        <v>0</v>
      </c>
      <c r="AH89">
        <f>IF(AND(gamma!AG7=1, VLOOKUP($A89,'40Trips'!$A$43:$I$46, 3,FALSE)=VLOOKUP(AH$1,'40Trips'!$A$3:$I$42,3,FALSE)),1,0)</f>
        <v>0</v>
      </c>
      <c r="AI89">
        <f>IF(AND(gamma!AH7=1, VLOOKUP($A89,'40Trips'!$A$43:$I$46, 3,FALSE)=VLOOKUP(AI$1,'40Trips'!$A$3:$I$42,3,FALSE)),1,0)</f>
        <v>0</v>
      </c>
      <c r="AJ89">
        <f>IF(AND(gamma!AI7=1, VLOOKUP($A89,'40Trips'!$A$43:$I$46, 3,FALSE)=VLOOKUP(AJ$1,'40Trips'!$A$3:$I$42,3,FALSE)),1,0)</f>
        <v>0</v>
      </c>
      <c r="AK89">
        <f>IF(AND(gamma!AJ7=1, VLOOKUP($A89,'40Trips'!$A$43:$I$46, 3,FALSE)=VLOOKUP(AK$1,'40Trips'!$A$3:$I$42,3,FALSE)),1,0)</f>
        <v>0</v>
      </c>
      <c r="AL89">
        <f>IF(AND(gamma!AK7=1, VLOOKUP($A89,'40Trips'!$A$43:$I$46, 3,FALSE)=VLOOKUP(AL$1,'40Trips'!$A$3:$I$42,3,FALSE)),1,0)</f>
        <v>0</v>
      </c>
      <c r="AM89">
        <f>IF(AND(gamma!AL7=1, VLOOKUP($A89,'40Trips'!$A$43:$I$46, 3,FALSE)=VLOOKUP(AM$1,'40Trips'!$A$3:$I$42,3,FALSE)),1,0)</f>
        <v>0</v>
      </c>
      <c r="AN89">
        <f>IF(AND(gamma!AM7=1, VLOOKUP($A89,'40Trips'!$A$43:$I$46, 3,FALSE)=VLOOKUP(AN$1,'40Trips'!$A$3:$I$42,3,FALSE)),1,0)</f>
        <v>0</v>
      </c>
      <c r="AO89">
        <f>IF(AND(gamma!AN7=1, VLOOKUP($A89,'40Trips'!$A$43:$I$46, 3,FALSE)=VLOOKUP(AO$1,'40Trips'!$A$3:$I$42,3,FALSE)),1,0)</f>
        <v>0</v>
      </c>
      <c r="AP89">
        <f>IF(AND(gamma!AO7=1, VLOOKUP($A89,'40Trips'!$A$43:$I$46, 3,FALSE)=VLOOKUP(AP$1,'40Trips'!$A$3:$I$42,3,FALSE)),1,0)</f>
        <v>0</v>
      </c>
      <c r="AQ89">
        <f>IF(AND(gamma!AP7=1, VLOOKUP($A89,'40Trips'!$A$43:$I$46, 3,FALSE)=VLOOKUP(AQ$1,'40Trips'!$A$3:$I$42,3,FALSE)),1,0)</f>
        <v>0</v>
      </c>
    </row>
    <row r="90" spans="1:43" x14ac:dyDescent="0.25">
      <c r="A90" t="s">
        <v>67</v>
      </c>
      <c r="B90" t="s">
        <v>20</v>
      </c>
      <c r="C90">
        <v>0</v>
      </c>
      <c r="D90">
        <f>IF(AND(gamma!C8=1, VLOOKUP($A90,'40Trips'!$A$43:$I$46, 3,FALSE)=VLOOKUP(D$1,'40Trips'!$A$3:$I$42,3,FALSE)),1,0)</f>
        <v>0</v>
      </c>
      <c r="E90">
        <f>IF(AND(gamma!D8=1, VLOOKUP($A90,'40Trips'!$A$43:$I$46, 3,FALSE)=VLOOKUP(E$1,'40Trips'!$A$3:$I$42,3,FALSE)),1,0)</f>
        <v>0</v>
      </c>
      <c r="F90">
        <f>IF(AND(gamma!E8=1, VLOOKUP($A90,'40Trips'!$A$43:$I$46, 3,FALSE)=VLOOKUP(F$1,'40Trips'!$A$3:$I$42,3,FALSE)),1,0)</f>
        <v>0</v>
      </c>
      <c r="G90">
        <f>IF(AND(gamma!F8=1, VLOOKUP($A90,'40Trips'!$A$43:$I$46, 3,FALSE)=VLOOKUP(G$1,'40Trips'!$A$3:$I$42,3,FALSE)),1,0)</f>
        <v>0</v>
      </c>
      <c r="H90">
        <f>IF(AND(gamma!G8=1, VLOOKUP($A90,'40Trips'!$A$43:$I$46, 3,FALSE)=VLOOKUP(H$1,'40Trips'!$A$3:$I$42,3,FALSE)),1,0)</f>
        <v>0</v>
      </c>
      <c r="I90">
        <f>IF(AND(gamma!H8=1, VLOOKUP($A90,'40Trips'!$A$43:$I$46, 3,FALSE)=VLOOKUP(I$1,'40Trips'!$A$3:$I$42,3,FALSE)),1,0)</f>
        <v>0</v>
      </c>
      <c r="J90">
        <f>IF(AND(gamma!I8=1, VLOOKUP($A90,'40Trips'!$A$43:$I$46, 3,FALSE)=VLOOKUP(J$1,'40Trips'!$A$3:$I$42,3,FALSE)),1,0)</f>
        <v>0</v>
      </c>
      <c r="K90">
        <f>IF(AND(gamma!J8=1, VLOOKUP($A90,'40Trips'!$A$43:$I$46, 3,FALSE)=VLOOKUP(K$1,'40Trips'!$A$3:$I$42,3,FALSE)),1,0)</f>
        <v>0</v>
      </c>
      <c r="L90">
        <f>IF(AND(gamma!K8=1, VLOOKUP($A90,'40Trips'!$A$43:$I$46, 3,FALSE)=VLOOKUP(L$1,'40Trips'!$A$3:$I$42,3,FALSE)),1,0)</f>
        <v>0</v>
      </c>
      <c r="M90">
        <f>IF(AND(gamma!L8=1, VLOOKUP($A90,'40Trips'!$A$43:$I$46, 3,FALSE)=VLOOKUP(M$1,'40Trips'!$A$3:$I$42,3,FALSE)),1,0)</f>
        <v>0</v>
      </c>
      <c r="N90">
        <f>IF(AND(gamma!M8=1, VLOOKUP($A90,'40Trips'!$A$43:$I$46, 3,FALSE)=VLOOKUP(N$1,'40Trips'!$A$3:$I$42,3,FALSE)),1,0)</f>
        <v>0</v>
      </c>
      <c r="O90">
        <f>IF(AND(gamma!N8=1, VLOOKUP($A90,'40Trips'!$A$43:$I$46, 3,FALSE)=VLOOKUP(O$1,'40Trips'!$A$3:$I$42,3,FALSE)),1,0)</f>
        <v>0</v>
      </c>
      <c r="P90">
        <f>IF(AND(gamma!O8=1, VLOOKUP($A90,'40Trips'!$A$43:$I$46, 3,FALSE)=VLOOKUP(P$1,'40Trips'!$A$3:$I$42,3,FALSE)),1,0)</f>
        <v>0</v>
      </c>
      <c r="Q90">
        <f>IF(AND(gamma!P8=1, VLOOKUP($A90,'40Trips'!$A$43:$I$46, 3,FALSE)=VLOOKUP(Q$1,'40Trips'!$A$3:$I$42,3,FALSE)),1,0)</f>
        <v>0</v>
      </c>
      <c r="R90">
        <f>IF(AND(gamma!Q8=1, VLOOKUP($A90,'40Trips'!$A$43:$I$46, 3,FALSE)=VLOOKUP(R$1,'40Trips'!$A$3:$I$42,3,FALSE)),1,0)</f>
        <v>0</v>
      </c>
      <c r="S90">
        <f>IF(AND(gamma!R8=1, VLOOKUP($A90,'40Trips'!$A$43:$I$46, 3,FALSE)=VLOOKUP(S$1,'40Trips'!$A$3:$I$42,3,FALSE)),1,0)</f>
        <v>1</v>
      </c>
      <c r="T90">
        <f>IF(AND(gamma!S8=1, VLOOKUP($A90,'40Trips'!$A$43:$I$46, 3,FALSE)=VLOOKUP(T$1,'40Trips'!$A$3:$I$42,3,FALSE)),1,0)</f>
        <v>0</v>
      </c>
      <c r="U90">
        <f>IF(AND(gamma!T8=1, VLOOKUP($A90,'40Trips'!$A$43:$I$46, 3,FALSE)=VLOOKUP(U$1,'40Trips'!$A$3:$I$42,3,FALSE)),1,0)</f>
        <v>0</v>
      </c>
      <c r="V90">
        <f>IF(AND(gamma!U8=1, VLOOKUP($A90,'40Trips'!$A$43:$I$46, 3,FALSE)=VLOOKUP(V$1,'40Trips'!$A$3:$I$42,3,FALSE)),1,0)</f>
        <v>0</v>
      </c>
      <c r="W90">
        <f>IF(AND(gamma!V8=1, VLOOKUP($A90,'40Trips'!$A$43:$I$46, 3,FALSE)=VLOOKUP(W$1,'40Trips'!$A$3:$I$42,3,FALSE)),1,0)</f>
        <v>1</v>
      </c>
      <c r="X90">
        <f>IF(AND(gamma!W8=1, VLOOKUP($A90,'40Trips'!$A$43:$I$46, 3,FALSE)=VLOOKUP(X$1,'40Trips'!$A$3:$I$42,3,FALSE)),1,0)</f>
        <v>0</v>
      </c>
      <c r="Y90">
        <f>IF(AND(gamma!X8=1, VLOOKUP($A90,'40Trips'!$A$43:$I$46, 3,FALSE)=VLOOKUP(Y$1,'40Trips'!$A$3:$I$42,3,FALSE)),1,0)</f>
        <v>0</v>
      </c>
      <c r="Z90">
        <f>IF(AND(gamma!Y8=1, VLOOKUP($A90,'40Trips'!$A$43:$I$46, 3,FALSE)=VLOOKUP(Z$1,'40Trips'!$A$3:$I$42,3,FALSE)),1,0)</f>
        <v>0</v>
      </c>
      <c r="AA90">
        <f>IF(AND(gamma!Z8=1, VLOOKUP($A90,'40Trips'!$A$43:$I$46, 3,FALSE)=VLOOKUP(AA$1,'40Trips'!$A$3:$I$42,3,FALSE)),1,0)</f>
        <v>0</v>
      </c>
      <c r="AB90">
        <f>IF(AND(gamma!AA8=1, VLOOKUP($A90,'40Trips'!$A$43:$I$46, 3,FALSE)=VLOOKUP(AB$1,'40Trips'!$A$3:$I$42,3,FALSE)),1,0)</f>
        <v>0</v>
      </c>
      <c r="AC90">
        <f>IF(AND(gamma!AB8=1, VLOOKUP($A90,'40Trips'!$A$43:$I$46, 3,FALSE)=VLOOKUP(AC$1,'40Trips'!$A$3:$I$42,3,FALSE)),1,0)</f>
        <v>0</v>
      </c>
      <c r="AD90">
        <f>IF(AND(gamma!AC8=1, VLOOKUP($A90,'40Trips'!$A$43:$I$46, 3,FALSE)=VLOOKUP(AD$1,'40Trips'!$A$3:$I$42,3,FALSE)),1,0)</f>
        <v>0</v>
      </c>
      <c r="AE90">
        <f>IF(AND(gamma!AD8=1, VLOOKUP($A90,'40Trips'!$A$43:$I$46, 3,FALSE)=VLOOKUP(AE$1,'40Trips'!$A$3:$I$42,3,FALSE)),1,0)</f>
        <v>0</v>
      </c>
      <c r="AF90">
        <f>IF(AND(gamma!AE8=1, VLOOKUP($A90,'40Trips'!$A$43:$I$46, 3,FALSE)=VLOOKUP(AF$1,'40Trips'!$A$3:$I$42,3,FALSE)),1,0)</f>
        <v>0</v>
      </c>
      <c r="AG90">
        <f>IF(AND(gamma!AF8=1, VLOOKUP($A90,'40Trips'!$A$43:$I$46, 3,FALSE)=VLOOKUP(AG$1,'40Trips'!$A$3:$I$42,3,FALSE)),1,0)</f>
        <v>0</v>
      </c>
      <c r="AH90">
        <f>IF(AND(gamma!AG8=1, VLOOKUP($A90,'40Trips'!$A$43:$I$46, 3,FALSE)=VLOOKUP(AH$1,'40Trips'!$A$3:$I$42,3,FALSE)),1,0)</f>
        <v>0</v>
      </c>
      <c r="AI90">
        <f>IF(AND(gamma!AH8=1, VLOOKUP($A90,'40Trips'!$A$43:$I$46, 3,FALSE)=VLOOKUP(AI$1,'40Trips'!$A$3:$I$42,3,FALSE)),1,0)</f>
        <v>0</v>
      </c>
      <c r="AJ90">
        <f>IF(AND(gamma!AI8=1, VLOOKUP($A90,'40Trips'!$A$43:$I$46, 3,FALSE)=VLOOKUP(AJ$1,'40Trips'!$A$3:$I$42,3,FALSE)),1,0)</f>
        <v>0</v>
      </c>
      <c r="AK90">
        <f>IF(AND(gamma!AJ8=1, VLOOKUP($A90,'40Trips'!$A$43:$I$46, 3,FALSE)=VLOOKUP(AK$1,'40Trips'!$A$3:$I$42,3,FALSE)),1,0)</f>
        <v>0</v>
      </c>
      <c r="AL90">
        <f>IF(AND(gamma!AK8=1, VLOOKUP($A90,'40Trips'!$A$43:$I$46, 3,FALSE)=VLOOKUP(AL$1,'40Trips'!$A$3:$I$42,3,FALSE)),1,0)</f>
        <v>0</v>
      </c>
      <c r="AM90">
        <f>IF(AND(gamma!AL8=1, VLOOKUP($A90,'40Trips'!$A$43:$I$46, 3,FALSE)=VLOOKUP(AM$1,'40Trips'!$A$3:$I$42,3,FALSE)),1,0)</f>
        <v>0</v>
      </c>
      <c r="AN90">
        <f>IF(AND(gamma!AM8=1, VLOOKUP($A90,'40Trips'!$A$43:$I$46, 3,FALSE)=VLOOKUP(AN$1,'40Trips'!$A$3:$I$42,3,FALSE)),1,0)</f>
        <v>0</v>
      </c>
      <c r="AO90">
        <f>IF(AND(gamma!AN8=1, VLOOKUP($A90,'40Trips'!$A$43:$I$46, 3,FALSE)=VLOOKUP(AO$1,'40Trips'!$A$3:$I$42,3,FALSE)),1,0)</f>
        <v>0</v>
      </c>
      <c r="AP90">
        <f>IF(AND(gamma!AO8=1, VLOOKUP($A90,'40Trips'!$A$43:$I$46, 3,FALSE)=VLOOKUP(AP$1,'40Trips'!$A$3:$I$42,3,FALSE)),1,0)</f>
        <v>0</v>
      </c>
      <c r="AQ90">
        <f>IF(AND(gamma!AP8=1, VLOOKUP($A90,'40Trips'!$A$43:$I$46, 3,FALSE)=VLOOKUP(AQ$1,'40Trips'!$A$3:$I$42,3,FALSE)),1,0)</f>
        <v>0</v>
      </c>
    </row>
    <row r="91" spans="1:43" x14ac:dyDescent="0.25">
      <c r="A91" t="s">
        <v>67</v>
      </c>
      <c r="B91" t="s">
        <v>21</v>
      </c>
      <c r="C91">
        <v>0</v>
      </c>
      <c r="D91">
        <f>IF(AND(gamma!C9=1, VLOOKUP($A91,'40Trips'!$A$43:$I$46, 3,FALSE)=VLOOKUP(D$1,'40Trips'!$A$3:$I$42,3,FALSE)),1,0)</f>
        <v>0</v>
      </c>
      <c r="E91">
        <f>IF(AND(gamma!D9=1, VLOOKUP($A91,'40Trips'!$A$43:$I$46, 3,FALSE)=VLOOKUP(E$1,'40Trips'!$A$3:$I$42,3,FALSE)),1,0)</f>
        <v>0</v>
      </c>
      <c r="F91">
        <f>IF(AND(gamma!E9=1, VLOOKUP($A91,'40Trips'!$A$43:$I$46, 3,FALSE)=VLOOKUP(F$1,'40Trips'!$A$3:$I$42,3,FALSE)),1,0)</f>
        <v>0</v>
      </c>
      <c r="G91">
        <f>IF(AND(gamma!F9=1, VLOOKUP($A91,'40Trips'!$A$43:$I$46, 3,FALSE)=VLOOKUP(G$1,'40Trips'!$A$3:$I$42,3,FALSE)),1,0)</f>
        <v>0</v>
      </c>
      <c r="H91">
        <f>IF(AND(gamma!G9=1, VLOOKUP($A91,'40Trips'!$A$43:$I$46, 3,FALSE)=VLOOKUP(H$1,'40Trips'!$A$3:$I$42,3,FALSE)),1,0)</f>
        <v>0</v>
      </c>
      <c r="I91">
        <f>IF(AND(gamma!H9=1, VLOOKUP($A91,'40Trips'!$A$43:$I$46, 3,FALSE)=VLOOKUP(I$1,'40Trips'!$A$3:$I$42,3,FALSE)),1,0)</f>
        <v>0</v>
      </c>
      <c r="J91">
        <f>IF(AND(gamma!I9=1, VLOOKUP($A91,'40Trips'!$A$43:$I$46, 3,FALSE)=VLOOKUP(J$1,'40Trips'!$A$3:$I$42,3,FALSE)),1,0)</f>
        <v>0</v>
      </c>
      <c r="K91">
        <f>IF(AND(gamma!J9=1, VLOOKUP($A91,'40Trips'!$A$43:$I$46, 3,FALSE)=VLOOKUP(K$1,'40Trips'!$A$3:$I$42,3,FALSE)),1,0)</f>
        <v>0</v>
      </c>
      <c r="L91">
        <f>IF(AND(gamma!K9=1, VLOOKUP($A91,'40Trips'!$A$43:$I$46, 3,FALSE)=VLOOKUP(L$1,'40Trips'!$A$3:$I$42,3,FALSE)),1,0)</f>
        <v>0</v>
      </c>
      <c r="M91">
        <f>IF(AND(gamma!L9=1, VLOOKUP($A91,'40Trips'!$A$43:$I$46, 3,FALSE)=VLOOKUP(M$1,'40Trips'!$A$3:$I$42,3,FALSE)),1,0)</f>
        <v>0</v>
      </c>
      <c r="N91">
        <f>IF(AND(gamma!M9=1, VLOOKUP($A91,'40Trips'!$A$43:$I$46, 3,FALSE)=VLOOKUP(N$1,'40Trips'!$A$3:$I$42,3,FALSE)),1,0)</f>
        <v>0</v>
      </c>
      <c r="O91">
        <f>IF(AND(gamma!N9=1, VLOOKUP($A91,'40Trips'!$A$43:$I$46, 3,FALSE)=VLOOKUP(O$1,'40Trips'!$A$3:$I$42,3,FALSE)),1,0)</f>
        <v>0</v>
      </c>
      <c r="P91">
        <f>IF(AND(gamma!O9=1, VLOOKUP($A91,'40Trips'!$A$43:$I$46, 3,FALSE)=VLOOKUP(P$1,'40Trips'!$A$3:$I$42,3,FALSE)),1,0)</f>
        <v>0</v>
      </c>
      <c r="Q91">
        <f>IF(AND(gamma!P9=1, VLOOKUP($A91,'40Trips'!$A$43:$I$46, 3,FALSE)=VLOOKUP(Q$1,'40Trips'!$A$3:$I$42,3,FALSE)),1,0)</f>
        <v>0</v>
      </c>
      <c r="R91">
        <f>IF(AND(gamma!Q9=1, VLOOKUP($A91,'40Trips'!$A$43:$I$46, 3,FALSE)=VLOOKUP(R$1,'40Trips'!$A$3:$I$42,3,FALSE)),1,0)</f>
        <v>0</v>
      </c>
      <c r="S91">
        <f>IF(AND(gamma!R9=1, VLOOKUP($A91,'40Trips'!$A$43:$I$46, 3,FALSE)=VLOOKUP(S$1,'40Trips'!$A$3:$I$42,3,FALSE)),1,0)</f>
        <v>0</v>
      </c>
      <c r="T91">
        <f>IF(AND(gamma!S9=1, VLOOKUP($A91,'40Trips'!$A$43:$I$46, 3,FALSE)=VLOOKUP(T$1,'40Trips'!$A$3:$I$42,3,FALSE)),1,0)</f>
        <v>0</v>
      </c>
      <c r="U91">
        <f>IF(AND(gamma!T9=1, VLOOKUP($A91,'40Trips'!$A$43:$I$46, 3,FALSE)=VLOOKUP(U$1,'40Trips'!$A$3:$I$42,3,FALSE)),1,0)</f>
        <v>0</v>
      </c>
      <c r="V91">
        <f>IF(AND(gamma!U9=1, VLOOKUP($A91,'40Trips'!$A$43:$I$46, 3,FALSE)=VLOOKUP(V$1,'40Trips'!$A$3:$I$42,3,FALSE)),1,0)</f>
        <v>0</v>
      </c>
      <c r="W91">
        <f>IF(AND(gamma!V9=1, VLOOKUP($A91,'40Trips'!$A$43:$I$46, 3,FALSE)=VLOOKUP(W$1,'40Trips'!$A$3:$I$42,3,FALSE)),1,0)</f>
        <v>1</v>
      </c>
      <c r="X91">
        <f>IF(AND(gamma!W9=1, VLOOKUP($A91,'40Trips'!$A$43:$I$46, 3,FALSE)=VLOOKUP(X$1,'40Trips'!$A$3:$I$42,3,FALSE)),1,0)</f>
        <v>0</v>
      </c>
      <c r="Y91">
        <f>IF(AND(gamma!X9=1, VLOOKUP($A91,'40Trips'!$A$43:$I$46, 3,FALSE)=VLOOKUP(Y$1,'40Trips'!$A$3:$I$42,3,FALSE)),1,0)</f>
        <v>0</v>
      </c>
      <c r="Z91">
        <f>IF(AND(gamma!Y9=1, VLOOKUP($A91,'40Trips'!$A$43:$I$46, 3,FALSE)=VLOOKUP(Z$1,'40Trips'!$A$3:$I$42,3,FALSE)),1,0)</f>
        <v>0</v>
      </c>
      <c r="AA91">
        <f>IF(AND(gamma!Z9=1, VLOOKUP($A91,'40Trips'!$A$43:$I$46, 3,FALSE)=VLOOKUP(AA$1,'40Trips'!$A$3:$I$42,3,FALSE)),1,0)</f>
        <v>0</v>
      </c>
      <c r="AB91">
        <f>IF(AND(gamma!AA9=1, VLOOKUP($A91,'40Trips'!$A$43:$I$46, 3,FALSE)=VLOOKUP(AB$1,'40Trips'!$A$3:$I$42,3,FALSE)),1,0)</f>
        <v>0</v>
      </c>
      <c r="AC91">
        <f>IF(AND(gamma!AB9=1, VLOOKUP($A91,'40Trips'!$A$43:$I$46, 3,FALSE)=VLOOKUP(AC$1,'40Trips'!$A$3:$I$42,3,FALSE)),1,0)</f>
        <v>0</v>
      </c>
      <c r="AD91">
        <f>IF(AND(gamma!AC9=1, VLOOKUP($A91,'40Trips'!$A$43:$I$46, 3,FALSE)=VLOOKUP(AD$1,'40Trips'!$A$3:$I$42,3,FALSE)),1,0)</f>
        <v>0</v>
      </c>
      <c r="AE91">
        <f>IF(AND(gamma!AD9=1, VLOOKUP($A91,'40Trips'!$A$43:$I$46, 3,FALSE)=VLOOKUP(AE$1,'40Trips'!$A$3:$I$42,3,FALSE)),1,0)</f>
        <v>0</v>
      </c>
      <c r="AF91">
        <f>IF(AND(gamma!AE9=1, VLOOKUP($A91,'40Trips'!$A$43:$I$46, 3,FALSE)=VLOOKUP(AF$1,'40Trips'!$A$3:$I$42,3,FALSE)),1,0)</f>
        <v>0</v>
      </c>
      <c r="AG91">
        <f>IF(AND(gamma!AF9=1, VLOOKUP($A91,'40Trips'!$A$43:$I$46, 3,FALSE)=VLOOKUP(AG$1,'40Trips'!$A$3:$I$42,3,FALSE)),1,0)</f>
        <v>0</v>
      </c>
      <c r="AH91">
        <f>IF(AND(gamma!AG9=1, VLOOKUP($A91,'40Trips'!$A$43:$I$46, 3,FALSE)=VLOOKUP(AH$1,'40Trips'!$A$3:$I$42,3,FALSE)),1,0)</f>
        <v>0</v>
      </c>
      <c r="AI91">
        <f>IF(AND(gamma!AH9=1, VLOOKUP($A91,'40Trips'!$A$43:$I$46, 3,FALSE)=VLOOKUP(AI$1,'40Trips'!$A$3:$I$42,3,FALSE)),1,0)</f>
        <v>0</v>
      </c>
      <c r="AJ91">
        <f>IF(AND(gamma!AI9=1, VLOOKUP($A91,'40Trips'!$A$43:$I$46, 3,FALSE)=VLOOKUP(AJ$1,'40Trips'!$A$3:$I$42,3,FALSE)),1,0)</f>
        <v>0</v>
      </c>
      <c r="AK91">
        <f>IF(AND(gamma!AJ9=1, VLOOKUP($A91,'40Trips'!$A$43:$I$46, 3,FALSE)=VLOOKUP(AK$1,'40Trips'!$A$3:$I$42,3,FALSE)),1,0)</f>
        <v>0</v>
      </c>
      <c r="AL91">
        <f>IF(AND(gamma!AK9=1, VLOOKUP($A91,'40Trips'!$A$43:$I$46, 3,FALSE)=VLOOKUP(AL$1,'40Trips'!$A$3:$I$42,3,FALSE)),1,0)</f>
        <v>0</v>
      </c>
      <c r="AM91">
        <f>IF(AND(gamma!AL9=1, VLOOKUP($A91,'40Trips'!$A$43:$I$46, 3,FALSE)=VLOOKUP(AM$1,'40Trips'!$A$3:$I$42,3,FALSE)),1,0)</f>
        <v>0</v>
      </c>
      <c r="AN91">
        <f>IF(AND(gamma!AM9=1, VLOOKUP($A91,'40Trips'!$A$43:$I$46, 3,FALSE)=VLOOKUP(AN$1,'40Trips'!$A$3:$I$42,3,FALSE)),1,0)</f>
        <v>0</v>
      </c>
      <c r="AO91">
        <f>IF(AND(gamma!AN9=1, VLOOKUP($A91,'40Trips'!$A$43:$I$46, 3,FALSE)=VLOOKUP(AO$1,'40Trips'!$A$3:$I$42,3,FALSE)),1,0)</f>
        <v>0</v>
      </c>
      <c r="AP91">
        <f>IF(AND(gamma!AO9=1, VLOOKUP($A91,'40Trips'!$A$43:$I$46, 3,FALSE)=VLOOKUP(AP$1,'40Trips'!$A$3:$I$42,3,FALSE)),1,0)</f>
        <v>0</v>
      </c>
      <c r="AQ91">
        <f>IF(AND(gamma!AP9=1, VLOOKUP($A91,'40Trips'!$A$43:$I$46, 3,FALSE)=VLOOKUP(AQ$1,'40Trips'!$A$3:$I$42,3,FALSE)),1,0)</f>
        <v>0</v>
      </c>
    </row>
    <row r="92" spans="1:43" x14ac:dyDescent="0.25">
      <c r="A92" t="s">
        <v>67</v>
      </c>
      <c r="B92" t="s">
        <v>22</v>
      </c>
      <c r="C92">
        <v>0</v>
      </c>
      <c r="D92">
        <f>IF(AND(gamma!C10=1, VLOOKUP($A92,'40Trips'!$A$43:$I$46, 3,FALSE)=VLOOKUP(D$1,'40Trips'!$A$3:$I$42,3,FALSE)),1,0)</f>
        <v>0</v>
      </c>
      <c r="E92">
        <f>IF(AND(gamma!D10=1, VLOOKUP($A92,'40Trips'!$A$43:$I$46, 3,FALSE)=VLOOKUP(E$1,'40Trips'!$A$3:$I$42,3,FALSE)),1,0)</f>
        <v>0</v>
      </c>
      <c r="F92">
        <f>IF(AND(gamma!E10=1, VLOOKUP($A92,'40Trips'!$A$43:$I$46, 3,FALSE)=VLOOKUP(F$1,'40Trips'!$A$3:$I$42,3,FALSE)),1,0)</f>
        <v>0</v>
      </c>
      <c r="G92">
        <f>IF(AND(gamma!F10=1, VLOOKUP($A92,'40Trips'!$A$43:$I$46, 3,FALSE)=VLOOKUP(G$1,'40Trips'!$A$3:$I$42,3,FALSE)),1,0)</f>
        <v>0</v>
      </c>
      <c r="H92">
        <f>IF(AND(gamma!G10=1, VLOOKUP($A92,'40Trips'!$A$43:$I$46, 3,FALSE)=VLOOKUP(H$1,'40Trips'!$A$3:$I$42,3,FALSE)),1,0)</f>
        <v>0</v>
      </c>
      <c r="I92">
        <f>IF(AND(gamma!H10=1, VLOOKUP($A92,'40Trips'!$A$43:$I$46, 3,FALSE)=VLOOKUP(I$1,'40Trips'!$A$3:$I$42,3,FALSE)),1,0)</f>
        <v>0</v>
      </c>
      <c r="J92">
        <f>IF(AND(gamma!I10=1, VLOOKUP($A92,'40Trips'!$A$43:$I$46, 3,FALSE)=VLOOKUP(J$1,'40Trips'!$A$3:$I$42,3,FALSE)),1,0)</f>
        <v>0</v>
      </c>
      <c r="K92">
        <f>IF(AND(gamma!J10=1, VLOOKUP($A92,'40Trips'!$A$43:$I$46, 3,FALSE)=VLOOKUP(K$1,'40Trips'!$A$3:$I$42,3,FALSE)),1,0)</f>
        <v>0</v>
      </c>
      <c r="L92">
        <f>IF(AND(gamma!K10=1, VLOOKUP($A92,'40Trips'!$A$43:$I$46, 3,FALSE)=VLOOKUP(L$1,'40Trips'!$A$3:$I$42,3,FALSE)),1,0)</f>
        <v>0</v>
      </c>
      <c r="M92">
        <f>IF(AND(gamma!L10=1, VLOOKUP($A92,'40Trips'!$A$43:$I$46, 3,FALSE)=VLOOKUP(M$1,'40Trips'!$A$3:$I$42,3,FALSE)),1,0)</f>
        <v>0</v>
      </c>
      <c r="N92">
        <f>IF(AND(gamma!M10=1, VLOOKUP($A92,'40Trips'!$A$43:$I$46, 3,FALSE)=VLOOKUP(N$1,'40Trips'!$A$3:$I$42,3,FALSE)),1,0)</f>
        <v>0</v>
      </c>
      <c r="O92">
        <f>IF(AND(gamma!N10=1, VLOOKUP($A92,'40Trips'!$A$43:$I$46, 3,FALSE)=VLOOKUP(O$1,'40Trips'!$A$3:$I$42,3,FALSE)),1,0)</f>
        <v>0</v>
      </c>
      <c r="P92">
        <f>IF(AND(gamma!O10=1, VLOOKUP($A92,'40Trips'!$A$43:$I$46, 3,FALSE)=VLOOKUP(P$1,'40Trips'!$A$3:$I$42,3,FALSE)),1,0)</f>
        <v>0</v>
      </c>
      <c r="Q92">
        <f>IF(AND(gamma!P10=1, VLOOKUP($A92,'40Trips'!$A$43:$I$46, 3,FALSE)=VLOOKUP(Q$1,'40Trips'!$A$3:$I$42,3,FALSE)),1,0)</f>
        <v>0</v>
      </c>
      <c r="R92">
        <f>IF(AND(gamma!Q10=1, VLOOKUP($A92,'40Trips'!$A$43:$I$46, 3,FALSE)=VLOOKUP(R$1,'40Trips'!$A$3:$I$42,3,FALSE)),1,0)</f>
        <v>0</v>
      </c>
      <c r="S92">
        <f>IF(AND(gamma!R10=1, VLOOKUP($A92,'40Trips'!$A$43:$I$46, 3,FALSE)=VLOOKUP(S$1,'40Trips'!$A$3:$I$42,3,FALSE)),1,0)</f>
        <v>0</v>
      </c>
      <c r="T92">
        <f>IF(AND(gamma!S10=1, VLOOKUP($A92,'40Trips'!$A$43:$I$46, 3,FALSE)=VLOOKUP(T$1,'40Trips'!$A$3:$I$42,3,FALSE)),1,0)</f>
        <v>0</v>
      </c>
      <c r="U92">
        <f>IF(AND(gamma!T10=1, VLOOKUP($A92,'40Trips'!$A$43:$I$46, 3,FALSE)=VLOOKUP(U$1,'40Trips'!$A$3:$I$42,3,FALSE)),1,0)</f>
        <v>0</v>
      </c>
      <c r="V92">
        <f>IF(AND(gamma!U10=1, VLOOKUP($A92,'40Trips'!$A$43:$I$46, 3,FALSE)=VLOOKUP(V$1,'40Trips'!$A$3:$I$42,3,FALSE)),1,0)</f>
        <v>0</v>
      </c>
      <c r="W92">
        <f>IF(AND(gamma!V10=1, VLOOKUP($A92,'40Trips'!$A$43:$I$46, 3,FALSE)=VLOOKUP(W$1,'40Trips'!$A$3:$I$42,3,FALSE)),1,0)</f>
        <v>0</v>
      </c>
      <c r="X92">
        <f>IF(AND(gamma!W10=1, VLOOKUP($A92,'40Trips'!$A$43:$I$46, 3,FALSE)=VLOOKUP(X$1,'40Trips'!$A$3:$I$42,3,FALSE)),1,0)</f>
        <v>0</v>
      </c>
      <c r="Y92">
        <f>IF(AND(gamma!X10=1, VLOOKUP($A92,'40Trips'!$A$43:$I$46, 3,FALSE)=VLOOKUP(Y$1,'40Trips'!$A$3:$I$42,3,FALSE)),1,0)</f>
        <v>0</v>
      </c>
      <c r="Z92">
        <f>IF(AND(gamma!Y10=1, VLOOKUP($A92,'40Trips'!$A$43:$I$46, 3,FALSE)=VLOOKUP(Z$1,'40Trips'!$A$3:$I$42,3,FALSE)),1,0)</f>
        <v>0</v>
      </c>
      <c r="AA92">
        <f>IF(AND(gamma!Z10=1, VLOOKUP($A92,'40Trips'!$A$43:$I$46, 3,FALSE)=VLOOKUP(AA$1,'40Trips'!$A$3:$I$42,3,FALSE)),1,0)</f>
        <v>0</v>
      </c>
      <c r="AB92">
        <f>IF(AND(gamma!AA10=1, VLOOKUP($A92,'40Trips'!$A$43:$I$46, 3,FALSE)=VLOOKUP(AB$1,'40Trips'!$A$3:$I$42,3,FALSE)),1,0)</f>
        <v>0</v>
      </c>
      <c r="AC92">
        <f>IF(AND(gamma!AB10=1, VLOOKUP($A92,'40Trips'!$A$43:$I$46, 3,FALSE)=VLOOKUP(AC$1,'40Trips'!$A$3:$I$42,3,FALSE)),1,0)</f>
        <v>0</v>
      </c>
      <c r="AD92">
        <f>IF(AND(gamma!AC10=1, VLOOKUP($A92,'40Trips'!$A$43:$I$46, 3,FALSE)=VLOOKUP(AD$1,'40Trips'!$A$3:$I$42,3,FALSE)),1,0)</f>
        <v>0</v>
      </c>
      <c r="AE92">
        <f>IF(AND(gamma!AD10=1, VLOOKUP($A92,'40Trips'!$A$43:$I$46, 3,FALSE)=VLOOKUP(AE$1,'40Trips'!$A$3:$I$42,3,FALSE)),1,0)</f>
        <v>0</v>
      </c>
      <c r="AF92">
        <f>IF(AND(gamma!AE10=1, VLOOKUP($A92,'40Trips'!$A$43:$I$46, 3,FALSE)=VLOOKUP(AF$1,'40Trips'!$A$3:$I$42,3,FALSE)),1,0)</f>
        <v>0</v>
      </c>
      <c r="AG92">
        <f>IF(AND(gamma!AF10=1, VLOOKUP($A92,'40Trips'!$A$43:$I$46, 3,FALSE)=VLOOKUP(AG$1,'40Trips'!$A$3:$I$42,3,FALSE)),1,0)</f>
        <v>0</v>
      </c>
      <c r="AH92">
        <f>IF(AND(gamma!AG10=1, VLOOKUP($A92,'40Trips'!$A$43:$I$46, 3,FALSE)=VLOOKUP(AH$1,'40Trips'!$A$3:$I$42,3,FALSE)),1,0)</f>
        <v>0</v>
      </c>
      <c r="AI92">
        <f>IF(AND(gamma!AH10=1, VLOOKUP($A92,'40Trips'!$A$43:$I$46, 3,FALSE)=VLOOKUP(AI$1,'40Trips'!$A$3:$I$42,3,FALSE)),1,0)</f>
        <v>0</v>
      </c>
      <c r="AJ92">
        <f>IF(AND(gamma!AI10=1, VLOOKUP($A92,'40Trips'!$A$43:$I$46, 3,FALSE)=VLOOKUP(AJ$1,'40Trips'!$A$3:$I$42,3,FALSE)),1,0)</f>
        <v>0</v>
      </c>
      <c r="AK92">
        <f>IF(AND(gamma!AJ10=1, VLOOKUP($A92,'40Trips'!$A$43:$I$46, 3,FALSE)=VLOOKUP(AK$1,'40Trips'!$A$3:$I$42,3,FALSE)),1,0)</f>
        <v>0</v>
      </c>
      <c r="AL92">
        <f>IF(AND(gamma!AK10=1, VLOOKUP($A92,'40Trips'!$A$43:$I$46, 3,FALSE)=VLOOKUP(AL$1,'40Trips'!$A$3:$I$42,3,FALSE)),1,0)</f>
        <v>0</v>
      </c>
      <c r="AM92">
        <f>IF(AND(gamma!AL10=1, VLOOKUP($A92,'40Trips'!$A$43:$I$46, 3,FALSE)=VLOOKUP(AM$1,'40Trips'!$A$3:$I$42,3,FALSE)),1,0)</f>
        <v>0</v>
      </c>
      <c r="AN92">
        <f>IF(AND(gamma!AM10=1, VLOOKUP($A92,'40Trips'!$A$43:$I$46, 3,FALSE)=VLOOKUP(AN$1,'40Trips'!$A$3:$I$42,3,FALSE)),1,0)</f>
        <v>0</v>
      </c>
      <c r="AO92">
        <f>IF(AND(gamma!AN10=1, VLOOKUP($A92,'40Trips'!$A$43:$I$46, 3,FALSE)=VLOOKUP(AO$1,'40Trips'!$A$3:$I$42,3,FALSE)),1,0)</f>
        <v>0</v>
      </c>
      <c r="AP92">
        <f>IF(AND(gamma!AO10=1, VLOOKUP($A92,'40Trips'!$A$43:$I$46, 3,FALSE)=VLOOKUP(AP$1,'40Trips'!$A$3:$I$42,3,FALSE)),1,0)</f>
        <v>0</v>
      </c>
      <c r="AQ92">
        <f>IF(AND(gamma!AP10=1, VLOOKUP($A92,'40Trips'!$A$43:$I$46, 3,FALSE)=VLOOKUP(AQ$1,'40Trips'!$A$3:$I$42,3,FALSE)),1,0)</f>
        <v>0</v>
      </c>
    </row>
    <row r="93" spans="1:43" x14ac:dyDescent="0.25">
      <c r="A93" t="s">
        <v>67</v>
      </c>
      <c r="B93" t="s">
        <v>24</v>
      </c>
      <c r="C93">
        <v>0</v>
      </c>
      <c r="D93">
        <f>IF(AND(gamma!C11=1, VLOOKUP($A93,'40Trips'!$A$43:$I$46, 3,FALSE)=VLOOKUP(D$1,'40Trips'!$A$3:$I$42,3,FALSE)),1,0)</f>
        <v>0</v>
      </c>
      <c r="E93">
        <f>IF(AND(gamma!D11=1, VLOOKUP($A93,'40Trips'!$A$43:$I$46, 3,FALSE)=VLOOKUP(E$1,'40Trips'!$A$3:$I$42,3,FALSE)),1,0)</f>
        <v>0</v>
      </c>
      <c r="F93">
        <f>IF(AND(gamma!E11=1, VLOOKUP($A93,'40Trips'!$A$43:$I$46, 3,FALSE)=VLOOKUP(F$1,'40Trips'!$A$3:$I$42,3,FALSE)),1,0)</f>
        <v>0</v>
      </c>
      <c r="G93">
        <f>IF(AND(gamma!F11=1, VLOOKUP($A93,'40Trips'!$A$43:$I$46, 3,FALSE)=VLOOKUP(G$1,'40Trips'!$A$3:$I$42,3,FALSE)),1,0)</f>
        <v>0</v>
      </c>
      <c r="H93">
        <f>IF(AND(gamma!G11=1, VLOOKUP($A93,'40Trips'!$A$43:$I$46, 3,FALSE)=VLOOKUP(H$1,'40Trips'!$A$3:$I$42,3,FALSE)),1,0)</f>
        <v>0</v>
      </c>
      <c r="I93">
        <f>IF(AND(gamma!H11=1, VLOOKUP($A93,'40Trips'!$A$43:$I$46, 3,FALSE)=VLOOKUP(I$1,'40Trips'!$A$3:$I$42,3,FALSE)),1,0)</f>
        <v>0</v>
      </c>
      <c r="J93">
        <f>IF(AND(gamma!I11=1, VLOOKUP($A93,'40Trips'!$A$43:$I$46, 3,FALSE)=VLOOKUP(J$1,'40Trips'!$A$3:$I$42,3,FALSE)),1,0)</f>
        <v>0</v>
      </c>
      <c r="K93">
        <f>IF(AND(gamma!J11=1, VLOOKUP($A93,'40Trips'!$A$43:$I$46, 3,FALSE)=VLOOKUP(K$1,'40Trips'!$A$3:$I$42,3,FALSE)),1,0)</f>
        <v>0</v>
      </c>
      <c r="L93">
        <f>IF(AND(gamma!K11=1, VLOOKUP($A93,'40Trips'!$A$43:$I$46, 3,FALSE)=VLOOKUP(L$1,'40Trips'!$A$3:$I$42,3,FALSE)),1,0)</f>
        <v>0</v>
      </c>
      <c r="M93">
        <f>IF(AND(gamma!L11=1, VLOOKUP($A93,'40Trips'!$A$43:$I$46, 3,FALSE)=VLOOKUP(M$1,'40Trips'!$A$3:$I$42,3,FALSE)),1,0)</f>
        <v>0</v>
      </c>
      <c r="N93">
        <f>IF(AND(gamma!M11=1, VLOOKUP($A93,'40Trips'!$A$43:$I$46, 3,FALSE)=VLOOKUP(N$1,'40Trips'!$A$3:$I$42,3,FALSE)),1,0)</f>
        <v>0</v>
      </c>
      <c r="O93">
        <f>IF(AND(gamma!N11=1, VLOOKUP($A93,'40Trips'!$A$43:$I$46, 3,FALSE)=VLOOKUP(O$1,'40Trips'!$A$3:$I$42,3,FALSE)),1,0)</f>
        <v>0</v>
      </c>
      <c r="P93">
        <f>IF(AND(gamma!O11=1, VLOOKUP($A93,'40Trips'!$A$43:$I$46, 3,FALSE)=VLOOKUP(P$1,'40Trips'!$A$3:$I$42,3,FALSE)),1,0)</f>
        <v>0</v>
      </c>
      <c r="Q93">
        <f>IF(AND(gamma!P11=1, VLOOKUP($A93,'40Trips'!$A$43:$I$46, 3,FALSE)=VLOOKUP(Q$1,'40Trips'!$A$3:$I$42,3,FALSE)),1,0)</f>
        <v>1</v>
      </c>
      <c r="R93">
        <f>IF(AND(gamma!Q11=1, VLOOKUP($A93,'40Trips'!$A$43:$I$46, 3,FALSE)=VLOOKUP(R$1,'40Trips'!$A$3:$I$42,3,FALSE)),1,0)</f>
        <v>1</v>
      </c>
      <c r="S93">
        <f>IF(AND(gamma!R11=1, VLOOKUP($A93,'40Trips'!$A$43:$I$46, 3,FALSE)=VLOOKUP(S$1,'40Trips'!$A$3:$I$42,3,FALSE)),1,0)</f>
        <v>1</v>
      </c>
      <c r="T93">
        <f>IF(AND(gamma!S11=1, VLOOKUP($A93,'40Trips'!$A$43:$I$46, 3,FALSE)=VLOOKUP(T$1,'40Trips'!$A$3:$I$42,3,FALSE)),1,0)</f>
        <v>0</v>
      </c>
      <c r="U93">
        <f>IF(AND(gamma!T11=1, VLOOKUP($A93,'40Trips'!$A$43:$I$46, 3,FALSE)=VLOOKUP(U$1,'40Trips'!$A$3:$I$42,3,FALSE)),1,0)</f>
        <v>0</v>
      </c>
      <c r="V93">
        <f>IF(AND(gamma!U11=1, VLOOKUP($A93,'40Trips'!$A$43:$I$46, 3,FALSE)=VLOOKUP(V$1,'40Trips'!$A$3:$I$42,3,FALSE)),1,0)</f>
        <v>1</v>
      </c>
      <c r="W93">
        <f>IF(AND(gamma!V11=1, VLOOKUP($A93,'40Trips'!$A$43:$I$46, 3,FALSE)=VLOOKUP(W$1,'40Trips'!$A$3:$I$42,3,FALSE)),1,0)</f>
        <v>1</v>
      </c>
      <c r="X93">
        <f>IF(AND(gamma!W11=1, VLOOKUP($A93,'40Trips'!$A$43:$I$46, 3,FALSE)=VLOOKUP(X$1,'40Trips'!$A$3:$I$42,3,FALSE)),1,0)</f>
        <v>0</v>
      </c>
      <c r="Y93">
        <f>IF(AND(gamma!X11=1, VLOOKUP($A93,'40Trips'!$A$43:$I$46, 3,FALSE)=VLOOKUP(Y$1,'40Trips'!$A$3:$I$42,3,FALSE)),1,0)</f>
        <v>0</v>
      </c>
      <c r="Z93">
        <f>IF(AND(gamma!Y11=1, VLOOKUP($A93,'40Trips'!$A$43:$I$46, 3,FALSE)=VLOOKUP(Z$1,'40Trips'!$A$3:$I$42,3,FALSE)),1,0)</f>
        <v>0</v>
      </c>
      <c r="AA93">
        <f>IF(AND(gamma!Z11=1, VLOOKUP($A93,'40Trips'!$A$43:$I$46, 3,FALSE)=VLOOKUP(AA$1,'40Trips'!$A$3:$I$42,3,FALSE)),1,0)</f>
        <v>0</v>
      </c>
      <c r="AB93">
        <f>IF(AND(gamma!AA11=1, VLOOKUP($A93,'40Trips'!$A$43:$I$46, 3,FALSE)=VLOOKUP(AB$1,'40Trips'!$A$3:$I$42,3,FALSE)),1,0)</f>
        <v>0</v>
      </c>
      <c r="AC93">
        <f>IF(AND(gamma!AB11=1, VLOOKUP($A93,'40Trips'!$A$43:$I$46, 3,FALSE)=VLOOKUP(AC$1,'40Trips'!$A$3:$I$42,3,FALSE)),1,0)</f>
        <v>0</v>
      </c>
      <c r="AD93">
        <f>IF(AND(gamma!AC11=1, VLOOKUP($A93,'40Trips'!$A$43:$I$46, 3,FALSE)=VLOOKUP(AD$1,'40Trips'!$A$3:$I$42,3,FALSE)),1,0)</f>
        <v>0</v>
      </c>
      <c r="AE93">
        <f>IF(AND(gamma!AD11=1, VLOOKUP($A93,'40Trips'!$A$43:$I$46, 3,FALSE)=VLOOKUP(AE$1,'40Trips'!$A$3:$I$42,3,FALSE)),1,0)</f>
        <v>0</v>
      </c>
      <c r="AF93">
        <f>IF(AND(gamma!AE11=1, VLOOKUP($A93,'40Trips'!$A$43:$I$46, 3,FALSE)=VLOOKUP(AF$1,'40Trips'!$A$3:$I$42,3,FALSE)),1,0)</f>
        <v>0</v>
      </c>
      <c r="AG93">
        <f>IF(AND(gamma!AF11=1, VLOOKUP($A93,'40Trips'!$A$43:$I$46, 3,FALSE)=VLOOKUP(AG$1,'40Trips'!$A$3:$I$42,3,FALSE)),1,0)</f>
        <v>0</v>
      </c>
      <c r="AH93">
        <f>IF(AND(gamma!AG11=1, VLOOKUP($A93,'40Trips'!$A$43:$I$46, 3,FALSE)=VLOOKUP(AH$1,'40Trips'!$A$3:$I$42,3,FALSE)),1,0)</f>
        <v>0</v>
      </c>
      <c r="AI93">
        <f>IF(AND(gamma!AH11=1, VLOOKUP($A93,'40Trips'!$A$43:$I$46, 3,FALSE)=VLOOKUP(AI$1,'40Trips'!$A$3:$I$42,3,FALSE)),1,0)</f>
        <v>0</v>
      </c>
      <c r="AJ93">
        <f>IF(AND(gamma!AI11=1, VLOOKUP($A93,'40Trips'!$A$43:$I$46, 3,FALSE)=VLOOKUP(AJ$1,'40Trips'!$A$3:$I$42,3,FALSE)),1,0)</f>
        <v>0</v>
      </c>
      <c r="AK93">
        <f>IF(AND(gamma!AJ11=1, VLOOKUP($A93,'40Trips'!$A$43:$I$46, 3,FALSE)=VLOOKUP(AK$1,'40Trips'!$A$3:$I$42,3,FALSE)),1,0)</f>
        <v>0</v>
      </c>
      <c r="AL93">
        <f>IF(AND(gamma!AK11=1, VLOOKUP($A93,'40Trips'!$A$43:$I$46, 3,FALSE)=VLOOKUP(AL$1,'40Trips'!$A$3:$I$42,3,FALSE)),1,0)</f>
        <v>0</v>
      </c>
      <c r="AM93">
        <f>IF(AND(gamma!AL11=1, VLOOKUP($A93,'40Trips'!$A$43:$I$46, 3,FALSE)=VLOOKUP(AM$1,'40Trips'!$A$3:$I$42,3,FALSE)),1,0)</f>
        <v>0</v>
      </c>
      <c r="AN93">
        <f>IF(AND(gamma!AM11=1, VLOOKUP($A93,'40Trips'!$A$43:$I$46, 3,FALSE)=VLOOKUP(AN$1,'40Trips'!$A$3:$I$42,3,FALSE)),1,0)</f>
        <v>0</v>
      </c>
      <c r="AO93">
        <f>IF(AND(gamma!AN11=1, VLOOKUP($A93,'40Trips'!$A$43:$I$46, 3,FALSE)=VLOOKUP(AO$1,'40Trips'!$A$3:$I$42,3,FALSE)),1,0)</f>
        <v>0</v>
      </c>
      <c r="AP93">
        <f>IF(AND(gamma!AO11=1, VLOOKUP($A93,'40Trips'!$A$43:$I$46, 3,FALSE)=VLOOKUP(AP$1,'40Trips'!$A$3:$I$42,3,FALSE)),1,0)</f>
        <v>0</v>
      </c>
      <c r="AQ93">
        <f>IF(AND(gamma!AP11=1, VLOOKUP($A93,'40Trips'!$A$43:$I$46, 3,FALSE)=VLOOKUP(AQ$1,'40Trips'!$A$3:$I$42,3,FALSE)),1,0)</f>
        <v>0</v>
      </c>
    </row>
    <row r="94" spans="1:43" x14ac:dyDescent="0.25">
      <c r="A94" t="s">
        <v>67</v>
      </c>
      <c r="B94" t="s">
        <v>73</v>
      </c>
      <c r="C94">
        <v>0</v>
      </c>
      <c r="D94">
        <f>IF(AND(gamma!C12=1, VLOOKUP($A94,'40Trips'!$A$43:$I$46, 3,FALSE)=VLOOKUP(D$1,'40Trips'!$A$3:$I$42,3,FALSE)),1,0)</f>
        <v>0</v>
      </c>
      <c r="E94">
        <f>IF(AND(gamma!D12=1, VLOOKUP($A94,'40Trips'!$A$43:$I$46, 3,FALSE)=VLOOKUP(E$1,'40Trips'!$A$3:$I$42,3,FALSE)),1,0)</f>
        <v>0</v>
      </c>
      <c r="F94">
        <f>IF(AND(gamma!E12=1, VLOOKUP($A94,'40Trips'!$A$43:$I$46, 3,FALSE)=VLOOKUP(F$1,'40Trips'!$A$3:$I$42,3,FALSE)),1,0)</f>
        <v>0</v>
      </c>
      <c r="G94">
        <f>IF(AND(gamma!F12=1, VLOOKUP($A94,'40Trips'!$A$43:$I$46, 3,FALSE)=VLOOKUP(G$1,'40Trips'!$A$3:$I$42,3,FALSE)),1,0)</f>
        <v>0</v>
      </c>
      <c r="H94">
        <f>IF(AND(gamma!G12=1, VLOOKUP($A94,'40Trips'!$A$43:$I$46, 3,FALSE)=VLOOKUP(H$1,'40Trips'!$A$3:$I$42,3,FALSE)),1,0)</f>
        <v>0</v>
      </c>
      <c r="I94">
        <f>IF(AND(gamma!H12=1, VLOOKUP($A94,'40Trips'!$A$43:$I$46, 3,FALSE)=VLOOKUP(I$1,'40Trips'!$A$3:$I$42,3,FALSE)),1,0)</f>
        <v>0</v>
      </c>
      <c r="J94">
        <f>IF(AND(gamma!I12=1, VLOOKUP($A94,'40Trips'!$A$43:$I$46, 3,FALSE)=VLOOKUP(J$1,'40Trips'!$A$3:$I$42,3,FALSE)),1,0)</f>
        <v>0</v>
      </c>
      <c r="K94">
        <f>IF(AND(gamma!J12=1, VLOOKUP($A94,'40Trips'!$A$43:$I$46, 3,FALSE)=VLOOKUP(K$1,'40Trips'!$A$3:$I$42,3,FALSE)),1,0)</f>
        <v>0</v>
      </c>
      <c r="L94">
        <f>IF(AND(gamma!K12=1, VLOOKUP($A94,'40Trips'!$A$43:$I$46, 3,FALSE)=VLOOKUP(L$1,'40Trips'!$A$3:$I$42,3,FALSE)),1,0)</f>
        <v>0</v>
      </c>
      <c r="M94">
        <f>IF(AND(gamma!L12=1, VLOOKUP($A94,'40Trips'!$A$43:$I$46, 3,FALSE)=VLOOKUP(M$1,'40Trips'!$A$3:$I$42,3,FALSE)),1,0)</f>
        <v>0</v>
      </c>
      <c r="N94">
        <f>IF(AND(gamma!M12=1, VLOOKUP($A94,'40Trips'!$A$43:$I$46, 3,FALSE)=VLOOKUP(N$1,'40Trips'!$A$3:$I$42,3,FALSE)),1,0)</f>
        <v>0</v>
      </c>
      <c r="O94">
        <f>IF(AND(gamma!N12=1, VLOOKUP($A94,'40Trips'!$A$43:$I$46, 3,FALSE)=VLOOKUP(O$1,'40Trips'!$A$3:$I$42,3,FALSE)),1,0)</f>
        <v>0</v>
      </c>
      <c r="P94">
        <f>IF(AND(gamma!O12=1, VLOOKUP($A94,'40Trips'!$A$43:$I$46, 3,FALSE)=VLOOKUP(P$1,'40Trips'!$A$3:$I$42,3,FALSE)),1,0)</f>
        <v>0</v>
      </c>
      <c r="Q94">
        <f>IF(AND(gamma!P12=1, VLOOKUP($A94,'40Trips'!$A$43:$I$46, 3,FALSE)=VLOOKUP(Q$1,'40Trips'!$A$3:$I$42,3,FALSE)),1,0)</f>
        <v>0</v>
      </c>
      <c r="R94">
        <f>IF(AND(gamma!Q12=1, VLOOKUP($A94,'40Trips'!$A$43:$I$46, 3,FALSE)=VLOOKUP(R$1,'40Trips'!$A$3:$I$42,3,FALSE)),1,0)</f>
        <v>1</v>
      </c>
      <c r="S94">
        <f>IF(AND(gamma!R12=1, VLOOKUP($A94,'40Trips'!$A$43:$I$46, 3,FALSE)=VLOOKUP(S$1,'40Trips'!$A$3:$I$42,3,FALSE)),1,0)</f>
        <v>1</v>
      </c>
      <c r="T94">
        <f>IF(AND(gamma!S12=1, VLOOKUP($A94,'40Trips'!$A$43:$I$46, 3,FALSE)=VLOOKUP(T$1,'40Trips'!$A$3:$I$42,3,FALSE)),1,0)</f>
        <v>0</v>
      </c>
      <c r="U94">
        <f>IF(AND(gamma!T12=1, VLOOKUP($A94,'40Trips'!$A$43:$I$46, 3,FALSE)=VLOOKUP(U$1,'40Trips'!$A$3:$I$42,3,FALSE)),1,0)</f>
        <v>0</v>
      </c>
      <c r="V94">
        <f>IF(AND(gamma!U12=1, VLOOKUP($A94,'40Trips'!$A$43:$I$46, 3,FALSE)=VLOOKUP(V$1,'40Trips'!$A$3:$I$42,3,FALSE)),1,0)</f>
        <v>1</v>
      </c>
      <c r="W94">
        <f>IF(AND(gamma!V12=1, VLOOKUP($A94,'40Trips'!$A$43:$I$46, 3,FALSE)=VLOOKUP(W$1,'40Trips'!$A$3:$I$42,3,FALSE)),1,0)</f>
        <v>1</v>
      </c>
      <c r="X94">
        <f>IF(AND(gamma!W12=1, VLOOKUP($A94,'40Trips'!$A$43:$I$46, 3,FALSE)=VLOOKUP(X$1,'40Trips'!$A$3:$I$42,3,FALSE)),1,0)</f>
        <v>0</v>
      </c>
      <c r="Y94">
        <f>IF(AND(gamma!X12=1, VLOOKUP($A94,'40Trips'!$A$43:$I$46, 3,FALSE)=VLOOKUP(Y$1,'40Trips'!$A$3:$I$42,3,FALSE)),1,0)</f>
        <v>0</v>
      </c>
      <c r="Z94">
        <f>IF(AND(gamma!Y12=1, VLOOKUP($A94,'40Trips'!$A$43:$I$46, 3,FALSE)=VLOOKUP(Z$1,'40Trips'!$A$3:$I$42,3,FALSE)),1,0)</f>
        <v>0</v>
      </c>
      <c r="AA94">
        <f>IF(AND(gamma!Z12=1, VLOOKUP($A94,'40Trips'!$A$43:$I$46, 3,FALSE)=VLOOKUP(AA$1,'40Trips'!$A$3:$I$42,3,FALSE)),1,0)</f>
        <v>0</v>
      </c>
      <c r="AB94">
        <f>IF(AND(gamma!AA12=1, VLOOKUP($A94,'40Trips'!$A$43:$I$46, 3,FALSE)=VLOOKUP(AB$1,'40Trips'!$A$3:$I$42,3,FALSE)),1,0)</f>
        <v>0</v>
      </c>
      <c r="AC94">
        <f>IF(AND(gamma!AB12=1, VLOOKUP($A94,'40Trips'!$A$43:$I$46, 3,FALSE)=VLOOKUP(AC$1,'40Trips'!$A$3:$I$42,3,FALSE)),1,0)</f>
        <v>0</v>
      </c>
      <c r="AD94">
        <f>IF(AND(gamma!AC12=1, VLOOKUP($A94,'40Trips'!$A$43:$I$46, 3,FALSE)=VLOOKUP(AD$1,'40Trips'!$A$3:$I$42,3,FALSE)),1,0)</f>
        <v>0</v>
      </c>
      <c r="AE94">
        <f>IF(AND(gamma!AD12=1, VLOOKUP($A94,'40Trips'!$A$43:$I$46, 3,FALSE)=VLOOKUP(AE$1,'40Trips'!$A$3:$I$42,3,FALSE)),1,0)</f>
        <v>0</v>
      </c>
      <c r="AF94">
        <f>IF(AND(gamma!AE12=1, VLOOKUP($A94,'40Trips'!$A$43:$I$46, 3,FALSE)=VLOOKUP(AF$1,'40Trips'!$A$3:$I$42,3,FALSE)),1,0)</f>
        <v>0</v>
      </c>
      <c r="AG94">
        <f>IF(AND(gamma!AF12=1, VLOOKUP($A94,'40Trips'!$A$43:$I$46, 3,FALSE)=VLOOKUP(AG$1,'40Trips'!$A$3:$I$42,3,FALSE)),1,0)</f>
        <v>0</v>
      </c>
      <c r="AH94">
        <f>IF(AND(gamma!AG12=1, VLOOKUP($A94,'40Trips'!$A$43:$I$46, 3,FALSE)=VLOOKUP(AH$1,'40Trips'!$A$3:$I$42,3,FALSE)),1,0)</f>
        <v>0</v>
      </c>
      <c r="AI94">
        <f>IF(AND(gamma!AH12=1, VLOOKUP($A94,'40Trips'!$A$43:$I$46, 3,FALSE)=VLOOKUP(AI$1,'40Trips'!$A$3:$I$42,3,FALSE)),1,0)</f>
        <v>0</v>
      </c>
      <c r="AJ94">
        <f>IF(AND(gamma!AI12=1, VLOOKUP($A94,'40Trips'!$A$43:$I$46, 3,FALSE)=VLOOKUP(AJ$1,'40Trips'!$A$3:$I$42,3,FALSE)),1,0)</f>
        <v>0</v>
      </c>
      <c r="AK94">
        <f>IF(AND(gamma!AJ12=1, VLOOKUP($A94,'40Trips'!$A$43:$I$46, 3,FALSE)=VLOOKUP(AK$1,'40Trips'!$A$3:$I$42,3,FALSE)),1,0)</f>
        <v>0</v>
      </c>
      <c r="AL94">
        <f>IF(AND(gamma!AK12=1, VLOOKUP($A94,'40Trips'!$A$43:$I$46, 3,FALSE)=VLOOKUP(AL$1,'40Trips'!$A$3:$I$42,3,FALSE)),1,0)</f>
        <v>0</v>
      </c>
      <c r="AM94">
        <f>IF(AND(gamma!AL12=1, VLOOKUP($A94,'40Trips'!$A$43:$I$46, 3,FALSE)=VLOOKUP(AM$1,'40Trips'!$A$3:$I$42,3,FALSE)),1,0)</f>
        <v>0</v>
      </c>
      <c r="AN94">
        <f>IF(AND(gamma!AM12=1, VLOOKUP($A94,'40Trips'!$A$43:$I$46, 3,FALSE)=VLOOKUP(AN$1,'40Trips'!$A$3:$I$42,3,FALSE)),1,0)</f>
        <v>0</v>
      </c>
      <c r="AO94">
        <f>IF(AND(gamma!AN12=1, VLOOKUP($A94,'40Trips'!$A$43:$I$46, 3,FALSE)=VLOOKUP(AO$1,'40Trips'!$A$3:$I$42,3,FALSE)),1,0)</f>
        <v>0</v>
      </c>
      <c r="AP94">
        <f>IF(AND(gamma!AO12=1, VLOOKUP($A94,'40Trips'!$A$43:$I$46, 3,FALSE)=VLOOKUP(AP$1,'40Trips'!$A$3:$I$42,3,FALSE)),1,0)</f>
        <v>0</v>
      </c>
      <c r="AQ94">
        <f>IF(AND(gamma!AP12=1, VLOOKUP($A94,'40Trips'!$A$43:$I$46, 3,FALSE)=VLOOKUP(AQ$1,'40Trips'!$A$3:$I$42,3,FALSE)),1,0)</f>
        <v>0</v>
      </c>
    </row>
    <row r="95" spans="1:43" x14ac:dyDescent="0.25">
      <c r="A95" t="s">
        <v>67</v>
      </c>
      <c r="B95" t="s">
        <v>74</v>
      </c>
      <c r="C95">
        <v>0</v>
      </c>
      <c r="D95">
        <f>IF(AND(gamma!C13=1, VLOOKUP($A95,'40Trips'!$A$43:$I$46, 3,FALSE)=VLOOKUP(D$1,'40Trips'!$A$3:$I$42,3,FALSE)),1,0)</f>
        <v>0</v>
      </c>
      <c r="E95">
        <f>IF(AND(gamma!D13=1, VLOOKUP($A95,'40Trips'!$A$43:$I$46, 3,FALSE)=VLOOKUP(E$1,'40Trips'!$A$3:$I$42,3,FALSE)),1,0)</f>
        <v>0</v>
      </c>
      <c r="F95">
        <f>IF(AND(gamma!E13=1, VLOOKUP($A95,'40Trips'!$A$43:$I$46, 3,FALSE)=VLOOKUP(F$1,'40Trips'!$A$3:$I$42,3,FALSE)),1,0)</f>
        <v>0</v>
      </c>
      <c r="G95">
        <f>IF(AND(gamma!F13=1, VLOOKUP($A95,'40Trips'!$A$43:$I$46, 3,FALSE)=VLOOKUP(G$1,'40Trips'!$A$3:$I$42,3,FALSE)),1,0)</f>
        <v>0</v>
      </c>
      <c r="H95">
        <f>IF(AND(gamma!G13=1, VLOOKUP($A95,'40Trips'!$A$43:$I$46, 3,FALSE)=VLOOKUP(H$1,'40Trips'!$A$3:$I$42,3,FALSE)),1,0)</f>
        <v>0</v>
      </c>
      <c r="I95">
        <f>IF(AND(gamma!H13=1, VLOOKUP($A95,'40Trips'!$A$43:$I$46, 3,FALSE)=VLOOKUP(I$1,'40Trips'!$A$3:$I$42,3,FALSE)),1,0)</f>
        <v>0</v>
      </c>
      <c r="J95">
        <f>IF(AND(gamma!I13=1, VLOOKUP($A95,'40Trips'!$A$43:$I$46, 3,FALSE)=VLOOKUP(J$1,'40Trips'!$A$3:$I$42,3,FALSE)),1,0)</f>
        <v>0</v>
      </c>
      <c r="K95">
        <f>IF(AND(gamma!J13=1, VLOOKUP($A95,'40Trips'!$A$43:$I$46, 3,FALSE)=VLOOKUP(K$1,'40Trips'!$A$3:$I$42,3,FALSE)),1,0)</f>
        <v>0</v>
      </c>
      <c r="L95">
        <f>IF(AND(gamma!K13=1, VLOOKUP($A95,'40Trips'!$A$43:$I$46, 3,FALSE)=VLOOKUP(L$1,'40Trips'!$A$3:$I$42,3,FALSE)),1,0)</f>
        <v>0</v>
      </c>
      <c r="M95">
        <f>IF(AND(gamma!L13=1, VLOOKUP($A95,'40Trips'!$A$43:$I$46, 3,FALSE)=VLOOKUP(M$1,'40Trips'!$A$3:$I$42,3,FALSE)),1,0)</f>
        <v>0</v>
      </c>
      <c r="N95">
        <f>IF(AND(gamma!M13=1, VLOOKUP($A95,'40Trips'!$A$43:$I$46, 3,FALSE)=VLOOKUP(N$1,'40Trips'!$A$3:$I$42,3,FALSE)),1,0)</f>
        <v>0</v>
      </c>
      <c r="O95">
        <f>IF(AND(gamma!N13=1, VLOOKUP($A95,'40Trips'!$A$43:$I$46, 3,FALSE)=VLOOKUP(O$1,'40Trips'!$A$3:$I$42,3,FALSE)),1,0)</f>
        <v>0</v>
      </c>
      <c r="P95">
        <f>IF(AND(gamma!O13=1, VLOOKUP($A95,'40Trips'!$A$43:$I$46, 3,FALSE)=VLOOKUP(P$1,'40Trips'!$A$3:$I$42,3,FALSE)),1,0)</f>
        <v>0</v>
      </c>
      <c r="Q95">
        <f>IF(AND(gamma!P13=1, VLOOKUP($A95,'40Trips'!$A$43:$I$46, 3,FALSE)=VLOOKUP(Q$1,'40Trips'!$A$3:$I$42,3,FALSE)),1,0)</f>
        <v>0</v>
      </c>
      <c r="R95">
        <f>IF(AND(gamma!Q13=1, VLOOKUP($A95,'40Trips'!$A$43:$I$46, 3,FALSE)=VLOOKUP(R$1,'40Trips'!$A$3:$I$42,3,FALSE)),1,0)</f>
        <v>0</v>
      </c>
      <c r="S95">
        <f>IF(AND(gamma!R13=1, VLOOKUP($A95,'40Trips'!$A$43:$I$46, 3,FALSE)=VLOOKUP(S$1,'40Trips'!$A$3:$I$42,3,FALSE)),1,0)</f>
        <v>0</v>
      </c>
      <c r="T95">
        <f>IF(AND(gamma!S13=1, VLOOKUP($A95,'40Trips'!$A$43:$I$46, 3,FALSE)=VLOOKUP(T$1,'40Trips'!$A$3:$I$42,3,FALSE)),1,0)</f>
        <v>0</v>
      </c>
      <c r="U95">
        <f>IF(AND(gamma!T13=1, VLOOKUP($A95,'40Trips'!$A$43:$I$46, 3,FALSE)=VLOOKUP(U$1,'40Trips'!$A$3:$I$42,3,FALSE)),1,0)</f>
        <v>0</v>
      </c>
      <c r="V95">
        <f>IF(AND(gamma!U13=1, VLOOKUP($A95,'40Trips'!$A$43:$I$46, 3,FALSE)=VLOOKUP(V$1,'40Trips'!$A$3:$I$42,3,FALSE)),1,0)</f>
        <v>0</v>
      </c>
      <c r="W95">
        <f>IF(AND(gamma!V13=1, VLOOKUP($A95,'40Trips'!$A$43:$I$46, 3,FALSE)=VLOOKUP(W$1,'40Trips'!$A$3:$I$42,3,FALSE)),1,0)</f>
        <v>1</v>
      </c>
      <c r="X95">
        <f>IF(AND(gamma!W13=1, VLOOKUP($A95,'40Trips'!$A$43:$I$46, 3,FALSE)=VLOOKUP(X$1,'40Trips'!$A$3:$I$42,3,FALSE)),1,0)</f>
        <v>0</v>
      </c>
      <c r="Y95">
        <f>IF(AND(gamma!X13=1, VLOOKUP($A95,'40Trips'!$A$43:$I$46, 3,FALSE)=VLOOKUP(Y$1,'40Trips'!$A$3:$I$42,3,FALSE)),1,0)</f>
        <v>0</v>
      </c>
      <c r="Z95">
        <f>IF(AND(gamma!Y13=1, VLOOKUP($A95,'40Trips'!$A$43:$I$46, 3,FALSE)=VLOOKUP(Z$1,'40Trips'!$A$3:$I$42,3,FALSE)),1,0)</f>
        <v>0</v>
      </c>
      <c r="AA95">
        <f>IF(AND(gamma!Z13=1, VLOOKUP($A95,'40Trips'!$A$43:$I$46, 3,FALSE)=VLOOKUP(AA$1,'40Trips'!$A$3:$I$42,3,FALSE)),1,0)</f>
        <v>0</v>
      </c>
      <c r="AB95">
        <f>IF(AND(gamma!AA13=1, VLOOKUP($A95,'40Trips'!$A$43:$I$46, 3,FALSE)=VLOOKUP(AB$1,'40Trips'!$A$3:$I$42,3,FALSE)),1,0)</f>
        <v>0</v>
      </c>
      <c r="AC95">
        <f>IF(AND(gamma!AB13=1, VLOOKUP($A95,'40Trips'!$A$43:$I$46, 3,FALSE)=VLOOKUP(AC$1,'40Trips'!$A$3:$I$42,3,FALSE)),1,0)</f>
        <v>0</v>
      </c>
      <c r="AD95">
        <f>IF(AND(gamma!AC13=1, VLOOKUP($A95,'40Trips'!$A$43:$I$46, 3,FALSE)=VLOOKUP(AD$1,'40Trips'!$A$3:$I$42,3,FALSE)),1,0)</f>
        <v>0</v>
      </c>
      <c r="AE95">
        <f>IF(AND(gamma!AD13=1, VLOOKUP($A95,'40Trips'!$A$43:$I$46, 3,FALSE)=VLOOKUP(AE$1,'40Trips'!$A$3:$I$42,3,FALSE)),1,0)</f>
        <v>0</v>
      </c>
      <c r="AF95">
        <f>IF(AND(gamma!AE13=1, VLOOKUP($A95,'40Trips'!$A$43:$I$46, 3,FALSE)=VLOOKUP(AF$1,'40Trips'!$A$3:$I$42,3,FALSE)),1,0)</f>
        <v>0</v>
      </c>
      <c r="AG95">
        <f>IF(AND(gamma!AF13=1, VLOOKUP($A95,'40Trips'!$A$43:$I$46, 3,FALSE)=VLOOKUP(AG$1,'40Trips'!$A$3:$I$42,3,FALSE)),1,0)</f>
        <v>0</v>
      </c>
      <c r="AH95">
        <f>IF(AND(gamma!AG13=1, VLOOKUP($A95,'40Trips'!$A$43:$I$46, 3,FALSE)=VLOOKUP(AH$1,'40Trips'!$A$3:$I$42,3,FALSE)),1,0)</f>
        <v>0</v>
      </c>
      <c r="AI95">
        <f>IF(AND(gamma!AH13=1, VLOOKUP($A95,'40Trips'!$A$43:$I$46, 3,FALSE)=VLOOKUP(AI$1,'40Trips'!$A$3:$I$42,3,FALSE)),1,0)</f>
        <v>0</v>
      </c>
      <c r="AJ95">
        <f>IF(AND(gamma!AI13=1, VLOOKUP($A95,'40Trips'!$A$43:$I$46, 3,FALSE)=VLOOKUP(AJ$1,'40Trips'!$A$3:$I$42,3,FALSE)),1,0)</f>
        <v>0</v>
      </c>
      <c r="AK95">
        <f>IF(AND(gamma!AJ13=1, VLOOKUP($A95,'40Trips'!$A$43:$I$46, 3,FALSE)=VLOOKUP(AK$1,'40Trips'!$A$3:$I$42,3,FALSE)),1,0)</f>
        <v>0</v>
      </c>
      <c r="AL95">
        <f>IF(AND(gamma!AK13=1, VLOOKUP($A95,'40Trips'!$A$43:$I$46, 3,FALSE)=VLOOKUP(AL$1,'40Trips'!$A$3:$I$42,3,FALSE)),1,0)</f>
        <v>0</v>
      </c>
      <c r="AM95">
        <f>IF(AND(gamma!AL13=1, VLOOKUP($A95,'40Trips'!$A$43:$I$46, 3,FALSE)=VLOOKUP(AM$1,'40Trips'!$A$3:$I$42,3,FALSE)),1,0)</f>
        <v>0</v>
      </c>
      <c r="AN95">
        <f>IF(AND(gamma!AM13=1, VLOOKUP($A95,'40Trips'!$A$43:$I$46, 3,FALSE)=VLOOKUP(AN$1,'40Trips'!$A$3:$I$42,3,FALSE)),1,0)</f>
        <v>0</v>
      </c>
      <c r="AO95">
        <f>IF(AND(gamma!AN13=1, VLOOKUP($A95,'40Trips'!$A$43:$I$46, 3,FALSE)=VLOOKUP(AO$1,'40Trips'!$A$3:$I$42,3,FALSE)),1,0)</f>
        <v>0</v>
      </c>
      <c r="AP95">
        <f>IF(AND(gamma!AO13=1, VLOOKUP($A95,'40Trips'!$A$43:$I$46, 3,FALSE)=VLOOKUP(AP$1,'40Trips'!$A$3:$I$42,3,FALSE)),1,0)</f>
        <v>0</v>
      </c>
      <c r="AQ95">
        <f>IF(AND(gamma!AP13=1, VLOOKUP($A95,'40Trips'!$A$43:$I$46, 3,FALSE)=VLOOKUP(AQ$1,'40Trips'!$A$3:$I$42,3,FALSE)),1,0)</f>
        <v>0</v>
      </c>
    </row>
    <row r="96" spans="1:43" x14ac:dyDescent="0.25">
      <c r="A96" t="s">
        <v>67</v>
      </c>
      <c r="B96" t="s">
        <v>26</v>
      </c>
      <c r="C96">
        <v>0</v>
      </c>
      <c r="D96">
        <f>IF(AND(gamma!C14=1, VLOOKUP($A96,'40Trips'!$A$43:$I$46, 3,FALSE)=VLOOKUP(D$1,'40Trips'!$A$3:$I$42,3,FALSE)),1,0)</f>
        <v>0</v>
      </c>
      <c r="E96">
        <f>IF(AND(gamma!D14=1, VLOOKUP($A96,'40Trips'!$A$43:$I$46, 3,FALSE)=VLOOKUP(E$1,'40Trips'!$A$3:$I$42,3,FALSE)),1,0)</f>
        <v>0</v>
      </c>
      <c r="F96">
        <f>IF(AND(gamma!E14=1, VLOOKUP($A96,'40Trips'!$A$43:$I$46, 3,FALSE)=VLOOKUP(F$1,'40Trips'!$A$3:$I$42,3,FALSE)),1,0)</f>
        <v>0</v>
      </c>
      <c r="G96">
        <f>IF(AND(gamma!F14=1, VLOOKUP($A96,'40Trips'!$A$43:$I$46, 3,FALSE)=VLOOKUP(G$1,'40Trips'!$A$3:$I$42,3,FALSE)),1,0)</f>
        <v>0</v>
      </c>
      <c r="H96">
        <f>IF(AND(gamma!G14=1, VLOOKUP($A96,'40Trips'!$A$43:$I$46, 3,FALSE)=VLOOKUP(H$1,'40Trips'!$A$3:$I$42,3,FALSE)),1,0)</f>
        <v>0</v>
      </c>
      <c r="I96">
        <f>IF(AND(gamma!H14=1, VLOOKUP($A96,'40Trips'!$A$43:$I$46, 3,FALSE)=VLOOKUP(I$1,'40Trips'!$A$3:$I$42,3,FALSE)),1,0)</f>
        <v>0</v>
      </c>
      <c r="J96">
        <f>IF(AND(gamma!I14=1, VLOOKUP($A96,'40Trips'!$A$43:$I$46, 3,FALSE)=VLOOKUP(J$1,'40Trips'!$A$3:$I$42,3,FALSE)),1,0)</f>
        <v>0</v>
      </c>
      <c r="K96">
        <f>IF(AND(gamma!J14=1, VLOOKUP($A96,'40Trips'!$A$43:$I$46, 3,FALSE)=VLOOKUP(K$1,'40Trips'!$A$3:$I$42,3,FALSE)),1,0)</f>
        <v>0</v>
      </c>
      <c r="L96">
        <f>IF(AND(gamma!K14=1, VLOOKUP($A96,'40Trips'!$A$43:$I$46, 3,FALSE)=VLOOKUP(L$1,'40Trips'!$A$3:$I$42,3,FALSE)),1,0)</f>
        <v>0</v>
      </c>
      <c r="M96">
        <f>IF(AND(gamma!L14=1, VLOOKUP($A96,'40Trips'!$A$43:$I$46, 3,FALSE)=VLOOKUP(M$1,'40Trips'!$A$3:$I$42,3,FALSE)),1,0)</f>
        <v>0</v>
      </c>
      <c r="N96">
        <f>IF(AND(gamma!M14=1, VLOOKUP($A96,'40Trips'!$A$43:$I$46, 3,FALSE)=VLOOKUP(N$1,'40Trips'!$A$3:$I$42,3,FALSE)),1,0)</f>
        <v>0</v>
      </c>
      <c r="O96">
        <f>IF(AND(gamma!N14=1, VLOOKUP($A96,'40Trips'!$A$43:$I$46, 3,FALSE)=VLOOKUP(O$1,'40Trips'!$A$3:$I$42,3,FALSE)),1,0)</f>
        <v>0</v>
      </c>
      <c r="P96">
        <f>IF(AND(gamma!O14=1, VLOOKUP($A96,'40Trips'!$A$43:$I$46, 3,FALSE)=VLOOKUP(P$1,'40Trips'!$A$3:$I$42,3,FALSE)),1,0)</f>
        <v>0</v>
      </c>
      <c r="Q96">
        <f>IF(AND(gamma!P14=1, VLOOKUP($A96,'40Trips'!$A$43:$I$46, 3,FALSE)=VLOOKUP(Q$1,'40Trips'!$A$3:$I$42,3,FALSE)),1,0)</f>
        <v>1</v>
      </c>
      <c r="R96">
        <f>IF(AND(gamma!Q14=1, VLOOKUP($A96,'40Trips'!$A$43:$I$46, 3,FALSE)=VLOOKUP(R$1,'40Trips'!$A$3:$I$42,3,FALSE)),1,0)</f>
        <v>1</v>
      </c>
      <c r="S96">
        <f>IF(AND(gamma!R14=1, VLOOKUP($A96,'40Trips'!$A$43:$I$46, 3,FALSE)=VLOOKUP(S$1,'40Trips'!$A$3:$I$42,3,FALSE)),1,0)</f>
        <v>1</v>
      </c>
      <c r="T96">
        <f>IF(AND(gamma!S14=1, VLOOKUP($A96,'40Trips'!$A$43:$I$46, 3,FALSE)=VLOOKUP(T$1,'40Trips'!$A$3:$I$42,3,FALSE)),1,0)</f>
        <v>0</v>
      </c>
      <c r="U96">
        <f>IF(AND(gamma!T14=1, VLOOKUP($A96,'40Trips'!$A$43:$I$46, 3,FALSE)=VLOOKUP(U$1,'40Trips'!$A$3:$I$42,3,FALSE)),1,0)</f>
        <v>0</v>
      </c>
      <c r="V96">
        <f>IF(AND(gamma!U14=1, VLOOKUP($A96,'40Trips'!$A$43:$I$46, 3,FALSE)=VLOOKUP(V$1,'40Trips'!$A$3:$I$42,3,FALSE)),1,0)</f>
        <v>1</v>
      </c>
      <c r="W96">
        <f>IF(AND(gamma!V14=1, VLOOKUP($A96,'40Trips'!$A$43:$I$46, 3,FALSE)=VLOOKUP(W$1,'40Trips'!$A$3:$I$42,3,FALSE)),1,0)</f>
        <v>1</v>
      </c>
      <c r="X96">
        <f>IF(AND(gamma!W14=1, VLOOKUP($A96,'40Trips'!$A$43:$I$46, 3,FALSE)=VLOOKUP(X$1,'40Trips'!$A$3:$I$42,3,FALSE)),1,0)</f>
        <v>0</v>
      </c>
      <c r="Y96">
        <f>IF(AND(gamma!X14=1, VLOOKUP($A96,'40Trips'!$A$43:$I$46, 3,FALSE)=VLOOKUP(Y$1,'40Trips'!$A$3:$I$42,3,FALSE)),1,0)</f>
        <v>0</v>
      </c>
      <c r="Z96">
        <f>IF(AND(gamma!Y14=1, VLOOKUP($A96,'40Trips'!$A$43:$I$46, 3,FALSE)=VLOOKUP(Z$1,'40Trips'!$A$3:$I$42,3,FALSE)),1,0)</f>
        <v>0</v>
      </c>
      <c r="AA96">
        <f>IF(AND(gamma!Z14=1, VLOOKUP($A96,'40Trips'!$A$43:$I$46, 3,FALSE)=VLOOKUP(AA$1,'40Trips'!$A$3:$I$42,3,FALSE)),1,0)</f>
        <v>0</v>
      </c>
      <c r="AB96">
        <f>IF(AND(gamma!AA14=1, VLOOKUP($A96,'40Trips'!$A$43:$I$46, 3,FALSE)=VLOOKUP(AB$1,'40Trips'!$A$3:$I$42,3,FALSE)),1,0)</f>
        <v>0</v>
      </c>
      <c r="AC96">
        <f>IF(AND(gamma!AB14=1, VLOOKUP($A96,'40Trips'!$A$43:$I$46, 3,FALSE)=VLOOKUP(AC$1,'40Trips'!$A$3:$I$42,3,FALSE)),1,0)</f>
        <v>0</v>
      </c>
      <c r="AD96">
        <f>IF(AND(gamma!AC14=1, VLOOKUP($A96,'40Trips'!$A$43:$I$46, 3,FALSE)=VLOOKUP(AD$1,'40Trips'!$A$3:$I$42,3,FALSE)),1,0)</f>
        <v>0</v>
      </c>
      <c r="AE96">
        <f>IF(AND(gamma!AD14=1, VLOOKUP($A96,'40Trips'!$A$43:$I$46, 3,FALSE)=VLOOKUP(AE$1,'40Trips'!$A$3:$I$42,3,FALSE)),1,0)</f>
        <v>0</v>
      </c>
      <c r="AF96">
        <f>IF(AND(gamma!AE14=1, VLOOKUP($A96,'40Trips'!$A$43:$I$46, 3,FALSE)=VLOOKUP(AF$1,'40Trips'!$A$3:$I$42,3,FALSE)),1,0)</f>
        <v>0</v>
      </c>
      <c r="AG96">
        <f>IF(AND(gamma!AF14=1, VLOOKUP($A96,'40Trips'!$A$43:$I$46, 3,FALSE)=VLOOKUP(AG$1,'40Trips'!$A$3:$I$42,3,FALSE)),1,0)</f>
        <v>0</v>
      </c>
      <c r="AH96">
        <f>IF(AND(gamma!AG14=1, VLOOKUP($A96,'40Trips'!$A$43:$I$46, 3,FALSE)=VLOOKUP(AH$1,'40Trips'!$A$3:$I$42,3,FALSE)),1,0)</f>
        <v>0</v>
      </c>
      <c r="AI96">
        <f>IF(AND(gamma!AH14=1, VLOOKUP($A96,'40Trips'!$A$43:$I$46, 3,FALSE)=VLOOKUP(AI$1,'40Trips'!$A$3:$I$42,3,FALSE)),1,0)</f>
        <v>0</v>
      </c>
      <c r="AJ96">
        <f>IF(AND(gamma!AI14=1, VLOOKUP($A96,'40Trips'!$A$43:$I$46, 3,FALSE)=VLOOKUP(AJ$1,'40Trips'!$A$3:$I$42,3,FALSE)),1,0)</f>
        <v>0</v>
      </c>
      <c r="AK96">
        <f>IF(AND(gamma!AJ14=1, VLOOKUP($A96,'40Trips'!$A$43:$I$46, 3,FALSE)=VLOOKUP(AK$1,'40Trips'!$A$3:$I$42,3,FALSE)),1,0)</f>
        <v>0</v>
      </c>
      <c r="AL96">
        <f>IF(AND(gamma!AK14=1, VLOOKUP($A96,'40Trips'!$A$43:$I$46, 3,FALSE)=VLOOKUP(AL$1,'40Trips'!$A$3:$I$42,3,FALSE)),1,0)</f>
        <v>0</v>
      </c>
      <c r="AM96">
        <f>IF(AND(gamma!AL14=1, VLOOKUP($A96,'40Trips'!$A$43:$I$46, 3,FALSE)=VLOOKUP(AM$1,'40Trips'!$A$3:$I$42,3,FALSE)),1,0)</f>
        <v>0</v>
      </c>
      <c r="AN96">
        <f>IF(AND(gamma!AM14=1, VLOOKUP($A96,'40Trips'!$A$43:$I$46, 3,FALSE)=VLOOKUP(AN$1,'40Trips'!$A$3:$I$42,3,FALSE)),1,0)</f>
        <v>0</v>
      </c>
      <c r="AO96">
        <f>IF(AND(gamma!AN14=1, VLOOKUP($A96,'40Trips'!$A$43:$I$46, 3,FALSE)=VLOOKUP(AO$1,'40Trips'!$A$3:$I$42,3,FALSE)),1,0)</f>
        <v>0</v>
      </c>
      <c r="AP96">
        <f>IF(AND(gamma!AO14=1, VLOOKUP($A96,'40Trips'!$A$43:$I$46, 3,FALSE)=VLOOKUP(AP$1,'40Trips'!$A$3:$I$42,3,FALSE)),1,0)</f>
        <v>0</v>
      </c>
      <c r="AQ96">
        <f>IF(AND(gamma!AP14=1, VLOOKUP($A96,'40Trips'!$A$43:$I$46, 3,FALSE)=VLOOKUP(AQ$1,'40Trips'!$A$3:$I$42,3,FALSE)),1,0)</f>
        <v>0</v>
      </c>
    </row>
    <row r="97" spans="1:43" x14ac:dyDescent="0.25">
      <c r="A97" t="s">
        <v>67</v>
      </c>
      <c r="B97" t="s">
        <v>27</v>
      </c>
      <c r="C97">
        <v>0</v>
      </c>
      <c r="D97">
        <f>IF(AND(gamma!C15=1, VLOOKUP($A97,'40Trips'!$A$43:$I$46, 3,FALSE)=VLOOKUP(D$1,'40Trips'!$A$3:$I$42,3,FALSE)),1,0)</f>
        <v>0</v>
      </c>
      <c r="E97">
        <f>IF(AND(gamma!D15=1, VLOOKUP($A97,'40Trips'!$A$43:$I$46, 3,FALSE)=VLOOKUP(E$1,'40Trips'!$A$3:$I$42,3,FALSE)),1,0)</f>
        <v>0</v>
      </c>
      <c r="F97">
        <f>IF(AND(gamma!E15=1, VLOOKUP($A97,'40Trips'!$A$43:$I$46, 3,FALSE)=VLOOKUP(F$1,'40Trips'!$A$3:$I$42,3,FALSE)),1,0)</f>
        <v>0</v>
      </c>
      <c r="G97">
        <f>IF(AND(gamma!F15=1, VLOOKUP($A97,'40Trips'!$A$43:$I$46, 3,FALSE)=VLOOKUP(G$1,'40Trips'!$A$3:$I$42,3,FALSE)),1,0)</f>
        <v>0</v>
      </c>
      <c r="H97">
        <f>IF(AND(gamma!G15=1, VLOOKUP($A97,'40Trips'!$A$43:$I$46, 3,FALSE)=VLOOKUP(H$1,'40Trips'!$A$3:$I$42,3,FALSE)),1,0)</f>
        <v>0</v>
      </c>
      <c r="I97">
        <f>IF(AND(gamma!H15=1, VLOOKUP($A97,'40Trips'!$A$43:$I$46, 3,FALSE)=VLOOKUP(I$1,'40Trips'!$A$3:$I$42,3,FALSE)),1,0)</f>
        <v>0</v>
      </c>
      <c r="J97">
        <f>IF(AND(gamma!I15=1, VLOOKUP($A97,'40Trips'!$A$43:$I$46, 3,FALSE)=VLOOKUP(J$1,'40Trips'!$A$3:$I$42,3,FALSE)),1,0)</f>
        <v>0</v>
      </c>
      <c r="K97">
        <f>IF(AND(gamma!J15=1, VLOOKUP($A97,'40Trips'!$A$43:$I$46, 3,FALSE)=VLOOKUP(K$1,'40Trips'!$A$3:$I$42,3,FALSE)),1,0)</f>
        <v>0</v>
      </c>
      <c r="L97">
        <f>IF(AND(gamma!K15=1, VLOOKUP($A97,'40Trips'!$A$43:$I$46, 3,FALSE)=VLOOKUP(L$1,'40Trips'!$A$3:$I$42,3,FALSE)),1,0)</f>
        <v>0</v>
      </c>
      <c r="M97">
        <f>IF(AND(gamma!L15=1, VLOOKUP($A97,'40Trips'!$A$43:$I$46, 3,FALSE)=VLOOKUP(M$1,'40Trips'!$A$3:$I$42,3,FALSE)),1,0)</f>
        <v>0</v>
      </c>
      <c r="N97">
        <f>IF(AND(gamma!M15=1, VLOOKUP($A97,'40Trips'!$A$43:$I$46, 3,FALSE)=VLOOKUP(N$1,'40Trips'!$A$3:$I$42,3,FALSE)),1,0)</f>
        <v>0</v>
      </c>
      <c r="O97">
        <f>IF(AND(gamma!N15=1, VLOOKUP($A97,'40Trips'!$A$43:$I$46, 3,FALSE)=VLOOKUP(O$1,'40Trips'!$A$3:$I$42,3,FALSE)),1,0)</f>
        <v>0</v>
      </c>
      <c r="P97">
        <f>IF(AND(gamma!O15=1, VLOOKUP($A97,'40Trips'!$A$43:$I$46, 3,FALSE)=VLOOKUP(P$1,'40Trips'!$A$3:$I$42,3,FALSE)),1,0)</f>
        <v>0</v>
      </c>
      <c r="Q97">
        <f>IF(AND(gamma!P15=1, VLOOKUP($A97,'40Trips'!$A$43:$I$46, 3,FALSE)=VLOOKUP(Q$1,'40Trips'!$A$3:$I$42,3,FALSE)),1,0)</f>
        <v>0</v>
      </c>
      <c r="R97">
        <f>IF(AND(gamma!Q15=1, VLOOKUP($A97,'40Trips'!$A$43:$I$46, 3,FALSE)=VLOOKUP(R$1,'40Trips'!$A$3:$I$42,3,FALSE)),1,0)</f>
        <v>1</v>
      </c>
      <c r="S97">
        <f>IF(AND(gamma!R15=1, VLOOKUP($A97,'40Trips'!$A$43:$I$46, 3,FALSE)=VLOOKUP(S$1,'40Trips'!$A$3:$I$42,3,FALSE)),1,0)</f>
        <v>1</v>
      </c>
      <c r="T97">
        <f>IF(AND(gamma!S15=1, VLOOKUP($A97,'40Trips'!$A$43:$I$46, 3,FALSE)=VLOOKUP(T$1,'40Trips'!$A$3:$I$42,3,FALSE)),1,0)</f>
        <v>0</v>
      </c>
      <c r="U97">
        <f>IF(AND(gamma!T15=1, VLOOKUP($A97,'40Trips'!$A$43:$I$46, 3,FALSE)=VLOOKUP(U$1,'40Trips'!$A$3:$I$42,3,FALSE)),1,0)</f>
        <v>0</v>
      </c>
      <c r="V97">
        <f>IF(AND(gamma!U15=1, VLOOKUP($A97,'40Trips'!$A$43:$I$46, 3,FALSE)=VLOOKUP(V$1,'40Trips'!$A$3:$I$42,3,FALSE)),1,0)</f>
        <v>1</v>
      </c>
      <c r="W97">
        <f>IF(AND(gamma!V15=1, VLOOKUP($A97,'40Trips'!$A$43:$I$46, 3,FALSE)=VLOOKUP(W$1,'40Trips'!$A$3:$I$42,3,FALSE)),1,0)</f>
        <v>1</v>
      </c>
      <c r="X97">
        <f>IF(AND(gamma!W15=1, VLOOKUP($A97,'40Trips'!$A$43:$I$46, 3,FALSE)=VLOOKUP(X$1,'40Trips'!$A$3:$I$42,3,FALSE)),1,0)</f>
        <v>0</v>
      </c>
      <c r="Y97">
        <f>IF(AND(gamma!X15=1, VLOOKUP($A97,'40Trips'!$A$43:$I$46, 3,FALSE)=VLOOKUP(Y$1,'40Trips'!$A$3:$I$42,3,FALSE)),1,0)</f>
        <v>0</v>
      </c>
      <c r="Z97">
        <f>IF(AND(gamma!Y15=1, VLOOKUP($A97,'40Trips'!$A$43:$I$46, 3,FALSE)=VLOOKUP(Z$1,'40Trips'!$A$3:$I$42,3,FALSE)),1,0)</f>
        <v>0</v>
      </c>
      <c r="AA97">
        <f>IF(AND(gamma!Z15=1, VLOOKUP($A97,'40Trips'!$A$43:$I$46, 3,FALSE)=VLOOKUP(AA$1,'40Trips'!$A$3:$I$42,3,FALSE)),1,0)</f>
        <v>0</v>
      </c>
      <c r="AB97">
        <f>IF(AND(gamma!AA15=1, VLOOKUP($A97,'40Trips'!$A$43:$I$46, 3,FALSE)=VLOOKUP(AB$1,'40Trips'!$A$3:$I$42,3,FALSE)),1,0)</f>
        <v>0</v>
      </c>
      <c r="AC97">
        <f>IF(AND(gamma!AB15=1, VLOOKUP($A97,'40Trips'!$A$43:$I$46, 3,FALSE)=VLOOKUP(AC$1,'40Trips'!$A$3:$I$42,3,FALSE)),1,0)</f>
        <v>0</v>
      </c>
      <c r="AD97">
        <f>IF(AND(gamma!AC15=1, VLOOKUP($A97,'40Trips'!$A$43:$I$46, 3,FALSE)=VLOOKUP(AD$1,'40Trips'!$A$3:$I$42,3,FALSE)),1,0)</f>
        <v>0</v>
      </c>
      <c r="AE97">
        <f>IF(AND(gamma!AD15=1, VLOOKUP($A97,'40Trips'!$A$43:$I$46, 3,FALSE)=VLOOKUP(AE$1,'40Trips'!$A$3:$I$42,3,FALSE)),1,0)</f>
        <v>0</v>
      </c>
      <c r="AF97">
        <f>IF(AND(gamma!AE15=1, VLOOKUP($A97,'40Trips'!$A$43:$I$46, 3,FALSE)=VLOOKUP(AF$1,'40Trips'!$A$3:$I$42,3,FALSE)),1,0)</f>
        <v>0</v>
      </c>
      <c r="AG97">
        <f>IF(AND(gamma!AF15=1, VLOOKUP($A97,'40Trips'!$A$43:$I$46, 3,FALSE)=VLOOKUP(AG$1,'40Trips'!$A$3:$I$42,3,FALSE)),1,0)</f>
        <v>0</v>
      </c>
      <c r="AH97">
        <f>IF(AND(gamma!AG15=1, VLOOKUP($A97,'40Trips'!$A$43:$I$46, 3,FALSE)=VLOOKUP(AH$1,'40Trips'!$A$3:$I$42,3,FALSE)),1,0)</f>
        <v>0</v>
      </c>
      <c r="AI97">
        <f>IF(AND(gamma!AH15=1, VLOOKUP($A97,'40Trips'!$A$43:$I$46, 3,FALSE)=VLOOKUP(AI$1,'40Trips'!$A$3:$I$42,3,FALSE)),1,0)</f>
        <v>0</v>
      </c>
      <c r="AJ97">
        <f>IF(AND(gamma!AI15=1, VLOOKUP($A97,'40Trips'!$A$43:$I$46, 3,FALSE)=VLOOKUP(AJ$1,'40Trips'!$A$3:$I$42,3,FALSE)),1,0)</f>
        <v>0</v>
      </c>
      <c r="AK97">
        <f>IF(AND(gamma!AJ15=1, VLOOKUP($A97,'40Trips'!$A$43:$I$46, 3,FALSE)=VLOOKUP(AK$1,'40Trips'!$A$3:$I$42,3,FALSE)),1,0)</f>
        <v>0</v>
      </c>
      <c r="AL97">
        <f>IF(AND(gamma!AK15=1, VLOOKUP($A97,'40Trips'!$A$43:$I$46, 3,FALSE)=VLOOKUP(AL$1,'40Trips'!$A$3:$I$42,3,FALSE)),1,0)</f>
        <v>0</v>
      </c>
      <c r="AM97">
        <f>IF(AND(gamma!AL15=1, VLOOKUP($A97,'40Trips'!$A$43:$I$46, 3,FALSE)=VLOOKUP(AM$1,'40Trips'!$A$3:$I$42,3,FALSE)),1,0)</f>
        <v>0</v>
      </c>
      <c r="AN97">
        <f>IF(AND(gamma!AM15=1, VLOOKUP($A97,'40Trips'!$A$43:$I$46, 3,FALSE)=VLOOKUP(AN$1,'40Trips'!$A$3:$I$42,3,FALSE)),1,0)</f>
        <v>0</v>
      </c>
      <c r="AO97">
        <f>IF(AND(gamma!AN15=1, VLOOKUP($A97,'40Trips'!$A$43:$I$46, 3,FALSE)=VLOOKUP(AO$1,'40Trips'!$A$3:$I$42,3,FALSE)),1,0)</f>
        <v>0</v>
      </c>
      <c r="AP97">
        <f>IF(AND(gamma!AO15=1, VLOOKUP($A97,'40Trips'!$A$43:$I$46, 3,FALSE)=VLOOKUP(AP$1,'40Trips'!$A$3:$I$42,3,FALSE)),1,0)</f>
        <v>0</v>
      </c>
      <c r="AQ97">
        <f>IF(AND(gamma!AP15=1, VLOOKUP($A97,'40Trips'!$A$43:$I$46, 3,FALSE)=VLOOKUP(AQ$1,'40Trips'!$A$3:$I$42,3,FALSE)),1,0)</f>
        <v>0</v>
      </c>
    </row>
    <row r="98" spans="1:43" x14ac:dyDescent="0.25">
      <c r="A98" t="s">
        <v>67</v>
      </c>
      <c r="B98" t="s">
        <v>28</v>
      </c>
      <c r="C98">
        <v>0</v>
      </c>
      <c r="D98">
        <f>IF(AND(gamma!C16=1, VLOOKUP($A98,'40Trips'!$A$43:$I$46, 3,FALSE)=VLOOKUP(D$1,'40Trips'!$A$3:$I$42,3,FALSE)),1,0)</f>
        <v>0</v>
      </c>
      <c r="E98">
        <f>IF(AND(gamma!D16=1, VLOOKUP($A98,'40Trips'!$A$43:$I$46, 3,FALSE)=VLOOKUP(E$1,'40Trips'!$A$3:$I$42,3,FALSE)),1,0)</f>
        <v>0</v>
      </c>
      <c r="F98">
        <f>IF(AND(gamma!E16=1, VLOOKUP($A98,'40Trips'!$A$43:$I$46, 3,FALSE)=VLOOKUP(F$1,'40Trips'!$A$3:$I$42,3,FALSE)),1,0)</f>
        <v>0</v>
      </c>
      <c r="G98">
        <f>IF(AND(gamma!F16=1, VLOOKUP($A98,'40Trips'!$A$43:$I$46, 3,FALSE)=VLOOKUP(G$1,'40Trips'!$A$3:$I$42,3,FALSE)),1,0)</f>
        <v>0</v>
      </c>
      <c r="H98">
        <f>IF(AND(gamma!G16=1, VLOOKUP($A98,'40Trips'!$A$43:$I$46, 3,FALSE)=VLOOKUP(H$1,'40Trips'!$A$3:$I$42,3,FALSE)),1,0)</f>
        <v>0</v>
      </c>
      <c r="I98">
        <f>IF(AND(gamma!H16=1, VLOOKUP($A98,'40Trips'!$A$43:$I$46, 3,FALSE)=VLOOKUP(I$1,'40Trips'!$A$3:$I$42,3,FALSE)),1,0)</f>
        <v>0</v>
      </c>
      <c r="J98">
        <f>IF(AND(gamma!I16=1, VLOOKUP($A98,'40Trips'!$A$43:$I$46, 3,FALSE)=VLOOKUP(J$1,'40Trips'!$A$3:$I$42,3,FALSE)),1,0)</f>
        <v>0</v>
      </c>
      <c r="K98">
        <f>IF(AND(gamma!J16=1, VLOOKUP($A98,'40Trips'!$A$43:$I$46, 3,FALSE)=VLOOKUP(K$1,'40Trips'!$A$3:$I$42,3,FALSE)),1,0)</f>
        <v>0</v>
      </c>
      <c r="L98">
        <f>IF(AND(gamma!K16=1, VLOOKUP($A98,'40Trips'!$A$43:$I$46, 3,FALSE)=VLOOKUP(L$1,'40Trips'!$A$3:$I$42,3,FALSE)),1,0)</f>
        <v>0</v>
      </c>
      <c r="M98">
        <f>IF(AND(gamma!L16=1, VLOOKUP($A98,'40Trips'!$A$43:$I$46, 3,FALSE)=VLOOKUP(M$1,'40Trips'!$A$3:$I$42,3,FALSE)),1,0)</f>
        <v>0</v>
      </c>
      <c r="N98">
        <f>IF(AND(gamma!M16=1, VLOOKUP($A98,'40Trips'!$A$43:$I$46, 3,FALSE)=VLOOKUP(N$1,'40Trips'!$A$3:$I$42,3,FALSE)),1,0)</f>
        <v>0</v>
      </c>
      <c r="O98">
        <f>IF(AND(gamma!N16=1, VLOOKUP($A98,'40Trips'!$A$43:$I$46, 3,FALSE)=VLOOKUP(O$1,'40Trips'!$A$3:$I$42,3,FALSE)),1,0)</f>
        <v>0</v>
      </c>
      <c r="P98">
        <f>IF(AND(gamma!O16=1, VLOOKUP($A98,'40Trips'!$A$43:$I$46, 3,FALSE)=VLOOKUP(P$1,'40Trips'!$A$3:$I$42,3,FALSE)),1,0)</f>
        <v>0</v>
      </c>
      <c r="Q98">
        <f>IF(AND(gamma!P16=1, VLOOKUP($A98,'40Trips'!$A$43:$I$46, 3,FALSE)=VLOOKUP(Q$1,'40Trips'!$A$3:$I$42,3,FALSE)),1,0)</f>
        <v>0</v>
      </c>
      <c r="R98">
        <f>IF(AND(gamma!Q16=1, VLOOKUP($A98,'40Trips'!$A$43:$I$46, 3,FALSE)=VLOOKUP(R$1,'40Trips'!$A$3:$I$42,3,FALSE)),1,0)</f>
        <v>0</v>
      </c>
      <c r="S98">
        <f>IF(AND(gamma!R16=1, VLOOKUP($A98,'40Trips'!$A$43:$I$46, 3,FALSE)=VLOOKUP(S$1,'40Trips'!$A$3:$I$42,3,FALSE)),1,0)</f>
        <v>1</v>
      </c>
      <c r="T98">
        <f>IF(AND(gamma!S16=1, VLOOKUP($A98,'40Trips'!$A$43:$I$46, 3,FALSE)=VLOOKUP(T$1,'40Trips'!$A$3:$I$42,3,FALSE)),1,0)</f>
        <v>0</v>
      </c>
      <c r="U98">
        <f>IF(AND(gamma!T16=1, VLOOKUP($A98,'40Trips'!$A$43:$I$46, 3,FALSE)=VLOOKUP(U$1,'40Trips'!$A$3:$I$42,3,FALSE)),1,0)</f>
        <v>0</v>
      </c>
      <c r="V98">
        <f>IF(AND(gamma!U16=1, VLOOKUP($A98,'40Trips'!$A$43:$I$46, 3,FALSE)=VLOOKUP(V$1,'40Trips'!$A$3:$I$42,3,FALSE)),1,0)</f>
        <v>0</v>
      </c>
      <c r="W98">
        <f>IF(AND(gamma!V16=1, VLOOKUP($A98,'40Trips'!$A$43:$I$46, 3,FALSE)=VLOOKUP(W$1,'40Trips'!$A$3:$I$42,3,FALSE)),1,0)</f>
        <v>1</v>
      </c>
      <c r="X98">
        <f>IF(AND(gamma!W16=1, VLOOKUP($A98,'40Trips'!$A$43:$I$46, 3,FALSE)=VLOOKUP(X$1,'40Trips'!$A$3:$I$42,3,FALSE)),1,0)</f>
        <v>0</v>
      </c>
      <c r="Y98">
        <f>IF(AND(gamma!X16=1, VLOOKUP($A98,'40Trips'!$A$43:$I$46, 3,FALSE)=VLOOKUP(Y$1,'40Trips'!$A$3:$I$42,3,FALSE)),1,0)</f>
        <v>0</v>
      </c>
      <c r="Z98">
        <f>IF(AND(gamma!Y16=1, VLOOKUP($A98,'40Trips'!$A$43:$I$46, 3,FALSE)=VLOOKUP(Z$1,'40Trips'!$A$3:$I$42,3,FALSE)),1,0)</f>
        <v>0</v>
      </c>
      <c r="AA98">
        <f>IF(AND(gamma!Z16=1, VLOOKUP($A98,'40Trips'!$A$43:$I$46, 3,FALSE)=VLOOKUP(AA$1,'40Trips'!$A$3:$I$42,3,FALSE)),1,0)</f>
        <v>0</v>
      </c>
      <c r="AB98">
        <f>IF(AND(gamma!AA16=1, VLOOKUP($A98,'40Trips'!$A$43:$I$46, 3,FALSE)=VLOOKUP(AB$1,'40Trips'!$A$3:$I$42,3,FALSE)),1,0)</f>
        <v>0</v>
      </c>
      <c r="AC98">
        <f>IF(AND(gamma!AB16=1, VLOOKUP($A98,'40Trips'!$A$43:$I$46, 3,FALSE)=VLOOKUP(AC$1,'40Trips'!$A$3:$I$42,3,FALSE)),1,0)</f>
        <v>0</v>
      </c>
      <c r="AD98">
        <f>IF(AND(gamma!AC16=1, VLOOKUP($A98,'40Trips'!$A$43:$I$46, 3,FALSE)=VLOOKUP(AD$1,'40Trips'!$A$3:$I$42,3,FALSE)),1,0)</f>
        <v>0</v>
      </c>
      <c r="AE98">
        <f>IF(AND(gamma!AD16=1, VLOOKUP($A98,'40Trips'!$A$43:$I$46, 3,FALSE)=VLOOKUP(AE$1,'40Trips'!$A$3:$I$42,3,FALSE)),1,0)</f>
        <v>0</v>
      </c>
      <c r="AF98">
        <f>IF(AND(gamma!AE16=1, VLOOKUP($A98,'40Trips'!$A$43:$I$46, 3,FALSE)=VLOOKUP(AF$1,'40Trips'!$A$3:$I$42,3,FALSE)),1,0)</f>
        <v>0</v>
      </c>
      <c r="AG98">
        <f>IF(AND(gamma!AF16=1, VLOOKUP($A98,'40Trips'!$A$43:$I$46, 3,FALSE)=VLOOKUP(AG$1,'40Trips'!$A$3:$I$42,3,FALSE)),1,0)</f>
        <v>0</v>
      </c>
      <c r="AH98">
        <f>IF(AND(gamma!AG16=1, VLOOKUP($A98,'40Trips'!$A$43:$I$46, 3,FALSE)=VLOOKUP(AH$1,'40Trips'!$A$3:$I$42,3,FALSE)),1,0)</f>
        <v>0</v>
      </c>
      <c r="AI98">
        <f>IF(AND(gamma!AH16=1, VLOOKUP($A98,'40Trips'!$A$43:$I$46, 3,FALSE)=VLOOKUP(AI$1,'40Trips'!$A$3:$I$42,3,FALSE)),1,0)</f>
        <v>0</v>
      </c>
      <c r="AJ98">
        <f>IF(AND(gamma!AI16=1, VLOOKUP($A98,'40Trips'!$A$43:$I$46, 3,FALSE)=VLOOKUP(AJ$1,'40Trips'!$A$3:$I$42,3,FALSE)),1,0)</f>
        <v>0</v>
      </c>
      <c r="AK98">
        <f>IF(AND(gamma!AJ16=1, VLOOKUP($A98,'40Trips'!$A$43:$I$46, 3,FALSE)=VLOOKUP(AK$1,'40Trips'!$A$3:$I$42,3,FALSE)),1,0)</f>
        <v>0</v>
      </c>
      <c r="AL98">
        <f>IF(AND(gamma!AK16=1, VLOOKUP($A98,'40Trips'!$A$43:$I$46, 3,FALSE)=VLOOKUP(AL$1,'40Trips'!$A$3:$I$42,3,FALSE)),1,0)</f>
        <v>0</v>
      </c>
      <c r="AM98">
        <f>IF(AND(gamma!AL16=1, VLOOKUP($A98,'40Trips'!$A$43:$I$46, 3,FALSE)=VLOOKUP(AM$1,'40Trips'!$A$3:$I$42,3,FALSE)),1,0)</f>
        <v>0</v>
      </c>
      <c r="AN98">
        <f>IF(AND(gamma!AM16=1, VLOOKUP($A98,'40Trips'!$A$43:$I$46, 3,FALSE)=VLOOKUP(AN$1,'40Trips'!$A$3:$I$42,3,FALSE)),1,0)</f>
        <v>0</v>
      </c>
      <c r="AO98">
        <f>IF(AND(gamma!AN16=1, VLOOKUP($A98,'40Trips'!$A$43:$I$46, 3,FALSE)=VLOOKUP(AO$1,'40Trips'!$A$3:$I$42,3,FALSE)),1,0)</f>
        <v>0</v>
      </c>
      <c r="AP98">
        <f>IF(AND(gamma!AO16=1, VLOOKUP($A98,'40Trips'!$A$43:$I$46, 3,FALSE)=VLOOKUP(AP$1,'40Trips'!$A$3:$I$42,3,FALSE)),1,0)</f>
        <v>0</v>
      </c>
      <c r="AQ98">
        <f>IF(AND(gamma!AP16=1, VLOOKUP($A98,'40Trips'!$A$43:$I$46, 3,FALSE)=VLOOKUP(AQ$1,'40Trips'!$A$3:$I$42,3,FALSE)),1,0)</f>
        <v>0</v>
      </c>
    </row>
    <row r="99" spans="1:43" x14ac:dyDescent="0.25">
      <c r="A99" t="s">
        <v>67</v>
      </c>
      <c r="B99" t="s">
        <v>29</v>
      </c>
      <c r="C99">
        <v>0</v>
      </c>
      <c r="D99">
        <f>IF(AND(gamma!C17=1, VLOOKUP($A99,'40Trips'!$A$43:$I$46, 3,FALSE)=VLOOKUP(D$1,'40Trips'!$A$3:$I$42,3,FALSE)),1,0)</f>
        <v>0</v>
      </c>
      <c r="E99">
        <f>IF(AND(gamma!D17=1, VLOOKUP($A99,'40Trips'!$A$43:$I$46, 3,FALSE)=VLOOKUP(E$1,'40Trips'!$A$3:$I$42,3,FALSE)),1,0)</f>
        <v>0</v>
      </c>
      <c r="F99">
        <f>IF(AND(gamma!E17=1, VLOOKUP($A99,'40Trips'!$A$43:$I$46, 3,FALSE)=VLOOKUP(F$1,'40Trips'!$A$3:$I$42,3,FALSE)),1,0)</f>
        <v>0</v>
      </c>
      <c r="G99">
        <f>IF(AND(gamma!F17=1, VLOOKUP($A99,'40Trips'!$A$43:$I$46, 3,FALSE)=VLOOKUP(G$1,'40Trips'!$A$3:$I$42,3,FALSE)),1,0)</f>
        <v>0</v>
      </c>
      <c r="H99">
        <f>IF(AND(gamma!G17=1, VLOOKUP($A99,'40Trips'!$A$43:$I$46, 3,FALSE)=VLOOKUP(H$1,'40Trips'!$A$3:$I$42,3,FALSE)),1,0)</f>
        <v>0</v>
      </c>
      <c r="I99">
        <f>IF(AND(gamma!H17=1, VLOOKUP($A99,'40Trips'!$A$43:$I$46, 3,FALSE)=VLOOKUP(I$1,'40Trips'!$A$3:$I$42,3,FALSE)),1,0)</f>
        <v>0</v>
      </c>
      <c r="J99">
        <f>IF(AND(gamma!I17=1, VLOOKUP($A99,'40Trips'!$A$43:$I$46, 3,FALSE)=VLOOKUP(J$1,'40Trips'!$A$3:$I$42,3,FALSE)),1,0)</f>
        <v>0</v>
      </c>
      <c r="K99">
        <f>IF(AND(gamma!J17=1, VLOOKUP($A99,'40Trips'!$A$43:$I$46, 3,FALSE)=VLOOKUP(K$1,'40Trips'!$A$3:$I$42,3,FALSE)),1,0)</f>
        <v>0</v>
      </c>
      <c r="L99">
        <f>IF(AND(gamma!K17=1, VLOOKUP($A99,'40Trips'!$A$43:$I$46, 3,FALSE)=VLOOKUP(L$1,'40Trips'!$A$3:$I$42,3,FALSE)),1,0)</f>
        <v>0</v>
      </c>
      <c r="M99">
        <f>IF(AND(gamma!L17=1, VLOOKUP($A99,'40Trips'!$A$43:$I$46, 3,FALSE)=VLOOKUP(M$1,'40Trips'!$A$3:$I$42,3,FALSE)),1,0)</f>
        <v>0</v>
      </c>
      <c r="N99">
        <f>IF(AND(gamma!M17=1, VLOOKUP($A99,'40Trips'!$A$43:$I$46, 3,FALSE)=VLOOKUP(N$1,'40Trips'!$A$3:$I$42,3,FALSE)),1,0)</f>
        <v>0</v>
      </c>
      <c r="O99">
        <f>IF(AND(gamma!N17=1, VLOOKUP($A99,'40Trips'!$A$43:$I$46, 3,FALSE)=VLOOKUP(O$1,'40Trips'!$A$3:$I$42,3,FALSE)),1,0)</f>
        <v>0</v>
      </c>
      <c r="P99">
        <f>IF(AND(gamma!O17=1, VLOOKUP($A99,'40Trips'!$A$43:$I$46, 3,FALSE)=VLOOKUP(P$1,'40Trips'!$A$3:$I$42,3,FALSE)),1,0)</f>
        <v>0</v>
      </c>
      <c r="Q99">
        <f>IF(AND(gamma!P17=1, VLOOKUP($A99,'40Trips'!$A$43:$I$46, 3,FALSE)=VLOOKUP(Q$1,'40Trips'!$A$3:$I$42,3,FALSE)),1,0)</f>
        <v>0</v>
      </c>
      <c r="R99">
        <f>IF(AND(gamma!Q17=1, VLOOKUP($A99,'40Trips'!$A$43:$I$46, 3,FALSE)=VLOOKUP(R$1,'40Trips'!$A$3:$I$42,3,FALSE)),1,0)</f>
        <v>0</v>
      </c>
      <c r="S99">
        <f>IF(AND(gamma!R17=1, VLOOKUP($A99,'40Trips'!$A$43:$I$46, 3,FALSE)=VLOOKUP(S$1,'40Trips'!$A$3:$I$42,3,FALSE)),1,0)</f>
        <v>0</v>
      </c>
      <c r="T99">
        <f>IF(AND(gamma!S17=1, VLOOKUP($A99,'40Trips'!$A$43:$I$46, 3,FALSE)=VLOOKUP(T$1,'40Trips'!$A$3:$I$42,3,FALSE)),1,0)</f>
        <v>0</v>
      </c>
      <c r="U99">
        <f>IF(AND(gamma!T17=1, VLOOKUP($A99,'40Trips'!$A$43:$I$46, 3,FALSE)=VLOOKUP(U$1,'40Trips'!$A$3:$I$42,3,FALSE)),1,0)</f>
        <v>0</v>
      </c>
      <c r="V99">
        <f>IF(AND(gamma!U17=1, VLOOKUP($A99,'40Trips'!$A$43:$I$46, 3,FALSE)=VLOOKUP(V$1,'40Trips'!$A$3:$I$42,3,FALSE)),1,0)</f>
        <v>0</v>
      </c>
      <c r="W99">
        <f>IF(AND(gamma!V17=1, VLOOKUP($A99,'40Trips'!$A$43:$I$46, 3,FALSE)=VLOOKUP(W$1,'40Trips'!$A$3:$I$42,3,FALSE)),1,0)</f>
        <v>0</v>
      </c>
      <c r="X99">
        <f>IF(AND(gamma!W17=1, VLOOKUP($A99,'40Trips'!$A$43:$I$46, 3,FALSE)=VLOOKUP(X$1,'40Trips'!$A$3:$I$42,3,FALSE)),1,0)</f>
        <v>0</v>
      </c>
      <c r="Y99">
        <f>IF(AND(gamma!X17=1, VLOOKUP($A99,'40Trips'!$A$43:$I$46, 3,FALSE)=VLOOKUP(Y$1,'40Trips'!$A$3:$I$42,3,FALSE)),1,0)</f>
        <v>0</v>
      </c>
      <c r="Z99">
        <f>IF(AND(gamma!Y17=1, VLOOKUP($A99,'40Trips'!$A$43:$I$46, 3,FALSE)=VLOOKUP(Z$1,'40Trips'!$A$3:$I$42,3,FALSE)),1,0)</f>
        <v>0</v>
      </c>
      <c r="AA99">
        <f>IF(AND(gamma!Z17=1, VLOOKUP($A99,'40Trips'!$A$43:$I$46, 3,FALSE)=VLOOKUP(AA$1,'40Trips'!$A$3:$I$42,3,FALSE)),1,0)</f>
        <v>0</v>
      </c>
      <c r="AB99">
        <f>IF(AND(gamma!AA17=1, VLOOKUP($A99,'40Trips'!$A$43:$I$46, 3,FALSE)=VLOOKUP(AB$1,'40Trips'!$A$3:$I$42,3,FALSE)),1,0)</f>
        <v>0</v>
      </c>
      <c r="AC99">
        <f>IF(AND(gamma!AB17=1, VLOOKUP($A99,'40Trips'!$A$43:$I$46, 3,FALSE)=VLOOKUP(AC$1,'40Trips'!$A$3:$I$42,3,FALSE)),1,0)</f>
        <v>0</v>
      </c>
      <c r="AD99">
        <f>IF(AND(gamma!AC17=1, VLOOKUP($A99,'40Trips'!$A$43:$I$46, 3,FALSE)=VLOOKUP(AD$1,'40Trips'!$A$3:$I$42,3,FALSE)),1,0)</f>
        <v>0</v>
      </c>
      <c r="AE99">
        <f>IF(AND(gamma!AD17=1, VLOOKUP($A99,'40Trips'!$A$43:$I$46, 3,FALSE)=VLOOKUP(AE$1,'40Trips'!$A$3:$I$42,3,FALSE)),1,0)</f>
        <v>0</v>
      </c>
      <c r="AF99">
        <f>IF(AND(gamma!AE17=1, VLOOKUP($A99,'40Trips'!$A$43:$I$46, 3,FALSE)=VLOOKUP(AF$1,'40Trips'!$A$3:$I$42,3,FALSE)),1,0)</f>
        <v>0</v>
      </c>
      <c r="AG99">
        <f>IF(AND(gamma!AF17=1, VLOOKUP($A99,'40Trips'!$A$43:$I$46, 3,FALSE)=VLOOKUP(AG$1,'40Trips'!$A$3:$I$42,3,FALSE)),1,0)</f>
        <v>0</v>
      </c>
      <c r="AH99">
        <f>IF(AND(gamma!AG17=1, VLOOKUP($A99,'40Trips'!$A$43:$I$46, 3,FALSE)=VLOOKUP(AH$1,'40Trips'!$A$3:$I$42,3,FALSE)),1,0)</f>
        <v>0</v>
      </c>
      <c r="AI99">
        <f>IF(AND(gamma!AH17=1, VLOOKUP($A99,'40Trips'!$A$43:$I$46, 3,FALSE)=VLOOKUP(AI$1,'40Trips'!$A$3:$I$42,3,FALSE)),1,0)</f>
        <v>0</v>
      </c>
      <c r="AJ99">
        <f>IF(AND(gamma!AI17=1, VLOOKUP($A99,'40Trips'!$A$43:$I$46, 3,FALSE)=VLOOKUP(AJ$1,'40Trips'!$A$3:$I$42,3,FALSE)),1,0)</f>
        <v>0</v>
      </c>
      <c r="AK99">
        <f>IF(AND(gamma!AJ17=1, VLOOKUP($A99,'40Trips'!$A$43:$I$46, 3,FALSE)=VLOOKUP(AK$1,'40Trips'!$A$3:$I$42,3,FALSE)),1,0)</f>
        <v>0</v>
      </c>
      <c r="AL99">
        <f>IF(AND(gamma!AK17=1, VLOOKUP($A99,'40Trips'!$A$43:$I$46, 3,FALSE)=VLOOKUP(AL$1,'40Trips'!$A$3:$I$42,3,FALSE)),1,0)</f>
        <v>0</v>
      </c>
      <c r="AM99">
        <f>IF(AND(gamma!AL17=1, VLOOKUP($A99,'40Trips'!$A$43:$I$46, 3,FALSE)=VLOOKUP(AM$1,'40Trips'!$A$3:$I$42,3,FALSE)),1,0)</f>
        <v>0</v>
      </c>
      <c r="AN99">
        <f>IF(AND(gamma!AM17=1, VLOOKUP($A99,'40Trips'!$A$43:$I$46, 3,FALSE)=VLOOKUP(AN$1,'40Trips'!$A$3:$I$42,3,FALSE)),1,0)</f>
        <v>0</v>
      </c>
      <c r="AO99">
        <f>IF(AND(gamma!AN17=1, VLOOKUP($A99,'40Trips'!$A$43:$I$46, 3,FALSE)=VLOOKUP(AO$1,'40Trips'!$A$3:$I$42,3,FALSE)),1,0)</f>
        <v>0</v>
      </c>
      <c r="AP99">
        <f>IF(AND(gamma!AO17=1, VLOOKUP($A99,'40Trips'!$A$43:$I$46, 3,FALSE)=VLOOKUP(AP$1,'40Trips'!$A$3:$I$42,3,FALSE)),1,0)</f>
        <v>0</v>
      </c>
      <c r="AQ99">
        <f>IF(AND(gamma!AP17=1, VLOOKUP($A99,'40Trips'!$A$43:$I$46, 3,FALSE)=VLOOKUP(AQ$1,'40Trips'!$A$3:$I$42,3,FALSE)),1,0)</f>
        <v>0</v>
      </c>
    </row>
    <row r="100" spans="1:43" x14ac:dyDescent="0.25">
      <c r="A100" t="s">
        <v>67</v>
      </c>
      <c r="B100" t="s">
        <v>30</v>
      </c>
      <c r="C100">
        <v>0</v>
      </c>
      <c r="D100">
        <f>IF(AND(gamma!C18=1, VLOOKUP($A100,'40Trips'!$A$43:$I$46, 3,FALSE)=VLOOKUP(D$1,'40Trips'!$A$3:$I$42,3,FALSE)),1,0)</f>
        <v>0</v>
      </c>
      <c r="E100">
        <f>IF(AND(gamma!D18=1, VLOOKUP($A100,'40Trips'!$A$43:$I$46, 3,FALSE)=VLOOKUP(E$1,'40Trips'!$A$3:$I$42,3,FALSE)),1,0)</f>
        <v>0</v>
      </c>
      <c r="F100">
        <f>IF(AND(gamma!E18=1, VLOOKUP($A100,'40Trips'!$A$43:$I$46, 3,FALSE)=VLOOKUP(F$1,'40Trips'!$A$3:$I$42,3,FALSE)),1,0)</f>
        <v>0</v>
      </c>
      <c r="G100">
        <f>IF(AND(gamma!F18=1, VLOOKUP($A100,'40Trips'!$A$43:$I$46, 3,FALSE)=VLOOKUP(G$1,'40Trips'!$A$3:$I$42,3,FALSE)),1,0)</f>
        <v>0</v>
      </c>
      <c r="H100">
        <f>IF(AND(gamma!G18=1, VLOOKUP($A100,'40Trips'!$A$43:$I$46, 3,FALSE)=VLOOKUP(H$1,'40Trips'!$A$3:$I$42,3,FALSE)),1,0)</f>
        <v>0</v>
      </c>
      <c r="I100">
        <f>IF(AND(gamma!H18=1, VLOOKUP($A100,'40Trips'!$A$43:$I$46, 3,FALSE)=VLOOKUP(I$1,'40Trips'!$A$3:$I$42,3,FALSE)),1,0)</f>
        <v>0</v>
      </c>
      <c r="J100">
        <f>IF(AND(gamma!I18=1, VLOOKUP($A100,'40Trips'!$A$43:$I$46, 3,FALSE)=VLOOKUP(J$1,'40Trips'!$A$3:$I$42,3,FALSE)),1,0)</f>
        <v>0</v>
      </c>
      <c r="K100">
        <f>IF(AND(gamma!J18=1, VLOOKUP($A100,'40Trips'!$A$43:$I$46, 3,FALSE)=VLOOKUP(K$1,'40Trips'!$A$3:$I$42,3,FALSE)),1,0)</f>
        <v>0</v>
      </c>
      <c r="L100">
        <f>IF(AND(gamma!K18=1, VLOOKUP($A100,'40Trips'!$A$43:$I$46, 3,FALSE)=VLOOKUP(L$1,'40Trips'!$A$3:$I$42,3,FALSE)),1,0)</f>
        <v>0</v>
      </c>
      <c r="M100">
        <f>IF(AND(gamma!L18=1, VLOOKUP($A100,'40Trips'!$A$43:$I$46, 3,FALSE)=VLOOKUP(M$1,'40Trips'!$A$3:$I$42,3,FALSE)),1,0)</f>
        <v>0</v>
      </c>
      <c r="N100">
        <f>IF(AND(gamma!M18=1, VLOOKUP($A100,'40Trips'!$A$43:$I$46, 3,FALSE)=VLOOKUP(N$1,'40Trips'!$A$3:$I$42,3,FALSE)),1,0)</f>
        <v>0</v>
      </c>
      <c r="O100">
        <f>IF(AND(gamma!N18=1, VLOOKUP($A100,'40Trips'!$A$43:$I$46, 3,FALSE)=VLOOKUP(O$1,'40Trips'!$A$3:$I$42,3,FALSE)),1,0)</f>
        <v>0</v>
      </c>
      <c r="P100">
        <f>IF(AND(gamma!O18=1, VLOOKUP($A100,'40Trips'!$A$43:$I$46, 3,FALSE)=VLOOKUP(P$1,'40Trips'!$A$3:$I$42,3,FALSE)),1,0)</f>
        <v>0</v>
      </c>
      <c r="Q100">
        <f>IF(AND(gamma!P18=1, VLOOKUP($A100,'40Trips'!$A$43:$I$46, 3,FALSE)=VLOOKUP(Q$1,'40Trips'!$A$3:$I$42,3,FALSE)),1,0)</f>
        <v>0</v>
      </c>
      <c r="R100">
        <f>IF(AND(gamma!Q18=1, VLOOKUP($A100,'40Trips'!$A$43:$I$46, 3,FALSE)=VLOOKUP(R$1,'40Trips'!$A$3:$I$42,3,FALSE)),1,0)</f>
        <v>0</v>
      </c>
      <c r="S100">
        <f>IF(AND(gamma!R18=1, VLOOKUP($A100,'40Trips'!$A$43:$I$46, 3,FALSE)=VLOOKUP(S$1,'40Trips'!$A$3:$I$42,3,FALSE)),1,0)</f>
        <v>0</v>
      </c>
      <c r="T100">
        <f>IF(AND(gamma!S18=1, VLOOKUP($A100,'40Trips'!$A$43:$I$46, 3,FALSE)=VLOOKUP(T$1,'40Trips'!$A$3:$I$42,3,FALSE)),1,0)</f>
        <v>0</v>
      </c>
      <c r="U100">
        <f>IF(AND(gamma!T18=1, VLOOKUP($A100,'40Trips'!$A$43:$I$46, 3,FALSE)=VLOOKUP(U$1,'40Trips'!$A$3:$I$42,3,FALSE)),1,0)</f>
        <v>0</v>
      </c>
      <c r="V100">
        <f>IF(AND(gamma!U18=1, VLOOKUP($A100,'40Trips'!$A$43:$I$46, 3,FALSE)=VLOOKUP(V$1,'40Trips'!$A$3:$I$42,3,FALSE)),1,0)</f>
        <v>0</v>
      </c>
      <c r="W100">
        <f>IF(AND(gamma!V18=1, VLOOKUP($A100,'40Trips'!$A$43:$I$46, 3,FALSE)=VLOOKUP(W$1,'40Trips'!$A$3:$I$42,3,FALSE)),1,0)</f>
        <v>0</v>
      </c>
      <c r="X100">
        <f>IF(AND(gamma!W18=1, VLOOKUP($A100,'40Trips'!$A$43:$I$46, 3,FALSE)=VLOOKUP(X$1,'40Trips'!$A$3:$I$42,3,FALSE)),1,0)</f>
        <v>0</v>
      </c>
      <c r="Y100">
        <f>IF(AND(gamma!X18=1, VLOOKUP($A100,'40Trips'!$A$43:$I$46, 3,FALSE)=VLOOKUP(Y$1,'40Trips'!$A$3:$I$42,3,FALSE)),1,0)</f>
        <v>0</v>
      </c>
      <c r="Z100">
        <f>IF(AND(gamma!Y18=1, VLOOKUP($A100,'40Trips'!$A$43:$I$46, 3,FALSE)=VLOOKUP(Z$1,'40Trips'!$A$3:$I$42,3,FALSE)),1,0)</f>
        <v>0</v>
      </c>
      <c r="AA100">
        <f>IF(AND(gamma!Z18=1, VLOOKUP($A100,'40Trips'!$A$43:$I$46, 3,FALSE)=VLOOKUP(AA$1,'40Trips'!$A$3:$I$42,3,FALSE)),1,0)</f>
        <v>0</v>
      </c>
      <c r="AB100">
        <f>IF(AND(gamma!AA18=1, VLOOKUP($A100,'40Trips'!$A$43:$I$46, 3,FALSE)=VLOOKUP(AB$1,'40Trips'!$A$3:$I$42,3,FALSE)),1,0)</f>
        <v>0</v>
      </c>
      <c r="AC100">
        <f>IF(AND(gamma!AB18=1, VLOOKUP($A100,'40Trips'!$A$43:$I$46, 3,FALSE)=VLOOKUP(AC$1,'40Trips'!$A$3:$I$42,3,FALSE)),1,0)</f>
        <v>0</v>
      </c>
      <c r="AD100">
        <f>IF(AND(gamma!AC18=1, VLOOKUP($A100,'40Trips'!$A$43:$I$46, 3,FALSE)=VLOOKUP(AD$1,'40Trips'!$A$3:$I$42,3,FALSE)),1,0)</f>
        <v>0</v>
      </c>
      <c r="AE100">
        <f>IF(AND(gamma!AD18=1, VLOOKUP($A100,'40Trips'!$A$43:$I$46, 3,FALSE)=VLOOKUP(AE$1,'40Trips'!$A$3:$I$42,3,FALSE)),1,0)</f>
        <v>0</v>
      </c>
      <c r="AF100">
        <f>IF(AND(gamma!AE18=1, VLOOKUP($A100,'40Trips'!$A$43:$I$46, 3,FALSE)=VLOOKUP(AF$1,'40Trips'!$A$3:$I$42,3,FALSE)),1,0)</f>
        <v>0</v>
      </c>
      <c r="AG100">
        <f>IF(AND(gamma!AF18=1, VLOOKUP($A100,'40Trips'!$A$43:$I$46, 3,FALSE)=VLOOKUP(AG$1,'40Trips'!$A$3:$I$42,3,FALSE)),1,0)</f>
        <v>0</v>
      </c>
      <c r="AH100">
        <f>IF(AND(gamma!AG18=1, VLOOKUP($A100,'40Trips'!$A$43:$I$46, 3,FALSE)=VLOOKUP(AH$1,'40Trips'!$A$3:$I$42,3,FALSE)),1,0)</f>
        <v>0</v>
      </c>
      <c r="AI100">
        <f>IF(AND(gamma!AH18=1, VLOOKUP($A100,'40Trips'!$A$43:$I$46, 3,FALSE)=VLOOKUP(AI$1,'40Trips'!$A$3:$I$42,3,FALSE)),1,0)</f>
        <v>0</v>
      </c>
      <c r="AJ100">
        <f>IF(AND(gamma!AI18=1, VLOOKUP($A100,'40Trips'!$A$43:$I$46, 3,FALSE)=VLOOKUP(AJ$1,'40Trips'!$A$3:$I$42,3,FALSE)),1,0)</f>
        <v>0</v>
      </c>
      <c r="AK100">
        <f>IF(AND(gamma!AJ18=1, VLOOKUP($A100,'40Trips'!$A$43:$I$46, 3,FALSE)=VLOOKUP(AK$1,'40Trips'!$A$3:$I$42,3,FALSE)),1,0)</f>
        <v>0</v>
      </c>
      <c r="AL100">
        <f>IF(AND(gamma!AK18=1, VLOOKUP($A100,'40Trips'!$A$43:$I$46, 3,FALSE)=VLOOKUP(AL$1,'40Trips'!$A$3:$I$42,3,FALSE)),1,0)</f>
        <v>0</v>
      </c>
      <c r="AM100">
        <f>IF(AND(gamma!AL18=1, VLOOKUP($A100,'40Trips'!$A$43:$I$46, 3,FALSE)=VLOOKUP(AM$1,'40Trips'!$A$3:$I$42,3,FALSE)),1,0)</f>
        <v>0</v>
      </c>
      <c r="AN100">
        <f>IF(AND(gamma!AM18=1, VLOOKUP($A100,'40Trips'!$A$43:$I$46, 3,FALSE)=VLOOKUP(AN$1,'40Trips'!$A$3:$I$42,3,FALSE)),1,0)</f>
        <v>0</v>
      </c>
      <c r="AO100">
        <f>IF(AND(gamma!AN18=1, VLOOKUP($A100,'40Trips'!$A$43:$I$46, 3,FALSE)=VLOOKUP(AO$1,'40Trips'!$A$3:$I$42,3,FALSE)),1,0)</f>
        <v>0</v>
      </c>
      <c r="AP100">
        <f>IF(AND(gamma!AO18=1, VLOOKUP($A100,'40Trips'!$A$43:$I$46, 3,FALSE)=VLOOKUP(AP$1,'40Trips'!$A$3:$I$42,3,FALSE)),1,0)</f>
        <v>0</v>
      </c>
      <c r="AQ100">
        <f>IF(AND(gamma!AP18=1, VLOOKUP($A100,'40Trips'!$A$43:$I$46, 3,FALSE)=VLOOKUP(AQ$1,'40Trips'!$A$3:$I$42,3,FALSE)),1,0)</f>
        <v>0</v>
      </c>
    </row>
    <row r="101" spans="1:43" x14ac:dyDescent="0.25">
      <c r="A101" t="s">
        <v>67</v>
      </c>
      <c r="B101" t="s">
        <v>75</v>
      </c>
      <c r="C101">
        <v>0</v>
      </c>
      <c r="D101">
        <f>IF(AND(gamma!C19=1, VLOOKUP($A101,'40Trips'!$A$43:$I$46, 3,FALSE)=VLOOKUP(D$1,'40Trips'!$A$3:$I$42,3,FALSE)),1,0)</f>
        <v>0</v>
      </c>
      <c r="E101">
        <f>IF(AND(gamma!D19=1, VLOOKUP($A101,'40Trips'!$A$43:$I$46, 3,FALSE)=VLOOKUP(E$1,'40Trips'!$A$3:$I$42,3,FALSE)),1,0)</f>
        <v>0</v>
      </c>
      <c r="F101">
        <f>IF(AND(gamma!E19=1, VLOOKUP($A101,'40Trips'!$A$43:$I$46, 3,FALSE)=VLOOKUP(F$1,'40Trips'!$A$3:$I$42,3,FALSE)),1,0)</f>
        <v>0</v>
      </c>
      <c r="G101">
        <f>IF(AND(gamma!F19=1, VLOOKUP($A101,'40Trips'!$A$43:$I$46, 3,FALSE)=VLOOKUP(G$1,'40Trips'!$A$3:$I$42,3,FALSE)),1,0)</f>
        <v>0</v>
      </c>
      <c r="H101">
        <f>IF(AND(gamma!G19=1, VLOOKUP($A101,'40Trips'!$A$43:$I$46, 3,FALSE)=VLOOKUP(H$1,'40Trips'!$A$3:$I$42,3,FALSE)),1,0)</f>
        <v>0</v>
      </c>
      <c r="I101">
        <f>IF(AND(gamma!H19=1, VLOOKUP($A101,'40Trips'!$A$43:$I$46, 3,FALSE)=VLOOKUP(I$1,'40Trips'!$A$3:$I$42,3,FALSE)),1,0)</f>
        <v>0</v>
      </c>
      <c r="J101">
        <f>IF(AND(gamma!I19=1, VLOOKUP($A101,'40Trips'!$A$43:$I$46, 3,FALSE)=VLOOKUP(J$1,'40Trips'!$A$3:$I$42,3,FALSE)),1,0)</f>
        <v>0</v>
      </c>
      <c r="K101">
        <f>IF(AND(gamma!J19=1, VLOOKUP($A101,'40Trips'!$A$43:$I$46, 3,FALSE)=VLOOKUP(K$1,'40Trips'!$A$3:$I$42,3,FALSE)),1,0)</f>
        <v>0</v>
      </c>
      <c r="L101">
        <f>IF(AND(gamma!K19=1, VLOOKUP($A101,'40Trips'!$A$43:$I$46, 3,FALSE)=VLOOKUP(L$1,'40Trips'!$A$3:$I$42,3,FALSE)),1,0)</f>
        <v>0</v>
      </c>
      <c r="M101">
        <f>IF(AND(gamma!L19=1, VLOOKUP($A101,'40Trips'!$A$43:$I$46, 3,FALSE)=VLOOKUP(M$1,'40Trips'!$A$3:$I$42,3,FALSE)),1,0)</f>
        <v>0</v>
      </c>
      <c r="N101">
        <f>IF(AND(gamma!M19=1, VLOOKUP($A101,'40Trips'!$A$43:$I$46, 3,FALSE)=VLOOKUP(N$1,'40Trips'!$A$3:$I$42,3,FALSE)),1,0)</f>
        <v>0</v>
      </c>
      <c r="O101">
        <f>IF(AND(gamma!N19=1, VLOOKUP($A101,'40Trips'!$A$43:$I$46, 3,FALSE)=VLOOKUP(O$1,'40Trips'!$A$3:$I$42,3,FALSE)),1,0)</f>
        <v>1</v>
      </c>
      <c r="P101">
        <f>IF(AND(gamma!O19=1, VLOOKUP($A101,'40Trips'!$A$43:$I$46, 3,FALSE)=VLOOKUP(P$1,'40Trips'!$A$3:$I$42,3,FALSE)),1,0)</f>
        <v>1</v>
      </c>
      <c r="Q101">
        <f>IF(AND(gamma!P19=1, VLOOKUP($A101,'40Trips'!$A$43:$I$46, 3,FALSE)=VLOOKUP(Q$1,'40Trips'!$A$3:$I$42,3,FALSE)),1,0)</f>
        <v>1</v>
      </c>
      <c r="R101">
        <f>IF(AND(gamma!Q19=1, VLOOKUP($A101,'40Trips'!$A$43:$I$46, 3,FALSE)=VLOOKUP(R$1,'40Trips'!$A$3:$I$42,3,FALSE)),1,0)</f>
        <v>1</v>
      </c>
      <c r="S101">
        <f>IF(AND(gamma!R19=1, VLOOKUP($A101,'40Trips'!$A$43:$I$46, 3,FALSE)=VLOOKUP(S$1,'40Trips'!$A$3:$I$42,3,FALSE)),1,0)</f>
        <v>1</v>
      </c>
      <c r="T101">
        <f>IF(AND(gamma!S19=1, VLOOKUP($A101,'40Trips'!$A$43:$I$46, 3,FALSE)=VLOOKUP(T$1,'40Trips'!$A$3:$I$42,3,FALSE)),1,0)</f>
        <v>0</v>
      </c>
      <c r="U101">
        <f>IF(AND(gamma!T19=1, VLOOKUP($A101,'40Trips'!$A$43:$I$46, 3,FALSE)=VLOOKUP(U$1,'40Trips'!$A$3:$I$42,3,FALSE)),1,0)</f>
        <v>1</v>
      </c>
      <c r="V101">
        <f>IF(AND(gamma!U19=1, VLOOKUP($A101,'40Trips'!$A$43:$I$46, 3,FALSE)=VLOOKUP(V$1,'40Trips'!$A$3:$I$42,3,FALSE)),1,0)</f>
        <v>1</v>
      </c>
      <c r="W101">
        <f>IF(AND(gamma!V19=1, VLOOKUP($A101,'40Trips'!$A$43:$I$46, 3,FALSE)=VLOOKUP(W$1,'40Trips'!$A$3:$I$42,3,FALSE)),1,0)</f>
        <v>1</v>
      </c>
      <c r="X101">
        <f>IF(AND(gamma!W19=1, VLOOKUP($A101,'40Trips'!$A$43:$I$46, 3,FALSE)=VLOOKUP(X$1,'40Trips'!$A$3:$I$42,3,FALSE)),1,0)</f>
        <v>0</v>
      </c>
      <c r="Y101">
        <f>IF(AND(gamma!X19=1, VLOOKUP($A101,'40Trips'!$A$43:$I$46, 3,FALSE)=VLOOKUP(Y$1,'40Trips'!$A$3:$I$42,3,FALSE)),1,0)</f>
        <v>0</v>
      </c>
      <c r="Z101">
        <f>IF(AND(gamma!Y19=1, VLOOKUP($A101,'40Trips'!$A$43:$I$46, 3,FALSE)=VLOOKUP(Z$1,'40Trips'!$A$3:$I$42,3,FALSE)),1,0)</f>
        <v>0</v>
      </c>
      <c r="AA101">
        <f>IF(AND(gamma!Z19=1, VLOOKUP($A101,'40Trips'!$A$43:$I$46, 3,FALSE)=VLOOKUP(AA$1,'40Trips'!$A$3:$I$42,3,FALSE)),1,0)</f>
        <v>0</v>
      </c>
      <c r="AB101">
        <f>IF(AND(gamma!AA19=1, VLOOKUP($A101,'40Trips'!$A$43:$I$46, 3,FALSE)=VLOOKUP(AB$1,'40Trips'!$A$3:$I$42,3,FALSE)),1,0)</f>
        <v>0</v>
      </c>
      <c r="AC101">
        <f>IF(AND(gamma!AB19=1, VLOOKUP($A101,'40Trips'!$A$43:$I$46, 3,FALSE)=VLOOKUP(AC$1,'40Trips'!$A$3:$I$42,3,FALSE)),1,0)</f>
        <v>0</v>
      </c>
      <c r="AD101">
        <f>IF(AND(gamma!AC19=1, VLOOKUP($A101,'40Trips'!$A$43:$I$46, 3,FALSE)=VLOOKUP(AD$1,'40Trips'!$A$3:$I$42,3,FALSE)),1,0)</f>
        <v>0</v>
      </c>
      <c r="AE101">
        <f>IF(AND(gamma!AD19=1, VLOOKUP($A101,'40Trips'!$A$43:$I$46, 3,FALSE)=VLOOKUP(AE$1,'40Trips'!$A$3:$I$42,3,FALSE)),1,0)</f>
        <v>0</v>
      </c>
      <c r="AF101">
        <f>IF(AND(gamma!AE19=1, VLOOKUP($A101,'40Trips'!$A$43:$I$46, 3,FALSE)=VLOOKUP(AF$1,'40Trips'!$A$3:$I$42,3,FALSE)),1,0)</f>
        <v>0</v>
      </c>
      <c r="AG101">
        <f>IF(AND(gamma!AF19=1, VLOOKUP($A101,'40Trips'!$A$43:$I$46, 3,FALSE)=VLOOKUP(AG$1,'40Trips'!$A$3:$I$42,3,FALSE)),1,0)</f>
        <v>0</v>
      </c>
      <c r="AH101">
        <f>IF(AND(gamma!AG19=1, VLOOKUP($A101,'40Trips'!$A$43:$I$46, 3,FALSE)=VLOOKUP(AH$1,'40Trips'!$A$3:$I$42,3,FALSE)),1,0)</f>
        <v>0</v>
      </c>
      <c r="AI101">
        <f>IF(AND(gamma!AH19=1, VLOOKUP($A101,'40Trips'!$A$43:$I$46, 3,FALSE)=VLOOKUP(AI$1,'40Trips'!$A$3:$I$42,3,FALSE)),1,0)</f>
        <v>0</v>
      </c>
      <c r="AJ101">
        <f>IF(AND(gamma!AI19=1, VLOOKUP($A101,'40Trips'!$A$43:$I$46, 3,FALSE)=VLOOKUP(AJ$1,'40Trips'!$A$3:$I$42,3,FALSE)),1,0)</f>
        <v>0</v>
      </c>
      <c r="AK101">
        <f>IF(AND(gamma!AJ19=1, VLOOKUP($A101,'40Trips'!$A$43:$I$46, 3,FALSE)=VLOOKUP(AK$1,'40Trips'!$A$3:$I$42,3,FALSE)),1,0)</f>
        <v>0</v>
      </c>
      <c r="AL101">
        <f>IF(AND(gamma!AK19=1, VLOOKUP($A101,'40Trips'!$A$43:$I$46, 3,FALSE)=VLOOKUP(AL$1,'40Trips'!$A$3:$I$42,3,FALSE)),1,0)</f>
        <v>0</v>
      </c>
      <c r="AM101">
        <f>IF(AND(gamma!AL19=1, VLOOKUP($A101,'40Trips'!$A$43:$I$46, 3,FALSE)=VLOOKUP(AM$1,'40Trips'!$A$3:$I$42,3,FALSE)),1,0)</f>
        <v>0</v>
      </c>
      <c r="AN101">
        <f>IF(AND(gamma!AM19=1, VLOOKUP($A101,'40Trips'!$A$43:$I$46, 3,FALSE)=VLOOKUP(AN$1,'40Trips'!$A$3:$I$42,3,FALSE)),1,0)</f>
        <v>0</v>
      </c>
      <c r="AO101">
        <f>IF(AND(gamma!AN19=1, VLOOKUP($A101,'40Trips'!$A$43:$I$46, 3,FALSE)=VLOOKUP(AO$1,'40Trips'!$A$3:$I$42,3,FALSE)),1,0)</f>
        <v>0</v>
      </c>
      <c r="AP101">
        <f>IF(AND(gamma!AO19=1, VLOOKUP($A101,'40Trips'!$A$43:$I$46, 3,FALSE)=VLOOKUP(AP$1,'40Trips'!$A$3:$I$42,3,FALSE)),1,0)</f>
        <v>0</v>
      </c>
      <c r="AQ101">
        <f>IF(AND(gamma!AP19=1, VLOOKUP($A101,'40Trips'!$A$43:$I$46, 3,FALSE)=VLOOKUP(AQ$1,'40Trips'!$A$3:$I$42,3,FALSE)),1,0)</f>
        <v>0</v>
      </c>
    </row>
    <row r="102" spans="1:43" x14ac:dyDescent="0.25">
      <c r="A102" t="s">
        <v>67</v>
      </c>
      <c r="B102" t="s">
        <v>76</v>
      </c>
      <c r="C102">
        <v>0</v>
      </c>
      <c r="D102">
        <f>IF(AND(gamma!C20=1, VLOOKUP($A102,'40Trips'!$A$43:$I$46, 3,FALSE)=VLOOKUP(D$1,'40Trips'!$A$3:$I$42,3,FALSE)),1,0)</f>
        <v>0</v>
      </c>
      <c r="E102">
        <f>IF(AND(gamma!D20=1, VLOOKUP($A102,'40Trips'!$A$43:$I$46, 3,FALSE)=VLOOKUP(E$1,'40Trips'!$A$3:$I$42,3,FALSE)),1,0)</f>
        <v>0</v>
      </c>
      <c r="F102">
        <f>IF(AND(gamma!E20=1, VLOOKUP($A102,'40Trips'!$A$43:$I$46, 3,FALSE)=VLOOKUP(F$1,'40Trips'!$A$3:$I$42,3,FALSE)),1,0)</f>
        <v>0</v>
      </c>
      <c r="G102">
        <f>IF(AND(gamma!F20=1, VLOOKUP($A102,'40Trips'!$A$43:$I$46, 3,FALSE)=VLOOKUP(G$1,'40Trips'!$A$3:$I$42,3,FALSE)),1,0)</f>
        <v>0</v>
      </c>
      <c r="H102">
        <f>IF(AND(gamma!G20=1, VLOOKUP($A102,'40Trips'!$A$43:$I$46, 3,FALSE)=VLOOKUP(H$1,'40Trips'!$A$3:$I$42,3,FALSE)),1,0)</f>
        <v>0</v>
      </c>
      <c r="I102">
        <f>IF(AND(gamma!H20=1, VLOOKUP($A102,'40Trips'!$A$43:$I$46, 3,FALSE)=VLOOKUP(I$1,'40Trips'!$A$3:$I$42,3,FALSE)),1,0)</f>
        <v>0</v>
      </c>
      <c r="J102">
        <f>IF(AND(gamma!I20=1, VLOOKUP($A102,'40Trips'!$A$43:$I$46, 3,FALSE)=VLOOKUP(J$1,'40Trips'!$A$3:$I$42,3,FALSE)),1,0)</f>
        <v>0</v>
      </c>
      <c r="K102">
        <f>IF(AND(gamma!J20=1, VLOOKUP($A102,'40Trips'!$A$43:$I$46, 3,FALSE)=VLOOKUP(K$1,'40Trips'!$A$3:$I$42,3,FALSE)),1,0)</f>
        <v>0</v>
      </c>
      <c r="L102">
        <f>IF(AND(gamma!K20=1, VLOOKUP($A102,'40Trips'!$A$43:$I$46, 3,FALSE)=VLOOKUP(L$1,'40Trips'!$A$3:$I$42,3,FALSE)),1,0)</f>
        <v>0</v>
      </c>
      <c r="M102">
        <f>IF(AND(gamma!L20=1, VLOOKUP($A102,'40Trips'!$A$43:$I$46, 3,FALSE)=VLOOKUP(M$1,'40Trips'!$A$3:$I$42,3,FALSE)),1,0)</f>
        <v>0</v>
      </c>
      <c r="N102">
        <f>IF(AND(gamma!M20=1, VLOOKUP($A102,'40Trips'!$A$43:$I$46, 3,FALSE)=VLOOKUP(N$1,'40Trips'!$A$3:$I$42,3,FALSE)),1,0)</f>
        <v>0</v>
      </c>
      <c r="O102">
        <f>IF(AND(gamma!N20=1, VLOOKUP($A102,'40Trips'!$A$43:$I$46, 3,FALSE)=VLOOKUP(O$1,'40Trips'!$A$3:$I$42,3,FALSE)),1,0)</f>
        <v>0</v>
      </c>
      <c r="P102">
        <f>IF(AND(gamma!O20=1, VLOOKUP($A102,'40Trips'!$A$43:$I$46, 3,FALSE)=VLOOKUP(P$1,'40Trips'!$A$3:$I$42,3,FALSE)),1,0)</f>
        <v>0</v>
      </c>
      <c r="Q102">
        <f>IF(AND(gamma!P20=1, VLOOKUP($A102,'40Trips'!$A$43:$I$46, 3,FALSE)=VLOOKUP(Q$1,'40Trips'!$A$3:$I$42,3,FALSE)),1,0)</f>
        <v>0</v>
      </c>
      <c r="R102">
        <f>IF(AND(gamma!Q20=1, VLOOKUP($A102,'40Trips'!$A$43:$I$46, 3,FALSE)=VLOOKUP(R$1,'40Trips'!$A$3:$I$42,3,FALSE)),1,0)</f>
        <v>1</v>
      </c>
      <c r="S102">
        <f>IF(AND(gamma!R20=1, VLOOKUP($A102,'40Trips'!$A$43:$I$46, 3,FALSE)=VLOOKUP(S$1,'40Trips'!$A$3:$I$42,3,FALSE)),1,0)</f>
        <v>1</v>
      </c>
      <c r="T102">
        <f>IF(AND(gamma!S20=1, VLOOKUP($A102,'40Trips'!$A$43:$I$46, 3,FALSE)=VLOOKUP(T$1,'40Trips'!$A$3:$I$42,3,FALSE)),1,0)</f>
        <v>0</v>
      </c>
      <c r="U102">
        <f>IF(AND(gamma!T20=1, VLOOKUP($A102,'40Trips'!$A$43:$I$46, 3,FALSE)=VLOOKUP(U$1,'40Trips'!$A$3:$I$42,3,FALSE)),1,0)</f>
        <v>0</v>
      </c>
      <c r="V102">
        <f>IF(AND(gamma!U20=1, VLOOKUP($A102,'40Trips'!$A$43:$I$46, 3,FALSE)=VLOOKUP(V$1,'40Trips'!$A$3:$I$42,3,FALSE)),1,0)</f>
        <v>1</v>
      </c>
      <c r="W102">
        <f>IF(AND(gamma!V20=1, VLOOKUP($A102,'40Trips'!$A$43:$I$46, 3,FALSE)=VLOOKUP(W$1,'40Trips'!$A$3:$I$42,3,FALSE)),1,0)</f>
        <v>1</v>
      </c>
      <c r="X102">
        <f>IF(AND(gamma!W20=1, VLOOKUP($A102,'40Trips'!$A$43:$I$46, 3,FALSE)=VLOOKUP(X$1,'40Trips'!$A$3:$I$42,3,FALSE)),1,0)</f>
        <v>0</v>
      </c>
      <c r="Y102">
        <f>IF(AND(gamma!X20=1, VLOOKUP($A102,'40Trips'!$A$43:$I$46, 3,FALSE)=VLOOKUP(Y$1,'40Trips'!$A$3:$I$42,3,FALSE)),1,0)</f>
        <v>0</v>
      </c>
      <c r="Z102">
        <f>IF(AND(gamma!Y20=1, VLOOKUP($A102,'40Trips'!$A$43:$I$46, 3,FALSE)=VLOOKUP(Z$1,'40Trips'!$A$3:$I$42,3,FALSE)),1,0)</f>
        <v>0</v>
      </c>
      <c r="AA102">
        <f>IF(AND(gamma!Z20=1, VLOOKUP($A102,'40Trips'!$A$43:$I$46, 3,FALSE)=VLOOKUP(AA$1,'40Trips'!$A$3:$I$42,3,FALSE)),1,0)</f>
        <v>0</v>
      </c>
      <c r="AB102">
        <f>IF(AND(gamma!AA20=1, VLOOKUP($A102,'40Trips'!$A$43:$I$46, 3,FALSE)=VLOOKUP(AB$1,'40Trips'!$A$3:$I$42,3,FALSE)),1,0)</f>
        <v>0</v>
      </c>
      <c r="AC102">
        <f>IF(AND(gamma!AB20=1, VLOOKUP($A102,'40Trips'!$A$43:$I$46, 3,FALSE)=VLOOKUP(AC$1,'40Trips'!$A$3:$I$42,3,FALSE)),1,0)</f>
        <v>0</v>
      </c>
      <c r="AD102">
        <f>IF(AND(gamma!AC20=1, VLOOKUP($A102,'40Trips'!$A$43:$I$46, 3,FALSE)=VLOOKUP(AD$1,'40Trips'!$A$3:$I$42,3,FALSE)),1,0)</f>
        <v>0</v>
      </c>
      <c r="AE102">
        <f>IF(AND(gamma!AD20=1, VLOOKUP($A102,'40Trips'!$A$43:$I$46, 3,FALSE)=VLOOKUP(AE$1,'40Trips'!$A$3:$I$42,3,FALSE)),1,0)</f>
        <v>0</v>
      </c>
      <c r="AF102">
        <f>IF(AND(gamma!AE20=1, VLOOKUP($A102,'40Trips'!$A$43:$I$46, 3,FALSE)=VLOOKUP(AF$1,'40Trips'!$A$3:$I$42,3,FALSE)),1,0)</f>
        <v>0</v>
      </c>
      <c r="AG102">
        <f>IF(AND(gamma!AF20=1, VLOOKUP($A102,'40Trips'!$A$43:$I$46, 3,FALSE)=VLOOKUP(AG$1,'40Trips'!$A$3:$I$42,3,FALSE)),1,0)</f>
        <v>0</v>
      </c>
      <c r="AH102">
        <f>IF(AND(gamma!AG20=1, VLOOKUP($A102,'40Trips'!$A$43:$I$46, 3,FALSE)=VLOOKUP(AH$1,'40Trips'!$A$3:$I$42,3,FALSE)),1,0)</f>
        <v>0</v>
      </c>
      <c r="AI102">
        <f>IF(AND(gamma!AH20=1, VLOOKUP($A102,'40Trips'!$A$43:$I$46, 3,FALSE)=VLOOKUP(AI$1,'40Trips'!$A$3:$I$42,3,FALSE)),1,0)</f>
        <v>0</v>
      </c>
      <c r="AJ102">
        <f>IF(AND(gamma!AI20=1, VLOOKUP($A102,'40Trips'!$A$43:$I$46, 3,FALSE)=VLOOKUP(AJ$1,'40Trips'!$A$3:$I$42,3,FALSE)),1,0)</f>
        <v>0</v>
      </c>
      <c r="AK102">
        <f>IF(AND(gamma!AJ20=1, VLOOKUP($A102,'40Trips'!$A$43:$I$46, 3,FALSE)=VLOOKUP(AK$1,'40Trips'!$A$3:$I$42,3,FALSE)),1,0)</f>
        <v>0</v>
      </c>
      <c r="AL102">
        <f>IF(AND(gamma!AK20=1, VLOOKUP($A102,'40Trips'!$A$43:$I$46, 3,FALSE)=VLOOKUP(AL$1,'40Trips'!$A$3:$I$42,3,FALSE)),1,0)</f>
        <v>0</v>
      </c>
      <c r="AM102">
        <f>IF(AND(gamma!AL20=1, VLOOKUP($A102,'40Trips'!$A$43:$I$46, 3,FALSE)=VLOOKUP(AM$1,'40Trips'!$A$3:$I$42,3,FALSE)),1,0)</f>
        <v>0</v>
      </c>
      <c r="AN102">
        <f>IF(AND(gamma!AM20=1, VLOOKUP($A102,'40Trips'!$A$43:$I$46, 3,FALSE)=VLOOKUP(AN$1,'40Trips'!$A$3:$I$42,3,FALSE)),1,0)</f>
        <v>0</v>
      </c>
      <c r="AO102">
        <f>IF(AND(gamma!AN20=1, VLOOKUP($A102,'40Trips'!$A$43:$I$46, 3,FALSE)=VLOOKUP(AO$1,'40Trips'!$A$3:$I$42,3,FALSE)),1,0)</f>
        <v>0</v>
      </c>
      <c r="AP102">
        <f>IF(AND(gamma!AO20=1, VLOOKUP($A102,'40Trips'!$A$43:$I$46, 3,FALSE)=VLOOKUP(AP$1,'40Trips'!$A$3:$I$42,3,FALSE)),1,0)</f>
        <v>0</v>
      </c>
      <c r="AQ102">
        <f>IF(AND(gamma!AP20=1, VLOOKUP($A102,'40Trips'!$A$43:$I$46, 3,FALSE)=VLOOKUP(AQ$1,'40Trips'!$A$3:$I$42,3,FALSE)),1,0)</f>
        <v>0</v>
      </c>
    </row>
    <row r="103" spans="1:43" x14ac:dyDescent="0.25">
      <c r="A103" t="s">
        <v>67</v>
      </c>
      <c r="B103" t="s">
        <v>77</v>
      </c>
      <c r="C103">
        <v>0</v>
      </c>
      <c r="D103">
        <f>IF(AND(gamma!C21=1, VLOOKUP($A103,'40Trips'!$A$43:$I$46, 3,FALSE)=VLOOKUP(D$1,'40Trips'!$A$3:$I$42,3,FALSE)),1,0)</f>
        <v>0</v>
      </c>
      <c r="E103">
        <f>IF(AND(gamma!D21=1, VLOOKUP($A103,'40Trips'!$A$43:$I$46, 3,FALSE)=VLOOKUP(E$1,'40Trips'!$A$3:$I$42,3,FALSE)),1,0)</f>
        <v>0</v>
      </c>
      <c r="F103">
        <f>IF(AND(gamma!E21=1, VLOOKUP($A103,'40Trips'!$A$43:$I$46, 3,FALSE)=VLOOKUP(F$1,'40Trips'!$A$3:$I$42,3,FALSE)),1,0)</f>
        <v>0</v>
      </c>
      <c r="G103">
        <f>IF(AND(gamma!F21=1, VLOOKUP($A103,'40Trips'!$A$43:$I$46, 3,FALSE)=VLOOKUP(G$1,'40Trips'!$A$3:$I$42,3,FALSE)),1,0)</f>
        <v>0</v>
      </c>
      <c r="H103">
        <f>IF(AND(gamma!G21=1, VLOOKUP($A103,'40Trips'!$A$43:$I$46, 3,FALSE)=VLOOKUP(H$1,'40Trips'!$A$3:$I$42,3,FALSE)),1,0)</f>
        <v>0</v>
      </c>
      <c r="I103">
        <f>IF(AND(gamma!H21=1, VLOOKUP($A103,'40Trips'!$A$43:$I$46, 3,FALSE)=VLOOKUP(I$1,'40Trips'!$A$3:$I$42,3,FALSE)),1,0)</f>
        <v>0</v>
      </c>
      <c r="J103">
        <f>IF(AND(gamma!I21=1, VLOOKUP($A103,'40Trips'!$A$43:$I$46, 3,FALSE)=VLOOKUP(J$1,'40Trips'!$A$3:$I$42,3,FALSE)),1,0)</f>
        <v>0</v>
      </c>
      <c r="K103">
        <f>IF(AND(gamma!J21=1, VLOOKUP($A103,'40Trips'!$A$43:$I$46, 3,FALSE)=VLOOKUP(K$1,'40Trips'!$A$3:$I$42,3,FALSE)),1,0)</f>
        <v>0</v>
      </c>
      <c r="L103">
        <f>IF(AND(gamma!K21=1, VLOOKUP($A103,'40Trips'!$A$43:$I$46, 3,FALSE)=VLOOKUP(L$1,'40Trips'!$A$3:$I$42,3,FALSE)),1,0)</f>
        <v>0</v>
      </c>
      <c r="M103">
        <f>IF(AND(gamma!L21=1, VLOOKUP($A103,'40Trips'!$A$43:$I$46, 3,FALSE)=VLOOKUP(M$1,'40Trips'!$A$3:$I$42,3,FALSE)),1,0)</f>
        <v>0</v>
      </c>
      <c r="N103">
        <f>IF(AND(gamma!M21=1, VLOOKUP($A103,'40Trips'!$A$43:$I$46, 3,FALSE)=VLOOKUP(N$1,'40Trips'!$A$3:$I$42,3,FALSE)),1,0)</f>
        <v>0</v>
      </c>
      <c r="O103">
        <f>IF(AND(gamma!N21=1, VLOOKUP($A103,'40Trips'!$A$43:$I$46, 3,FALSE)=VLOOKUP(O$1,'40Trips'!$A$3:$I$42,3,FALSE)),1,0)</f>
        <v>0</v>
      </c>
      <c r="P103">
        <f>IF(AND(gamma!O21=1, VLOOKUP($A103,'40Trips'!$A$43:$I$46, 3,FALSE)=VLOOKUP(P$1,'40Trips'!$A$3:$I$42,3,FALSE)),1,0)</f>
        <v>0</v>
      </c>
      <c r="Q103">
        <f>IF(AND(gamma!P21=1, VLOOKUP($A103,'40Trips'!$A$43:$I$46, 3,FALSE)=VLOOKUP(Q$1,'40Trips'!$A$3:$I$42,3,FALSE)),1,0)</f>
        <v>0</v>
      </c>
      <c r="R103">
        <f>IF(AND(gamma!Q21=1, VLOOKUP($A103,'40Trips'!$A$43:$I$46, 3,FALSE)=VLOOKUP(R$1,'40Trips'!$A$3:$I$42,3,FALSE)),1,0)</f>
        <v>0</v>
      </c>
      <c r="S103">
        <f>IF(AND(gamma!R21=1, VLOOKUP($A103,'40Trips'!$A$43:$I$46, 3,FALSE)=VLOOKUP(S$1,'40Trips'!$A$3:$I$42,3,FALSE)),1,0)</f>
        <v>0</v>
      </c>
      <c r="T103">
        <f>IF(AND(gamma!S21=1, VLOOKUP($A103,'40Trips'!$A$43:$I$46, 3,FALSE)=VLOOKUP(T$1,'40Trips'!$A$3:$I$42,3,FALSE)),1,0)</f>
        <v>0</v>
      </c>
      <c r="U103">
        <f>IF(AND(gamma!T21=1, VLOOKUP($A103,'40Trips'!$A$43:$I$46, 3,FALSE)=VLOOKUP(U$1,'40Trips'!$A$3:$I$42,3,FALSE)),1,0)</f>
        <v>0</v>
      </c>
      <c r="V103">
        <f>IF(AND(gamma!U21=1, VLOOKUP($A103,'40Trips'!$A$43:$I$46, 3,FALSE)=VLOOKUP(V$1,'40Trips'!$A$3:$I$42,3,FALSE)),1,0)</f>
        <v>0</v>
      </c>
      <c r="W103">
        <f>IF(AND(gamma!V21=1, VLOOKUP($A103,'40Trips'!$A$43:$I$46, 3,FALSE)=VLOOKUP(W$1,'40Trips'!$A$3:$I$42,3,FALSE)),1,0)</f>
        <v>1</v>
      </c>
      <c r="X103">
        <f>IF(AND(gamma!W21=1, VLOOKUP($A103,'40Trips'!$A$43:$I$46, 3,FALSE)=VLOOKUP(X$1,'40Trips'!$A$3:$I$42,3,FALSE)),1,0)</f>
        <v>0</v>
      </c>
      <c r="Y103">
        <f>IF(AND(gamma!X21=1, VLOOKUP($A103,'40Trips'!$A$43:$I$46, 3,FALSE)=VLOOKUP(Y$1,'40Trips'!$A$3:$I$42,3,FALSE)),1,0)</f>
        <v>0</v>
      </c>
      <c r="Z103">
        <f>IF(AND(gamma!Y21=1, VLOOKUP($A103,'40Trips'!$A$43:$I$46, 3,FALSE)=VLOOKUP(Z$1,'40Trips'!$A$3:$I$42,3,FALSE)),1,0)</f>
        <v>0</v>
      </c>
      <c r="AA103">
        <f>IF(AND(gamma!Z21=1, VLOOKUP($A103,'40Trips'!$A$43:$I$46, 3,FALSE)=VLOOKUP(AA$1,'40Trips'!$A$3:$I$42,3,FALSE)),1,0)</f>
        <v>0</v>
      </c>
      <c r="AB103">
        <f>IF(AND(gamma!AA21=1, VLOOKUP($A103,'40Trips'!$A$43:$I$46, 3,FALSE)=VLOOKUP(AB$1,'40Trips'!$A$3:$I$42,3,FALSE)),1,0)</f>
        <v>0</v>
      </c>
      <c r="AC103">
        <f>IF(AND(gamma!AB21=1, VLOOKUP($A103,'40Trips'!$A$43:$I$46, 3,FALSE)=VLOOKUP(AC$1,'40Trips'!$A$3:$I$42,3,FALSE)),1,0)</f>
        <v>0</v>
      </c>
      <c r="AD103">
        <f>IF(AND(gamma!AC21=1, VLOOKUP($A103,'40Trips'!$A$43:$I$46, 3,FALSE)=VLOOKUP(AD$1,'40Trips'!$A$3:$I$42,3,FALSE)),1,0)</f>
        <v>0</v>
      </c>
      <c r="AE103">
        <f>IF(AND(gamma!AD21=1, VLOOKUP($A103,'40Trips'!$A$43:$I$46, 3,FALSE)=VLOOKUP(AE$1,'40Trips'!$A$3:$I$42,3,FALSE)),1,0)</f>
        <v>0</v>
      </c>
      <c r="AF103">
        <f>IF(AND(gamma!AE21=1, VLOOKUP($A103,'40Trips'!$A$43:$I$46, 3,FALSE)=VLOOKUP(AF$1,'40Trips'!$A$3:$I$42,3,FALSE)),1,0)</f>
        <v>0</v>
      </c>
      <c r="AG103">
        <f>IF(AND(gamma!AF21=1, VLOOKUP($A103,'40Trips'!$A$43:$I$46, 3,FALSE)=VLOOKUP(AG$1,'40Trips'!$A$3:$I$42,3,FALSE)),1,0)</f>
        <v>0</v>
      </c>
      <c r="AH103">
        <f>IF(AND(gamma!AG21=1, VLOOKUP($A103,'40Trips'!$A$43:$I$46, 3,FALSE)=VLOOKUP(AH$1,'40Trips'!$A$3:$I$42,3,FALSE)),1,0)</f>
        <v>0</v>
      </c>
      <c r="AI103">
        <f>IF(AND(gamma!AH21=1, VLOOKUP($A103,'40Trips'!$A$43:$I$46, 3,FALSE)=VLOOKUP(AI$1,'40Trips'!$A$3:$I$42,3,FALSE)),1,0)</f>
        <v>0</v>
      </c>
      <c r="AJ103">
        <f>IF(AND(gamma!AI21=1, VLOOKUP($A103,'40Trips'!$A$43:$I$46, 3,FALSE)=VLOOKUP(AJ$1,'40Trips'!$A$3:$I$42,3,FALSE)),1,0)</f>
        <v>0</v>
      </c>
      <c r="AK103">
        <f>IF(AND(gamma!AJ21=1, VLOOKUP($A103,'40Trips'!$A$43:$I$46, 3,FALSE)=VLOOKUP(AK$1,'40Trips'!$A$3:$I$42,3,FALSE)),1,0)</f>
        <v>0</v>
      </c>
      <c r="AL103">
        <f>IF(AND(gamma!AK21=1, VLOOKUP($A103,'40Trips'!$A$43:$I$46, 3,FALSE)=VLOOKUP(AL$1,'40Trips'!$A$3:$I$42,3,FALSE)),1,0)</f>
        <v>0</v>
      </c>
      <c r="AM103">
        <f>IF(AND(gamma!AL21=1, VLOOKUP($A103,'40Trips'!$A$43:$I$46, 3,FALSE)=VLOOKUP(AM$1,'40Trips'!$A$3:$I$42,3,FALSE)),1,0)</f>
        <v>0</v>
      </c>
      <c r="AN103">
        <f>IF(AND(gamma!AM21=1, VLOOKUP($A103,'40Trips'!$A$43:$I$46, 3,FALSE)=VLOOKUP(AN$1,'40Trips'!$A$3:$I$42,3,FALSE)),1,0)</f>
        <v>0</v>
      </c>
      <c r="AO103">
        <f>IF(AND(gamma!AN21=1, VLOOKUP($A103,'40Trips'!$A$43:$I$46, 3,FALSE)=VLOOKUP(AO$1,'40Trips'!$A$3:$I$42,3,FALSE)),1,0)</f>
        <v>0</v>
      </c>
      <c r="AP103">
        <f>IF(AND(gamma!AO21=1, VLOOKUP($A103,'40Trips'!$A$43:$I$46, 3,FALSE)=VLOOKUP(AP$1,'40Trips'!$A$3:$I$42,3,FALSE)),1,0)</f>
        <v>0</v>
      </c>
      <c r="AQ103">
        <f>IF(AND(gamma!AP21=1, VLOOKUP($A103,'40Trips'!$A$43:$I$46, 3,FALSE)=VLOOKUP(AQ$1,'40Trips'!$A$3:$I$42,3,FALSE)),1,0)</f>
        <v>0</v>
      </c>
    </row>
    <row r="104" spans="1:43" x14ac:dyDescent="0.25">
      <c r="A104" t="s">
        <v>67</v>
      </c>
      <c r="B104" t="s">
        <v>78</v>
      </c>
      <c r="C104">
        <v>0</v>
      </c>
      <c r="D104">
        <f>IF(AND(gamma!C22=1, VLOOKUP($A104,'40Trips'!$A$43:$I$46, 3,FALSE)=VLOOKUP(D$1,'40Trips'!$A$3:$I$42,3,FALSE)),1,0)</f>
        <v>0</v>
      </c>
      <c r="E104">
        <f>IF(AND(gamma!D22=1, VLOOKUP($A104,'40Trips'!$A$43:$I$46, 3,FALSE)=VLOOKUP(E$1,'40Trips'!$A$3:$I$42,3,FALSE)),1,0)</f>
        <v>0</v>
      </c>
      <c r="F104">
        <f>IF(AND(gamma!E22=1, VLOOKUP($A104,'40Trips'!$A$43:$I$46, 3,FALSE)=VLOOKUP(F$1,'40Trips'!$A$3:$I$42,3,FALSE)),1,0)</f>
        <v>0</v>
      </c>
      <c r="G104">
        <f>IF(AND(gamma!F22=1, VLOOKUP($A104,'40Trips'!$A$43:$I$46, 3,FALSE)=VLOOKUP(G$1,'40Trips'!$A$3:$I$42,3,FALSE)),1,0)</f>
        <v>0</v>
      </c>
      <c r="H104">
        <f>IF(AND(gamma!G22=1, VLOOKUP($A104,'40Trips'!$A$43:$I$46, 3,FALSE)=VLOOKUP(H$1,'40Trips'!$A$3:$I$42,3,FALSE)),1,0)</f>
        <v>0</v>
      </c>
      <c r="I104">
        <f>IF(AND(gamma!H22=1, VLOOKUP($A104,'40Trips'!$A$43:$I$46, 3,FALSE)=VLOOKUP(I$1,'40Trips'!$A$3:$I$42,3,FALSE)),1,0)</f>
        <v>0</v>
      </c>
      <c r="J104">
        <f>IF(AND(gamma!I22=1, VLOOKUP($A104,'40Trips'!$A$43:$I$46, 3,FALSE)=VLOOKUP(J$1,'40Trips'!$A$3:$I$42,3,FALSE)),1,0)</f>
        <v>0</v>
      </c>
      <c r="K104">
        <f>IF(AND(gamma!J22=1, VLOOKUP($A104,'40Trips'!$A$43:$I$46, 3,FALSE)=VLOOKUP(K$1,'40Trips'!$A$3:$I$42,3,FALSE)),1,0)</f>
        <v>0</v>
      </c>
      <c r="L104">
        <f>IF(AND(gamma!K22=1, VLOOKUP($A104,'40Trips'!$A$43:$I$46, 3,FALSE)=VLOOKUP(L$1,'40Trips'!$A$3:$I$42,3,FALSE)),1,0)</f>
        <v>0</v>
      </c>
      <c r="M104">
        <f>IF(AND(gamma!L22=1, VLOOKUP($A104,'40Trips'!$A$43:$I$46, 3,FALSE)=VLOOKUP(M$1,'40Trips'!$A$3:$I$42,3,FALSE)),1,0)</f>
        <v>0</v>
      </c>
      <c r="N104">
        <f>IF(AND(gamma!M22=1, VLOOKUP($A104,'40Trips'!$A$43:$I$46, 3,FALSE)=VLOOKUP(N$1,'40Trips'!$A$3:$I$42,3,FALSE)),1,0)</f>
        <v>0</v>
      </c>
      <c r="O104">
        <f>IF(AND(gamma!N22=1, VLOOKUP($A104,'40Trips'!$A$43:$I$46, 3,FALSE)=VLOOKUP(O$1,'40Trips'!$A$3:$I$42,3,FALSE)),1,0)</f>
        <v>0</v>
      </c>
      <c r="P104">
        <f>IF(AND(gamma!O22=1, VLOOKUP($A104,'40Trips'!$A$43:$I$46, 3,FALSE)=VLOOKUP(P$1,'40Trips'!$A$3:$I$42,3,FALSE)),1,0)</f>
        <v>0</v>
      </c>
      <c r="Q104">
        <f>IF(AND(gamma!P22=1, VLOOKUP($A104,'40Trips'!$A$43:$I$46, 3,FALSE)=VLOOKUP(Q$1,'40Trips'!$A$3:$I$42,3,FALSE)),1,0)</f>
        <v>0</v>
      </c>
      <c r="R104">
        <f>IF(AND(gamma!Q22=1, VLOOKUP($A104,'40Trips'!$A$43:$I$46, 3,FALSE)=VLOOKUP(R$1,'40Trips'!$A$3:$I$42,3,FALSE)),1,0)</f>
        <v>0</v>
      </c>
      <c r="S104">
        <f>IF(AND(gamma!R22=1, VLOOKUP($A104,'40Trips'!$A$43:$I$46, 3,FALSE)=VLOOKUP(S$1,'40Trips'!$A$3:$I$42,3,FALSE)),1,0)</f>
        <v>0</v>
      </c>
      <c r="T104">
        <f>IF(AND(gamma!S22=1, VLOOKUP($A104,'40Trips'!$A$43:$I$46, 3,FALSE)=VLOOKUP(T$1,'40Trips'!$A$3:$I$42,3,FALSE)),1,0)</f>
        <v>0</v>
      </c>
      <c r="U104">
        <f>IF(AND(gamma!T22=1, VLOOKUP($A104,'40Trips'!$A$43:$I$46, 3,FALSE)=VLOOKUP(U$1,'40Trips'!$A$3:$I$42,3,FALSE)),1,0)</f>
        <v>0</v>
      </c>
      <c r="V104">
        <f>IF(AND(gamma!U22=1, VLOOKUP($A104,'40Trips'!$A$43:$I$46, 3,FALSE)=VLOOKUP(V$1,'40Trips'!$A$3:$I$42,3,FALSE)),1,0)</f>
        <v>0</v>
      </c>
      <c r="W104">
        <f>IF(AND(gamma!V22=1, VLOOKUP($A104,'40Trips'!$A$43:$I$46, 3,FALSE)=VLOOKUP(W$1,'40Trips'!$A$3:$I$42,3,FALSE)),1,0)</f>
        <v>0</v>
      </c>
      <c r="X104">
        <f>IF(AND(gamma!W22=1, VLOOKUP($A104,'40Trips'!$A$43:$I$46, 3,FALSE)=VLOOKUP(X$1,'40Trips'!$A$3:$I$42,3,FALSE)),1,0)</f>
        <v>0</v>
      </c>
      <c r="Y104">
        <f>IF(AND(gamma!X22=1, VLOOKUP($A104,'40Trips'!$A$43:$I$46, 3,FALSE)=VLOOKUP(Y$1,'40Trips'!$A$3:$I$42,3,FALSE)),1,0)</f>
        <v>0</v>
      </c>
      <c r="Z104">
        <f>IF(AND(gamma!Y22=1, VLOOKUP($A104,'40Trips'!$A$43:$I$46, 3,FALSE)=VLOOKUP(Z$1,'40Trips'!$A$3:$I$42,3,FALSE)),1,0)</f>
        <v>0</v>
      </c>
      <c r="AA104">
        <f>IF(AND(gamma!Z22=1, VLOOKUP($A104,'40Trips'!$A$43:$I$46, 3,FALSE)=VLOOKUP(AA$1,'40Trips'!$A$3:$I$42,3,FALSE)),1,0)</f>
        <v>0</v>
      </c>
      <c r="AB104">
        <f>IF(AND(gamma!AA22=1, VLOOKUP($A104,'40Trips'!$A$43:$I$46, 3,FALSE)=VLOOKUP(AB$1,'40Trips'!$A$3:$I$42,3,FALSE)),1,0)</f>
        <v>0</v>
      </c>
      <c r="AC104">
        <f>IF(AND(gamma!AB22=1, VLOOKUP($A104,'40Trips'!$A$43:$I$46, 3,FALSE)=VLOOKUP(AC$1,'40Trips'!$A$3:$I$42,3,FALSE)),1,0)</f>
        <v>0</v>
      </c>
      <c r="AD104">
        <f>IF(AND(gamma!AC22=1, VLOOKUP($A104,'40Trips'!$A$43:$I$46, 3,FALSE)=VLOOKUP(AD$1,'40Trips'!$A$3:$I$42,3,FALSE)),1,0)</f>
        <v>0</v>
      </c>
      <c r="AE104">
        <f>IF(AND(gamma!AD22=1, VLOOKUP($A104,'40Trips'!$A$43:$I$46, 3,FALSE)=VLOOKUP(AE$1,'40Trips'!$A$3:$I$42,3,FALSE)),1,0)</f>
        <v>0</v>
      </c>
      <c r="AF104">
        <f>IF(AND(gamma!AE22=1, VLOOKUP($A104,'40Trips'!$A$43:$I$46, 3,FALSE)=VLOOKUP(AF$1,'40Trips'!$A$3:$I$42,3,FALSE)),1,0)</f>
        <v>0</v>
      </c>
      <c r="AG104">
        <f>IF(AND(gamma!AF22=1, VLOOKUP($A104,'40Trips'!$A$43:$I$46, 3,FALSE)=VLOOKUP(AG$1,'40Trips'!$A$3:$I$42,3,FALSE)),1,0)</f>
        <v>0</v>
      </c>
      <c r="AH104">
        <f>IF(AND(gamma!AG22=1, VLOOKUP($A104,'40Trips'!$A$43:$I$46, 3,FALSE)=VLOOKUP(AH$1,'40Trips'!$A$3:$I$42,3,FALSE)),1,0)</f>
        <v>0</v>
      </c>
      <c r="AI104">
        <f>IF(AND(gamma!AH22=1, VLOOKUP($A104,'40Trips'!$A$43:$I$46, 3,FALSE)=VLOOKUP(AI$1,'40Trips'!$A$3:$I$42,3,FALSE)),1,0)</f>
        <v>0</v>
      </c>
      <c r="AJ104">
        <f>IF(AND(gamma!AI22=1, VLOOKUP($A104,'40Trips'!$A$43:$I$46, 3,FALSE)=VLOOKUP(AJ$1,'40Trips'!$A$3:$I$42,3,FALSE)),1,0)</f>
        <v>0</v>
      </c>
      <c r="AK104">
        <f>IF(AND(gamma!AJ22=1, VLOOKUP($A104,'40Trips'!$A$43:$I$46, 3,FALSE)=VLOOKUP(AK$1,'40Trips'!$A$3:$I$42,3,FALSE)),1,0)</f>
        <v>0</v>
      </c>
      <c r="AL104">
        <f>IF(AND(gamma!AK22=1, VLOOKUP($A104,'40Trips'!$A$43:$I$46, 3,FALSE)=VLOOKUP(AL$1,'40Trips'!$A$3:$I$42,3,FALSE)),1,0)</f>
        <v>0</v>
      </c>
      <c r="AM104">
        <f>IF(AND(gamma!AL22=1, VLOOKUP($A104,'40Trips'!$A$43:$I$46, 3,FALSE)=VLOOKUP(AM$1,'40Trips'!$A$3:$I$42,3,FALSE)),1,0)</f>
        <v>0</v>
      </c>
      <c r="AN104">
        <f>IF(AND(gamma!AM22=1, VLOOKUP($A104,'40Trips'!$A$43:$I$46, 3,FALSE)=VLOOKUP(AN$1,'40Trips'!$A$3:$I$42,3,FALSE)),1,0)</f>
        <v>0</v>
      </c>
      <c r="AO104">
        <f>IF(AND(gamma!AN22=1, VLOOKUP($A104,'40Trips'!$A$43:$I$46, 3,FALSE)=VLOOKUP(AO$1,'40Trips'!$A$3:$I$42,3,FALSE)),1,0)</f>
        <v>0</v>
      </c>
      <c r="AP104">
        <f>IF(AND(gamma!AO22=1, VLOOKUP($A104,'40Trips'!$A$43:$I$46, 3,FALSE)=VLOOKUP(AP$1,'40Trips'!$A$3:$I$42,3,FALSE)),1,0)</f>
        <v>0</v>
      </c>
      <c r="AQ104">
        <f>IF(AND(gamma!AP22=1, VLOOKUP($A104,'40Trips'!$A$43:$I$46, 3,FALSE)=VLOOKUP(AQ$1,'40Trips'!$A$3:$I$42,3,FALSE)),1,0)</f>
        <v>0</v>
      </c>
    </row>
    <row r="105" spans="1:43" x14ac:dyDescent="0.25">
      <c r="A105" t="s">
        <v>67</v>
      </c>
      <c r="B105" t="s">
        <v>34</v>
      </c>
      <c r="C105">
        <v>0</v>
      </c>
      <c r="D105">
        <f>IF(AND(gamma!C23=1, VLOOKUP($A105,'40Trips'!$A$43:$I$46, 3,FALSE)=VLOOKUP(D$1,'40Trips'!$A$3:$I$42,3,FALSE)),1,0)</f>
        <v>0</v>
      </c>
      <c r="E105">
        <f>IF(AND(gamma!D23=1, VLOOKUP($A105,'40Trips'!$A$43:$I$46, 3,FALSE)=VLOOKUP(E$1,'40Trips'!$A$3:$I$42,3,FALSE)),1,0)</f>
        <v>0</v>
      </c>
      <c r="F105">
        <f>IF(AND(gamma!E23=1, VLOOKUP($A105,'40Trips'!$A$43:$I$46, 3,FALSE)=VLOOKUP(F$1,'40Trips'!$A$3:$I$42,3,FALSE)),1,0)</f>
        <v>0</v>
      </c>
      <c r="G105">
        <f>IF(AND(gamma!F23=1, VLOOKUP($A105,'40Trips'!$A$43:$I$46, 3,FALSE)=VLOOKUP(G$1,'40Trips'!$A$3:$I$42,3,FALSE)),1,0)</f>
        <v>0</v>
      </c>
      <c r="H105">
        <f>IF(AND(gamma!G23=1, VLOOKUP($A105,'40Trips'!$A$43:$I$46, 3,FALSE)=VLOOKUP(H$1,'40Trips'!$A$3:$I$42,3,FALSE)),1,0)</f>
        <v>0</v>
      </c>
      <c r="I105">
        <f>IF(AND(gamma!H23=1, VLOOKUP($A105,'40Trips'!$A$43:$I$46, 3,FALSE)=VLOOKUP(I$1,'40Trips'!$A$3:$I$42,3,FALSE)),1,0)</f>
        <v>0</v>
      </c>
      <c r="J105">
        <f>IF(AND(gamma!I23=1, VLOOKUP($A105,'40Trips'!$A$43:$I$46, 3,FALSE)=VLOOKUP(J$1,'40Trips'!$A$3:$I$42,3,FALSE)),1,0)</f>
        <v>0</v>
      </c>
      <c r="K105">
        <f>IF(AND(gamma!J23=1, VLOOKUP($A105,'40Trips'!$A$43:$I$46, 3,FALSE)=VLOOKUP(K$1,'40Trips'!$A$3:$I$42,3,FALSE)),1,0)</f>
        <v>0</v>
      </c>
      <c r="L105">
        <f>IF(AND(gamma!K23=1, VLOOKUP($A105,'40Trips'!$A$43:$I$46, 3,FALSE)=VLOOKUP(L$1,'40Trips'!$A$3:$I$42,3,FALSE)),1,0)</f>
        <v>0</v>
      </c>
      <c r="M105">
        <f>IF(AND(gamma!L23=1, VLOOKUP($A105,'40Trips'!$A$43:$I$46, 3,FALSE)=VLOOKUP(M$1,'40Trips'!$A$3:$I$42,3,FALSE)),1,0)</f>
        <v>0</v>
      </c>
      <c r="N105">
        <f>IF(AND(gamma!M23=1, VLOOKUP($A105,'40Trips'!$A$43:$I$46, 3,FALSE)=VLOOKUP(N$1,'40Trips'!$A$3:$I$42,3,FALSE)),1,0)</f>
        <v>0</v>
      </c>
      <c r="O105">
        <f>IF(AND(gamma!N23=1, VLOOKUP($A105,'40Trips'!$A$43:$I$46, 3,FALSE)=VLOOKUP(O$1,'40Trips'!$A$3:$I$42,3,FALSE)),1,0)</f>
        <v>0</v>
      </c>
      <c r="P105">
        <f>IF(AND(gamma!O23=1, VLOOKUP($A105,'40Trips'!$A$43:$I$46, 3,FALSE)=VLOOKUP(P$1,'40Trips'!$A$3:$I$42,3,FALSE)),1,0)</f>
        <v>0</v>
      </c>
      <c r="Q105">
        <f>IF(AND(gamma!P23=1, VLOOKUP($A105,'40Trips'!$A$43:$I$46, 3,FALSE)=VLOOKUP(Q$1,'40Trips'!$A$3:$I$42,3,FALSE)),1,0)</f>
        <v>0</v>
      </c>
      <c r="R105">
        <f>IF(AND(gamma!Q23=1, VLOOKUP($A105,'40Trips'!$A$43:$I$46, 3,FALSE)=VLOOKUP(R$1,'40Trips'!$A$3:$I$42,3,FALSE)),1,0)</f>
        <v>1</v>
      </c>
      <c r="S105">
        <f>IF(AND(gamma!R23=1, VLOOKUP($A105,'40Trips'!$A$43:$I$46, 3,FALSE)=VLOOKUP(S$1,'40Trips'!$A$3:$I$42,3,FALSE)),1,0)</f>
        <v>1</v>
      </c>
      <c r="T105">
        <f>IF(AND(gamma!S23=1, VLOOKUP($A105,'40Trips'!$A$43:$I$46, 3,FALSE)=VLOOKUP(T$1,'40Trips'!$A$3:$I$42,3,FALSE)),1,0)</f>
        <v>0</v>
      </c>
      <c r="U105">
        <f>IF(AND(gamma!T23=1, VLOOKUP($A105,'40Trips'!$A$43:$I$46, 3,FALSE)=VLOOKUP(U$1,'40Trips'!$A$3:$I$42,3,FALSE)),1,0)</f>
        <v>0</v>
      </c>
      <c r="V105">
        <f>IF(AND(gamma!U23=1, VLOOKUP($A105,'40Trips'!$A$43:$I$46, 3,FALSE)=VLOOKUP(V$1,'40Trips'!$A$3:$I$42,3,FALSE)),1,0)</f>
        <v>1</v>
      </c>
      <c r="W105">
        <f>IF(AND(gamma!V23=1, VLOOKUP($A105,'40Trips'!$A$43:$I$46, 3,FALSE)=VLOOKUP(W$1,'40Trips'!$A$3:$I$42,3,FALSE)),1,0)</f>
        <v>1</v>
      </c>
      <c r="X105">
        <f>IF(AND(gamma!W23=1, VLOOKUP($A105,'40Trips'!$A$43:$I$46, 3,FALSE)=VLOOKUP(X$1,'40Trips'!$A$3:$I$42,3,FALSE)),1,0)</f>
        <v>0</v>
      </c>
      <c r="Y105">
        <f>IF(AND(gamma!X23=1, VLOOKUP($A105,'40Trips'!$A$43:$I$46, 3,FALSE)=VLOOKUP(Y$1,'40Trips'!$A$3:$I$42,3,FALSE)),1,0)</f>
        <v>0</v>
      </c>
      <c r="Z105">
        <f>IF(AND(gamma!Y23=1, VLOOKUP($A105,'40Trips'!$A$43:$I$46, 3,FALSE)=VLOOKUP(Z$1,'40Trips'!$A$3:$I$42,3,FALSE)),1,0)</f>
        <v>0</v>
      </c>
      <c r="AA105">
        <f>IF(AND(gamma!Z23=1, VLOOKUP($A105,'40Trips'!$A$43:$I$46, 3,FALSE)=VLOOKUP(AA$1,'40Trips'!$A$3:$I$42,3,FALSE)),1,0)</f>
        <v>0</v>
      </c>
      <c r="AB105">
        <f>IF(AND(gamma!AA23=1, VLOOKUP($A105,'40Trips'!$A$43:$I$46, 3,FALSE)=VLOOKUP(AB$1,'40Trips'!$A$3:$I$42,3,FALSE)),1,0)</f>
        <v>0</v>
      </c>
      <c r="AC105">
        <f>IF(AND(gamma!AB23=1, VLOOKUP($A105,'40Trips'!$A$43:$I$46, 3,FALSE)=VLOOKUP(AC$1,'40Trips'!$A$3:$I$42,3,FALSE)),1,0)</f>
        <v>0</v>
      </c>
      <c r="AD105">
        <f>IF(AND(gamma!AC23=1, VLOOKUP($A105,'40Trips'!$A$43:$I$46, 3,FALSE)=VLOOKUP(AD$1,'40Trips'!$A$3:$I$42,3,FALSE)),1,0)</f>
        <v>0</v>
      </c>
      <c r="AE105">
        <f>IF(AND(gamma!AD23=1, VLOOKUP($A105,'40Trips'!$A$43:$I$46, 3,FALSE)=VLOOKUP(AE$1,'40Trips'!$A$3:$I$42,3,FALSE)),1,0)</f>
        <v>0</v>
      </c>
      <c r="AF105">
        <f>IF(AND(gamma!AE23=1, VLOOKUP($A105,'40Trips'!$A$43:$I$46, 3,FALSE)=VLOOKUP(AF$1,'40Trips'!$A$3:$I$42,3,FALSE)),1,0)</f>
        <v>0</v>
      </c>
      <c r="AG105">
        <f>IF(AND(gamma!AF23=1, VLOOKUP($A105,'40Trips'!$A$43:$I$46, 3,FALSE)=VLOOKUP(AG$1,'40Trips'!$A$3:$I$42,3,FALSE)),1,0)</f>
        <v>0</v>
      </c>
      <c r="AH105">
        <f>IF(AND(gamma!AG23=1, VLOOKUP($A105,'40Trips'!$A$43:$I$46, 3,FALSE)=VLOOKUP(AH$1,'40Trips'!$A$3:$I$42,3,FALSE)),1,0)</f>
        <v>0</v>
      </c>
      <c r="AI105">
        <f>IF(AND(gamma!AH23=1, VLOOKUP($A105,'40Trips'!$A$43:$I$46, 3,FALSE)=VLOOKUP(AI$1,'40Trips'!$A$3:$I$42,3,FALSE)),1,0)</f>
        <v>0</v>
      </c>
      <c r="AJ105">
        <f>IF(AND(gamma!AI23=1, VLOOKUP($A105,'40Trips'!$A$43:$I$46, 3,FALSE)=VLOOKUP(AJ$1,'40Trips'!$A$3:$I$42,3,FALSE)),1,0)</f>
        <v>0</v>
      </c>
      <c r="AK105">
        <f>IF(AND(gamma!AJ23=1, VLOOKUP($A105,'40Trips'!$A$43:$I$46, 3,FALSE)=VLOOKUP(AK$1,'40Trips'!$A$3:$I$42,3,FALSE)),1,0)</f>
        <v>0</v>
      </c>
      <c r="AL105">
        <f>IF(AND(gamma!AK23=1, VLOOKUP($A105,'40Trips'!$A$43:$I$46, 3,FALSE)=VLOOKUP(AL$1,'40Trips'!$A$3:$I$42,3,FALSE)),1,0)</f>
        <v>0</v>
      </c>
      <c r="AM105">
        <f>IF(AND(gamma!AL23=1, VLOOKUP($A105,'40Trips'!$A$43:$I$46, 3,FALSE)=VLOOKUP(AM$1,'40Trips'!$A$3:$I$42,3,FALSE)),1,0)</f>
        <v>0</v>
      </c>
      <c r="AN105">
        <f>IF(AND(gamma!AM23=1, VLOOKUP($A105,'40Trips'!$A$43:$I$46, 3,FALSE)=VLOOKUP(AN$1,'40Trips'!$A$3:$I$42,3,FALSE)),1,0)</f>
        <v>0</v>
      </c>
      <c r="AO105">
        <f>IF(AND(gamma!AN23=1, VLOOKUP($A105,'40Trips'!$A$43:$I$46, 3,FALSE)=VLOOKUP(AO$1,'40Trips'!$A$3:$I$42,3,FALSE)),1,0)</f>
        <v>0</v>
      </c>
      <c r="AP105">
        <f>IF(AND(gamma!AO23=1, VLOOKUP($A105,'40Trips'!$A$43:$I$46, 3,FALSE)=VLOOKUP(AP$1,'40Trips'!$A$3:$I$42,3,FALSE)),1,0)</f>
        <v>0</v>
      </c>
      <c r="AQ105">
        <f>IF(AND(gamma!AP23=1, VLOOKUP($A105,'40Trips'!$A$43:$I$46, 3,FALSE)=VLOOKUP(AQ$1,'40Trips'!$A$3:$I$42,3,FALSE)),1,0)</f>
        <v>0</v>
      </c>
    </row>
    <row r="106" spans="1:43" x14ac:dyDescent="0.25">
      <c r="A106" t="s">
        <v>67</v>
      </c>
      <c r="B106" t="s">
        <v>35</v>
      </c>
      <c r="C106">
        <v>0</v>
      </c>
      <c r="D106">
        <f>IF(AND(gamma!C24=1, VLOOKUP($A106,'40Trips'!$A$43:$I$46, 3,FALSE)=VLOOKUP(D$1,'40Trips'!$A$3:$I$42,3,FALSE)),1,0)</f>
        <v>0</v>
      </c>
      <c r="E106">
        <f>IF(AND(gamma!D24=1, VLOOKUP($A106,'40Trips'!$A$43:$I$46, 3,FALSE)=VLOOKUP(E$1,'40Trips'!$A$3:$I$42,3,FALSE)),1,0)</f>
        <v>0</v>
      </c>
      <c r="F106">
        <f>IF(AND(gamma!E24=1, VLOOKUP($A106,'40Trips'!$A$43:$I$46, 3,FALSE)=VLOOKUP(F$1,'40Trips'!$A$3:$I$42,3,FALSE)),1,0)</f>
        <v>0</v>
      </c>
      <c r="G106">
        <f>IF(AND(gamma!F24=1, VLOOKUP($A106,'40Trips'!$A$43:$I$46, 3,FALSE)=VLOOKUP(G$1,'40Trips'!$A$3:$I$42,3,FALSE)),1,0)</f>
        <v>0</v>
      </c>
      <c r="H106">
        <f>IF(AND(gamma!G24=1, VLOOKUP($A106,'40Trips'!$A$43:$I$46, 3,FALSE)=VLOOKUP(H$1,'40Trips'!$A$3:$I$42,3,FALSE)),1,0)</f>
        <v>0</v>
      </c>
      <c r="I106">
        <f>IF(AND(gamma!H24=1, VLOOKUP($A106,'40Trips'!$A$43:$I$46, 3,FALSE)=VLOOKUP(I$1,'40Trips'!$A$3:$I$42,3,FALSE)),1,0)</f>
        <v>0</v>
      </c>
      <c r="J106">
        <f>IF(AND(gamma!I24=1, VLOOKUP($A106,'40Trips'!$A$43:$I$46, 3,FALSE)=VLOOKUP(J$1,'40Trips'!$A$3:$I$42,3,FALSE)),1,0)</f>
        <v>0</v>
      </c>
      <c r="K106">
        <f>IF(AND(gamma!J24=1, VLOOKUP($A106,'40Trips'!$A$43:$I$46, 3,FALSE)=VLOOKUP(K$1,'40Trips'!$A$3:$I$42,3,FALSE)),1,0)</f>
        <v>0</v>
      </c>
      <c r="L106">
        <f>IF(AND(gamma!K24=1, VLOOKUP($A106,'40Trips'!$A$43:$I$46, 3,FALSE)=VLOOKUP(L$1,'40Trips'!$A$3:$I$42,3,FALSE)),1,0)</f>
        <v>0</v>
      </c>
      <c r="M106">
        <f>IF(AND(gamma!L24=1, VLOOKUP($A106,'40Trips'!$A$43:$I$46, 3,FALSE)=VLOOKUP(M$1,'40Trips'!$A$3:$I$42,3,FALSE)),1,0)</f>
        <v>0</v>
      </c>
      <c r="N106">
        <f>IF(AND(gamma!M24=1, VLOOKUP($A106,'40Trips'!$A$43:$I$46, 3,FALSE)=VLOOKUP(N$1,'40Trips'!$A$3:$I$42,3,FALSE)),1,0)</f>
        <v>0</v>
      </c>
      <c r="O106">
        <f>IF(AND(gamma!N24=1, VLOOKUP($A106,'40Trips'!$A$43:$I$46, 3,FALSE)=VLOOKUP(O$1,'40Trips'!$A$3:$I$42,3,FALSE)),1,0)</f>
        <v>0</v>
      </c>
      <c r="P106">
        <f>IF(AND(gamma!O24=1, VLOOKUP($A106,'40Trips'!$A$43:$I$46, 3,FALSE)=VLOOKUP(P$1,'40Trips'!$A$3:$I$42,3,FALSE)),1,0)</f>
        <v>0</v>
      </c>
      <c r="Q106">
        <f>IF(AND(gamma!P24=1, VLOOKUP($A106,'40Trips'!$A$43:$I$46, 3,FALSE)=VLOOKUP(Q$1,'40Trips'!$A$3:$I$42,3,FALSE)),1,0)</f>
        <v>0</v>
      </c>
      <c r="R106">
        <f>IF(AND(gamma!Q24=1, VLOOKUP($A106,'40Trips'!$A$43:$I$46, 3,FALSE)=VLOOKUP(R$1,'40Trips'!$A$3:$I$42,3,FALSE)),1,0)</f>
        <v>0</v>
      </c>
      <c r="S106">
        <f>IF(AND(gamma!R24=1, VLOOKUP($A106,'40Trips'!$A$43:$I$46, 3,FALSE)=VLOOKUP(S$1,'40Trips'!$A$3:$I$42,3,FALSE)),1,0)</f>
        <v>1</v>
      </c>
      <c r="T106">
        <f>IF(AND(gamma!S24=1, VLOOKUP($A106,'40Trips'!$A$43:$I$46, 3,FALSE)=VLOOKUP(T$1,'40Trips'!$A$3:$I$42,3,FALSE)),1,0)</f>
        <v>0</v>
      </c>
      <c r="U106">
        <f>IF(AND(gamma!T24=1, VLOOKUP($A106,'40Trips'!$A$43:$I$46, 3,FALSE)=VLOOKUP(U$1,'40Trips'!$A$3:$I$42,3,FALSE)),1,0)</f>
        <v>0</v>
      </c>
      <c r="V106">
        <f>IF(AND(gamma!U24=1, VLOOKUP($A106,'40Trips'!$A$43:$I$46, 3,FALSE)=VLOOKUP(V$1,'40Trips'!$A$3:$I$42,3,FALSE)),1,0)</f>
        <v>0</v>
      </c>
      <c r="W106">
        <f>IF(AND(gamma!V24=1, VLOOKUP($A106,'40Trips'!$A$43:$I$46, 3,FALSE)=VLOOKUP(W$1,'40Trips'!$A$3:$I$42,3,FALSE)),1,0)</f>
        <v>1</v>
      </c>
      <c r="X106">
        <f>IF(AND(gamma!W24=1, VLOOKUP($A106,'40Trips'!$A$43:$I$46, 3,FALSE)=VLOOKUP(X$1,'40Trips'!$A$3:$I$42,3,FALSE)),1,0)</f>
        <v>0</v>
      </c>
      <c r="Y106">
        <f>IF(AND(gamma!X24=1, VLOOKUP($A106,'40Trips'!$A$43:$I$46, 3,FALSE)=VLOOKUP(Y$1,'40Trips'!$A$3:$I$42,3,FALSE)),1,0)</f>
        <v>0</v>
      </c>
      <c r="Z106">
        <f>IF(AND(gamma!Y24=1, VLOOKUP($A106,'40Trips'!$A$43:$I$46, 3,FALSE)=VLOOKUP(Z$1,'40Trips'!$A$3:$I$42,3,FALSE)),1,0)</f>
        <v>0</v>
      </c>
      <c r="AA106">
        <f>IF(AND(gamma!Z24=1, VLOOKUP($A106,'40Trips'!$A$43:$I$46, 3,FALSE)=VLOOKUP(AA$1,'40Trips'!$A$3:$I$42,3,FALSE)),1,0)</f>
        <v>0</v>
      </c>
      <c r="AB106">
        <f>IF(AND(gamma!AA24=1, VLOOKUP($A106,'40Trips'!$A$43:$I$46, 3,FALSE)=VLOOKUP(AB$1,'40Trips'!$A$3:$I$42,3,FALSE)),1,0)</f>
        <v>0</v>
      </c>
      <c r="AC106">
        <f>IF(AND(gamma!AB24=1, VLOOKUP($A106,'40Trips'!$A$43:$I$46, 3,FALSE)=VLOOKUP(AC$1,'40Trips'!$A$3:$I$42,3,FALSE)),1,0)</f>
        <v>0</v>
      </c>
      <c r="AD106">
        <f>IF(AND(gamma!AC24=1, VLOOKUP($A106,'40Trips'!$A$43:$I$46, 3,FALSE)=VLOOKUP(AD$1,'40Trips'!$A$3:$I$42,3,FALSE)),1,0)</f>
        <v>0</v>
      </c>
      <c r="AE106">
        <f>IF(AND(gamma!AD24=1, VLOOKUP($A106,'40Trips'!$A$43:$I$46, 3,FALSE)=VLOOKUP(AE$1,'40Trips'!$A$3:$I$42,3,FALSE)),1,0)</f>
        <v>0</v>
      </c>
      <c r="AF106">
        <f>IF(AND(gamma!AE24=1, VLOOKUP($A106,'40Trips'!$A$43:$I$46, 3,FALSE)=VLOOKUP(AF$1,'40Trips'!$A$3:$I$42,3,FALSE)),1,0)</f>
        <v>0</v>
      </c>
      <c r="AG106">
        <f>IF(AND(gamma!AF24=1, VLOOKUP($A106,'40Trips'!$A$43:$I$46, 3,FALSE)=VLOOKUP(AG$1,'40Trips'!$A$3:$I$42,3,FALSE)),1,0)</f>
        <v>0</v>
      </c>
      <c r="AH106">
        <f>IF(AND(gamma!AG24=1, VLOOKUP($A106,'40Trips'!$A$43:$I$46, 3,FALSE)=VLOOKUP(AH$1,'40Trips'!$A$3:$I$42,3,FALSE)),1,0)</f>
        <v>0</v>
      </c>
      <c r="AI106">
        <f>IF(AND(gamma!AH24=1, VLOOKUP($A106,'40Trips'!$A$43:$I$46, 3,FALSE)=VLOOKUP(AI$1,'40Trips'!$A$3:$I$42,3,FALSE)),1,0)</f>
        <v>0</v>
      </c>
      <c r="AJ106">
        <f>IF(AND(gamma!AI24=1, VLOOKUP($A106,'40Trips'!$A$43:$I$46, 3,FALSE)=VLOOKUP(AJ$1,'40Trips'!$A$3:$I$42,3,FALSE)),1,0)</f>
        <v>0</v>
      </c>
      <c r="AK106">
        <f>IF(AND(gamma!AJ24=1, VLOOKUP($A106,'40Trips'!$A$43:$I$46, 3,FALSE)=VLOOKUP(AK$1,'40Trips'!$A$3:$I$42,3,FALSE)),1,0)</f>
        <v>0</v>
      </c>
      <c r="AL106">
        <f>IF(AND(gamma!AK24=1, VLOOKUP($A106,'40Trips'!$A$43:$I$46, 3,FALSE)=VLOOKUP(AL$1,'40Trips'!$A$3:$I$42,3,FALSE)),1,0)</f>
        <v>0</v>
      </c>
      <c r="AM106">
        <f>IF(AND(gamma!AL24=1, VLOOKUP($A106,'40Trips'!$A$43:$I$46, 3,FALSE)=VLOOKUP(AM$1,'40Trips'!$A$3:$I$42,3,FALSE)),1,0)</f>
        <v>0</v>
      </c>
      <c r="AN106">
        <f>IF(AND(gamma!AM24=1, VLOOKUP($A106,'40Trips'!$A$43:$I$46, 3,FALSE)=VLOOKUP(AN$1,'40Trips'!$A$3:$I$42,3,FALSE)),1,0)</f>
        <v>0</v>
      </c>
      <c r="AO106">
        <f>IF(AND(gamma!AN24=1, VLOOKUP($A106,'40Trips'!$A$43:$I$46, 3,FALSE)=VLOOKUP(AO$1,'40Trips'!$A$3:$I$42,3,FALSE)),1,0)</f>
        <v>0</v>
      </c>
      <c r="AP106">
        <f>IF(AND(gamma!AO24=1, VLOOKUP($A106,'40Trips'!$A$43:$I$46, 3,FALSE)=VLOOKUP(AP$1,'40Trips'!$A$3:$I$42,3,FALSE)),1,0)</f>
        <v>0</v>
      </c>
      <c r="AQ106">
        <f>IF(AND(gamma!AP24=1, VLOOKUP($A106,'40Trips'!$A$43:$I$46, 3,FALSE)=VLOOKUP(AQ$1,'40Trips'!$A$3:$I$42,3,FALSE)),1,0)</f>
        <v>0</v>
      </c>
    </row>
    <row r="107" spans="1:43" x14ac:dyDescent="0.25">
      <c r="A107" t="s">
        <v>67</v>
      </c>
      <c r="B107" t="s">
        <v>36</v>
      </c>
      <c r="C107">
        <v>0</v>
      </c>
      <c r="D107">
        <f>IF(AND(gamma!C25=1, VLOOKUP($A107,'40Trips'!$A$43:$I$46, 3,FALSE)=VLOOKUP(D$1,'40Trips'!$A$3:$I$42,3,FALSE)),1,0)</f>
        <v>0</v>
      </c>
      <c r="E107">
        <f>IF(AND(gamma!D25=1, VLOOKUP($A107,'40Trips'!$A$43:$I$46, 3,FALSE)=VLOOKUP(E$1,'40Trips'!$A$3:$I$42,3,FALSE)),1,0)</f>
        <v>0</v>
      </c>
      <c r="F107">
        <f>IF(AND(gamma!E25=1, VLOOKUP($A107,'40Trips'!$A$43:$I$46, 3,FALSE)=VLOOKUP(F$1,'40Trips'!$A$3:$I$42,3,FALSE)),1,0)</f>
        <v>0</v>
      </c>
      <c r="G107">
        <f>IF(AND(gamma!F25=1, VLOOKUP($A107,'40Trips'!$A$43:$I$46, 3,FALSE)=VLOOKUP(G$1,'40Trips'!$A$3:$I$42,3,FALSE)),1,0)</f>
        <v>0</v>
      </c>
      <c r="H107">
        <f>IF(AND(gamma!G25=1, VLOOKUP($A107,'40Trips'!$A$43:$I$46, 3,FALSE)=VLOOKUP(H$1,'40Trips'!$A$3:$I$42,3,FALSE)),1,0)</f>
        <v>0</v>
      </c>
      <c r="I107">
        <f>IF(AND(gamma!H25=1, VLOOKUP($A107,'40Trips'!$A$43:$I$46, 3,FALSE)=VLOOKUP(I$1,'40Trips'!$A$3:$I$42,3,FALSE)),1,0)</f>
        <v>0</v>
      </c>
      <c r="J107">
        <f>IF(AND(gamma!I25=1, VLOOKUP($A107,'40Trips'!$A$43:$I$46, 3,FALSE)=VLOOKUP(J$1,'40Trips'!$A$3:$I$42,3,FALSE)),1,0)</f>
        <v>0</v>
      </c>
      <c r="K107">
        <f>IF(AND(gamma!J25=1, VLOOKUP($A107,'40Trips'!$A$43:$I$46, 3,FALSE)=VLOOKUP(K$1,'40Trips'!$A$3:$I$42,3,FALSE)),1,0)</f>
        <v>0</v>
      </c>
      <c r="L107">
        <f>IF(AND(gamma!K25=1, VLOOKUP($A107,'40Trips'!$A$43:$I$46, 3,FALSE)=VLOOKUP(L$1,'40Trips'!$A$3:$I$42,3,FALSE)),1,0)</f>
        <v>0</v>
      </c>
      <c r="M107">
        <f>IF(AND(gamma!L25=1, VLOOKUP($A107,'40Trips'!$A$43:$I$46, 3,FALSE)=VLOOKUP(M$1,'40Trips'!$A$3:$I$42,3,FALSE)),1,0)</f>
        <v>0</v>
      </c>
      <c r="N107">
        <f>IF(AND(gamma!M25=1, VLOOKUP($A107,'40Trips'!$A$43:$I$46, 3,FALSE)=VLOOKUP(N$1,'40Trips'!$A$3:$I$42,3,FALSE)),1,0)</f>
        <v>0</v>
      </c>
      <c r="O107">
        <f>IF(AND(gamma!N25=1, VLOOKUP($A107,'40Trips'!$A$43:$I$46, 3,FALSE)=VLOOKUP(O$1,'40Trips'!$A$3:$I$42,3,FALSE)),1,0)</f>
        <v>0</v>
      </c>
      <c r="P107">
        <f>IF(AND(gamma!O25=1, VLOOKUP($A107,'40Trips'!$A$43:$I$46, 3,FALSE)=VLOOKUP(P$1,'40Trips'!$A$3:$I$42,3,FALSE)),1,0)</f>
        <v>0</v>
      </c>
      <c r="Q107">
        <f>IF(AND(gamma!P25=1, VLOOKUP($A107,'40Trips'!$A$43:$I$46, 3,FALSE)=VLOOKUP(Q$1,'40Trips'!$A$3:$I$42,3,FALSE)),1,0)</f>
        <v>0</v>
      </c>
      <c r="R107">
        <f>IF(AND(gamma!Q25=1, VLOOKUP($A107,'40Trips'!$A$43:$I$46, 3,FALSE)=VLOOKUP(R$1,'40Trips'!$A$3:$I$42,3,FALSE)),1,0)</f>
        <v>0</v>
      </c>
      <c r="S107">
        <f>IF(AND(gamma!R25=1, VLOOKUP($A107,'40Trips'!$A$43:$I$46, 3,FALSE)=VLOOKUP(S$1,'40Trips'!$A$3:$I$42,3,FALSE)),1,0)</f>
        <v>0</v>
      </c>
      <c r="T107">
        <f>IF(AND(gamma!S25=1, VLOOKUP($A107,'40Trips'!$A$43:$I$46, 3,FALSE)=VLOOKUP(T$1,'40Trips'!$A$3:$I$42,3,FALSE)),1,0)</f>
        <v>0</v>
      </c>
      <c r="U107">
        <f>IF(AND(gamma!T25=1, VLOOKUP($A107,'40Trips'!$A$43:$I$46, 3,FALSE)=VLOOKUP(U$1,'40Trips'!$A$3:$I$42,3,FALSE)),1,0)</f>
        <v>0</v>
      </c>
      <c r="V107">
        <f>IF(AND(gamma!U25=1, VLOOKUP($A107,'40Trips'!$A$43:$I$46, 3,FALSE)=VLOOKUP(V$1,'40Trips'!$A$3:$I$42,3,FALSE)),1,0)</f>
        <v>0</v>
      </c>
      <c r="W107">
        <f>IF(AND(gamma!V25=1, VLOOKUP($A107,'40Trips'!$A$43:$I$46, 3,FALSE)=VLOOKUP(W$1,'40Trips'!$A$3:$I$42,3,FALSE)),1,0)</f>
        <v>0</v>
      </c>
      <c r="X107">
        <f>IF(AND(gamma!W25=1, VLOOKUP($A107,'40Trips'!$A$43:$I$46, 3,FALSE)=VLOOKUP(X$1,'40Trips'!$A$3:$I$42,3,FALSE)),1,0)</f>
        <v>0</v>
      </c>
      <c r="Y107">
        <f>IF(AND(gamma!X25=1, VLOOKUP($A107,'40Trips'!$A$43:$I$46, 3,FALSE)=VLOOKUP(Y$1,'40Trips'!$A$3:$I$42,3,FALSE)),1,0)</f>
        <v>0</v>
      </c>
      <c r="Z107">
        <f>IF(AND(gamma!Y25=1, VLOOKUP($A107,'40Trips'!$A$43:$I$46, 3,FALSE)=VLOOKUP(Z$1,'40Trips'!$A$3:$I$42,3,FALSE)),1,0)</f>
        <v>0</v>
      </c>
      <c r="AA107">
        <f>IF(AND(gamma!Z25=1, VLOOKUP($A107,'40Trips'!$A$43:$I$46, 3,FALSE)=VLOOKUP(AA$1,'40Trips'!$A$3:$I$42,3,FALSE)),1,0)</f>
        <v>0</v>
      </c>
      <c r="AB107">
        <f>IF(AND(gamma!AA25=1, VLOOKUP($A107,'40Trips'!$A$43:$I$46, 3,FALSE)=VLOOKUP(AB$1,'40Trips'!$A$3:$I$42,3,FALSE)),1,0)</f>
        <v>0</v>
      </c>
      <c r="AC107">
        <f>IF(AND(gamma!AB25=1, VLOOKUP($A107,'40Trips'!$A$43:$I$46, 3,FALSE)=VLOOKUP(AC$1,'40Trips'!$A$3:$I$42,3,FALSE)),1,0)</f>
        <v>0</v>
      </c>
      <c r="AD107">
        <f>IF(AND(gamma!AC25=1, VLOOKUP($A107,'40Trips'!$A$43:$I$46, 3,FALSE)=VLOOKUP(AD$1,'40Trips'!$A$3:$I$42,3,FALSE)),1,0)</f>
        <v>0</v>
      </c>
      <c r="AE107">
        <f>IF(AND(gamma!AD25=1, VLOOKUP($A107,'40Trips'!$A$43:$I$46, 3,FALSE)=VLOOKUP(AE$1,'40Trips'!$A$3:$I$42,3,FALSE)),1,0)</f>
        <v>0</v>
      </c>
      <c r="AF107">
        <f>IF(AND(gamma!AE25=1, VLOOKUP($A107,'40Trips'!$A$43:$I$46, 3,FALSE)=VLOOKUP(AF$1,'40Trips'!$A$3:$I$42,3,FALSE)),1,0)</f>
        <v>0</v>
      </c>
      <c r="AG107">
        <f>IF(AND(gamma!AF25=1, VLOOKUP($A107,'40Trips'!$A$43:$I$46, 3,FALSE)=VLOOKUP(AG$1,'40Trips'!$A$3:$I$42,3,FALSE)),1,0)</f>
        <v>0</v>
      </c>
      <c r="AH107">
        <f>IF(AND(gamma!AG25=1, VLOOKUP($A107,'40Trips'!$A$43:$I$46, 3,FALSE)=VLOOKUP(AH$1,'40Trips'!$A$3:$I$42,3,FALSE)),1,0)</f>
        <v>0</v>
      </c>
      <c r="AI107">
        <f>IF(AND(gamma!AH25=1, VLOOKUP($A107,'40Trips'!$A$43:$I$46, 3,FALSE)=VLOOKUP(AI$1,'40Trips'!$A$3:$I$42,3,FALSE)),1,0)</f>
        <v>0</v>
      </c>
      <c r="AJ107">
        <f>IF(AND(gamma!AI25=1, VLOOKUP($A107,'40Trips'!$A$43:$I$46, 3,FALSE)=VLOOKUP(AJ$1,'40Trips'!$A$3:$I$42,3,FALSE)),1,0)</f>
        <v>0</v>
      </c>
      <c r="AK107">
        <f>IF(AND(gamma!AJ25=1, VLOOKUP($A107,'40Trips'!$A$43:$I$46, 3,FALSE)=VLOOKUP(AK$1,'40Trips'!$A$3:$I$42,3,FALSE)),1,0)</f>
        <v>0</v>
      </c>
      <c r="AL107">
        <f>IF(AND(gamma!AK25=1, VLOOKUP($A107,'40Trips'!$A$43:$I$46, 3,FALSE)=VLOOKUP(AL$1,'40Trips'!$A$3:$I$42,3,FALSE)),1,0)</f>
        <v>0</v>
      </c>
      <c r="AM107">
        <f>IF(AND(gamma!AL25=1, VLOOKUP($A107,'40Trips'!$A$43:$I$46, 3,FALSE)=VLOOKUP(AM$1,'40Trips'!$A$3:$I$42,3,FALSE)),1,0)</f>
        <v>0</v>
      </c>
      <c r="AN107">
        <f>IF(AND(gamma!AM25=1, VLOOKUP($A107,'40Trips'!$A$43:$I$46, 3,FALSE)=VLOOKUP(AN$1,'40Trips'!$A$3:$I$42,3,FALSE)),1,0)</f>
        <v>0</v>
      </c>
      <c r="AO107">
        <f>IF(AND(gamma!AN25=1, VLOOKUP($A107,'40Trips'!$A$43:$I$46, 3,FALSE)=VLOOKUP(AO$1,'40Trips'!$A$3:$I$42,3,FALSE)),1,0)</f>
        <v>0</v>
      </c>
      <c r="AP107">
        <f>IF(AND(gamma!AO25=1, VLOOKUP($A107,'40Trips'!$A$43:$I$46, 3,FALSE)=VLOOKUP(AP$1,'40Trips'!$A$3:$I$42,3,FALSE)),1,0)</f>
        <v>0</v>
      </c>
      <c r="AQ107">
        <f>IF(AND(gamma!AP25=1, VLOOKUP($A107,'40Trips'!$A$43:$I$46, 3,FALSE)=VLOOKUP(AQ$1,'40Trips'!$A$3:$I$42,3,FALSE)),1,0)</f>
        <v>0</v>
      </c>
    </row>
    <row r="108" spans="1:43" x14ac:dyDescent="0.25">
      <c r="A108" t="s">
        <v>67</v>
      </c>
      <c r="B108" t="s">
        <v>37</v>
      </c>
      <c r="C108">
        <v>0</v>
      </c>
      <c r="D108">
        <f>IF(AND(gamma!C26=1, VLOOKUP($A108,'40Trips'!$A$43:$I$46, 3,FALSE)=VLOOKUP(D$1,'40Trips'!$A$3:$I$42,3,FALSE)),1,0)</f>
        <v>0</v>
      </c>
      <c r="E108">
        <f>IF(AND(gamma!D26=1, VLOOKUP($A108,'40Trips'!$A$43:$I$46, 3,FALSE)=VLOOKUP(E$1,'40Trips'!$A$3:$I$42,3,FALSE)),1,0)</f>
        <v>0</v>
      </c>
      <c r="F108">
        <f>IF(AND(gamma!E26=1, VLOOKUP($A108,'40Trips'!$A$43:$I$46, 3,FALSE)=VLOOKUP(F$1,'40Trips'!$A$3:$I$42,3,FALSE)),1,0)</f>
        <v>0</v>
      </c>
      <c r="G108">
        <f>IF(AND(gamma!F26=1, VLOOKUP($A108,'40Trips'!$A$43:$I$46, 3,FALSE)=VLOOKUP(G$1,'40Trips'!$A$3:$I$42,3,FALSE)),1,0)</f>
        <v>0</v>
      </c>
      <c r="H108">
        <f>IF(AND(gamma!G26=1, VLOOKUP($A108,'40Trips'!$A$43:$I$46, 3,FALSE)=VLOOKUP(H$1,'40Trips'!$A$3:$I$42,3,FALSE)),1,0)</f>
        <v>0</v>
      </c>
      <c r="I108">
        <f>IF(AND(gamma!H26=1, VLOOKUP($A108,'40Trips'!$A$43:$I$46, 3,FALSE)=VLOOKUP(I$1,'40Trips'!$A$3:$I$42,3,FALSE)),1,0)</f>
        <v>0</v>
      </c>
      <c r="J108">
        <f>IF(AND(gamma!I26=1, VLOOKUP($A108,'40Trips'!$A$43:$I$46, 3,FALSE)=VLOOKUP(J$1,'40Trips'!$A$3:$I$42,3,FALSE)),1,0)</f>
        <v>0</v>
      </c>
      <c r="K108">
        <f>IF(AND(gamma!J26=1, VLOOKUP($A108,'40Trips'!$A$43:$I$46, 3,FALSE)=VLOOKUP(K$1,'40Trips'!$A$3:$I$42,3,FALSE)),1,0)</f>
        <v>0</v>
      </c>
      <c r="L108">
        <f>IF(AND(gamma!K26=1, VLOOKUP($A108,'40Trips'!$A$43:$I$46, 3,FALSE)=VLOOKUP(L$1,'40Trips'!$A$3:$I$42,3,FALSE)),1,0)</f>
        <v>0</v>
      </c>
      <c r="M108">
        <f>IF(AND(gamma!L26=1, VLOOKUP($A108,'40Trips'!$A$43:$I$46, 3,FALSE)=VLOOKUP(M$1,'40Trips'!$A$3:$I$42,3,FALSE)),1,0)</f>
        <v>0</v>
      </c>
      <c r="N108">
        <f>IF(AND(gamma!M26=1, VLOOKUP($A108,'40Trips'!$A$43:$I$46, 3,FALSE)=VLOOKUP(N$1,'40Trips'!$A$3:$I$42,3,FALSE)),1,0)</f>
        <v>0</v>
      </c>
      <c r="O108">
        <f>IF(AND(gamma!N26=1, VLOOKUP($A108,'40Trips'!$A$43:$I$46, 3,FALSE)=VLOOKUP(O$1,'40Trips'!$A$3:$I$42,3,FALSE)),1,0)</f>
        <v>0</v>
      </c>
      <c r="P108">
        <f>IF(AND(gamma!O26=1, VLOOKUP($A108,'40Trips'!$A$43:$I$46, 3,FALSE)=VLOOKUP(P$1,'40Trips'!$A$3:$I$42,3,FALSE)),1,0)</f>
        <v>0</v>
      </c>
      <c r="Q108">
        <f>IF(AND(gamma!P26=1, VLOOKUP($A108,'40Trips'!$A$43:$I$46, 3,FALSE)=VLOOKUP(Q$1,'40Trips'!$A$3:$I$42,3,FALSE)),1,0)</f>
        <v>0</v>
      </c>
      <c r="R108">
        <f>IF(AND(gamma!Q26=1, VLOOKUP($A108,'40Trips'!$A$43:$I$46, 3,FALSE)=VLOOKUP(R$1,'40Trips'!$A$3:$I$42,3,FALSE)),1,0)</f>
        <v>0</v>
      </c>
      <c r="S108">
        <f>IF(AND(gamma!R26=1, VLOOKUP($A108,'40Trips'!$A$43:$I$46, 3,FALSE)=VLOOKUP(S$1,'40Trips'!$A$3:$I$42,3,FALSE)),1,0)</f>
        <v>0</v>
      </c>
      <c r="T108">
        <f>IF(AND(gamma!S26=1, VLOOKUP($A108,'40Trips'!$A$43:$I$46, 3,FALSE)=VLOOKUP(T$1,'40Trips'!$A$3:$I$42,3,FALSE)),1,0)</f>
        <v>0</v>
      </c>
      <c r="U108">
        <f>IF(AND(gamma!T26=1, VLOOKUP($A108,'40Trips'!$A$43:$I$46, 3,FALSE)=VLOOKUP(U$1,'40Trips'!$A$3:$I$42,3,FALSE)),1,0)</f>
        <v>0</v>
      </c>
      <c r="V108">
        <f>IF(AND(gamma!U26=1, VLOOKUP($A108,'40Trips'!$A$43:$I$46, 3,FALSE)=VLOOKUP(V$1,'40Trips'!$A$3:$I$42,3,FALSE)),1,0)</f>
        <v>0</v>
      </c>
      <c r="W108">
        <f>IF(AND(gamma!V26=1, VLOOKUP($A108,'40Trips'!$A$43:$I$46, 3,FALSE)=VLOOKUP(W$1,'40Trips'!$A$3:$I$42,3,FALSE)),1,0)</f>
        <v>0</v>
      </c>
      <c r="X108">
        <f>IF(AND(gamma!W26=1, VLOOKUP($A108,'40Trips'!$A$43:$I$46, 3,FALSE)=VLOOKUP(X$1,'40Trips'!$A$3:$I$42,3,FALSE)),1,0)</f>
        <v>0</v>
      </c>
      <c r="Y108">
        <f>IF(AND(gamma!X26=1, VLOOKUP($A108,'40Trips'!$A$43:$I$46, 3,FALSE)=VLOOKUP(Y$1,'40Trips'!$A$3:$I$42,3,FALSE)),1,0)</f>
        <v>0</v>
      </c>
      <c r="Z108">
        <f>IF(AND(gamma!Y26=1, VLOOKUP($A108,'40Trips'!$A$43:$I$46, 3,FALSE)=VLOOKUP(Z$1,'40Trips'!$A$3:$I$42,3,FALSE)),1,0)</f>
        <v>0</v>
      </c>
      <c r="AA108">
        <f>IF(AND(gamma!Z26=1, VLOOKUP($A108,'40Trips'!$A$43:$I$46, 3,FALSE)=VLOOKUP(AA$1,'40Trips'!$A$3:$I$42,3,FALSE)),1,0)</f>
        <v>0</v>
      </c>
      <c r="AB108">
        <f>IF(AND(gamma!AA26=1, VLOOKUP($A108,'40Trips'!$A$43:$I$46, 3,FALSE)=VLOOKUP(AB$1,'40Trips'!$A$3:$I$42,3,FALSE)),1,0)</f>
        <v>0</v>
      </c>
      <c r="AC108">
        <f>IF(AND(gamma!AB26=1, VLOOKUP($A108,'40Trips'!$A$43:$I$46, 3,FALSE)=VLOOKUP(AC$1,'40Trips'!$A$3:$I$42,3,FALSE)),1,0)</f>
        <v>0</v>
      </c>
      <c r="AD108">
        <f>IF(AND(gamma!AC26=1, VLOOKUP($A108,'40Trips'!$A$43:$I$46, 3,FALSE)=VLOOKUP(AD$1,'40Trips'!$A$3:$I$42,3,FALSE)),1,0)</f>
        <v>0</v>
      </c>
      <c r="AE108">
        <f>IF(AND(gamma!AD26=1, VLOOKUP($A108,'40Trips'!$A$43:$I$46, 3,FALSE)=VLOOKUP(AE$1,'40Trips'!$A$3:$I$42,3,FALSE)),1,0)</f>
        <v>0</v>
      </c>
      <c r="AF108">
        <f>IF(AND(gamma!AE26=1, VLOOKUP($A108,'40Trips'!$A$43:$I$46, 3,FALSE)=VLOOKUP(AF$1,'40Trips'!$A$3:$I$42,3,FALSE)),1,0)</f>
        <v>0</v>
      </c>
      <c r="AG108">
        <f>IF(AND(gamma!AF26=1, VLOOKUP($A108,'40Trips'!$A$43:$I$46, 3,FALSE)=VLOOKUP(AG$1,'40Trips'!$A$3:$I$42,3,FALSE)),1,0)</f>
        <v>0</v>
      </c>
      <c r="AH108">
        <f>IF(AND(gamma!AG26=1, VLOOKUP($A108,'40Trips'!$A$43:$I$46, 3,FALSE)=VLOOKUP(AH$1,'40Trips'!$A$3:$I$42,3,FALSE)),1,0)</f>
        <v>0</v>
      </c>
      <c r="AI108">
        <f>IF(AND(gamma!AH26=1, VLOOKUP($A108,'40Trips'!$A$43:$I$46, 3,FALSE)=VLOOKUP(AI$1,'40Trips'!$A$3:$I$42,3,FALSE)),1,0)</f>
        <v>0</v>
      </c>
      <c r="AJ108">
        <f>IF(AND(gamma!AI26=1, VLOOKUP($A108,'40Trips'!$A$43:$I$46, 3,FALSE)=VLOOKUP(AJ$1,'40Trips'!$A$3:$I$42,3,FALSE)),1,0)</f>
        <v>0</v>
      </c>
      <c r="AK108">
        <f>IF(AND(gamma!AJ26=1, VLOOKUP($A108,'40Trips'!$A$43:$I$46, 3,FALSE)=VLOOKUP(AK$1,'40Trips'!$A$3:$I$42,3,FALSE)),1,0)</f>
        <v>0</v>
      </c>
      <c r="AL108">
        <f>IF(AND(gamma!AK26=1, VLOOKUP($A108,'40Trips'!$A$43:$I$46, 3,FALSE)=VLOOKUP(AL$1,'40Trips'!$A$3:$I$42,3,FALSE)),1,0)</f>
        <v>0</v>
      </c>
      <c r="AM108">
        <f>IF(AND(gamma!AL26=1, VLOOKUP($A108,'40Trips'!$A$43:$I$46, 3,FALSE)=VLOOKUP(AM$1,'40Trips'!$A$3:$I$42,3,FALSE)),1,0)</f>
        <v>0</v>
      </c>
      <c r="AN108">
        <f>IF(AND(gamma!AM26=1, VLOOKUP($A108,'40Trips'!$A$43:$I$46, 3,FALSE)=VLOOKUP(AN$1,'40Trips'!$A$3:$I$42,3,FALSE)),1,0)</f>
        <v>0</v>
      </c>
      <c r="AO108">
        <f>IF(AND(gamma!AN26=1, VLOOKUP($A108,'40Trips'!$A$43:$I$46, 3,FALSE)=VLOOKUP(AO$1,'40Trips'!$A$3:$I$42,3,FALSE)),1,0)</f>
        <v>0</v>
      </c>
      <c r="AP108">
        <f>IF(AND(gamma!AO26=1, VLOOKUP($A108,'40Trips'!$A$43:$I$46, 3,FALSE)=VLOOKUP(AP$1,'40Trips'!$A$3:$I$42,3,FALSE)),1,0)</f>
        <v>0</v>
      </c>
      <c r="AQ108">
        <f>IF(AND(gamma!AP26=1, VLOOKUP($A108,'40Trips'!$A$43:$I$46, 3,FALSE)=VLOOKUP(AQ$1,'40Trips'!$A$3:$I$42,3,FALSE)),1,0)</f>
        <v>0</v>
      </c>
    </row>
    <row r="109" spans="1:43" x14ac:dyDescent="0.25">
      <c r="A109" t="s">
        <v>67</v>
      </c>
      <c r="B109" t="s">
        <v>79</v>
      </c>
      <c r="C109">
        <v>0</v>
      </c>
      <c r="D109">
        <f>IF(AND(gamma!C27=1, VLOOKUP($A109,'40Trips'!$A$43:$I$46, 3,FALSE)=VLOOKUP(D$1,'40Trips'!$A$3:$I$42,3,FALSE)),1,0)</f>
        <v>0</v>
      </c>
      <c r="E109">
        <f>IF(AND(gamma!D27=1, VLOOKUP($A109,'40Trips'!$A$43:$I$46, 3,FALSE)=VLOOKUP(E$1,'40Trips'!$A$3:$I$42,3,FALSE)),1,0)</f>
        <v>0</v>
      </c>
      <c r="F109">
        <f>IF(AND(gamma!E27=1, VLOOKUP($A109,'40Trips'!$A$43:$I$46, 3,FALSE)=VLOOKUP(F$1,'40Trips'!$A$3:$I$42,3,FALSE)),1,0)</f>
        <v>0</v>
      </c>
      <c r="G109">
        <f>IF(AND(gamma!F27=1, VLOOKUP($A109,'40Trips'!$A$43:$I$46, 3,FALSE)=VLOOKUP(G$1,'40Trips'!$A$3:$I$42,3,FALSE)),1,0)</f>
        <v>0</v>
      </c>
      <c r="H109">
        <f>IF(AND(gamma!G27=1, VLOOKUP($A109,'40Trips'!$A$43:$I$46, 3,FALSE)=VLOOKUP(H$1,'40Trips'!$A$3:$I$42,3,FALSE)),1,0)</f>
        <v>0</v>
      </c>
      <c r="I109">
        <f>IF(AND(gamma!H27=1, VLOOKUP($A109,'40Trips'!$A$43:$I$46, 3,FALSE)=VLOOKUP(I$1,'40Trips'!$A$3:$I$42,3,FALSE)),1,0)</f>
        <v>0</v>
      </c>
      <c r="J109">
        <f>IF(AND(gamma!I27=1, VLOOKUP($A109,'40Trips'!$A$43:$I$46, 3,FALSE)=VLOOKUP(J$1,'40Trips'!$A$3:$I$42,3,FALSE)),1,0)</f>
        <v>0</v>
      </c>
      <c r="K109">
        <f>IF(AND(gamma!J27=1, VLOOKUP($A109,'40Trips'!$A$43:$I$46, 3,FALSE)=VLOOKUP(K$1,'40Trips'!$A$3:$I$42,3,FALSE)),1,0)</f>
        <v>0</v>
      </c>
      <c r="L109">
        <f>IF(AND(gamma!K27=1, VLOOKUP($A109,'40Trips'!$A$43:$I$46, 3,FALSE)=VLOOKUP(L$1,'40Trips'!$A$3:$I$42,3,FALSE)),1,0)</f>
        <v>0</v>
      </c>
      <c r="M109">
        <f>IF(AND(gamma!L27=1, VLOOKUP($A109,'40Trips'!$A$43:$I$46, 3,FALSE)=VLOOKUP(M$1,'40Trips'!$A$3:$I$42,3,FALSE)),1,0)</f>
        <v>0</v>
      </c>
      <c r="N109">
        <f>IF(AND(gamma!M27=1, VLOOKUP($A109,'40Trips'!$A$43:$I$46, 3,FALSE)=VLOOKUP(N$1,'40Trips'!$A$3:$I$42,3,FALSE)),1,0)</f>
        <v>0</v>
      </c>
      <c r="O109">
        <f>IF(AND(gamma!N27=1, VLOOKUP($A109,'40Trips'!$A$43:$I$46, 3,FALSE)=VLOOKUP(O$1,'40Trips'!$A$3:$I$42,3,FALSE)),1,0)</f>
        <v>0</v>
      </c>
      <c r="P109">
        <f>IF(AND(gamma!O27=1, VLOOKUP($A109,'40Trips'!$A$43:$I$46, 3,FALSE)=VLOOKUP(P$1,'40Trips'!$A$3:$I$42,3,FALSE)),1,0)</f>
        <v>0</v>
      </c>
      <c r="Q109">
        <f>IF(AND(gamma!P27=1, VLOOKUP($A109,'40Trips'!$A$43:$I$46, 3,FALSE)=VLOOKUP(Q$1,'40Trips'!$A$3:$I$42,3,FALSE)),1,0)</f>
        <v>1</v>
      </c>
      <c r="R109">
        <f>IF(AND(gamma!Q27=1, VLOOKUP($A109,'40Trips'!$A$43:$I$46, 3,FALSE)=VLOOKUP(R$1,'40Trips'!$A$3:$I$42,3,FALSE)),1,0)</f>
        <v>1</v>
      </c>
      <c r="S109">
        <f>IF(AND(gamma!R27=1, VLOOKUP($A109,'40Trips'!$A$43:$I$46, 3,FALSE)=VLOOKUP(S$1,'40Trips'!$A$3:$I$42,3,FALSE)),1,0)</f>
        <v>1</v>
      </c>
      <c r="T109">
        <f>IF(AND(gamma!S27=1, VLOOKUP($A109,'40Trips'!$A$43:$I$46, 3,FALSE)=VLOOKUP(T$1,'40Trips'!$A$3:$I$42,3,FALSE)),1,0)</f>
        <v>0</v>
      </c>
      <c r="U109">
        <f>IF(AND(gamma!T27=1, VLOOKUP($A109,'40Trips'!$A$43:$I$46, 3,FALSE)=VLOOKUP(U$1,'40Trips'!$A$3:$I$42,3,FALSE)),1,0)</f>
        <v>0</v>
      </c>
      <c r="V109">
        <f>IF(AND(gamma!U27=1, VLOOKUP($A109,'40Trips'!$A$43:$I$46, 3,FALSE)=VLOOKUP(V$1,'40Trips'!$A$3:$I$42,3,FALSE)),1,0)</f>
        <v>1</v>
      </c>
      <c r="W109">
        <f>IF(AND(gamma!V27=1, VLOOKUP($A109,'40Trips'!$A$43:$I$46, 3,FALSE)=VLOOKUP(W$1,'40Trips'!$A$3:$I$42,3,FALSE)),1,0)</f>
        <v>1</v>
      </c>
      <c r="X109">
        <f>IF(AND(gamma!W27=1, VLOOKUP($A109,'40Trips'!$A$43:$I$46, 3,FALSE)=VLOOKUP(X$1,'40Trips'!$A$3:$I$42,3,FALSE)),1,0)</f>
        <v>0</v>
      </c>
      <c r="Y109">
        <f>IF(AND(gamma!X27=1, VLOOKUP($A109,'40Trips'!$A$43:$I$46, 3,FALSE)=VLOOKUP(Y$1,'40Trips'!$A$3:$I$42,3,FALSE)),1,0)</f>
        <v>0</v>
      </c>
      <c r="Z109">
        <f>IF(AND(gamma!Y27=1, VLOOKUP($A109,'40Trips'!$A$43:$I$46, 3,FALSE)=VLOOKUP(Z$1,'40Trips'!$A$3:$I$42,3,FALSE)),1,0)</f>
        <v>0</v>
      </c>
      <c r="AA109">
        <f>IF(AND(gamma!Z27=1, VLOOKUP($A109,'40Trips'!$A$43:$I$46, 3,FALSE)=VLOOKUP(AA$1,'40Trips'!$A$3:$I$42,3,FALSE)),1,0)</f>
        <v>0</v>
      </c>
      <c r="AB109">
        <f>IF(AND(gamma!AA27=1, VLOOKUP($A109,'40Trips'!$A$43:$I$46, 3,FALSE)=VLOOKUP(AB$1,'40Trips'!$A$3:$I$42,3,FALSE)),1,0)</f>
        <v>0</v>
      </c>
      <c r="AC109">
        <f>IF(AND(gamma!AB27=1, VLOOKUP($A109,'40Trips'!$A$43:$I$46, 3,FALSE)=VLOOKUP(AC$1,'40Trips'!$A$3:$I$42,3,FALSE)),1,0)</f>
        <v>0</v>
      </c>
      <c r="AD109">
        <f>IF(AND(gamma!AC27=1, VLOOKUP($A109,'40Trips'!$A$43:$I$46, 3,FALSE)=VLOOKUP(AD$1,'40Trips'!$A$3:$I$42,3,FALSE)),1,0)</f>
        <v>0</v>
      </c>
      <c r="AE109">
        <f>IF(AND(gamma!AD27=1, VLOOKUP($A109,'40Trips'!$A$43:$I$46, 3,FALSE)=VLOOKUP(AE$1,'40Trips'!$A$3:$I$42,3,FALSE)),1,0)</f>
        <v>0</v>
      </c>
      <c r="AF109">
        <f>IF(AND(gamma!AE27=1, VLOOKUP($A109,'40Trips'!$A$43:$I$46, 3,FALSE)=VLOOKUP(AF$1,'40Trips'!$A$3:$I$42,3,FALSE)),1,0)</f>
        <v>0</v>
      </c>
      <c r="AG109">
        <f>IF(AND(gamma!AF27=1, VLOOKUP($A109,'40Trips'!$A$43:$I$46, 3,FALSE)=VLOOKUP(AG$1,'40Trips'!$A$3:$I$42,3,FALSE)),1,0)</f>
        <v>0</v>
      </c>
      <c r="AH109">
        <f>IF(AND(gamma!AG27=1, VLOOKUP($A109,'40Trips'!$A$43:$I$46, 3,FALSE)=VLOOKUP(AH$1,'40Trips'!$A$3:$I$42,3,FALSE)),1,0)</f>
        <v>0</v>
      </c>
      <c r="AI109">
        <f>IF(AND(gamma!AH27=1, VLOOKUP($A109,'40Trips'!$A$43:$I$46, 3,FALSE)=VLOOKUP(AI$1,'40Trips'!$A$3:$I$42,3,FALSE)),1,0)</f>
        <v>0</v>
      </c>
      <c r="AJ109">
        <f>IF(AND(gamma!AI27=1, VLOOKUP($A109,'40Trips'!$A$43:$I$46, 3,FALSE)=VLOOKUP(AJ$1,'40Trips'!$A$3:$I$42,3,FALSE)),1,0)</f>
        <v>0</v>
      </c>
      <c r="AK109">
        <f>IF(AND(gamma!AJ27=1, VLOOKUP($A109,'40Trips'!$A$43:$I$46, 3,FALSE)=VLOOKUP(AK$1,'40Trips'!$A$3:$I$42,3,FALSE)),1,0)</f>
        <v>0</v>
      </c>
      <c r="AL109">
        <f>IF(AND(gamma!AK27=1, VLOOKUP($A109,'40Trips'!$A$43:$I$46, 3,FALSE)=VLOOKUP(AL$1,'40Trips'!$A$3:$I$42,3,FALSE)),1,0)</f>
        <v>0</v>
      </c>
      <c r="AM109">
        <f>IF(AND(gamma!AL27=1, VLOOKUP($A109,'40Trips'!$A$43:$I$46, 3,FALSE)=VLOOKUP(AM$1,'40Trips'!$A$3:$I$42,3,FALSE)),1,0)</f>
        <v>0</v>
      </c>
      <c r="AN109">
        <f>IF(AND(gamma!AM27=1, VLOOKUP($A109,'40Trips'!$A$43:$I$46, 3,FALSE)=VLOOKUP(AN$1,'40Trips'!$A$3:$I$42,3,FALSE)),1,0)</f>
        <v>0</v>
      </c>
      <c r="AO109">
        <f>IF(AND(gamma!AN27=1, VLOOKUP($A109,'40Trips'!$A$43:$I$46, 3,FALSE)=VLOOKUP(AO$1,'40Trips'!$A$3:$I$42,3,FALSE)),1,0)</f>
        <v>0</v>
      </c>
      <c r="AP109">
        <f>IF(AND(gamma!AO27=1, VLOOKUP($A109,'40Trips'!$A$43:$I$46, 3,FALSE)=VLOOKUP(AP$1,'40Trips'!$A$3:$I$42,3,FALSE)),1,0)</f>
        <v>0</v>
      </c>
      <c r="AQ109">
        <f>IF(AND(gamma!AP27=1, VLOOKUP($A109,'40Trips'!$A$43:$I$46, 3,FALSE)=VLOOKUP(AQ$1,'40Trips'!$A$3:$I$42,3,FALSE)),1,0)</f>
        <v>0</v>
      </c>
    </row>
    <row r="110" spans="1:43" x14ac:dyDescent="0.25">
      <c r="A110" t="s">
        <v>67</v>
      </c>
      <c r="B110" t="s">
        <v>80</v>
      </c>
      <c r="C110">
        <v>0</v>
      </c>
      <c r="D110">
        <f>IF(AND(gamma!C28=1, VLOOKUP($A110,'40Trips'!$A$43:$I$46, 3,FALSE)=VLOOKUP(D$1,'40Trips'!$A$3:$I$42,3,FALSE)),1,0)</f>
        <v>0</v>
      </c>
      <c r="E110">
        <f>IF(AND(gamma!D28=1, VLOOKUP($A110,'40Trips'!$A$43:$I$46, 3,FALSE)=VLOOKUP(E$1,'40Trips'!$A$3:$I$42,3,FALSE)),1,0)</f>
        <v>0</v>
      </c>
      <c r="F110">
        <f>IF(AND(gamma!E28=1, VLOOKUP($A110,'40Trips'!$A$43:$I$46, 3,FALSE)=VLOOKUP(F$1,'40Trips'!$A$3:$I$42,3,FALSE)),1,0)</f>
        <v>0</v>
      </c>
      <c r="G110">
        <f>IF(AND(gamma!F28=1, VLOOKUP($A110,'40Trips'!$A$43:$I$46, 3,FALSE)=VLOOKUP(G$1,'40Trips'!$A$3:$I$42,3,FALSE)),1,0)</f>
        <v>0</v>
      </c>
      <c r="H110">
        <f>IF(AND(gamma!G28=1, VLOOKUP($A110,'40Trips'!$A$43:$I$46, 3,FALSE)=VLOOKUP(H$1,'40Trips'!$A$3:$I$42,3,FALSE)),1,0)</f>
        <v>0</v>
      </c>
      <c r="I110">
        <f>IF(AND(gamma!H28=1, VLOOKUP($A110,'40Trips'!$A$43:$I$46, 3,FALSE)=VLOOKUP(I$1,'40Trips'!$A$3:$I$42,3,FALSE)),1,0)</f>
        <v>0</v>
      </c>
      <c r="J110">
        <f>IF(AND(gamma!I28=1, VLOOKUP($A110,'40Trips'!$A$43:$I$46, 3,FALSE)=VLOOKUP(J$1,'40Trips'!$A$3:$I$42,3,FALSE)),1,0)</f>
        <v>0</v>
      </c>
      <c r="K110">
        <f>IF(AND(gamma!J28=1, VLOOKUP($A110,'40Trips'!$A$43:$I$46, 3,FALSE)=VLOOKUP(K$1,'40Trips'!$A$3:$I$42,3,FALSE)),1,0)</f>
        <v>0</v>
      </c>
      <c r="L110">
        <f>IF(AND(gamma!K28=1, VLOOKUP($A110,'40Trips'!$A$43:$I$46, 3,FALSE)=VLOOKUP(L$1,'40Trips'!$A$3:$I$42,3,FALSE)),1,0)</f>
        <v>0</v>
      </c>
      <c r="M110">
        <f>IF(AND(gamma!L28=1, VLOOKUP($A110,'40Trips'!$A$43:$I$46, 3,FALSE)=VLOOKUP(M$1,'40Trips'!$A$3:$I$42,3,FALSE)),1,0)</f>
        <v>0</v>
      </c>
      <c r="N110">
        <f>IF(AND(gamma!M28=1, VLOOKUP($A110,'40Trips'!$A$43:$I$46, 3,FALSE)=VLOOKUP(N$1,'40Trips'!$A$3:$I$42,3,FALSE)),1,0)</f>
        <v>0</v>
      </c>
      <c r="O110">
        <f>IF(AND(gamma!N28=1, VLOOKUP($A110,'40Trips'!$A$43:$I$46, 3,FALSE)=VLOOKUP(O$1,'40Trips'!$A$3:$I$42,3,FALSE)),1,0)</f>
        <v>0</v>
      </c>
      <c r="P110">
        <f>IF(AND(gamma!O28=1, VLOOKUP($A110,'40Trips'!$A$43:$I$46, 3,FALSE)=VLOOKUP(P$1,'40Trips'!$A$3:$I$42,3,FALSE)),1,0)</f>
        <v>0</v>
      </c>
      <c r="Q110">
        <f>IF(AND(gamma!P28=1, VLOOKUP($A110,'40Trips'!$A$43:$I$46, 3,FALSE)=VLOOKUP(Q$1,'40Trips'!$A$3:$I$42,3,FALSE)),1,0)</f>
        <v>0</v>
      </c>
      <c r="R110">
        <f>IF(AND(gamma!Q28=1, VLOOKUP($A110,'40Trips'!$A$43:$I$46, 3,FALSE)=VLOOKUP(R$1,'40Trips'!$A$3:$I$42,3,FALSE)),1,0)</f>
        <v>1</v>
      </c>
      <c r="S110">
        <f>IF(AND(gamma!R28=1, VLOOKUP($A110,'40Trips'!$A$43:$I$46, 3,FALSE)=VLOOKUP(S$1,'40Trips'!$A$3:$I$42,3,FALSE)),1,0)</f>
        <v>1</v>
      </c>
      <c r="T110">
        <f>IF(AND(gamma!S28=1, VLOOKUP($A110,'40Trips'!$A$43:$I$46, 3,FALSE)=VLOOKUP(T$1,'40Trips'!$A$3:$I$42,3,FALSE)),1,0)</f>
        <v>0</v>
      </c>
      <c r="U110">
        <f>IF(AND(gamma!T28=1, VLOOKUP($A110,'40Trips'!$A$43:$I$46, 3,FALSE)=VLOOKUP(U$1,'40Trips'!$A$3:$I$42,3,FALSE)),1,0)</f>
        <v>0</v>
      </c>
      <c r="V110">
        <f>IF(AND(gamma!U28=1, VLOOKUP($A110,'40Trips'!$A$43:$I$46, 3,FALSE)=VLOOKUP(V$1,'40Trips'!$A$3:$I$42,3,FALSE)),1,0)</f>
        <v>1</v>
      </c>
      <c r="W110">
        <f>IF(AND(gamma!V28=1, VLOOKUP($A110,'40Trips'!$A$43:$I$46, 3,FALSE)=VLOOKUP(W$1,'40Trips'!$A$3:$I$42,3,FALSE)),1,0)</f>
        <v>1</v>
      </c>
      <c r="X110">
        <f>IF(AND(gamma!W28=1, VLOOKUP($A110,'40Trips'!$A$43:$I$46, 3,FALSE)=VLOOKUP(X$1,'40Trips'!$A$3:$I$42,3,FALSE)),1,0)</f>
        <v>0</v>
      </c>
      <c r="Y110">
        <f>IF(AND(gamma!X28=1, VLOOKUP($A110,'40Trips'!$A$43:$I$46, 3,FALSE)=VLOOKUP(Y$1,'40Trips'!$A$3:$I$42,3,FALSE)),1,0)</f>
        <v>0</v>
      </c>
      <c r="Z110">
        <f>IF(AND(gamma!Y28=1, VLOOKUP($A110,'40Trips'!$A$43:$I$46, 3,FALSE)=VLOOKUP(Z$1,'40Trips'!$A$3:$I$42,3,FALSE)),1,0)</f>
        <v>0</v>
      </c>
      <c r="AA110">
        <f>IF(AND(gamma!Z28=1, VLOOKUP($A110,'40Trips'!$A$43:$I$46, 3,FALSE)=VLOOKUP(AA$1,'40Trips'!$A$3:$I$42,3,FALSE)),1,0)</f>
        <v>0</v>
      </c>
      <c r="AB110">
        <f>IF(AND(gamma!AA28=1, VLOOKUP($A110,'40Trips'!$A$43:$I$46, 3,FALSE)=VLOOKUP(AB$1,'40Trips'!$A$3:$I$42,3,FALSE)),1,0)</f>
        <v>0</v>
      </c>
      <c r="AC110">
        <f>IF(AND(gamma!AB28=1, VLOOKUP($A110,'40Trips'!$A$43:$I$46, 3,FALSE)=VLOOKUP(AC$1,'40Trips'!$A$3:$I$42,3,FALSE)),1,0)</f>
        <v>0</v>
      </c>
      <c r="AD110">
        <f>IF(AND(gamma!AC28=1, VLOOKUP($A110,'40Trips'!$A$43:$I$46, 3,FALSE)=VLOOKUP(AD$1,'40Trips'!$A$3:$I$42,3,FALSE)),1,0)</f>
        <v>0</v>
      </c>
      <c r="AE110">
        <f>IF(AND(gamma!AD28=1, VLOOKUP($A110,'40Trips'!$A$43:$I$46, 3,FALSE)=VLOOKUP(AE$1,'40Trips'!$A$3:$I$42,3,FALSE)),1,0)</f>
        <v>0</v>
      </c>
      <c r="AF110">
        <f>IF(AND(gamma!AE28=1, VLOOKUP($A110,'40Trips'!$A$43:$I$46, 3,FALSE)=VLOOKUP(AF$1,'40Trips'!$A$3:$I$42,3,FALSE)),1,0)</f>
        <v>0</v>
      </c>
      <c r="AG110">
        <f>IF(AND(gamma!AF28=1, VLOOKUP($A110,'40Trips'!$A$43:$I$46, 3,FALSE)=VLOOKUP(AG$1,'40Trips'!$A$3:$I$42,3,FALSE)),1,0)</f>
        <v>0</v>
      </c>
      <c r="AH110">
        <f>IF(AND(gamma!AG28=1, VLOOKUP($A110,'40Trips'!$A$43:$I$46, 3,FALSE)=VLOOKUP(AH$1,'40Trips'!$A$3:$I$42,3,FALSE)),1,0)</f>
        <v>0</v>
      </c>
      <c r="AI110">
        <f>IF(AND(gamma!AH28=1, VLOOKUP($A110,'40Trips'!$A$43:$I$46, 3,FALSE)=VLOOKUP(AI$1,'40Trips'!$A$3:$I$42,3,FALSE)),1,0)</f>
        <v>0</v>
      </c>
      <c r="AJ110">
        <f>IF(AND(gamma!AI28=1, VLOOKUP($A110,'40Trips'!$A$43:$I$46, 3,FALSE)=VLOOKUP(AJ$1,'40Trips'!$A$3:$I$42,3,FALSE)),1,0)</f>
        <v>0</v>
      </c>
      <c r="AK110">
        <f>IF(AND(gamma!AJ28=1, VLOOKUP($A110,'40Trips'!$A$43:$I$46, 3,FALSE)=VLOOKUP(AK$1,'40Trips'!$A$3:$I$42,3,FALSE)),1,0)</f>
        <v>0</v>
      </c>
      <c r="AL110">
        <f>IF(AND(gamma!AK28=1, VLOOKUP($A110,'40Trips'!$A$43:$I$46, 3,FALSE)=VLOOKUP(AL$1,'40Trips'!$A$3:$I$42,3,FALSE)),1,0)</f>
        <v>0</v>
      </c>
      <c r="AM110">
        <f>IF(AND(gamma!AL28=1, VLOOKUP($A110,'40Trips'!$A$43:$I$46, 3,FALSE)=VLOOKUP(AM$1,'40Trips'!$A$3:$I$42,3,FALSE)),1,0)</f>
        <v>0</v>
      </c>
      <c r="AN110">
        <f>IF(AND(gamma!AM28=1, VLOOKUP($A110,'40Trips'!$A$43:$I$46, 3,FALSE)=VLOOKUP(AN$1,'40Trips'!$A$3:$I$42,3,FALSE)),1,0)</f>
        <v>0</v>
      </c>
      <c r="AO110">
        <f>IF(AND(gamma!AN28=1, VLOOKUP($A110,'40Trips'!$A$43:$I$46, 3,FALSE)=VLOOKUP(AO$1,'40Trips'!$A$3:$I$42,3,FALSE)),1,0)</f>
        <v>0</v>
      </c>
      <c r="AP110">
        <f>IF(AND(gamma!AO28=1, VLOOKUP($A110,'40Trips'!$A$43:$I$46, 3,FALSE)=VLOOKUP(AP$1,'40Trips'!$A$3:$I$42,3,FALSE)),1,0)</f>
        <v>0</v>
      </c>
      <c r="AQ110">
        <f>IF(AND(gamma!AP28=1, VLOOKUP($A110,'40Trips'!$A$43:$I$46, 3,FALSE)=VLOOKUP(AQ$1,'40Trips'!$A$3:$I$42,3,FALSE)),1,0)</f>
        <v>0</v>
      </c>
    </row>
    <row r="111" spans="1:43" x14ac:dyDescent="0.25">
      <c r="A111" t="s">
        <v>67</v>
      </c>
      <c r="B111" t="s">
        <v>81</v>
      </c>
      <c r="C111">
        <v>0</v>
      </c>
      <c r="D111">
        <f>IF(AND(gamma!C29=1, VLOOKUP($A111,'40Trips'!$A$43:$I$46, 3,FALSE)=VLOOKUP(D$1,'40Trips'!$A$3:$I$42,3,FALSE)),1,0)</f>
        <v>0</v>
      </c>
      <c r="E111">
        <f>IF(AND(gamma!D29=1, VLOOKUP($A111,'40Trips'!$A$43:$I$46, 3,FALSE)=VLOOKUP(E$1,'40Trips'!$A$3:$I$42,3,FALSE)),1,0)</f>
        <v>0</v>
      </c>
      <c r="F111">
        <f>IF(AND(gamma!E29=1, VLOOKUP($A111,'40Trips'!$A$43:$I$46, 3,FALSE)=VLOOKUP(F$1,'40Trips'!$A$3:$I$42,3,FALSE)),1,0)</f>
        <v>0</v>
      </c>
      <c r="G111">
        <f>IF(AND(gamma!F29=1, VLOOKUP($A111,'40Trips'!$A$43:$I$46, 3,FALSE)=VLOOKUP(G$1,'40Trips'!$A$3:$I$42,3,FALSE)),1,0)</f>
        <v>0</v>
      </c>
      <c r="H111">
        <f>IF(AND(gamma!G29=1, VLOOKUP($A111,'40Trips'!$A$43:$I$46, 3,FALSE)=VLOOKUP(H$1,'40Trips'!$A$3:$I$42,3,FALSE)),1,0)</f>
        <v>0</v>
      </c>
      <c r="I111">
        <f>IF(AND(gamma!H29=1, VLOOKUP($A111,'40Trips'!$A$43:$I$46, 3,FALSE)=VLOOKUP(I$1,'40Trips'!$A$3:$I$42,3,FALSE)),1,0)</f>
        <v>0</v>
      </c>
      <c r="J111">
        <f>IF(AND(gamma!I29=1, VLOOKUP($A111,'40Trips'!$A$43:$I$46, 3,FALSE)=VLOOKUP(J$1,'40Trips'!$A$3:$I$42,3,FALSE)),1,0)</f>
        <v>0</v>
      </c>
      <c r="K111">
        <f>IF(AND(gamma!J29=1, VLOOKUP($A111,'40Trips'!$A$43:$I$46, 3,FALSE)=VLOOKUP(K$1,'40Trips'!$A$3:$I$42,3,FALSE)),1,0)</f>
        <v>0</v>
      </c>
      <c r="L111">
        <f>IF(AND(gamma!K29=1, VLOOKUP($A111,'40Trips'!$A$43:$I$46, 3,FALSE)=VLOOKUP(L$1,'40Trips'!$A$3:$I$42,3,FALSE)),1,0)</f>
        <v>0</v>
      </c>
      <c r="M111">
        <f>IF(AND(gamma!L29=1, VLOOKUP($A111,'40Trips'!$A$43:$I$46, 3,FALSE)=VLOOKUP(M$1,'40Trips'!$A$3:$I$42,3,FALSE)),1,0)</f>
        <v>0</v>
      </c>
      <c r="N111">
        <f>IF(AND(gamma!M29=1, VLOOKUP($A111,'40Trips'!$A$43:$I$46, 3,FALSE)=VLOOKUP(N$1,'40Trips'!$A$3:$I$42,3,FALSE)),1,0)</f>
        <v>0</v>
      </c>
      <c r="O111">
        <f>IF(AND(gamma!N29=1, VLOOKUP($A111,'40Trips'!$A$43:$I$46, 3,FALSE)=VLOOKUP(O$1,'40Trips'!$A$3:$I$42,3,FALSE)),1,0)</f>
        <v>0</v>
      </c>
      <c r="P111">
        <f>IF(AND(gamma!O29=1, VLOOKUP($A111,'40Trips'!$A$43:$I$46, 3,FALSE)=VLOOKUP(P$1,'40Trips'!$A$3:$I$42,3,FALSE)),1,0)</f>
        <v>0</v>
      </c>
      <c r="Q111">
        <f>IF(AND(gamma!P29=1, VLOOKUP($A111,'40Trips'!$A$43:$I$46, 3,FALSE)=VLOOKUP(Q$1,'40Trips'!$A$3:$I$42,3,FALSE)),1,0)</f>
        <v>0</v>
      </c>
      <c r="R111">
        <f>IF(AND(gamma!Q29=1, VLOOKUP($A111,'40Trips'!$A$43:$I$46, 3,FALSE)=VLOOKUP(R$1,'40Trips'!$A$3:$I$42,3,FALSE)),1,0)</f>
        <v>0</v>
      </c>
      <c r="S111">
        <f>IF(AND(gamma!R29=1, VLOOKUP($A111,'40Trips'!$A$43:$I$46, 3,FALSE)=VLOOKUP(S$1,'40Trips'!$A$3:$I$42,3,FALSE)),1,0)</f>
        <v>0</v>
      </c>
      <c r="T111">
        <f>IF(AND(gamma!S29=1, VLOOKUP($A111,'40Trips'!$A$43:$I$46, 3,FALSE)=VLOOKUP(T$1,'40Trips'!$A$3:$I$42,3,FALSE)),1,0)</f>
        <v>0</v>
      </c>
      <c r="U111">
        <f>IF(AND(gamma!T29=1, VLOOKUP($A111,'40Trips'!$A$43:$I$46, 3,FALSE)=VLOOKUP(U$1,'40Trips'!$A$3:$I$42,3,FALSE)),1,0)</f>
        <v>0</v>
      </c>
      <c r="V111">
        <f>IF(AND(gamma!U29=1, VLOOKUP($A111,'40Trips'!$A$43:$I$46, 3,FALSE)=VLOOKUP(V$1,'40Trips'!$A$3:$I$42,3,FALSE)),1,0)</f>
        <v>0</v>
      </c>
      <c r="W111">
        <f>IF(AND(gamma!V29=1, VLOOKUP($A111,'40Trips'!$A$43:$I$46, 3,FALSE)=VLOOKUP(W$1,'40Trips'!$A$3:$I$42,3,FALSE)),1,0)</f>
        <v>0</v>
      </c>
      <c r="X111">
        <f>IF(AND(gamma!W29=1, VLOOKUP($A111,'40Trips'!$A$43:$I$46, 3,FALSE)=VLOOKUP(X$1,'40Trips'!$A$3:$I$42,3,FALSE)),1,0)</f>
        <v>0</v>
      </c>
      <c r="Y111">
        <f>IF(AND(gamma!X29=1, VLOOKUP($A111,'40Trips'!$A$43:$I$46, 3,FALSE)=VLOOKUP(Y$1,'40Trips'!$A$3:$I$42,3,FALSE)),1,0)</f>
        <v>0</v>
      </c>
      <c r="Z111">
        <f>IF(AND(gamma!Y29=1, VLOOKUP($A111,'40Trips'!$A$43:$I$46, 3,FALSE)=VLOOKUP(Z$1,'40Trips'!$A$3:$I$42,3,FALSE)),1,0)</f>
        <v>0</v>
      </c>
      <c r="AA111">
        <f>IF(AND(gamma!Z29=1, VLOOKUP($A111,'40Trips'!$A$43:$I$46, 3,FALSE)=VLOOKUP(AA$1,'40Trips'!$A$3:$I$42,3,FALSE)),1,0)</f>
        <v>0</v>
      </c>
      <c r="AB111">
        <f>IF(AND(gamma!AA29=1, VLOOKUP($A111,'40Trips'!$A$43:$I$46, 3,FALSE)=VLOOKUP(AB$1,'40Trips'!$A$3:$I$42,3,FALSE)),1,0)</f>
        <v>0</v>
      </c>
      <c r="AC111">
        <f>IF(AND(gamma!AB29=1, VLOOKUP($A111,'40Trips'!$A$43:$I$46, 3,FALSE)=VLOOKUP(AC$1,'40Trips'!$A$3:$I$42,3,FALSE)),1,0)</f>
        <v>0</v>
      </c>
      <c r="AD111">
        <f>IF(AND(gamma!AC29=1, VLOOKUP($A111,'40Trips'!$A$43:$I$46, 3,FALSE)=VLOOKUP(AD$1,'40Trips'!$A$3:$I$42,3,FALSE)),1,0)</f>
        <v>0</v>
      </c>
      <c r="AE111">
        <f>IF(AND(gamma!AD29=1, VLOOKUP($A111,'40Trips'!$A$43:$I$46, 3,FALSE)=VLOOKUP(AE$1,'40Trips'!$A$3:$I$42,3,FALSE)),1,0)</f>
        <v>0</v>
      </c>
      <c r="AF111">
        <f>IF(AND(gamma!AE29=1, VLOOKUP($A111,'40Trips'!$A$43:$I$46, 3,FALSE)=VLOOKUP(AF$1,'40Trips'!$A$3:$I$42,3,FALSE)),1,0)</f>
        <v>0</v>
      </c>
      <c r="AG111">
        <f>IF(AND(gamma!AF29=1, VLOOKUP($A111,'40Trips'!$A$43:$I$46, 3,FALSE)=VLOOKUP(AG$1,'40Trips'!$A$3:$I$42,3,FALSE)),1,0)</f>
        <v>0</v>
      </c>
      <c r="AH111">
        <f>IF(AND(gamma!AG29=1, VLOOKUP($A111,'40Trips'!$A$43:$I$46, 3,FALSE)=VLOOKUP(AH$1,'40Trips'!$A$3:$I$42,3,FALSE)),1,0)</f>
        <v>0</v>
      </c>
      <c r="AI111">
        <f>IF(AND(gamma!AH29=1, VLOOKUP($A111,'40Trips'!$A$43:$I$46, 3,FALSE)=VLOOKUP(AI$1,'40Trips'!$A$3:$I$42,3,FALSE)),1,0)</f>
        <v>0</v>
      </c>
      <c r="AJ111">
        <f>IF(AND(gamma!AI29=1, VLOOKUP($A111,'40Trips'!$A$43:$I$46, 3,FALSE)=VLOOKUP(AJ$1,'40Trips'!$A$3:$I$42,3,FALSE)),1,0)</f>
        <v>0</v>
      </c>
      <c r="AK111">
        <f>IF(AND(gamma!AJ29=1, VLOOKUP($A111,'40Trips'!$A$43:$I$46, 3,FALSE)=VLOOKUP(AK$1,'40Trips'!$A$3:$I$42,3,FALSE)),1,0)</f>
        <v>0</v>
      </c>
      <c r="AL111">
        <f>IF(AND(gamma!AK29=1, VLOOKUP($A111,'40Trips'!$A$43:$I$46, 3,FALSE)=VLOOKUP(AL$1,'40Trips'!$A$3:$I$42,3,FALSE)),1,0)</f>
        <v>0</v>
      </c>
      <c r="AM111">
        <f>IF(AND(gamma!AL29=1, VLOOKUP($A111,'40Trips'!$A$43:$I$46, 3,FALSE)=VLOOKUP(AM$1,'40Trips'!$A$3:$I$42,3,FALSE)),1,0)</f>
        <v>0</v>
      </c>
      <c r="AN111">
        <f>IF(AND(gamma!AM29=1, VLOOKUP($A111,'40Trips'!$A$43:$I$46, 3,FALSE)=VLOOKUP(AN$1,'40Trips'!$A$3:$I$42,3,FALSE)),1,0)</f>
        <v>0</v>
      </c>
      <c r="AO111">
        <f>IF(AND(gamma!AN29=1, VLOOKUP($A111,'40Trips'!$A$43:$I$46, 3,FALSE)=VLOOKUP(AO$1,'40Trips'!$A$3:$I$42,3,FALSE)),1,0)</f>
        <v>0</v>
      </c>
      <c r="AP111">
        <f>IF(AND(gamma!AO29=1, VLOOKUP($A111,'40Trips'!$A$43:$I$46, 3,FALSE)=VLOOKUP(AP$1,'40Trips'!$A$3:$I$42,3,FALSE)),1,0)</f>
        <v>0</v>
      </c>
      <c r="AQ111">
        <f>IF(AND(gamma!AP29=1, VLOOKUP($A111,'40Trips'!$A$43:$I$46, 3,FALSE)=VLOOKUP(AQ$1,'40Trips'!$A$3:$I$42,3,FALSE)),1,0)</f>
        <v>0</v>
      </c>
    </row>
    <row r="112" spans="1:43" x14ac:dyDescent="0.25">
      <c r="A112" t="s">
        <v>67</v>
      </c>
      <c r="B112" t="s">
        <v>82</v>
      </c>
      <c r="C112">
        <v>0</v>
      </c>
      <c r="D112">
        <f>IF(AND(gamma!C30=1, VLOOKUP($A112,'40Trips'!$A$43:$I$46, 3,FALSE)=VLOOKUP(D$1,'40Trips'!$A$3:$I$42,3,FALSE)),1,0)</f>
        <v>0</v>
      </c>
      <c r="E112">
        <f>IF(AND(gamma!D30=1, VLOOKUP($A112,'40Trips'!$A$43:$I$46, 3,FALSE)=VLOOKUP(E$1,'40Trips'!$A$3:$I$42,3,FALSE)),1,0)</f>
        <v>0</v>
      </c>
      <c r="F112">
        <f>IF(AND(gamma!E30=1, VLOOKUP($A112,'40Trips'!$A$43:$I$46, 3,FALSE)=VLOOKUP(F$1,'40Trips'!$A$3:$I$42,3,FALSE)),1,0)</f>
        <v>0</v>
      </c>
      <c r="G112">
        <f>IF(AND(gamma!F30=1, VLOOKUP($A112,'40Trips'!$A$43:$I$46, 3,FALSE)=VLOOKUP(G$1,'40Trips'!$A$3:$I$42,3,FALSE)),1,0)</f>
        <v>0</v>
      </c>
      <c r="H112">
        <f>IF(AND(gamma!G30=1, VLOOKUP($A112,'40Trips'!$A$43:$I$46, 3,FALSE)=VLOOKUP(H$1,'40Trips'!$A$3:$I$42,3,FALSE)),1,0)</f>
        <v>0</v>
      </c>
      <c r="I112">
        <f>IF(AND(gamma!H30=1, VLOOKUP($A112,'40Trips'!$A$43:$I$46, 3,FALSE)=VLOOKUP(I$1,'40Trips'!$A$3:$I$42,3,FALSE)),1,0)</f>
        <v>0</v>
      </c>
      <c r="J112">
        <f>IF(AND(gamma!I30=1, VLOOKUP($A112,'40Trips'!$A$43:$I$46, 3,FALSE)=VLOOKUP(J$1,'40Trips'!$A$3:$I$42,3,FALSE)),1,0)</f>
        <v>0</v>
      </c>
      <c r="K112">
        <f>IF(AND(gamma!J30=1, VLOOKUP($A112,'40Trips'!$A$43:$I$46, 3,FALSE)=VLOOKUP(K$1,'40Trips'!$A$3:$I$42,3,FALSE)),1,0)</f>
        <v>0</v>
      </c>
      <c r="L112">
        <f>IF(AND(gamma!K30=1, VLOOKUP($A112,'40Trips'!$A$43:$I$46, 3,FALSE)=VLOOKUP(L$1,'40Trips'!$A$3:$I$42,3,FALSE)),1,0)</f>
        <v>0</v>
      </c>
      <c r="M112">
        <f>IF(AND(gamma!L30=1, VLOOKUP($A112,'40Trips'!$A$43:$I$46, 3,FALSE)=VLOOKUP(M$1,'40Trips'!$A$3:$I$42,3,FALSE)),1,0)</f>
        <v>0</v>
      </c>
      <c r="N112">
        <f>IF(AND(gamma!M30=1, VLOOKUP($A112,'40Trips'!$A$43:$I$46, 3,FALSE)=VLOOKUP(N$1,'40Trips'!$A$3:$I$42,3,FALSE)),1,0)</f>
        <v>0</v>
      </c>
      <c r="O112">
        <f>IF(AND(gamma!N30=1, VLOOKUP($A112,'40Trips'!$A$43:$I$46, 3,FALSE)=VLOOKUP(O$1,'40Trips'!$A$3:$I$42,3,FALSE)),1,0)</f>
        <v>0</v>
      </c>
      <c r="P112">
        <f>IF(AND(gamma!O30=1, VLOOKUP($A112,'40Trips'!$A$43:$I$46, 3,FALSE)=VLOOKUP(P$1,'40Trips'!$A$3:$I$42,3,FALSE)),1,0)</f>
        <v>0</v>
      </c>
      <c r="Q112">
        <f>IF(AND(gamma!P30=1, VLOOKUP($A112,'40Trips'!$A$43:$I$46, 3,FALSE)=VLOOKUP(Q$1,'40Trips'!$A$3:$I$42,3,FALSE)),1,0)</f>
        <v>0</v>
      </c>
      <c r="R112">
        <f>IF(AND(gamma!Q30=1, VLOOKUP($A112,'40Trips'!$A$43:$I$46, 3,FALSE)=VLOOKUP(R$1,'40Trips'!$A$3:$I$42,3,FALSE)),1,0)</f>
        <v>0</v>
      </c>
      <c r="S112">
        <f>IF(AND(gamma!R30=1, VLOOKUP($A112,'40Trips'!$A$43:$I$46, 3,FALSE)=VLOOKUP(S$1,'40Trips'!$A$3:$I$42,3,FALSE)),1,0)</f>
        <v>0</v>
      </c>
      <c r="T112">
        <f>IF(AND(gamma!S30=1, VLOOKUP($A112,'40Trips'!$A$43:$I$46, 3,FALSE)=VLOOKUP(T$1,'40Trips'!$A$3:$I$42,3,FALSE)),1,0)</f>
        <v>0</v>
      </c>
      <c r="U112">
        <f>IF(AND(gamma!T30=1, VLOOKUP($A112,'40Trips'!$A$43:$I$46, 3,FALSE)=VLOOKUP(U$1,'40Trips'!$A$3:$I$42,3,FALSE)),1,0)</f>
        <v>0</v>
      </c>
      <c r="V112">
        <f>IF(AND(gamma!U30=1, VLOOKUP($A112,'40Trips'!$A$43:$I$46, 3,FALSE)=VLOOKUP(V$1,'40Trips'!$A$3:$I$42,3,FALSE)),1,0)</f>
        <v>0</v>
      </c>
      <c r="W112">
        <f>IF(AND(gamma!V30=1, VLOOKUP($A112,'40Trips'!$A$43:$I$46, 3,FALSE)=VLOOKUP(W$1,'40Trips'!$A$3:$I$42,3,FALSE)),1,0)</f>
        <v>0</v>
      </c>
      <c r="X112">
        <f>IF(AND(gamma!W30=1, VLOOKUP($A112,'40Trips'!$A$43:$I$46, 3,FALSE)=VLOOKUP(X$1,'40Trips'!$A$3:$I$42,3,FALSE)),1,0)</f>
        <v>0</v>
      </c>
      <c r="Y112">
        <f>IF(AND(gamma!X30=1, VLOOKUP($A112,'40Trips'!$A$43:$I$46, 3,FALSE)=VLOOKUP(Y$1,'40Trips'!$A$3:$I$42,3,FALSE)),1,0)</f>
        <v>0</v>
      </c>
      <c r="Z112">
        <f>IF(AND(gamma!Y30=1, VLOOKUP($A112,'40Trips'!$A$43:$I$46, 3,FALSE)=VLOOKUP(Z$1,'40Trips'!$A$3:$I$42,3,FALSE)),1,0)</f>
        <v>0</v>
      </c>
      <c r="AA112">
        <f>IF(AND(gamma!Z30=1, VLOOKUP($A112,'40Trips'!$A$43:$I$46, 3,FALSE)=VLOOKUP(AA$1,'40Trips'!$A$3:$I$42,3,FALSE)),1,0)</f>
        <v>0</v>
      </c>
      <c r="AB112">
        <f>IF(AND(gamma!AA30=1, VLOOKUP($A112,'40Trips'!$A$43:$I$46, 3,FALSE)=VLOOKUP(AB$1,'40Trips'!$A$3:$I$42,3,FALSE)),1,0)</f>
        <v>0</v>
      </c>
      <c r="AC112">
        <f>IF(AND(gamma!AB30=1, VLOOKUP($A112,'40Trips'!$A$43:$I$46, 3,FALSE)=VLOOKUP(AC$1,'40Trips'!$A$3:$I$42,3,FALSE)),1,0)</f>
        <v>0</v>
      </c>
      <c r="AD112">
        <f>IF(AND(gamma!AC30=1, VLOOKUP($A112,'40Trips'!$A$43:$I$46, 3,FALSE)=VLOOKUP(AD$1,'40Trips'!$A$3:$I$42,3,FALSE)),1,0)</f>
        <v>0</v>
      </c>
      <c r="AE112">
        <f>IF(AND(gamma!AD30=1, VLOOKUP($A112,'40Trips'!$A$43:$I$46, 3,FALSE)=VLOOKUP(AE$1,'40Trips'!$A$3:$I$42,3,FALSE)),1,0)</f>
        <v>0</v>
      </c>
      <c r="AF112">
        <f>IF(AND(gamma!AE30=1, VLOOKUP($A112,'40Trips'!$A$43:$I$46, 3,FALSE)=VLOOKUP(AF$1,'40Trips'!$A$3:$I$42,3,FALSE)),1,0)</f>
        <v>0</v>
      </c>
      <c r="AG112">
        <f>IF(AND(gamma!AF30=1, VLOOKUP($A112,'40Trips'!$A$43:$I$46, 3,FALSE)=VLOOKUP(AG$1,'40Trips'!$A$3:$I$42,3,FALSE)),1,0)</f>
        <v>0</v>
      </c>
      <c r="AH112">
        <f>IF(AND(gamma!AG30=1, VLOOKUP($A112,'40Trips'!$A$43:$I$46, 3,FALSE)=VLOOKUP(AH$1,'40Trips'!$A$3:$I$42,3,FALSE)),1,0)</f>
        <v>0</v>
      </c>
      <c r="AI112">
        <f>IF(AND(gamma!AH30=1, VLOOKUP($A112,'40Trips'!$A$43:$I$46, 3,FALSE)=VLOOKUP(AI$1,'40Trips'!$A$3:$I$42,3,FALSE)),1,0)</f>
        <v>0</v>
      </c>
      <c r="AJ112">
        <f>IF(AND(gamma!AI30=1, VLOOKUP($A112,'40Trips'!$A$43:$I$46, 3,FALSE)=VLOOKUP(AJ$1,'40Trips'!$A$3:$I$42,3,FALSE)),1,0)</f>
        <v>0</v>
      </c>
      <c r="AK112">
        <f>IF(AND(gamma!AJ30=1, VLOOKUP($A112,'40Trips'!$A$43:$I$46, 3,FALSE)=VLOOKUP(AK$1,'40Trips'!$A$3:$I$42,3,FALSE)),1,0)</f>
        <v>0</v>
      </c>
      <c r="AL112">
        <f>IF(AND(gamma!AK30=1, VLOOKUP($A112,'40Trips'!$A$43:$I$46, 3,FALSE)=VLOOKUP(AL$1,'40Trips'!$A$3:$I$42,3,FALSE)),1,0)</f>
        <v>0</v>
      </c>
      <c r="AM112">
        <f>IF(AND(gamma!AL30=1, VLOOKUP($A112,'40Trips'!$A$43:$I$46, 3,FALSE)=VLOOKUP(AM$1,'40Trips'!$A$3:$I$42,3,FALSE)),1,0)</f>
        <v>0</v>
      </c>
      <c r="AN112">
        <f>IF(AND(gamma!AM30=1, VLOOKUP($A112,'40Trips'!$A$43:$I$46, 3,FALSE)=VLOOKUP(AN$1,'40Trips'!$A$3:$I$42,3,FALSE)),1,0)</f>
        <v>0</v>
      </c>
      <c r="AO112">
        <f>IF(AND(gamma!AN30=1, VLOOKUP($A112,'40Trips'!$A$43:$I$46, 3,FALSE)=VLOOKUP(AO$1,'40Trips'!$A$3:$I$42,3,FALSE)),1,0)</f>
        <v>0</v>
      </c>
      <c r="AP112">
        <f>IF(AND(gamma!AO30=1, VLOOKUP($A112,'40Trips'!$A$43:$I$46, 3,FALSE)=VLOOKUP(AP$1,'40Trips'!$A$3:$I$42,3,FALSE)),1,0)</f>
        <v>0</v>
      </c>
      <c r="AQ112">
        <f>IF(AND(gamma!AP30=1, VLOOKUP($A112,'40Trips'!$A$43:$I$46, 3,FALSE)=VLOOKUP(AQ$1,'40Trips'!$A$3:$I$42,3,FALSE)),1,0)</f>
        <v>0</v>
      </c>
    </row>
    <row r="113" spans="1:43" x14ac:dyDescent="0.25">
      <c r="A113" t="s">
        <v>67</v>
      </c>
      <c r="B113" t="s">
        <v>39</v>
      </c>
      <c r="C113">
        <v>0</v>
      </c>
      <c r="D113">
        <f>IF(AND(gamma!C31=1, VLOOKUP($A113,'40Trips'!$A$43:$I$46, 3,FALSE)=VLOOKUP(D$1,'40Trips'!$A$3:$I$42,3,FALSE)),1,0)</f>
        <v>0</v>
      </c>
      <c r="E113">
        <f>IF(AND(gamma!D31=1, VLOOKUP($A113,'40Trips'!$A$43:$I$46, 3,FALSE)=VLOOKUP(E$1,'40Trips'!$A$3:$I$42,3,FALSE)),1,0)</f>
        <v>0</v>
      </c>
      <c r="F113">
        <f>IF(AND(gamma!E31=1, VLOOKUP($A113,'40Trips'!$A$43:$I$46, 3,FALSE)=VLOOKUP(F$1,'40Trips'!$A$3:$I$42,3,FALSE)),1,0)</f>
        <v>0</v>
      </c>
      <c r="G113">
        <f>IF(AND(gamma!F31=1, VLOOKUP($A113,'40Trips'!$A$43:$I$46, 3,FALSE)=VLOOKUP(G$1,'40Trips'!$A$3:$I$42,3,FALSE)),1,0)</f>
        <v>0</v>
      </c>
      <c r="H113">
        <f>IF(AND(gamma!G31=1, VLOOKUP($A113,'40Trips'!$A$43:$I$46, 3,FALSE)=VLOOKUP(H$1,'40Trips'!$A$3:$I$42,3,FALSE)),1,0)</f>
        <v>0</v>
      </c>
      <c r="I113">
        <f>IF(AND(gamma!H31=1, VLOOKUP($A113,'40Trips'!$A$43:$I$46, 3,FALSE)=VLOOKUP(I$1,'40Trips'!$A$3:$I$42,3,FALSE)),1,0)</f>
        <v>0</v>
      </c>
      <c r="J113">
        <f>IF(AND(gamma!I31=1, VLOOKUP($A113,'40Trips'!$A$43:$I$46, 3,FALSE)=VLOOKUP(J$1,'40Trips'!$A$3:$I$42,3,FALSE)),1,0)</f>
        <v>0</v>
      </c>
      <c r="K113">
        <f>IF(AND(gamma!J31=1, VLOOKUP($A113,'40Trips'!$A$43:$I$46, 3,FALSE)=VLOOKUP(K$1,'40Trips'!$A$3:$I$42,3,FALSE)),1,0)</f>
        <v>0</v>
      </c>
      <c r="L113">
        <f>IF(AND(gamma!K31=1, VLOOKUP($A113,'40Trips'!$A$43:$I$46, 3,FALSE)=VLOOKUP(L$1,'40Trips'!$A$3:$I$42,3,FALSE)),1,0)</f>
        <v>0</v>
      </c>
      <c r="M113">
        <f>IF(AND(gamma!L31=1, VLOOKUP($A113,'40Trips'!$A$43:$I$46, 3,FALSE)=VLOOKUP(M$1,'40Trips'!$A$3:$I$42,3,FALSE)),1,0)</f>
        <v>0</v>
      </c>
      <c r="N113">
        <f>IF(AND(gamma!M31=1, VLOOKUP($A113,'40Trips'!$A$43:$I$46, 3,FALSE)=VLOOKUP(N$1,'40Trips'!$A$3:$I$42,3,FALSE)),1,0)</f>
        <v>0</v>
      </c>
      <c r="O113">
        <f>IF(AND(gamma!N31=1, VLOOKUP($A113,'40Trips'!$A$43:$I$46, 3,FALSE)=VLOOKUP(O$1,'40Trips'!$A$3:$I$42,3,FALSE)),1,0)</f>
        <v>0</v>
      </c>
      <c r="P113">
        <f>IF(AND(gamma!O31=1, VLOOKUP($A113,'40Trips'!$A$43:$I$46, 3,FALSE)=VLOOKUP(P$1,'40Trips'!$A$3:$I$42,3,FALSE)),1,0)</f>
        <v>1</v>
      </c>
      <c r="Q113">
        <f>IF(AND(gamma!P31=1, VLOOKUP($A113,'40Trips'!$A$43:$I$46, 3,FALSE)=VLOOKUP(Q$1,'40Trips'!$A$3:$I$42,3,FALSE)),1,0)</f>
        <v>1</v>
      </c>
      <c r="R113">
        <f>IF(AND(gamma!Q31=1, VLOOKUP($A113,'40Trips'!$A$43:$I$46, 3,FALSE)=VLOOKUP(R$1,'40Trips'!$A$3:$I$42,3,FALSE)),1,0)</f>
        <v>1</v>
      </c>
      <c r="S113">
        <f>IF(AND(gamma!R31=1, VLOOKUP($A113,'40Trips'!$A$43:$I$46, 3,FALSE)=VLOOKUP(S$1,'40Trips'!$A$3:$I$42,3,FALSE)),1,0)</f>
        <v>1</v>
      </c>
      <c r="T113">
        <f>IF(AND(gamma!S31=1, VLOOKUP($A113,'40Trips'!$A$43:$I$46, 3,FALSE)=VLOOKUP(T$1,'40Trips'!$A$3:$I$42,3,FALSE)),1,0)</f>
        <v>0</v>
      </c>
      <c r="U113">
        <f>IF(AND(gamma!T31=1, VLOOKUP($A113,'40Trips'!$A$43:$I$46, 3,FALSE)=VLOOKUP(U$1,'40Trips'!$A$3:$I$42,3,FALSE)),1,0)</f>
        <v>0</v>
      </c>
      <c r="V113">
        <f>IF(AND(gamma!U31=1, VLOOKUP($A113,'40Trips'!$A$43:$I$46, 3,FALSE)=VLOOKUP(V$1,'40Trips'!$A$3:$I$42,3,FALSE)),1,0)</f>
        <v>1</v>
      </c>
      <c r="W113">
        <f>IF(AND(gamma!V31=1, VLOOKUP($A113,'40Trips'!$A$43:$I$46, 3,FALSE)=VLOOKUP(W$1,'40Trips'!$A$3:$I$42,3,FALSE)),1,0)</f>
        <v>1</v>
      </c>
      <c r="X113">
        <f>IF(AND(gamma!W31=1, VLOOKUP($A113,'40Trips'!$A$43:$I$46, 3,FALSE)=VLOOKUP(X$1,'40Trips'!$A$3:$I$42,3,FALSE)),1,0)</f>
        <v>0</v>
      </c>
      <c r="Y113">
        <f>IF(AND(gamma!X31=1, VLOOKUP($A113,'40Trips'!$A$43:$I$46, 3,FALSE)=VLOOKUP(Y$1,'40Trips'!$A$3:$I$42,3,FALSE)),1,0)</f>
        <v>0</v>
      </c>
      <c r="Z113">
        <f>IF(AND(gamma!Y31=1, VLOOKUP($A113,'40Trips'!$A$43:$I$46, 3,FALSE)=VLOOKUP(Z$1,'40Trips'!$A$3:$I$42,3,FALSE)),1,0)</f>
        <v>0</v>
      </c>
      <c r="AA113">
        <f>IF(AND(gamma!Z31=1, VLOOKUP($A113,'40Trips'!$A$43:$I$46, 3,FALSE)=VLOOKUP(AA$1,'40Trips'!$A$3:$I$42,3,FALSE)),1,0)</f>
        <v>0</v>
      </c>
      <c r="AB113">
        <f>IF(AND(gamma!AA31=1, VLOOKUP($A113,'40Trips'!$A$43:$I$46, 3,FALSE)=VLOOKUP(AB$1,'40Trips'!$A$3:$I$42,3,FALSE)),1,0)</f>
        <v>0</v>
      </c>
      <c r="AC113">
        <f>IF(AND(gamma!AB31=1, VLOOKUP($A113,'40Trips'!$A$43:$I$46, 3,FALSE)=VLOOKUP(AC$1,'40Trips'!$A$3:$I$42,3,FALSE)),1,0)</f>
        <v>0</v>
      </c>
      <c r="AD113">
        <f>IF(AND(gamma!AC31=1, VLOOKUP($A113,'40Trips'!$A$43:$I$46, 3,FALSE)=VLOOKUP(AD$1,'40Trips'!$A$3:$I$42,3,FALSE)),1,0)</f>
        <v>0</v>
      </c>
      <c r="AE113">
        <f>IF(AND(gamma!AD31=1, VLOOKUP($A113,'40Trips'!$A$43:$I$46, 3,FALSE)=VLOOKUP(AE$1,'40Trips'!$A$3:$I$42,3,FALSE)),1,0)</f>
        <v>0</v>
      </c>
      <c r="AF113">
        <f>IF(AND(gamma!AE31=1, VLOOKUP($A113,'40Trips'!$A$43:$I$46, 3,FALSE)=VLOOKUP(AF$1,'40Trips'!$A$3:$I$42,3,FALSE)),1,0)</f>
        <v>0</v>
      </c>
      <c r="AG113">
        <f>IF(AND(gamma!AF31=1, VLOOKUP($A113,'40Trips'!$A$43:$I$46, 3,FALSE)=VLOOKUP(AG$1,'40Trips'!$A$3:$I$42,3,FALSE)),1,0)</f>
        <v>0</v>
      </c>
      <c r="AH113">
        <f>IF(AND(gamma!AG31=1, VLOOKUP($A113,'40Trips'!$A$43:$I$46, 3,FALSE)=VLOOKUP(AH$1,'40Trips'!$A$3:$I$42,3,FALSE)),1,0)</f>
        <v>0</v>
      </c>
      <c r="AI113">
        <f>IF(AND(gamma!AH31=1, VLOOKUP($A113,'40Trips'!$A$43:$I$46, 3,FALSE)=VLOOKUP(AI$1,'40Trips'!$A$3:$I$42,3,FALSE)),1,0)</f>
        <v>0</v>
      </c>
      <c r="AJ113">
        <f>IF(AND(gamma!AI31=1, VLOOKUP($A113,'40Trips'!$A$43:$I$46, 3,FALSE)=VLOOKUP(AJ$1,'40Trips'!$A$3:$I$42,3,FALSE)),1,0)</f>
        <v>0</v>
      </c>
      <c r="AK113">
        <f>IF(AND(gamma!AJ31=1, VLOOKUP($A113,'40Trips'!$A$43:$I$46, 3,FALSE)=VLOOKUP(AK$1,'40Trips'!$A$3:$I$42,3,FALSE)),1,0)</f>
        <v>0</v>
      </c>
      <c r="AL113">
        <f>IF(AND(gamma!AK31=1, VLOOKUP($A113,'40Trips'!$A$43:$I$46, 3,FALSE)=VLOOKUP(AL$1,'40Trips'!$A$3:$I$42,3,FALSE)),1,0)</f>
        <v>0</v>
      </c>
      <c r="AM113">
        <f>IF(AND(gamma!AL31=1, VLOOKUP($A113,'40Trips'!$A$43:$I$46, 3,FALSE)=VLOOKUP(AM$1,'40Trips'!$A$3:$I$42,3,FALSE)),1,0)</f>
        <v>0</v>
      </c>
      <c r="AN113">
        <f>IF(AND(gamma!AM31=1, VLOOKUP($A113,'40Trips'!$A$43:$I$46, 3,FALSE)=VLOOKUP(AN$1,'40Trips'!$A$3:$I$42,3,FALSE)),1,0)</f>
        <v>0</v>
      </c>
      <c r="AO113">
        <f>IF(AND(gamma!AN31=1, VLOOKUP($A113,'40Trips'!$A$43:$I$46, 3,FALSE)=VLOOKUP(AO$1,'40Trips'!$A$3:$I$42,3,FALSE)),1,0)</f>
        <v>0</v>
      </c>
      <c r="AP113">
        <f>IF(AND(gamma!AO31=1, VLOOKUP($A113,'40Trips'!$A$43:$I$46, 3,FALSE)=VLOOKUP(AP$1,'40Trips'!$A$3:$I$42,3,FALSE)),1,0)</f>
        <v>0</v>
      </c>
      <c r="AQ113">
        <f>IF(AND(gamma!AP31=1, VLOOKUP($A113,'40Trips'!$A$43:$I$46, 3,FALSE)=VLOOKUP(AQ$1,'40Trips'!$A$3:$I$42,3,FALSE)),1,0)</f>
        <v>0</v>
      </c>
    </row>
    <row r="114" spans="1:43" x14ac:dyDescent="0.25">
      <c r="A114" t="s">
        <v>67</v>
      </c>
      <c r="B114" t="s">
        <v>83</v>
      </c>
      <c r="C114">
        <v>0</v>
      </c>
      <c r="D114">
        <f>IF(AND(gamma!C32=1, VLOOKUP($A114,'40Trips'!$A$43:$I$46, 3,FALSE)=VLOOKUP(D$1,'40Trips'!$A$3:$I$42,3,FALSE)),1,0)</f>
        <v>0</v>
      </c>
      <c r="E114">
        <f>IF(AND(gamma!D32=1, VLOOKUP($A114,'40Trips'!$A$43:$I$46, 3,FALSE)=VLOOKUP(E$1,'40Trips'!$A$3:$I$42,3,FALSE)),1,0)</f>
        <v>0</v>
      </c>
      <c r="F114">
        <f>IF(AND(gamma!E32=1, VLOOKUP($A114,'40Trips'!$A$43:$I$46, 3,FALSE)=VLOOKUP(F$1,'40Trips'!$A$3:$I$42,3,FALSE)),1,0)</f>
        <v>0</v>
      </c>
      <c r="G114">
        <f>IF(AND(gamma!F32=1, VLOOKUP($A114,'40Trips'!$A$43:$I$46, 3,FALSE)=VLOOKUP(G$1,'40Trips'!$A$3:$I$42,3,FALSE)),1,0)</f>
        <v>0</v>
      </c>
      <c r="H114">
        <f>IF(AND(gamma!G32=1, VLOOKUP($A114,'40Trips'!$A$43:$I$46, 3,FALSE)=VLOOKUP(H$1,'40Trips'!$A$3:$I$42,3,FALSE)),1,0)</f>
        <v>0</v>
      </c>
      <c r="I114">
        <f>IF(AND(gamma!H32=1, VLOOKUP($A114,'40Trips'!$A$43:$I$46, 3,FALSE)=VLOOKUP(I$1,'40Trips'!$A$3:$I$42,3,FALSE)),1,0)</f>
        <v>0</v>
      </c>
      <c r="J114">
        <f>IF(AND(gamma!I32=1, VLOOKUP($A114,'40Trips'!$A$43:$I$46, 3,FALSE)=VLOOKUP(J$1,'40Trips'!$A$3:$I$42,3,FALSE)),1,0)</f>
        <v>0</v>
      </c>
      <c r="K114">
        <f>IF(AND(gamma!J32=1, VLOOKUP($A114,'40Trips'!$A$43:$I$46, 3,FALSE)=VLOOKUP(K$1,'40Trips'!$A$3:$I$42,3,FALSE)),1,0)</f>
        <v>0</v>
      </c>
      <c r="L114">
        <f>IF(AND(gamma!K32=1, VLOOKUP($A114,'40Trips'!$A$43:$I$46, 3,FALSE)=VLOOKUP(L$1,'40Trips'!$A$3:$I$42,3,FALSE)),1,0)</f>
        <v>0</v>
      </c>
      <c r="M114">
        <f>IF(AND(gamma!L32=1, VLOOKUP($A114,'40Trips'!$A$43:$I$46, 3,FALSE)=VLOOKUP(M$1,'40Trips'!$A$3:$I$42,3,FALSE)),1,0)</f>
        <v>0</v>
      </c>
      <c r="N114">
        <f>IF(AND(gamma!M32=1, VLOOKUP($A114,'40Trips'!$A$43:$I$46, 3,FALSE)=VLOOKUP(N$1,'40Trips'!$A$3:$I$42,3,FALSE)),1,0)</f>
        <v>0</v>
      </c>
      <c r="O114">
        <f>IF(AND(gamma!N32=1, VLOOKUP($A114,'40Trips'!$A$43:$I$46, 3,FALSE)=VLOOKUP(O$1,'40Trips'!$A$3:$I$42,3,FALSE)),1,0)</f>
        <v>0</v>
      </c>
      <c r="P114">
        <f>IF(AND(gamma!O32=1, VLOOKUP($A114,'40Trips'!$A$43:$I$46, 3,FALSE)=VLOOKUP(P$1,'40Trips'!$A$3:$I$42,3,FALSE)),1,0)</f>
        <v>0</v>
      </c>
      <c r="Q114">
        <f>IF(AND(gamma!P32=1, VLOOKUP($A114,'40Trips'!$A$43:$I$46, 3,FALSE)=VLOOKUP(Q$1,'40Trips'!$A$3:$I$42,3,FALSE)),1,0)</f>
        <v>1</v>
      </c>
      <c r="R114">
        <f>IF(AND(gamma!Q32=1, VLOOKUP($A114,'40Trips'!$A$43:$I$46, 3,FALSE)=VLOOKUP(R$1,'40Trips'!$A$3:$I$42,3,FALSE)),1,0)</f>
        <v>1</v>
      </c>
      <c r="S114">
        <f>IF(AND(gamma!R32=1, VLOOKUP($A114,'40Trips'!$A$43:$I$46, 3,FALSE)=VLOOKUP(S$1,'40Trips'!$A$3:$I$42,3,FALSE)),1,0)</f>
        <v>1</v>
      </c>
      <c r="T114">
        <f>IF(AND(gamma!S32=1, VLOOKUP($A114,'40Trips'!$A$43:$I$46, 3,FALSE)=VLOOKUP(T$1,'40Trips'!$A$3:$I$42,3,FALSE)),1,0)</f>
        <v>0</v>
      </c>
      <c r="U114">
        <f>IF(AND(gamma!T32=1, VLOOKUP($A114,'40Trips'!$A$43:$I$46, 3,FALSE)=VLOOKUP(U$1,'40Trips'!$A$3:$I$42,3,FALSE)),1,0)</f>
        <v>0</v>
      </c>
      <c r="V114">
        <f>IF(AND(gamma!U32=1, VLOOKUP($A114,'40Trips'!$A$43:$I$46, 3,FALSE)=VLOOKUP(V$1,'40Trips'!$A$3:$I$42,3,FALSE)),1,0)</f>
        <v>1</v>
      </c>
      <c r="W114">
        <f>IF(AND(gamma!V32=1, VLOOKUP($A114,'40Trips'!$A$43:$I$46, 3,FALSE)=VLOOKUP(W$1,'40Trips'!$A$3:$I$42,3,FALSE)),1,0)</f>
        <v>1</v>
      </c>
      <c r="X114">
        <f>IF(AND(gamma!W32=1, VLOOKUP($A114,'40Trips'!$A$43:$I$46, 3,FALSE)=VLOOKUP(X$1,'40Trips'!$A$3:$I$42,3,FALSE)),1,0)</f>
        <v>0</v>
      </c>
      <c r="Y114">
        <f>IF(AND(gamma!X32=1, VLOOKUP($A114,'40Trips'!$A$43:$I$46, 3,FALSE)=VLOOKUP(Y$1,'40Trips'!$A$3:$I$42,3,FALSE)),1,0)</f>
        <v>0</v>
      </c>
      <c r="Z114">
        <f>IF(AND(gamma!Y32=1, VLOOKUP($A114,'40Trips'!$A$43:$I$46, 3,FALSE)=VLOOKUP(Z$1,'40Trips'!$A$3:$I$42,3,FALSE)),1,0)</f>
        <v>0</v>
      </c>
      <c r="AA114">
        <f>IF(AND(gamma!Z32=1, VLOOKUP($A114,'40Trips'!$A$43:$I$46, 3,FALSE)=VLOOKUP(AA$1,'40Trips'!$A$3:$I$42,3,FALSE)),1,0)</f>
        <v>0</v>
      </c>
      <c r="AB114">
        <f>IF(AND(gamma!AA32=1, VLOOKUP($A114,'40Trips'!$A$43:$I$46, 3,FALSE)=VLOOKUP(AB$1,'40Trips'!$A$3:$I$42,3,FALSE)),1,0)</f>
        <v>0</v>
      </c>
      <c r="AC114">
        <f>IF(AND(gamma!AB32=1, VLOOKUP($A114,'40Trips'!$A$43:$I$46, 3,FALSE)=VLOOKUP(AC$1,'40Trips'!$A$3:$I$42,3,FALSE)),1,0)</f>
        <v>0</v>
      </c>
      <c r="AD114">
        <f>IF(AND(gamma!AC32=1, VLOOKUP($A114,'40Trips'!$A$43:$I$46, 3,FALSE)=VLOOKUP(AD$1,'40Trips'!$A$3:$I$42,3,FALSE)),1,0)</f>
        <v>0</v>
      </c>
      <c r="AE114">
        <f>IF(AND(gamma!AD32=1, VLOOKUP($A114,'40Trips'!$A$43:$I$46, 3,FALSE)=VLOOKUP(AE$1,'40Trips'!$A$3:$I$42,3,FALSE)),1,0)</f>
        <v>0</v>
      </c>
      <c r="AF114">
        <f>IF(AND(gamma!AE32=1, VLOOKUP($A114,'40Trips'!$A$43:$I$46, 3,FALSE)=VLOOKUP(AF$1,'40Trips'!$A$3:$I$42,3,FALSE)),1,0)</f>
        <v>0</v>
      </c>
      <c r="AG114">
        <f>IF(AND(gamma!AF32=1, VLOOKUP($A114,'40Trips'!$A$43:$I$46, 3,FALSE)=VLOOKUP(AG$1,'40Trips'!$A$3:$I$42,3,FALSE)),1,0)</f>
        <v>0</v>
      </c>
      <c r="AH114">
        <f>IF(AND(gamma!AG32=1, VLOOKUP($A114,'40Trips'!$A$43:$I$46, 3,FALSE)=VLOOKUP(AH$1,'40Trips'!$A$3:$I$42,3,FALSE)),1,0)</f>
        <v>0</v>
      </c>
      <c r="AI114">
        <f>IF(AND(gamma!AH32=1, VLOOKUP($A114,'40Trips'!$A$43:$I$46, 3,FALSE)=VLOOKUP(AI$1,'40Trips'!$A$3:$I$42,3,FALSE)),1,0)</f>
        <v>0</v>
      </c>
      <c r="AJ114">
        <f>IF(AND(gamma!AI32=1, VLOOKUP($A114,'40Trips'!$A$43:$I$46, 3,FALSE)=VLOOKUP(AJ$1,'40Trips'!$A$3:$I$42,3,FALSE)),1,0)</f>
        <v>0</v>
      </c>
      <c r="AK114">
        <f>IF(AND(gamma!AJ32=1, VLOOKUP($A114,'40Trips'!$A$43:$I$46, 3,FALSE)=VLOOKUP(AK$1,'40Trips'!$A$3:$I$42,3,FALSE)),1,0)</f>
        <v>0</v>
      </c>
      <c r="AL114">
        <f>IF(AND(gamma!AK32=1, VLOOKUP($A114,'40Trips'!$A$43:$I$46, 3,FALSE)=VLOOKUP(AL$1,'40Trips'!$A$3:$I$42,3,FALSE)),1,0)</f>
        <v>0</v>
      </c>
      <c r="AM114">
        <f>IF(AND(gamma!AL32=1, VLOOKUP($A114,'40Trips'!$A$43:$I$46, 3,FALSE)=VLOOKUP(AM$1,'40Trips'!$A$3:$I$42,3,FALSE)),1,0)</f>
        <v>0</v>
      </c>
      <c r="AN114">
        <f>IF(AND(gamma!AM32=1, VLOOKUP($A114,'40Trips'!$A$43:$I$46, 3,FALSE)=VLOOKUP(AN$1,'40Trips'!$A$3:$I$42,3,FALSE)),1,0)</f>
        <v>0</v>
      </c>
      <c r="AO114">
        <f>IF(AND(gamma!AN32=1, VLOOKUP($A114,'40Trips'!$A$43:$I$46, 3,FALSE)=VLOOKUP(AO$1,'40Trips'!$A$3:$I$42,3,FALSE)),1,0)</f>
        <v>0</v>
      </c>
      <c r="AP114">
        <f>IF(AND(gamma!AO32=1, VLOOKUP($A114,'40Trips'!$A$43:$I$46, 3,FALSE)=VLOOKUP(AP$1,'40Trips'!$A$3:$I$42,3,FALSE)),1,0)</f>
        <v>0</v>
      </c>
      <c r="AQ114">
        <f>IF(AND(gamma!AP32=1, VLOOKUP($A114,'40Trips'!$A$43:$I$46, 3,FALSE)=VLOOKUP(AQ$1,'40Trips'!$A$3:$I$42,3,FALSE)),1,0)</f>
        <v>0</v>
      </c>
    </row>
    <row r="115" spans="1:43" x14ac:dyDescent="0.25">
      <c r="A115" t="s">
        <v>67</v>
      </c>
      <c r="B115" t="s">
        <v>84</v>
      </c>
      <c r="C115">
        <v>0</v>
      </c>
      <c r="D115">
        <f>IF(AND(gamma!C33=1, VLOOKUP($A115,'40Trips'!$A$43:$I$46, 3,FALSE)=VLOOKUP(D$1,'40Trips'!$A$3:$I$42,3,FALSE)),1,0)</f>
        <v>0</v>
      </c>
      <c r="E115">
        <f>IF(AND(gamma!D33=1, VLOOKUP($A115,'40Trips'!$A$43:$I$46, 3,FALSE)=VLOOKUP(E$1,'40Trips'!$A$3:$I$42,3,FALSE)),1,0)</f>
        <v>0</v>
      </c>
      <c r="F115">
        <f>IF(AND(gamma!E33=1, VLOOKUP($A115,'40Trips'!$A$43:$I$46, 3,FALSE)=VLOOKUP(F$1,'40Trips'!$A$3:$I$42,3,FALSE)),1,0)</f>
        <v>0</v>
      </c>
      <c r="G115">
        <f>IF(AND(gamma!F33=1, VLOOKUP($A115,'40Trips'!$A$43:$I$46, 3,FALSE)=VLOOKUP(G$1,'40Trips'!$A$3:$I$42,3,FALSE)),1,0)</f>
        <v>0</v>
      </c>
      <c r="H115">
        <f>IF(AND(gamma!G33=1, VLOOKUP($A115,'40Trips'!$A$43:$I$46, 3,FALSE)=VLOOKUP(H$1,'40Trips'!$A$3:$I$42,3,FALSE)),1,0)</f>
        <v>0</v>
      </c>
      <c r="I115">
        <f>IF(AND(gamma!H33=1, VLOOKUP($A115,'40Trips'!$A$43:$I$46, 3,FALSE)=VLOOKUP(I$1,'40Trips'!$A$3:$I$42,3,FALSE)),1,0)</f>
        <v>0</v>
      </c>
      <c r="J115">
        <f>IF(AND(gamma!I33=1, VLOOKUP($A115,'40Trips'!$A$43:$I$46, 3,FALSE)=VLOOKUP(J$1,'40Trips'!$A$3:$I$42,3,FALSE)),1,0)</f>
        <v>0</v>
      </c>
      <c r="K115">
        <f>IF(AND(gamma!J33=1, VLOOKUP($A115,'40Trips'!$A$43:$I$46, 3,FALSE)=VLOOKUP(K$1,'40Trips'!$A$3:$I$42,3,FALSE)),1,0)</f>
        <v>0</v>
      </c>
      <c r="L115">
        <f>IF(AND(gamma!K33=1, VLOOKUP($A115,'40Trips'!$A$43:$I$46, 3,FALSE)=VLOOKUP(L$1,'40Trips'!$A$3:$I$42,3,FALSE)),1,0)</f>
        <v>0</v>
      </c>
      <c r="M115">
        <f>IF(AND(gamma!L33=1, VLOOKUP($A115,'40Trips'!$A$43:$I$46, 3,FALSE)=VLOOKUP(M$1,'40Trips'!$A$3:$I$42,3,FALSE)),1,0)</f>
        <v>0</v>
      </c>
      <c r="N115">
        <f>IF(AND(gamma!M33=1, VLOOKUP($A115,'40Trips'!$A$43:$I$46, 3,FALSE)=VLOOKUP(N$1,'40Trips'!$A$3:$I$42,3,FALSE)),1,0)</f>
        <v>0</v>
      </c>
      <c r="O115">
        <f>IF(AND(gamma!N33=1, VLOOKUP($A115,'40Trips'!$A$43:$I$46, 3,FALSE)=VLOOKUP(O$1,'40Trips'!$A$3:$I$42,3,FALSE)),1,0)</f>
        <v>0</v>
      </c>
      <c r="P115">
        <f>IF(AND(gamma!O33=1, VLOOKUP($A115,'40Trips'!$A$43:$I$46, 3,FALSE)=VLOOKUP(P$1,'40Trips'!$A$3:$I$42,3,FALSE)),1,0)</f>
        <v>0</v>
      </c>
      <c r="Q115">
        <f>IF(AND(gamma!P33=1, VLOOKUP($A115,'40Trips'!$A$43:$I$46, 3,FALSE)=VLOOKUP(Q$1,'40Trips'!$A$3:$I$42,3,FALSE)),1,0)</f>
        <v>0</v>
      </c>
      <c r="R115">
        <f>IF(AND(gamma!Q33=1, VLOOKUP($A115,'40Trips'!$A$43:$I$46, 3,FALSE)=VLOOKUP(R$1,'40Trips'!$A$3:$I$42,3,FALSE)),1,0)</f>
        <v>1</v>
      </c>
      <c r="S115">
        <f>IF(AND(gamma!R33=1, VLOOKUP($A115,'40Trips'!$A$43:$I$46, 3,FALSE)=VLOOKUP(S$1,'40Trips'!$A$3:$I$42,3,FALSE)),1,0)</f>
        <v>1</v>
      </c>
      <c r="T115">
        <f>IF(AND(gamma!S33=1, VLOOKUP($A115,'40Trips'!$A$43:$I$46, 3,FALSE)=VLOOKUP(T$1,'40Trips'!$A$3:$I$42,3,FALSE)),1,0)</f>
        <v>0</v>
      </c>
      <c r="U115">
        <f>IF(AND(gamma!T33=1, VLOOKUP($A115,'40Trips'!$A$43:$I$46, 3,FALSE)=VLOOKUP(U$1,'40Trips'!$A$3:$I$42,3,FALSE)),1,0)</f>
        <v>0</v>
      </c>
      <c r="V115">
        <f>IF(AND(gamma!U33=1, VLOOKUP($A115,'40Trips'!$A$43:$I$46, 3,FALSE)=VLOOKUP(V$1,'40Trips'!$A$3:$I$42,3,FALSE)),1,0)</f>
        <v>1</v>
      </c>
      <c r="W115">
        <f>IF(AND(gamma!V33=1, VLOOKUP($A115,'40Trips'!$A$43:$I$46, 3,FALSE)=VLOOKUP(W$1,'40Trips'!$A$3:$I$42,3,FALSE)),1,0)</f>
        <v>1</v>
      </c>
      <c r="X115">
        <f>IF(AND(gamma!W33=1, VLOOKUP($A115,'40Trips'!$A$43:$I$46, 3,FALSE)=VLOOKUP(X$1,'40Trips'!$A$3:$I$42,3,FALSE)),1,0)</f>
        <v>0</v>
      </c>
      <c r="Y115">
        <f>IF(AND(gamma!X33=1, VLOOKUP($A115,'40Trips'!$A$43:$I$46, 3,FALSE)=VLOOKUP(Y$1,'40Trips'!$A$3:$I$42,3,FALSE)),1,0)</f>
        <v>0</v>
      </c>
      <c r="Z115">
        <f>IF(AND(gamma!Y33=1, VLOOKUP($A115,'40Trips'!$A$43:$I$46, 3,FALSE)=VLOOKUP(Z$1,'40Trips'!$A$3:$I$42,3,FALSE)),1,0)</f>
        <v>0</v>
      </c>
      <c r="AA115">
        <f>IF(AND(gamma!Z33=1, VLOOKUP($A115,'40Trips'!$A$43:$I$46, 3,FALSE)=VLOOKUP(AA$1,'40Trips'!$A$3:$I$42,3,FALSE)),1,0)</f>
        <v>0</v>
      </c>
      <c r="AB115">
        <f>IF(AND(gamma!AA33=1, VLOOKUP($A115,'40Trips'!$A$43:$I$46, 3,FALSE)=VLOOKUP(AB$1,'40Trips'!$A$3:$I$42,3,FALSE)),1,0)</f>
        <v>0</v>
      </c>
      <c r="AC115">
        <f>IF(AND(gamma!AB33=1, VLOOKUP($A115,'40Trips'!$A$43:$I$46, 3,FALSE)=VLOOKUP(AC$1,'40Trips'!$A$3:$I$42,3,FALSE)),1,0)</f>
        <v>0</v>
      </c>
      <c r="AD115">
        <f>IF(AND(gamma!AC33=1, VLOOKUP($A115,'40Trips'!$A$43:$I$46, 3,FALSE)=VLOOKUP(AD$1,'40Trips'!$A$3:$I$42,3,FALSE)),1,0)</f>
        <v>0</v>
      </c>
      <c r="AE115">
        <f>IF(AND(gamma!AD33=1, VLOOKUP($A115,'40Trips'!$A$43:$I$46, 3,FALSE)=VLOOKUP(AE$1,'40Trips'!$A$3:$I$42,3,FALSE)),1,0)</f>
        <v>0</v>
      </c>
      <c r="AF115">
        <f>IF(AND(gamma!AE33=1, VLOOKUP($A115,'40Trips'!$A$43:$I$46, 3,FALSE)=VLOOKUP(AF$1,'40Trips'!$A$3:$I$42,3,FALSE)),1,0)</f>
        <v>0</v>
      </c>
      <c r="AG115">
        <f>IF(AND(gamma!AF33=1, VLOOKUP($A115,'40Trips'!$A$43:$I$46, 3,FALSE)=VLOOKUP(AG$1,'40Trips'!$A$3:$I$42,3,FALSE)),1,0)</f>
        <v>0</v>
      </c>
      <c r="AH115">
        <f>IF(AND(gamma!AG33=1, VLOOKUP($A115,'40Trips'!$A$43:$I$46, 3,FALSE)=VLOOKUP(AH$1,'40Trips'!$A$3:$I$42,3,FALSE)),1,0)</f>
        <v>0</v>
      </c>
      <c r="AI115">
        <f>IF(AND(gamma!AH33=1, VLOOKUP($A115,'40Trips'!$A$43:$I$46, 3,FALSE)=VLOOKUP(AI$1,'40Trips'!$A$3:$I$42,3,FALSE)),1,0)</f>
        <v>0</v>
      </c>
      <c r="AJ115">
        <f>IF(AND(gamma!AI33=1, VLOOKUP($A115,'40Trips'!$A$43:$I$46, 3,FALSE)=VLOOKUP(AJ$1,'40Trips'!$A$3:$I$42,3,FALSE)),1,0)</f>
        <v>0</v>
      </c>
      <c r="AK115">
        <f>IF(AND(gamma!AJ33=1, VLOOKUP($A115,'40Trips'!$A$43:$I$46, 3,FALSE)=VLOOKUP(AK$1,'40Trips'!$A$3:$I$42,3,FALSE)),1,0)</f>
        <v>0</v>
      </c>
      <c r="AL115">
        <f>IF(AND(gamma!AK33=1, VLOOKUP($A115,'40Trips'!$A$43:$I$46, 3,FALSE)=VLOOKUP(AL$1,'40Trips'!$A$3:$I$42,3,FALSE)),1,0)</f>
        <v>0</v>
      </c>
      <c r="AM115">
        <f>IF(AND(gamma!AL33=1, VLOOKUP($A115,'40Trips'!$A$43:$I$46, 3,FALSE)=VLOOKUP(AM$1,'40Trips'!$A$3:$I$42,3,FALSE)),1,0)</f>
        <v>0</v>
      </c>
      <c r="AN115">
        <f>IF(AND(gamma!AM33=1, VLOOKUP($A115,'40Trips'!$A$43:$I$46, 3,FALSE)=VLOOKUP(AN$1,'40Trips'!$A$3:$I$42,3,FALSE)),1,0)</f>
        <v>0</v>
      </c>
      <c r="AO115">
        <f>IF(AND(gamma!AN33=1, VLOOKUP($A115,'40Trips'!$A$43:$I$46, 3,FALSE)=VLOOKUP(AO$1,'40Trips'!$A$3:$I$42,3,FALSE)),1,0)</f>
        <v>0</v>
      </c>
      <c r="AP115">
        <f>IF(AND(gamma!AO33=1, VLOOKUP($A115,'40Trips'!$A$43:$I$46, 3,FALSE)=VLOOKUP(AP$1,'40Trips'!$A$3:$I$42,3,FALSE)),1,0)</f>
        <v>0</v>
      </c>
      <c r="AQ115">
        <f>IF(AND(gamma!AP33=1, VLOOKUP($A115,'40Trips'!$A$43:$I$46, 3,FALSE)=VLOOKUP(AQ$1,'40Trips'!$A$3:$I$42,3,FALSE)),1,0)</f>
        <v>0</v>
      </c>
    </row>
    <row r="116" spans="1:43" x14ac:dyDescent="0.25">
      <c r="A116" t="s">
        <v>67</v>
      </c>
      <c r="B116" t="s">
        <v>85</v>
      </c>
      <c r="C116">
        <v>0</v>
      </c>
      <c r="D116">
        <f>IF(AND(gamma!C34=1, VLOOKUP($A116,'40Trips'!$A$43:$I$46, 3,FALSE)=VLOOKUP(D$1,'40Trips'!$A$3:$I$42,3,FALSE)),1,0)</f>
        <v>0</v>
      </c>
      <c r="E116">
        <f>IF(AND(gamma!D34=1, VLOOKUP($A116,'40Trips'!$A$43:$I$46, 3,FALSE)=VLOOKUP(E$1,'40Trips'!$A$3:$I$42,3,FALSE)),1,0)</f>
        <v>0</v>
      </c>
      <c r="F116">
        <f>IF(AND(gamma!E34=1, VLOOKUP($A116,'40Trips'!$A$43:$I$46, 3,FALSE)=VLOOKUP(F$1,'40Trips'!$A$3:$I$42,3,FALSE)),1,0)</f>
        <v>0</v>
      </c>
      <c r="G116">
        <f>IF(AND(gamma!F34=1, VLOOKUP($A116,'40Trips'!$A$43:$I$46, 3,FALSE)=VLOOKUP(G$1,'40Trips'!$A$3:$I$42,3,FALSE)),1,0)</f>
        <v>0</v>
      </c>
      <c r="H116">
        <f>IF(AND(gamma!G34=1, VLOOKUP($A116,'40Trips'!$A$43:$I$46, 3,FALSE)=VLOOKUP(H$1,'40Trips'!$A$3:$I$42,3,FALSE)),1,0)</f>
        <v>0</v>
      </c>
      <c r="I116">
        <f>IF(AND(gamma!H34=1, VLOOKUP($A116,'40Trips'!$A$43:$I$46, 3,FALSE)=VLOOKUP(I$1,'40Trips'!$A$3:$I$42,3,FALSE)),1,0)</f>
        <v>0</v>
      </c>
      <c r="J116">
        <f>IF(AND(gamma!I34=1, VLOOKUP($A116,'40Trips'!$A$43:$I$46, 3,FALSE)=VLOOKUP(J$1,'40Trips'!$A$3:$I$42,3,FALSE)),1,0)</f>
        <v>0</v>
      </c>
      <c r="K116">
        <f>IF(AND(gamma!J34=1, VLOOKUP($A116,'40Trips'!$A$43:$I$46, 3,FALSE)=VLOOKUP(K$1,'40Trips'!$A$3:$I$42,3,FALSE)),1,0)</f>
        <v>0</v>
      </c>
      <c r="L116">
        <f>IF(AND(gamma!K34=1, VLOOKUP($A116,'40Trips'!$A$43:$I$46, 3,FALSE)=VLOOKUP(L$1,'40Trips'!$A$3:$I$42,3,FALSE)),1,0)</f>
        <v>0</v>
      </c>
      <c r="M116">
        <f>IF(AND(gamma!L34=1, VLOOKUP($A116,'40Trips'!$A$43:$I$46, 3,FALSE)=VLOOKUP(M$1,'40Trips'!$A$3:$I$42,3,FALSE)),1,0)</f>
        <v>0</v>
      </c>
      <c r="N116">
        <f>IF(AND(gamma!M34=1, VLOOKUP($A116,'40Trips'!$A$43:$I$46, 3,FALSE)=VLOOKUP(N$1,'40Trips'!$A$3:$I$42,3,FALSE)),1,0)</f>
        <v>0</v>
      </c>
      <c r="O116">
        <f>IF(AND(gamma!N34=1, VLOOKUP($A116,'40Trips'!$A$43:$I$46, 3,FALSE)=VLOOKUP(O$1,'40Trips'!$A$3:$I$42,3,FALSE)),1,0)</f>
        <v>0</v>
      </c>
      <c r="P116">
        <f>IF(AND(gamma!O34=1, VLOOKUP($A116,'40Trips'!$A$43:$I$46, 3,FALSE)=VLOOKUP(P$1,'40Trips'!$A$3:$I$42,3,FALSE)),1,0)</f>
        <v>0</v>
      </c>
      <c r="Q116">
        <f>IF(AND(gamma!P34=1, VLOOKUP($A116,'40Trips'!$A$43:$I$46, 3,FALSE)=VLOOKUP(Q$1,'40Trips'!$A$3:$I$42,3,FALSE)),1,0)</f>
        <v>0</v>
      </c>
      <c r="R116">
        <f>IF(AND(gamma!Q34=1, VLOOKUP($A116,'40Trips'!$A$43:$I$46, 3,FALSE)=VLOOKUP(R$1,'40Trips'!$A$3:$I$42,3,FALSE)),1,0)</f>
        <v>0</v>
      </c>
      <c r="S116">
        <f>IF(AND(gamma!R34=1, VLOOKUP($A116,'40Trips'!$A$43:$I$46, 3,FALSE)=VLOOKUP(S$1,'40Trips'!$A$3:$I$42,3,FALSE)),1,0)</f>
        <v>0</v>
      </c>
      <c r="T116">
        <f>IF(AND(gamma!S34=1, VLOOKUP($A116,'40Trips'!$A$43:$I$46, 3,FALSE)=VLOOKUP(T$1,'40Trips'!$A$3:$I$42,3,FALSE)),1,0)</f>
        <v>0</v>
      </c>
      <c r="U116">
        <f>IF(AND(gamma!T34=1, VLOOKUP($A116,'40Trips'!$A$43:$I$46, 3,FALSE)=VLOOKUP(U$1,'40Trips'!$A$3:$I$42,3,FALSE)),1,0)</f>
        <v>0</v>
      </c>
      <c r="V116">
        <f>IF(AND(gamma!U34=1, VLOOKUP($A116,'40Trips'!$A$43:$I$46, 3,FALSE)=VLOOKUP(V$1,'40Trips'!$A$3:$I$42,3,FALSE)),1,0)</f>
        <v>0</v>
      </c>
      <c r="W116">
        <f>IF(AND(gamma!V34=1, VLOOKUP($A116,'40Trips'!$A$43:$I$46, 3,FALSE)=VLOOKUP(W$1,'40Trips'!$A$3:$I$42,3,FALSE)),1,0)</f>
        <v>1</v>
      </c>
      <c r="X116">
        <f>IF(AND(gamma!W34=1, VLOOKUP($A116,'40Trips'!$A$43:$I$46, 3,FALSE)=VLOOKUP(X$1,'40Trips'!$A$3:$I$42,3,FALSE)),1,0)</f>
        <v>0</v>
      </c>
      <c r="Y116">
        <f>IF(AND(gamma!X34=1, VLOOKUP($A116,'40Trips'!$A$43:$I$46, 3,FALSE)=VLOOKUP(Y$1,'40Trips'!$A$3:$I$42,3,FALSE)),1,0)</f>
        <v>0</v>
      </c>
      <c r="Z116">
        <f>IF(AND(gamma!Y34=1, VLOOKUP($A116,'40Trips'!$A$43:$I$46, 3,FALSE)=VLOOKUP(Z$1,'40Trips'!$A$3:$I$42,3,FALSE)),1,0)</f>
        <v>0</v>
      </c>
      <c r="AA116">
        <f>IF(AND(gamma!Z34=1, VLOOKUP($A116,'40Trips'!$A$43:$I$46, 3,FALSE)=VLOOKUP(AA$1,'40Trips'!$A$3:$I$42,3,FALSE)),1,0)</f>
        <v>0</v>
      </c>
      <c r="AB116">
        <f>IF(AND(gamma!AA34=1, VLOOKUP($A116,'40Trips'!$A$43:$I$46, 3,FALSE)=VLOOKUP(AB$1,'40Trips'!$A$3:$I$42,3,FALSE)),1,0)</f>
        <v>0</v>
      </c>
      <c r="AC116">
        <f>IF(AND(gamma!AB34=1, VLOOKUP($A116,'40Trips'!$A$43:$I$46, 3,FALSE)=VLOOKUP(AC$1,'40Trips'!$A$3:$I$42,3,FALSE)),1,0)</f>
        <v>0</v>
      </c>
      <c r="AD116">
        <f>IF(AND(gamma!AC34=1, VLOOKUP($A116,'40Trips'!$A$43:$I$46, 3,FALSE)=VLOOKUP(AD$1,'40Trips'!$A$3:$I$42,3,FALSE)),1,0)</f>
        <v>0</v>
      </c>
      <c r="AE116">
        <f>IF(AND(gamma!AD34=1, VLOOKUP($A116,'40Trips'!$A$43:$I$46, 3,FALSE)=VLOOKUP(AE$1,'40Trips'!$A$3:$I$42,3,FALSE)),1,0)</f>
        <v>0</v>
      </c>
      <c r="AF116">
        <f>IF(AND(gamma!AE34=1, VLOOKUP($A116,'40Trips'!$A$43:$I$46, 3,FALSE)=VLOOKUP(AF$1,'40Trips'!$A$3:$I$42,3,FALSE)),1,0)</f>
        <v>0</v>
      </c>
      <c r="AG116">
        <f>IF(AND(gamma!AF34=1, VLOOKUP($A116,'40Trips'!$A$43:$I$46, 3,FALSE)=VLOOKUP(AG$1,'40Trips'!$A$3:$I$42,3,FALSE)),1,0)</f>
        <v>0</v>
      </c>
      <c r="AH116">
        <f>IF(AND(gamma!AG34=1, VLOOKUP($A116,'40Trips'!$A$43:$I$46, 3,FALSE)=VLOOKUP(AH$1,'40Trips'!$A$3:$I$42,3,FALSE)),1,0)</f>
        <v>0</v>
      </c>
      <c r="AI116">
        <f>IF(AND(gamma!AH34=1, VLOOKUP($A116,'40Trips'!$A$43:$I$46, 3,FALSE)=VLOOKUP(AI$1,'40Trips'!$A$3:$I$42,3,FALSE)),1,0)</f>
        <v>0</v>
      </c>
      <c r="AJ116">
        <f>IF(AND(gamma!AI34=1, VLOOKUP($A116,'40Trips'!$A$43:$I$46, 3,FALSE)=VLOOKUP(AJ$1,'40Trips'!$A$3:$I$42,3,FALSE)),1,0)</f>
        <v>0</v>
      </c>
      <c r="AK116">
        <f>IF(AND(gamma!AJ34=1, VLOOKUP($A116,'40Trips'!$A$43:$I$46, 3,FALSE)=VLOOKUP(AK$1,'40Trips'!$A$3:$I$42,3,FALSE)),1,0)</f>
        <v>0</v>
      </c>
      <c r="AL116">
        <f>IF(AND(gamma!AK34=1, VLOOKUP($A116,'40Trips'!$A$43:$I$46, 3,FALSE)=VLOOKUP(AL$1,'40Trips'!$A$3:$I$42,3,FALSE)),1,0)</f>
        <v>0</v>
      </c>
      <c r="AM116">
        <f>IF(AND(gamma!AL34=1, VLOOKUP($A116,'40Trips'!$A$43:$I$46, 3,FALSE)=VLOOKUP(AM$1,'40Trips'!$A$3:$I$42,3,FALSE)),1,0)</f>
        <v>0</v>
      </c>
      <c r="AN116">
        <f>IF(AND(gamma!AM34=1, VLOOKUP($A116,'40Trips'!$A$43:$I$46, 3,FALSE)=VLOOKUP(AN$1,'40Trips'!$A$3:$I$42,3,FALSE)),1,0)</f>
        <v>0</v>
      </c>
      <c r="AO116">
        <f>IF(AND(gamma!AN34=1, VLOOKUP($A116,'40Trips'!$A$43:$I$46, 3,FALSE)=VLOOKUP(AO$1,'40Trips'!$A$3:$I$42,3,FALSE)),1,0)</f>
        <v>0</v>
      </c>
      <c r="AP116">
        <f>IF(AND(gamma!AO34=1, VLOOKUP($A116,'40Trips'!$A$43:$I$46, 3,FALSE)=VLOOKUP(AP$1,'40Trips'!$A$3:$I$42,3,FALSE)),1,0)</f>
        <v>0</v>
      </c>
      <c r="AQ116">
        <f>IF(AND(gamma!AP34=1, VLOOKUP($A116,'40Trips'!$A$43:$I$46, 3,FALSE)=VLOOKUP(AQ$1,'40Trips'!$A$3:$I$42,3,FALSE)),1,0)</f>
        <v>0</v>
      </c>
    </row>
    <row r="117" spans="1:43" x14ac:dyDescent="0.25">
      <c r="A117" t="s">
        <v>67</v>
      </c>
      <c r="B117" t="s">
        <v>40</v>
      </c>
      <c r="C117">
        <v>0</v>
      </c>
      <c r="D117">
        <f>IF(AND(gamma!C35=1, VLOOKUP($A117,'40Trips'!$A$43:$I$46, 3,FALSE)=VLOOKUP(D$1,'40Trips'!$A$3:$I$42,3,FALSE)),1,0)</f>
        <v>0</v>
      </c>
      <c r="E117">
        <f>IF(AND(gamma!D35=1, VLOOKUP($A117,'40Trips'!$A$43:$I$46, 3,FALSE)=VLOOKUP(E$1,'40Trips'!$A$3:$I$42,3,FALSE)),1,0)</f>
        <v>0</v>
      </c>
      <c r="F117">
        <f>IF(AND(gamma!E35=1, VLOOKUP($A117,'40Trips'!$A$43:$I$46, 3,FALSE)=VLOOKUP(F$1,'40Trips'!$A$3:$I$42,3,FALSE)),1,0)</f>
        <v>0</v>
      </c>
      <c r="G117">
        <f>IF(AND(gamma!F35=1, VLOOKUP($A117,'40Trips'!$A$43:$I$46, 3,FALSE)=VLOOKUP(G$1,'40Trips'!$A$3:$I$42,3,FALSE)),1,0)</f>
        <v>0</v>
      </c>
      <c r="H117">
        <f>IF(AND(gamma!G35=1, VLOOKUP($A117,'40Trips'!$A$43:$I$46, 3,FALSE)=VLOOKUP(H$1,'40Trips'!$A$3:$I$42,3,FALSE)),1,0)</f>
        <v>0</v>
      </c>
      <c r="I117">
        <f>IF(AND(gamma!H35=1, VLOOKUP($A117,'40Trips'!$A$43:$I$46, 3,FALSE)=VLOOKUP(I$1,'40Trips'!$A$3:$I$42,3,FALSE)),1,0)</f>
        <v>0</v>
      </c>
      <c r="J117">
        <f>IF(AND(gamma!I35=1, VLOOKUP($A117,'40Trips'!$A$43:$I$46, 3,FALSE)=VLOOKUP(J$1,'40Trips'!$A$3:$I$42,3,FALSE)),1,0)</f>
        <v>0</v>
      </c>
      <c r="K117">
        <f>IF(AND(gamma!J35=1, VLOOKUP($A117,'40Trips'!$A$43:$I$46, 3,FALSE)=VLOOKUP(K$1,'40Trips'!$A$3:$I$42,3,FALSE)),1,0)</f>
        <v>0</v>
      </c>
      <c r="L117">
        <f>IF(AND(gamma!K35=1, VLOOKUP($A117,'40Trips'!$A$43:$I$46, 3,FALSE)=VLOOKUP(L$1,'40Trips'!$A$3:$I$42,3,FALSE)),1,0)</f>
        <v>0</v>
      </c>
      <c r="M117">
        <f>IF(AND(gamma!L35=1, VLOOKUP($A117,'40Trips'!$A$43:$I$46, 3,FALSE)=VLOOKUP(M$1,'40Trips'!$A$3:$I$42,3,FALSE)),1,0)</f>
        <v>0</v>
      </c>
      <c r="N117">
        <f>IF(AND(gamma!M35=1, VLOOKUP($A117,'40Trips'!$A$43:$I$46, 3,FALSE)=VLOOKUP(N$1,'40Trips'!$A$3:$I$42,3,FALSE)),1,0)</f>
        <v>0</v>
      </c>
      <c r="O117">
        <f>IF(AND(gamma!N35=1, VLOOKUP($A117,'40Trips'!$A$43:$I$46, 3,FALSE)=VLOOKUP(O$1,'40Trips'!$A$3:$I$42,3,FALSE)),1,0)</f>
        <v>0</v>
      </c>
      <c r="P117">
        <f>IF(AND(gamma!O35=1, VLOOKUP($A117,'40Trips'!$A$43:$I$46, 3,FALSE)=VLOOKUP(P$1,'40Trips'!$A$3:$I$42,3,FALSE)),1,0)</f>
        <v>0</v>
      </c>
      <c r="Q117">
        <f>IF(AND(gamma!P35=1, VLOOKUP($A117,'40Trips'!$A$43:$I$46, 3,FALSE)=VLOOKUP(Q$1,'40Trips'!$A$3:$I$42,3,FALSE)),1,0)</f>
        <v>0</v>
      </c>
      <c r="R117">
        <f>IF(AND(gamma!Q35=1, VLOOKUP($A117,'40Trips'!$A$43:$I$46, 3,FALSE)=VLOOKUP(R$1,'40Trips'!$A$3:$I$42,3,FALSE)),1,0)</f>
        <v>0</v>
      </c>
      <c r="S117">
        <f>IF(AND(gamma!R35=1, VLOOKUP($A117,'40Trips'!$A$43:$I$46, 3,FALSE)=VLOOKUP(S$1,'40Trips'!$A$3:$I$42,3,FALSE)),1,0)</f>
        <v>1</v>
      </c>
      <c r="T117">
        <f>IF(AND(gamma!S35=1, VLOOKUP($A117,'40Trips'!$A$43:$I$46, 3,FALSE)=VLOOKUP(T$1,'40Trips'!$A$3:$I$42,3,FALSE)),1,0)</f>
        <v>0</v>
      </c>
      <c r="U117">
        <f>IF(AND(gamma!T35=1, VLOOKUP($A117,'40Trips'!$A$43:$I$46, 3,FALSE)=VLOOKUP(U$1,'40Trips'!$A$3:$I$42,3,FALSE)),1,0)</f>
        <v>0</v>
      </c>
      <c r="V117">
        <f>IF(AND(gamma!U35=1, VLOOKUP($A117,'40Trips'!$A$43:$I$46, 3,FALSE)=VLOOKUP(V$1,'40Trips'!$A$3:$I$42,3,FALSE)),1,0)</f>
        <v>0</v>
      </c>
      <c r="W117">
        <f>IF(AND(gamma!V35=1, VLOOKUP($A117,'40Trips'!$A$43:$I$46, 3,FALSE)=VLOOKUP(W$1,'40Trips'!$A$3:$I$42,3,FALSE)),1,0)</f>
        <v>1</v>
      </c>
      <c r="X117">
        <f>IF(AND(gamma!W35=1, VLOOKUP($A117,'40Trips'!$A$43:$I$46, 3,FALSE)=VLOOKUP(X$1,'40Trips'!$A$3:$I$42,3,FALSE)),1,0)</f>
        <v>0</v>
      </c>
      <c r="Y117">
        <f>IF(AND(gamma!X35=1, VLOOKUP($A117,'40Trips'!$A$43:$I$46, 3,FALSE)=VLOOKUP(Y$1,'40Trips'!$A$3:$I$42,3,FALSE)),1,0)</f>
        <v>0</v>
      </c>
      <c r="Z117">
        <f>IF(AND(gamma!Y35=1, VLOOKUP($A117,'40Trips'!$A$43:$I$46, 3,FALSE)=VLOOKUP(Z$1,'40Trips'!$A$3:$I$42,3,FALSE)),1,0)</f>
        <v>0</v>
      </c>
      <c r="AA117">
        <f>IF(AND(gamma!Z35=1, VLOOKUP($A117,'40Trips'!$A$43:$I$46, 3,FALSE)=VLOOKUP(AA$1,'40Trips'!$A$3:$I$42,3,FALSE)),1,0)</f>
        <v>0</v>
      </c>
      <c r="AB117">
        <f>IF(AND(gamma!AA35=1, VLOOKUP($A117,'40Trips'!$A$43:$I$46, 3,FALSE)=VLOOKUP(AB$1,'40Trips'!$A$3:$I$42,3,FALSE)),1,0)</f>
        <v>0</v>
      </c>
      <c r="AC117">
        <f>IF(AND(gamma!AB35=1, VLOOKUP($A117,'40Trips'!$A$43:$I$46, 3,FALSE)=VLOOKUP(AC$1,'40Trips'!$A$3:$I$42,3,FALSE)),1,0)</f>
        <v>0</v>
      </c>
      <c r="AD117">
        <f>IF(AND(gamma!AC35=1, VLOOKUP($A117,'40Trips'!$A$43:$I$46, 3,FALSE)=VLOOKUP(AD$1,'40Trips'!$A$3:$I$42,3,FALSE)),1,0)</f>
        <v>0</v>
      </c>
      <c r="AE117">
        <f>IF(AND(gamma!AD35=1, VLOOKUP($A117,'40Trips'!$A$43:$I$46, 3,FALSE)=VLOOKUP(AE$1,'40Trips'!$A$3:$I$42,3,FALSE)),1,0)</f>
        <v>0</v>
      </c>
      <c r="AF117">
        <f>IF(AND(gamma!AE35=1, VLOOKUP($A117,'40Trips'!$A$43:$I$46, 3,FALSE)=VLOOKUP(AF$1,'40Trips'!$A$3:$I$42,3,FALSE)),1,0)</f>
        <v>0</v>
      </c>
      <c r="AG117">
        <f>IF(AND(gamma!AF35=1, VLOOKUP($A117,'40Trips'!$A$43:$I$46, 3,FALSE)=VLOOKUP(AG$1,'40Trips'!$A$3:$I$42,3,FALSE)),1,0)</f>
        <v>0</v>
      </c>
      <c r="AH117">
        <f>IF(AND(gamma!AG35=1, VLOOKUP($A117,'40Trips'!$A$43:$I$46, 3,FALSE)=VLOOKUP(AH$1,'40Trips'!$A$3:$I$42,3,FALSE)),1,0)</f>
        <v>0</v>
      </c>
      <c r="AI117">
        <f>IF(AND(gamma!AH35=1, VLOOKUP($A117,'40Trips'!$A$43:$I$46, 3,FALSE)=VLOOKUP(AI$1,'40Trips'!$A$3:$I$42,3,FALSE)),1,0)</f>
        <v>0</v>
      </c>
      <c r="AJ117">
        <f>IF(AND(gamma!AI35=1, VLOOKUP($A117,'40Trips'!$A$43:$I$46, 3,FALSE)=VLOOKUP(AJ$1,'40Trips'!$A$3:$I$42,3,FALSE)),1,0)</f>
        <v>0</v>
      </c>
      <c r="AK117">
        <f>IF(AND(gamma!AJ35=1, VLOOKUP($A117,'40Trips'!$A$43:$I$46, 3,FALSE)=VLOOKUP(AK$1,'40Trips'!$A$3:$I$42,3,FALSE)),1,0)</f>
        <v>0</v>
      </c>
      <c r="AL117">
        <f>IF(AND(gamma!AK35=1, VLOOKUP($A117,'40Trips'!$A$43:$I$46, 3,FALSE)=VLOOKUP(AL$1,'40Trips'!$A$3:$I$42,3,FALSE)),1,0)</f>
        <v>0</v>
      </c>
      <c r="AM117">
        <f>IF(AND(gamma!AL35=1, VLOOKUP($A117,'40Trips'!$A$43:$I$46, 3,FALSE)=VLOOKUP(AM$1,'40Trips'!$A$3:$I$42,3,FALSE)),1,0)</f>
        <v>0</v>
      </c>
      <c r="AN117">
        <f>IF(AND(gamma!AM35=1, VLOOKUP($A117,'40Trips'!$A$43:$I$46, 3,FALSE)=VLOOKUP(AN$1,'40Trips'!$A$3:$I$42,3,FALSE)),1,0)</f>
        <v>0</v>
      </c>
      <c r="AO117">
        <f>IF(AND(gamma!AN35=1, VLOOKUP($A117,'40Trips'!$A$43:$I$46, 3,FALSE)=VLOOKUP(AO$1,'40Trips'!$A$3:$I$42,3,FALSE)),1,0)</f>
        <v>0</v>
      </c>
      <c r="AP117">
        <f>IF(AND(gamma!AO35=1, VLOOKUP($A117,'40Trips'!$A$43:$I$46, 3,FALSE)=VLOOKUP(AP$1,'40Trips'!$A$3:$I$42,3,FALSE)),1,0)</f>
        <v>0</v>
      </c>
      <c r="AQ117">
        <f>IF(AND(gamma!AP35=1, VLOOKUP($A117,'40Trips'!$A$43:$I$46, 3,FALSE)=VLOOKUP(AQ$1,'40Trips'!$A$3:$I$42,3,FALSE)),1,0)</f>
        <v>0</v>
      </c>
    </row>
    <row r="118" spans="1:43" x14ac:dyDescent="0.25">
      <c r="A118" t="s">
        <v>67</v>
      </c>
      <c r="B118" t="s">
        <v>86</v>
      </c>
      <c r="C118">
        <v>0</v>
      </c>
      <c r="D118">
        <f>IF(AND(gamma!C36=1, VLOOKUP($A118,'40Trips'!$A$43:$I$46, 3,FALSE)=VLOOKUP(D$1,'40Trips'!$A$3:$I$42,3,FALSE)),1,0)</f>
        <v>0</v>
      </c>
      <c r="E118">
        <f>IF(AND(gamma!D36=1, VLOOKUP($A118,'40Trips'!$A$43:$I$46, 3,FALSE)=VLOOKUP(E$1,'40Trips'!$A$3:$I$42,3,FALSE)),1,0)</f>
        <v>0</v>
      </c>
      <c r="F118">
        <f>IF(AND(gamma!E36=1, VLOOKUP($A118,'40Trips'!$A$43:$I$46, 3,FALSE)=VLOOKUP(F$1,'40Trips'!$A$3:$I$42,3,FALSE)),1,0)</f>
        <v>0</v>
      </c>
      <c r="G118">
        <f>IF(AND(gamma!F36=1, VLOOKUP($A118,'40Trips'!$A$43:$I$46, 3,FALSE)=VLOOKUP(G$1,'40Trips'!$A$3:$I$42,3,FALSE)),1,0)</f>
        <v>0</v>
      </c>
      <c r="H118">
        <f>IF(AND(gamma!G36=1, VLOOKUP($A118,'40Trips'!$A$43:$I$46, 3,FALSE)=VLOOKUP(H$1,'40Trips'!$A$3:$I$42,3,FALSE)),1,0)</f>
        <v>0</v>
      </c>
      <c r="I118">
        <f>IF(AND(gamma!H36=1, VLOOKUP($A118,'40Trips'!$A$43:$I$46, 3,FALSE)=VLOOKUP(I$1,'40Trips'!$A$3:$I$42,3,FALSE)),1,0)</f>
        <v>0</v>
      </c>
      <c r="J118">
        <f>IF(AND(gamma!I36=1, VLOOKUP($A118,'40Trips'!$A$43:$I$46, 3,FALSE)=VLOOKUP(J$1,'40Trips'!$A$3:$I$42,3,FALSE)),1,0)</f>
        <v>0</v>
      </c>
      <c r="K118">
        <f>IF(AND(gamma!J36=1, VLOOKUP($A118,'40Trips'!$A$43:$I$46, 3,FALSE)=VLOOKUP(K$1,'40Trips'!$A$3:$I$42,3,FALSE)),1,0)</f>
        <v>0</v>
      </c>
      <c r="L118">
        <f>IF(AND(gamma!K36=1, VLOOKUP($A118,'40Trips'!$A$43:$I$46, 3,FALSE)=VLOOKUP(L$1,'40Trips'!$A$3:$I$42,3,FALSE)),1,0)</f>
        <v>0</v>
      </c>
      <c r="M118">
        <f>IF(AND(gamma!L36=1, VLOOKUP($A118,'40Trips'!$A$43:$I$46, 3,FALSE)=VLOOKUP(M$1,'40Trips'!$A$3:$I$42,3,FALSE)),1,0)</f>
        <v>0</v>
      </c>
      <c r="N118">
        <f>IF(AND(gamma!M36=1, VLOOKUP($A118,'40Trips'!$A$43:$I$46, 3,FALSE)=VLOOKUP(N$1,'40Trips'!$A$3:$I$42,3,FALSE)),1,0)</f>
        <v>0</v>
      </c>
      <c r="O118">
        <f>IF(AND(gamma!N36=1, VLOOKUP($A118,'40Trips'!$A$43:$I$46, 3,FALSE)=VLOOKUP(O$1,'40Trips'!$A$3:$I$42,3,FALSE)),1,0)</f>
        <v>0</v>
      </c>
      <c r="P118">
        <f>IF(AND(gamma!O36=1, VLOOKUP($A118,'40Trips'!$A$43:$I$46, 3,FALSE)=VLOOKUP(P$1,'40Trips'!$A$3:$I$42,3,FALSE)),1,0)</f>
        <v>0</v>
      </c>
      <c r="Q118">
        <f>IF(AND(gamma!P36=1, VLOOKUP($A118,'40Trips'!$A$43:$I$46, 3,FALSE)=VLOOKUP(Q$1,'40Trips'!$A$3:$I$42,3,FALSE)),1,0)</f>
        <v>0</v>
      </c>
      <c r="R118">
        <f>IF(AND(gamma!Q36=1, VLOOKUP($A118,'40Trips'!$A$43:$I$46, 3,FALSE)=VLOOKUP(R$1,'40Trips'!$A$3:$I$42,3,FALSE)),1,0)</f>
        <v>0</v>
      </c>
      <c r="S118">
        <f>IF(AND(gamma!R36=1, VLOOKUP($A118,'40Trips'!$A$43:$I$46, 3,FALSE)=VLOOKUP(S$1,'40Trips'!$A$3:$I$42,3,FALSE)),1,0)</f>
        <v>1</v>
      </c>
      <c r="T118">
        <f>IF(AND(gamma!S36=1, VLOOKUP($A118,'40Trips'!$A$43:$I$46, 3,FALSE)=VLOOKUP(T$1,'40Trips'!$A$3:$I$42,3,FALSE)),1,0)</f>
        <v>0</v>
      </c>
      <c r="U118">
        <f>IF(AND(gamma!T36=1, VLOOKUP($A118,'40Trips'!$A$43:$I$46, 3,FALSE)=VLOOKUP(U$1,'40Trips'!$A$3:$I$42,3,FALSE)),1,0)</f>
        <v>0</v>
      </c>
      <c r="V118">
        <f>IF(AND(gamma!U36=1, VLOOKUP($A118,'40Trips'!$A$43:$I$46, 3,FALSE)=VLOOKUP(V$1,'40Trips'!$A$3:$I$42,3,FALSE)),1,0)</f>
        <v>0</v>
      </c>
      <c r="W118">
        <f>IF(AND(gamma!V36=1, VLOOKUP($A118,'40Trips'!$A$43:$I$46, 3,FALSE)=VLOOKUP(W$1,'40Trips'!$A$3:$I$42,3,FALSE)),1,0)</f>
        <v>1</v>
      </c>
      <c r="X118">
        <f>IF(AND(gamma!W36=1, VLOOKUP($A118,'40Trips'!$A$43:$I$46, 3,FALSE)=VLOOKUP(X$1,'40Trips'!$A$3:$I$42,3,FALSE)),1,0)</f>
        <v>0</v>
      </c>
      <c r="Y118">
        <f>IF(AND(gamma!X36=1, VLOOKUP($A118,'40Trips'!$A$43:$I$46, 3,FALSE)=VLOOKUP(Y$1,'40Trips'!$A$3:$I$42,3,FALSE)),1,0)</f>
        <v>0</v>
      </c>
      <c r="Z118">
        <f>IF(AND(gamma!Y36=1, VLOOKUP($A118,'40Trips'!$A$43:$I$46, 3,FALSE)=VLOOKUP(Z$1,'40Trips'!$A$3:$I$42,3,FALSE)),1,0)</f>
        <v>0</v>
      </c>
      <c r="AA118">
        <f>IF(AND(gamma!Z36=1, VLOOKUP($A118,'40Trips'!$A$43:$I$46, 3,FALSE)=VLOOKUP(AA$1,'40Trips'!$A$3:$I$42,3,FALSE)),1,0)</f>
        <v>0</v>
      </c>
      <c r="AB118">
        <f>IF(AND(gamma!AA36=1, VLOOKUP($A118,'40Trips'!$A$43:$I$46, 3,FALSE)=VLOOKUP(AB$1,'40Trips'!$A$3:$I$42,3,FALSE)),1,0)</f>
        <v>0</v>
      </c>
      <c r="AC118">
        <f>IF(AND(gamma!AB36=1, VLOOKUP($A118,'40Trips'!$A$43:$I$46, 3,FALSE)=VLOOKUP(AC$1,'40Trips'!$A$3:$I$42,3,FALSE)),1,0)</f>
        <v>0</v>
      </c>
      <c r="AD118">
        <f>IF(AND(gamma!AC36=1, VLOOKUP($A118,'40Trips'!$A$43:$I$46, 3,FALSE)=VLOOKUP(AD$1,'40Trips'!$A$3:$I$42,3,FALSE)),1,0)</f>
        <v>0</v>
      </c>
      <c r="AE118">
        <f>IF(AND(gamma!AD36=1, VLOOKUP($A118,'40Trips'!$A$43:$I$46, 3,FALSE)=VLOOKUP(AE$1,'40Trips'!$A$3:$I$42,3,FALSE)),1,0)</f>
        <v>0</v>
      </c>
      <c r="AF118">
        <f>IF(AND(gamma!AE36=1, VLOOKUP($A118,'40Trips'!$A$43:$I$46, 3,FALSE)=VLOOKUP(AF$1,'40Trips'!$A$3:$I$42,3,FALSE)),1,0)</f>
        <v>0</v>
      </c>
      <c r="AG118">
        <f>IF(AND(gamma!AF36=1, VLOOKUP($A118,'40Trips'!$A$43:$I$46, 3,FALSE)=VLOOKUP(AG$1,'40Trips'!$A$3:$I$42,3,FALSE)),1,0)</f>
        <v>0</v>
      </c>
      <c r="AH118">
        <f>IF(AND(gamma!AG36=1, VLOOKUP($A118,'40Trips'!$A$43:$I$46, 3,FALSE)=VLOOKUP(AH$1,'40Trips'!$A$3:$I$42,3,FALSE)),1,0)</f>
        <v>0</v>
      </c>
      <c r="AI118">
        <f>IF(AND(gamma!AH36=1, VLOOKUP($A118,'40Trips'!$A$43:$I$46, 3,FALSE)=VLOOKUP(AI$1,'40Trips'!$A$3:$I$42,3,FALSE)),1,0)</f>
        <v>0</v>
      </c>
      <c r="AJ118">
        <f>IF(AND(gamma!AI36=1, VLOOKUP($A118,'40Trips'!$A$43:$I$46, 3,FALSE)=VLOOKUP(AJ$1,'40Trips'!$A$3:$I$42,3,FALSE)),1,0)</f>
        <v>0</v>
      </c>
      <c r="AK118">
        <f>IF(AND(gamma!AJ36=1, VLOOKUP($A118,'40Trips'!$A$43:$I$46, 3,FALSE)=VLOOKUP(AK$1,'40Trips'!$A$3:$I$42,3,FALSE)),1,0)</f>
        <v>0</v>
      </c>
      <c r="AL118">
        <f>IF(AND(gamma!AK36=1, VLOOKUP($A118,'40Trips'!$A$43:$I$46, 3,FALSE)=VLOOKUP(AL$1,'40Trips'!$A$3:$I$42,3,FALSE)),1,0)</f>
        <v>0</v>
      </c>
      <c r="AM118">
        <f>IF(AND(gamma!AL36=1, VLOOKUP($A118,'40Trips'!$A$43:$I$46, 3,FALSE)=VLOOKUP(AM$1,'40Trips'!$A$3:$I$42,3,FALSE)),1,0)</f>
        <v>0</v>
      </c>
      <c r="AN118">
        <f>IF(AND(gamma!AM36=1, VLOOKUP($A118,'40Trips'!$A$43:$I$46, 3,FALSE)=VLOOKUP(AN$1,'40Trips'!$A$3:$I$42,3,FALSE)),1,0)</f>
        <v>0</v>
      </c>
      <c r="AO118">
        <f>IF(AND(gamma!AN36=1, VLOOKUP($A118,'40Trips'!$A$43:$I$46, 3,FALSE)=VLOOKUP(AO$1,'40Trips'!$A$3:$I$42,3,FALSE)),1,0)</f>
        <v>0</v>
      </c>
      <c r="AP118">
        <f>IF(AND(gamma!AO36=1, VLOOKUP($A118,'40Trips'!$A$43:$I$46, 3,FALSE)=VLOOKUP(AP$1,'40Trips'!$A$3:$I$42,3,FALSE)),1,0)</f>
        <v>0</v>
      </c>
      <c r="AQ118">
        <f>IF(AND(gamma!AP36=1, VLOOKUP($A118,'40Trips'!$A$43:$I$46, 3,FALSE)=VLOOKUP(AQ$1,'40Trips'!$A$3:$I$42,3,FALSE)),1,0)</f>
        <v>0</v>
      </c>
    </row>
    <row r="119" spans="1:43" x14ac:dyDescent="0.25">
      <c r="A119" t="s">
        <v>67</v>
      </c>
      <c r="B119" t="s">
        <v>87</v>
      </c>
      <c r="C119">
        <v>0</v>
      </c>
      <c r="D119">
        <f>IF(AND(gamma!C37=1, VLOOKUP($A119,'40Trips'!$A$43:$I$46, 3,FALSE)=VLOOKUP(D$1,'40Trips'!$A$3:$I$42,3,FALSE)),1,0)</f>
        <v>0</v>
      </c>
      <c r="E119">
        <f>IF(AND(gamma!D37=1, VLOOKUP($A119,'40Trips'!$A$43:$I$46, 3,FALSE)=VLOOKUP(E$1,'40Trips'!$A$3:$I$42,3,FALSE)),1,0)</f>
        <v>0</v>
      </c>
      <c r="F119">
        <f>IF(AND(gamma!E37=1, VLOOKUP($A119,'40Trips'!$A$43:$I$46, 3,FALSE)=VLOOKUP(F$1,'40Trips'!$A$3:$I$42,3,FALSE)),1,0)</f>
        <v>0</v>
      </c>
      <c r="G119">
        <f>IF(AND(gamma!F37=1, VLOOKUP($A119,'40Trips'!$A$43:$I$46, 3,FALSE)=VLOOKUP(G$1,'40Trips'!$A$3:$I$42,3,FALSE)),1,0)</f>
        <v>0</v>
      </c>
      <c r="H119">
        <f>IF(AND(gamma!G37=1, VLOOKUP($A119,'40Trips'!$A$43:$I$46, 3,FALSE)=VLOOKUP(H$1,'40Trips'!$A$3:$I$42,3,FALSE)),1,0)</f>
        <v>0</v>
      </c>
      <c r="I119">
        <f>IF(AND(gamma!H37=1, VLOOKUP($A119,'40Trips'!$A$43:$I$46, 3,FALSE)=VLOOKUP(I$1,'40Trips'!$A$3:$I$42,3,FALSE)),1,0)</f>
        <v>0</v>
      </c>
      <c r="J119">
        <f>IF(AND(gamma!I37=1, VLOOKUP($A119,'40Trips'!$A$43:$I$46, 3,FALSE)=VLOOKUP(J$1,'40Trips'!$A$3:$I$42,3,FALSE)),1,0)</f>
        <v>0</v>
      </c>
      <c r="K119">
        <f>IF(AND(gamma!J37=1, VLOOKUP($A119,'40Trips'!$A$43:$I$46, 3,FALSE)=VLOOKUP(K$1,'40Trips'!$A$3:$I$42,3,FALSE)),1,0)</f>
        <v>0</v>
      </c>
      <c r="L119">
        <f>IF(AND(gamma!K37=1, VLOOKUP($A119,'40Trips'!$A$43:$I$46, 3,FALSE)=VLOOKUP(L$1,'40Trips'!$A$3:$I$42,3,FALSE)),1,0)</f>
        <v>0</v>
      </c>
      <c r="M119">
        <f>IF(AND(gamma!L37=1, VLOOKUP($A119,'40Trips'!$A$43:$I$46, 3,FALSE)=VLOOKUP(M$1,'40Trips'!$A$3:$I$42,3,FALSE)),1,0)</f>
        <v>0</v>
      </c>
      <c r="N119">
        <f>IF(AND(gamma!M37=1, VLOOKUP($A119,'40Trips'!$A$43:$I$46, 3,FALSE)=VLOOKUP(N$1,'40Trips'!$A$3:$I$42,3,FALSE)),1,0)</f>
        <v>0</v>
      </c>
      <c r="O119">
        <f>IF(AND(gamma!N37=1, VLOOKUP($A119,'40Trips'!$A$43:$I$46, 3,FALSE)=VLOOKUP(O$1,'40Trips'!$A$3:$I$42,3,FALSE)),1,0)</f>
        <v>0</v>
      </c>
      <c r="P119">
        <f>IF(AND(gamma!O37=1, VLOOKUP($A119,'40Trips'!$A$43:$I$46, 3,FALSE)=VLOOKUP(P$1,'40Trips'!$A$3:$I$42,3,FALSE)),1,0)</f>
        <v>0</v>
      </c>
      <c r="Q119">
        <f>IF(AND(gamma!P37=1, VLOOKUP($A119,'40Trips'!$A$43:$I$46, 3,FALSE)=VLOOKUP(Q$1,'40Trips'!$A$3:$I$42,3,FALSE)),1,0)</f>
        <v>0</v>
      </c>
      <c r="R119">
        <f>IF(AND(gamma!Q37=1, VLOOKUP($A119,'40Trips'!$A$43:$I$46, 3,FALSE)=VLOOKUP(R$1,'40Trips'!$A$3:$I$42,3,FALSE)),1,0)</f>
        <v>0</v>
      </c>
      <c r="S119">
        <f>IF(AND(gamma!R37=1, VLOOKUP($A119,'40Trips'!$A$43:$I$46, 3,FALSE)=VLOOKUP(S$1,'40Trips'!$A$3:$I$42,3,FALSE)),1,0)</f>
        <v>0</v>
      </c>
      <c r="T119">
        <f>IF(AND(gamma!S37=1, VLOOKUP($A119,'40Trips'!$A$43:$I$46, 3,FALSE)=VLOOKUP(T$1,'40Trips'!$A$3:$I$42,3,FALSE)),1,0)</f>
        <v>0</v>
      </c>
      <c r="U119">
        <f>IF(AND(gamma!T37=1, VLOOKUP($A119,'40Trips'!$A$43:$I$46, 3,FALSE)=VLOOKUP(U$1,'40Trips'!$A$3:$I$42,3,FALSE)),1,0)</f>
        <v>0</v>
      </c>
      <c r="V119">
        <f>IF(AND(gamma!U37=1, VLOOKUP($A119,'40Trips'!$A$43:$I$46, 3,FALSE)=VLOOKUP(V$1,'40Trips'!$A$3:$I$42,3,FALSE)),1,0)</f>
        <v>0</v>
      </c>
      <c r="W119">
        <f>IF(AND(gamma!V37=1, VLOOKUP($A119,'40Trips'!$A$43:$I$46, 3,FALSE)=VLOOKUP(W$1,'40Trips'!$A$3:$I$42,3,FALSE)),1,0)</f>
        <v>0</v>
      </c>
      <c r="X119">
        <f>IF(AND(gamma!W37=1, VLOOKUP($A119,'40Trips'!$A$43:$I$46, 3,FALSE)=VLOOKUP(X$1,'40Trips'!$A$3:$I$42,3,FALSE)),1,0)</f>
        <v>0</v>
      </c>
      <c r="Y119">
        <f>IF(AND(gamma!X37=1, VLOOKUP($A119,'40Trips'!$A$43:$I$46, 3,FALSE)=VLOOKUP(Y$1,'40Trips'!$A$3:$I$42,3,FALSE)),1,0)</f>
        <v>0</v>
      </c>
      <c r="Z119">
        <f>IF(AND(gamma!Y37=1, VLOOKUP($A119,'40Trips'!$A$43:$I$46, 3,FALSE)=VLOOKUP(Z$1,'40Trips'!$A$3:$I$42,3,FALSE)),1,0)</f>
        <v>0</v>
      </c>
      <c r="AA119">
        <f>IF(AND(gamma!Z37=1, VLOOKUP($A119,'40Trips'!$A$43:$I$46, 3,FALSE)=VLOOKUP(AA$1,'40Trips'!$A$3:$I$42,3,FALSE)),1,0)</f>
        <v>0</v>
      </c>
      <c r="AB119">
        <f>IF(AND(gamma!AA37=1, VLOOKUP($A119,'40Trips'!$A$43:$I$46, 3,FALSE)=VLOOKUP(AB$1,'40Trips'!$A$3:$I$42,3,FALSE)),1,0)</f>
        <v>0</v>
      </c>
      <c r="AC119">
        <f>IF(AND(gamma!AB37=1, VLOOKUP($A119,'40Trips'!$A$43:$I$46, 3,FALSE)=VLOOKUP(AC$1,'40Trips'!$A$3:$I$42,3,FALSE)),1,0)</f>
        <v>0</v>
      </c>
      <c r="AD119">
        <f>IF(AND(gamma!AC37=1, VLOOKUP($A119,'40Trips'!$A$43:$I$46, 3,FALSE)=VLOOKUP(AD$1,'40Trips'!$A$3:$I$42,3,FALSE)),1,0)</f>
        <v>0</v>
      </c>
      <c r="AE119">
        <f>IF(AND(gamma!AD37=1, VLOOKUP($A119,'40Trips'!$A$43:$I$46, 3,FALSE)=VLOOKUP(AE$1,'40Trips'!$A$3:$I$42,3,FALSE)),1,0)</f>
        <v>0</v>
      </c>
      <c r="AF119">
        <f>IF(AND(gamma!AE37=1, VLOOKUP($A119,'40Trips'!$A$43:$I$46, 3,FALSE)=VLOOKUP(AF$1,'40Trips'!$A$3:$I$42,3,FALSE)),1,0)</f>
        <v>0</v>
      </c>
      <c r="AG119">
        <f>IF(AND(gamma!AF37=1, VLOOKUP($A119,'40Trips'!$A$43:$I$46, 3,FALSE)=VLOOKUP(AG$1,'40Trips'!$A$3:$I$42,3,FALSE)),1,0)</f>
        <v>0</v>
      </c>
      <c r="AH119">
        <f>IF(AND(gamma!AG37=1, VLOOKUP($A119,'40Trips'!$A$43:$I$46, 3,FALSE)=VLOOKUP(AH$1,'40Trips'!$A$3:$I$42,3,FALSE)),1,0)</f>
        <v>0</v>
      </c>
      <c r="AI119">
        <f>IF(AND(gamma!AH37=1, VLOOKUP($A119,'40Trips'!$A$43:$I$46, 3,FALSE)=VLOOKUP(AI$1,'40Trips'!$A$3:$I$42,3,FALSE)),1,0)</f>
        <v>0</v>
      </c>
      <c r="AJ119">
        <f>IF(AND(gamma!AI37=1, VLOOKUP($A119,'40Trips'!$A$43:$I$46, 3,FALSE)=VLOOKUP(AJ$1,'40Trips'!$A$3:$I$42,3,FALSE)),1,0)</f>
        <v>0</v>
      </c>
      <c r="AK119">
        <f>IF(AND(gamma!AJ37=1, VLOOKUP($A119,'40Trips'!$A$43:$I$46, 3,FALSE)=VLOOKUP(AK$1,'40Trips'!$A$3:$I$42,3,FALSE)),1,0)</f>
        <v>0</v>
      </c>
      <c r="AL119">
        <f>IF(AND(gamma!AK37=1, VLOOKUP($A119,'40Trips'!$A$43:$I$46, 3,FALSE)=VLOOKUP(AL$1,'40Trips'!$A$3:$I$42,3,FALSE)),1,0)</f>
        <v>0</v>
      </c>
      <c r="AM119">
        <f>IF(AND(gamma!AL37=1, VLOOKUP($A119,'40Trips'!$A$43:$I$46, 3,FALSE)=VLOOKUP(AM$1,'40Trips'!$A$3:$I$42,3,FALSE)),1,0)</f>
        <v>0</v>
      </c>
      <c r="AN119">
        <f>IF(AND(gamma!AM37=1, VLOOKUP($A119,'40Trips'!$A$43:$I$46, 3,FALSE)=VLOOKUP(AN$1,'40Trips'!$A$3:$I$42,3,FALSE)),1,0)</f>
        <v>0</v>
      </c>
      <c r="AO119">
        <f>IF(AND(gamma!AN37=1, VLOOKUP($A119,'40Trips'!$A$43:$I$46, 3,FALSE)=VLOOKUP(AO$1,'40Trips'!$A$3:$I$42,3,FALSE)),1,0)</f>
        <v>0</v>
      </c>
      <c r="AP119">
        <f>IF(AND(gamma!AO37=1, VLOOKUP($A119,'40Trips'!$A$43:$I$46, 3,FALSE)=VLOOKUP(AP$1,'40Trips'!$A$3:$I$42,3,FALSE)),1,0)</f>
        <v>0</v>
      </c>
      <c r="AQ119">
        <f>IF(AND(gamma!AP37=1, VLOOKUP($A119,'40Trips'!$A$43:$I$46, 3,FALSE)=VLOOKUP(AQ$1,'40Trips'!$A$3:$I$42,3,FALSE)),1,0)</f>
        <v>0</v>
      </c>
    </row>
    <row r="120" spans="1:43" x14ac:dyDescent="0.25">
      <c r="A120" t="s">
        <v>67</v>
      </c>
      <c r="B120" t="s">
        <v>88</v>
      </c>
      <c r="C120">
        <v>0</v>
      </c>
      <c r="D120">
        <f>IF(AND(gamma!C38=1, VLOOKUP($A120,'40Trips'!$A$43:$I$46, 3,FALSE)=VLOOKUP(D$1,'40Trips'!$A$3:$I$42,3,FALSE)),1,0)</f>
        <v>0</v>
      </c>
      <c r="E120">
        <f>IF(AND(gamma!D38=1, VLOOKUP($A120,'40Trips'!$A$43:$I$46, 3,FALSE)=VLOOKUP(E$1,'40Trips'!$A$3:$I$42,3,FALSE)),1,0)</f>
        <v>0</v>
      </c>
      <c r="F120">
        <f>IF(AND(gamma!E38=1, VLOOKUP($A120,'40Trips'!$A$43:$I$46, 3,FALSE)=VLOOKUP(F$1,'40Trips'!$A$3:$I$42,3,FALSE)),1,0)</f>
        <v>0</v>
      </c>
      <c r="G120">
        <f>IF(AND(gamma!F38=1, VLOOKUP($A120,'40Trips'!$A$43:$I$46, 3,FALSE)=VLOOKUP(G$1,'40Trips'!$A$3:$I$42,3,FALSE)),1,0)</f>
        <v>0</v>
      </c>
      <c r="H120">
        <f>IF(AND(gamma!G38=1, VLOOKUP($A120,'40Trips'!$A$43:$I$46, 3,FALSE)=VLOOKUP(H$1,'40Trips'!$A$3:$I$42,3,FALSE)),1,0)</f>
        <v>0</v>
      </c>
      <c r="I120">
        <f>IF(AND(gamma!H38=1, VLOOKUP($A120,'40Trips'!$A$43:$I$46, 3,FALSE)=VLOOKUP(I$1,'40Trips'!$A$3:$I$42,3,FALSE)),1,0)</f>
        <v>0</v>
      </c>
      <c r="J120">
        <f>IF(AND(gamma!I38=1, VLOOKUP($A120,'40Trips'!$A$43:$I$46, 3,FALSE)=VLOOKUP(J$1,'40Trips'!$A$3:$I$42,3,FALSE)),1,0)</f>
        <v>0</v>
      </c>
      <c r="K120">
        <f>IF(AND(gamma!J38=1, VLOOKUP($A120,'40Trips'!$A$43:$I$46, 3,FALSE)=VLOOKUP(K$1,'40Trips'!$A$3:$I$42,3,FALSE)),1,0)</f>
        <v>0</v>
      </c>
      <c r="L120">
        <f>IF(AND(gamma!K38=1, VLOOKUP($A120,'40Trips'!$A$43:$I$46, 3,FALSE)=VLOOKUP(L$1,'40Trips'!$A$3:$I$42,3,FALSE)),1,0)</f>
        <v>0</v>
      </c>
      <c r="M120">
        <f>IF(AND(gamma!L38=1, VLOOKUP($A120,'40Trips'!$A$43:$I$46, 3,FALSE)=VLOOKUP(M$1,'40Trips'!$A$3:$I$42,3,FALSE)),1,0)</f>
        <v>0</v>
      </c>
      <c r="N120">
        <f>IF(AND(gamma!M38=1, VLOOKUP($A120,'40Trips'!$A$43:$I$46, 3,FALSE)=VLOOKUP(N$1,'40Trips'!$A$3:$I$42,3,FALSE)),1,0)</f>
        <v>0</v>
      </c>
      <c r="O120">
        <f>IF(AND(gamma!N38=1, VLOOKUP($A120,'40Trips'!$A$43:$I$46, 3,FALSE)=VLOOKUP(O$1,'40Trips'!$A$3:$I$42,3,FALSE)),1,0)</f>
        <v>0</v>
      </c>
      <c r="P120">
        <f>IF(AND(gamma!O38=1, VLOOKUP($A120,'40Trips'!$A$43:$I$46, 3,FALSE)=VLOOKUP(P$1,'40Trips'!$A$3:$I$42,3,FALSE)),1,0)</f>
        <v>0</v>
      </c>
      <c r="Q120">
        <f>IF(AND(gamma!P38=1, VLOOKUP($A120,'40Trips'!$A$43:$I$46, 3,FALSE)=VLOOKUP(Q$1,'40Trips'!$A$3:$I$42,3,FALSE)),1,0)</f>
        <v>0</v>
      </c>
      <c r="R120">
        <f>IF(AND(gamma!Q38=1, VLOOKUP($A120,'40Trips'!$A$43:$I$46, 3,FALSE)=VLOOKUP(R$1,'40Trips'!$A$3:$I$42,3,FALSE)),1,0)</f>
        <v>0</v>
      </c>
      <c r="S120">
        <f>IF(AND(gamma!R38=1, VLOOKUP($A120,'40Trips'!$A$43:$I$46, 3,FALSE)=VLOOKUP(S$1,'40Trips'!$A$3:$I$42,3,FALSE)),1,0)</f>
        <v>0</v>
      </c>
      <c r="T120">
        <f>IF(AND(gamma!S38=1, VLOOKUP($A120,'40Trips'!$A$43:$I$46, 3,FALSE)=VLOOKUP(T$1,'40Trips'!$A$3:$I$42,3,FALSE)),1,0)</f>
        <v>0</v>
      </c>
      <c r="U120">
        <f>IF(AND(gamma!T38=1, VLOOKUP($A120,'40Trips'!$A$43:$I$46, 3,FALSE)=VLOOKUP(U$1,'40Trips'!$A$3:$I$42,3,FALSE)),1,0)</f>
        <v>0</v>
      </c>
      <c r="V120">
        <f>IF(AND(gamma!U38=1, VLOOKUP($A120,'40Trips'!$A$43:$I$46, 3,FALSE)=VLOOKUP(V$1,'40Trips'!$A$3:$I$42,3,FALSE)),1,0)</f>
        <v>0</v>
      </c>
      <c r="W120">
        <f>IF(AND(gamma!V38=1, VLOOKUP($A120,'40Trips'!$A$43:$I$46, 3,FALSE)=VLOOKUP(W$1,'40Trips'!$A$3:$I$42,3,FALSE)),1,0)</f>
        <v>0</v>
      </c>
      <c r="X120">
        <f>IF(AND(gamma!W38=1, VLOOKUP($A120,'40Trips'!$A$43:$I$46, 3,FALSE)=VLOOKUP(X$1,'40Trips'!$A$3:$I$42,3,FALSE)),1,0)</f>
        <v>0</v>
      </c>
      <c r="Y120">
        <f>IF(AND(gamma!X38=1, VLOOKUP($A120,'40Trips'!$A$43:$I$46, 3,FALSE)=VLOOKUP(Y$1,'40Trips'!$A$3:$I$42,3,FALSE)),1,0)</f>
        <v>0</v>
      </c>
      <c r="Z120">
        <f>IF(AND(gamma!Y38=1, VLOOKUP($A120,'40Trips'!$A$43:$I$46, 3,FALSE)=VLOOKUP(Z$1,'40Trips'!$A$3:$I$42,3,FALSE)),1,0)</f>
        <v>0</v>
      </c>
      <c r="AA120">
        <f>IF(AND(gamma!Z38=1, VLOOKUP($A120,'40Trips'!$A$43:$I$46, 3,FALSE)=VLOOKUP(AA$1,'40Trips'!$A$3:$I$42,3,FALSE)),1,0)</f>
        <v>0</v>
      </c>
      <c r="AB120">
        <f>IF(AND(gamma!AA38=1, VLOOKUP($A120,'40Trips'!$A$43:$I$46, 3,FALSE)=VLOOKUP(AB$1,'40Trips'!$A$3:$I$42,3,FALSE)),1,0)</f>
        <v>0</v>
      </c>
      <c r="AC120">
        <f>IF(AND(gamma!AB38=1, VLOOKUP($A120,'40Trips'!$A$43:$I$46, 3,FALSE)=VLOOKUP(AC$1,'40Trips'!$A$3:$I$42,3,FALSE)),1,0)</f>
        <v>0</v>
      </c>
      <c r="AD120">
        <f>IF(AND(gamma!AC38=1, VLOOKUP($A120,'40Trips'!$A$43:$I$46, 3,FALSE)=VLOOKUP(AD$1,'40Trips'!$A$3:$I$42,3,FALSE)),1,0)</f>
        <v>0</v>
      </c>
      <c r="AE120">
        <f>IF(AND(gamma!AD38=1, VLOOKUP($A120,'40Trips'!$A$43:$I$46, 3,FALSE)=VLOOKUP(AE$1,'40Trips'!$A$3:$I$42,3,FALSE)),1,0)</f>
        <v>0</v>
      </c>
      <c r="AF120">
        <f>IF(AND(gamma!AE38=1, VLOOKUP($A120,'40Trips'!$A$43:$I$46, 3,FALSE)=VLOOKUP(AF$1,'40Trips'!$A$3:$I$42,3,FALSE)),1,0)</f>
        <v>0</v>
      </c>
      <c r="AG120">
        <f>IF(AND(gamma!AF38=1, VLOOKUP($A120,'40Trips'!$A$43:$I$46, 3,FALSE)=VLOOKUP(AG$1,'40Trips'!$A$3:$I$42,3,FALSE)),1,0)</f>
        <v>0</v>
      </c>
      <c r="AH120">
        <f>IF(AND(gamma!AG38=1, VLOOKUP($A120,'40Trips'!$A$43:$I$46, 3,FALSE)=VLOOKUP(AH$1,'40Trips'!$A$3:$I$42,3,FALSE)),1,0)</f>
        <v>0</v>
      </c>
      <c r="AI120">
        <f>IF(AND(gamma!AH38=1, VLOOKUP($A120,'40Trips'!$A$43:$I$46, 3,FALSE)=VLOOKUP(AI$1,'40Trips'!$A$3:$I$42,3,FALSE)),1,0)</f>
        <v>0</v>
      </c>
      <c r="AJ120">
        <f>IF(AND(gamma!AI38=1, VLOOKUP($A120,'40Trips'!$A$43:$I$46, 3,FALSE)=VLOOKUP(AJ$1,'40Trips'!$A$3:$I$42,3,FALSE)),1,0)</f>
        <v>0</v>
      </c>
      <c r="AK120">
        <f>IF(AND(gamma!AJ38=1, VLOOKUP($A120,'40Trips'!$A$43:$I$46, 3,FALSE)=VLOOKUP(AK$1,'40Trips'!$A$3:$I$42,3,FALSE)),1,0)</f>
        <v>0</v>
      </c>
      <c r="AL120">
        <f>IF(AND(gamma!AK38=1, VLOOKUP($A120,'40Trips'!$A$43:$I$46, 3,FALSE)=VLOOKUP(AL$1,'40Trips'!$A$3:$I$42,3,FALSE)),1,0)</f>
        <v>0</v>
      </c>
      <c r="AM120">
        <f>IF(AND(gamma!AL38=1, VLOOKUP($A120,'40Trips'!$A$43:$I$46, 3,FALSE)=VLOOKUP(AM$1,'40Trips'!$A$3:$I$42,3,FALSE)),1,0)</f>
        <v>0</v>
      </c>
      <c r="AN120">
        <f>IF(AND(gamma!AM38=1, VLOOKUP($A120,'40Trips'!$A$43:$I$46, 3,FALSE)=VLOOKUP(AN$1,'40Trips'!$A$3:$I$42,3,FALSE)),1,0)</f>
        <v>0</v>
      </c>
      <c r="AO120">
        <f>IF(AND(gamma!AN38=1, VLOOKUP($A120,'40Trips'!$A$43:$I$46, 3,FALSE)=VLOOKUP(AO$1,'40Trips'!$A$3:$I$42,3,FALSE)),1,0)</f>
        <v>0</v>
      </c>
      <c r="AP120">
        <f>IF(AND(gamma!AO38=1, VLOOKUP($A120,'40Trips'!$A$43:$I$46, 3,FALSE)=VLOOKUP(AP$1,'40Trips'!$A$3:$I$42,3,FALSE)),1,0)</f>
        <v>0</v>
      </c>
      <c r="AQ120">
        <f>IF(AND(gamma!AP38=1, VLOOKUP($A120,'40Trips'!$A$43:$I$46, 3,FALSE)=VLOOKUP(AQ$1,'40Trips'!$A$3:$I$42,3,FALSE)),1,0)</f>
        <v>0</v>
      </c>
    </row>
    <row r="121" spans="1:43" x14ac:dyDescent="0.25">
      <c r="A121" t="s">
        <v>67</v>
      </c>
      <c r="B121" t="s">
        <v>41</v>
      </c>
      <c r="C121">
        <v>0</v>
      </c>
      <c r="D121">
        <f>IF(AND(gamma!C39=1, VLOOKUP($A121,'40Trips'!$A$43:$I$46, 3,FALSE)=VLOOKUP(D$1,'40Trips'!$A$3:$I$42,3,FALSE)),1,0)</f>
        <v>0</v>
      </c>
      <c r="E121">
        <f>IF(AND(gamma!D39=1, VLOOKUP($A121,'40Trips'!$A$43:$I$46, 3,FALSE)=VLOOKUP(E$1,'40Trips'!$A$3:$I$42,3,FALSE)),1,0)</f>
        <v>0</v>
      </c>
      <c r="F121">
        <f>IF(AND(gamma!E39=1, VLOOKUP($A121,'40Trips'!$A$43:$I$46, 3,FALSE)=VLOOKUP(F$1,'40Trips'!$A$3:$I$42,3,FALSE)),1,0)</f>
        <v>0</v>
      </c>
      <c r="G121">
        <f>IF(AND(gamma!F39=1, VLOOKUP($A121,'40Trips'!$A$43:$I$46, 3,FALSE)=VLOOKUP(G$1,'40Trips'!$A$3:$I$42,3,FALSE)),1,0)</f>
        <v>0</v>
      </c>
      <c r="H121">
        <f>IF(AND(gamma!G39=1, VLOOKUP($A121,'40Trips'!$A$43:$I$46, 3,FALSE)=VLOOKUP(H$1,'40Trips'!$A$3:$I$42,3,FALSE)),1,0)</f>
        <v>0</v>
      </c>
      <c r="I121">
        <f>IF(AND(gamma!H39=1, VLOOKUP($A121,'40Trips'!$A$43:$I$46, 3,FALSE)=VLOOKUP(I$1,'40Trips'!$A$3:$I$42,3,FALSE)),1,0)</f>
        <v>0</v>
      </c>
      <c r="J121">
        <f>IF(AND(gamma!I39=1, VLOOKUP($A121,'40Trips'!$A$43:$I$46, 3,FALSE)=VLOOKUP(J$1,'40Trips'!$A$3:$I$42,3,FALSE)),1,0)</f>
        <v>0</v>
      </c>
      <c r="K121">
        <f>IF(AND(gamma!J39=1, VLOOKUP($A121,'40Trips'!$A$43:$I$46, 3,FALSE)=VLOOKUP(K$1,'40Trips'!$A$3:$I$42,3,FALSE)),1,0)</f>
        <v>0</v>
      </c>
      <c r="L121">
        <f>IF(AND(gamma!K39=1, VLOOKUP($A121,'40Trips'!$A$43:$I$46, 3,FALSE)=VLOOKUP(L$1,'40Trips'!$A$3:$I$42,3,FALSE)),1,0)</f>
        <v>0</v>
      </c>
      <c r="M121">
        <f>IF(AND(gamma!L39=1, VLOOKUP($A121,'40Trips'!$A$43:$I$46, 3,FALSE)=VLOOKUP(M$1,'40Trips'!$A$3:$I$42,3,FALSE)),1,0)</f>
        <v>0</v>
      </c>
      <c r="N121">
        <f>IF(AND(gamma!M39=1, VLOOKUP($A121,'40Trips'!$A$43:$I$46, 3,FALSE)=VLOOKUP(N$1,'40Trips'!$A$3:$I$42,3,FALSE)),1,0)</f>
        <v>0</v>
      </c>
      <c r="O121">
        <f>IF(AND(gamma!N39=1, VLOOKUP($A121,'40Trips'!$A$43:$I$46, 3,FALSE)=VLOOKUP(O$1,'40Trips'!$A$3:$I$42,3,FALSE)),1,0)</f>
        <v>0</v>
      </c>
      <c r="P121">
        <f>IF(AND(gamma!O39=1, VLOOKUP($A121,'40Trips'!$A$43:$I$46, 3,FALSE)=VLOOKUP(P$1,'40Trips'!$A$3:$I$42,3,FALSE)),1,0)</f>
        <v>0</v>
      </c>
      <c r="Q121">
        <f>IF(AND(gamma!P39=1, VLOOKUP($A121,'40Trips'!$A$43:$I$46, 3,FALSE)=VLOOKUP(Q$1,'40Trips'!$A$3:$I$42,3,FALSE)),1,0)</f>
        <v>0</v>
      </c>
      <c r="R121">
        <f>IF(AND(gamma!Q39=1, VLOOKUP($A121,'40Trips'!$A$43:$I$46, 3,FALSE)=VLOOKUP(R$1,'40Trips'!$A$3:$I$42,3,FALSE)),1,0)</f>
        <v>1</v>
      </c>
      <c r="S121">
        <f>IF(AND(gamma!R39=1, VLOOKUP($A121,'40Trips'!$A$43:$I$46, 3,FALSE)=VLOOKUP(S$1,'40Trips'!$A$3:$I$42,3,FALSE)),1,0)</f>
        <v>1</v>
      </c>
      <c r="T121">
        <f>IF(AND(gamma!S39=1, VLOOKUP($A121,'40Trips'!$A$43:$I$46, 3,FALSE)=VLOOKUP(T$1,'40Trips'!$A$3:$I$42,3,FALSE)),1,0)</f>
        <v>0</v>
      </c>
      <c r="U121">
        <f>IF(AND(gamma!T39=1, VLOOKUP($A121,'40Trips'!$A$43:$I$46, 3,FALSE)=VLOOKUP(U$1,'40Trips'!$A$3:$I$42,3,FALSE)),1,0)</f>
        <v>0</v>
      </c>
      <c r="V121">
        <f>IF(AND(gamma!U39=1, VLOOKUP($A121,'40Trips'!$A$43:$I$46, 3,FALSE)=VLOOKUP(V$1,'40Trips'!$A$3:$I$42,3,FALSE)),1,0)</f>
        <v>1</v>
      </c>
      <c r="W121">
        <f>IF(AND(gamma!V39=1, VLOOKUP($A121,'40Trips'!$A$43:$I$46, 3,FALSE)=VLOOKUP(W$1,'40Trips'!$A$3:$I$42,3,FALSE)),1,0)</f>
        <v>1</v>
      </c>
      <c r="X121">
        <f>IF(AND(gamma!W39=1, VLOOKUP($A121,'40Trips'!$A$43:$I$46, 3,FALSE)=VLOOKUP(X$1,'40Trips'!$A$3:$I$42,3,FALSE)),1,0)</f>
        <v>0</v>
      </c>
      <c r="Y121">
        <f>IF(AND(gamma!X39=1, VLOOKUP($A121,'40Trips'!$A$43:$I$46, 3,FALSE)=VLOOKUP(Y$1,'40Trips'!$A$3:$I$42,3,FALSE)),1,0)</f>
        <v>0</v>
      </c>
      <c r="Z121">
        <f>IF(AND(gamma!Y39=1, VLOOKUP($A121,'40Trips'!$A$43:$I$46, 3,FALSE)=VLOOKUP(Z$1,'40Trips'!$A$3:$I$42,3,FALSE)),1,0)</f>
        <v>0</v>
      </c>
      <c r="AA121">
        <f>IF(AND(gamma!Z39=1, VLOOKUP($A121,'40Trips'!$A$43:$I$46, 3,FALSE)=VLOOKUP(AA$1,'40Trips'!$A$3:$I$42,3,FALSE)),1,0)</f>
        <v>0</v>
      </c>
      <c r="AB121">
        <f>IF(AND(gamma!AA39=1, VLOOKUP($A121,'40Trips'!$A$43:$I$46, 3,FALSE)=VLOOKUP(AB$1,'40Trips'!$A$3:$I$42,3,FALSE)),1,0)</f>
        <v>0</v>
      </c>
      <c r="AC121">
        <f>IF(AND(gamma!AB39=1, VLOOKUP($A121,'40Trips'!$A$43:$I$46, 3,FALSE)=VLOOKUP(AC$1,'40Trips'!$A$3:$I$42,3,FALSE)),1,0)</f>
        <v>0</v>
      </c>
      <c r="AD121">
        <f>IF(AND(gamma!AC39=1, VLOOKUP($A121,'40Trips'!$A$43:$I$46, 3,FALSE)=VLOOKUP(AD$1,'40Trips'!$A$3:$I$42,3,FALSE)),1,0)</f>
        <v>0</v>
      </c>
      <c r="AE121">
        <f>IF(AND(gamma!AD39=1, VLOOKUP($A121,'40Trips'!$A$43:$I$46, 3,FALSE)=VLOOKUP(AE$1,'40Trips'!$A$3:$I$42,3,FALSE)),1,0)</f>
        <v>0</v>
      </c>
      <c r="AF121">
        <f>IF(AND(gamma!AE39=1, VLOOKUP($A121,'40Trips'!$A$43:$I$46, 3,FALSE)=VLOOKUP(AF$1,'40Trips'!$A$3:$I$42,3,FALSE)),1,0)</f>
        <v>0</v>
      </c>
      <c r="AG121">
        <f>IF(AND(gamma!AF39=1, VLOOKUP($A121,'40Trips'!$A$43:$I$46, 3,FALSE)=VLOOKUP(AG$1,'40Trips'!$A$3:$I$42,3,FALSE)),1,0)</f>
        <v>0</v>
      </c>
      <c r="AH121">
        <f>IF(AND(gamma!AG39=1, VLOOKUP($A121,'40Trips'!$A$43:$I$46, 3,FALSE)=VLOOKUP(AH$1,'40Trips'!$A$3:$I$42,3,FALSE)),1,0)</f>
        <v>0</v>
      </c>
      <c r="AI121">
        <f>IF(AND(gamma!AH39=1, VLOOKUP($A121,'40Trips'!$A$43:$I$46, 3,FALSE)=VLOOKUP(AI$1,'40Trips'!$A$3:$I$42,3,FALSE)),1,0)</f>
        <v>0</v>
      </c>
      <c r="AJ121">
        <f>IF(AND(gamma!AI39=1, VLOOKUP($A121,'40Trips'!$A$43:$I$46, 3,FALSE)=VLOOKUP(AJ$1,'40Trips'!$A$3:$I$42,3,FALSE)),1,0)</f>
        <v>0</v>
      </c>
      <c r="AK121">
        <f>IF(AND(gamma!AJ39=1, VLOOKUP($A121,'40Trips'!$A$43:$I$46, 3,FALSE)=VLOOKUP(AK$1,'40Trips'!$A$3:$I$42,3,FALSE)),1,0)</f>
        <v>0</v>
      </c>
      <c r="AL121">
        <f>IF(AND(gamma!AK39=1, VLOOKUP($A121,'40Trips'!$A$43:$I$46, 3,FALSE)=VLOOKUP(AL$1,'40Trips'!$A$3:$I$42,3,FALSE)),1,0)</f>
        <v>0</v>
      </c>
      <c r="AM121">
        <f>IF(AND(gamma!AL39=1, VLOOKUP($A121,'40Trips'!$A$43:$I$46, 3,FALSE)=VLOOKUP(AM$1,'40Trips'!$A$3:$I$42,3,FALSE)),1,0)</f>
        <v>0</v>
      </c>
      <c r="AN121">
        <f>IF(AND(gamma!AM39=1, VLOOKUP($A121,'40Trips'!$A$43:$I$46, 3,FALSE)=VLOOKUP(AN$1,'40Trips'!$A$3:$I$42,3,FALSE)),1,0)</f>
        <v>0</v>
      </c>
      <c r="AO121">
        <f>IF(AND(gamma!AN39=1, VLOOKUP($A121,'40Trips'!$A$43:$I$46, 3,FALSE)=VLOOKUP(AO$1,'40Trips'!$A$3:$I$42,3,FALSE)),1,0)</f>
        <v>0</v>
      </c>
      <c r="AP121">
        <f>IF(AND(gamma!AO39=1, VLOOKUP($A121,'40Trips'!$A$43:$I$46, 3,FALSE)=VLOOKUP(AP$1,'40Trips'!$A$3:$I$42,3,FALSE)),1,0)</f>
        <v>0</v>
      </c>
      <c r="AQ121">
        <f>IF(AND(gamma!AP39=1, VLOOKUP($A121,'40Trips'!$A$43:$I$46, 3,FALSE)=VLOOKUP(AQ$1,'40Trips'!$A$3:$I$42,3,FALSE)),1,0)</f>
        <v>0</v>
      </c>
    </row>
    <row r="122" spans="1:43" x14ac:dyDescent="0.25">
      <c r="A122" t="s">
        <v>67</v>
      </c>
      <c r="B122" t="s">
        <v>89</v>
      </c>
      <c r="C122">
        <v>0</v>
      </c>
      <c r="D122">
        <f>IF(AND(gamma!C40=1, VLOOKUP($A122,'40Trips'!$A$43:$I$46, 3,FALSE)=VLOOKUP(D$1,'40Trips'!$A$3:$I$42,3,FALSE)),1,0)</f>
        <v>0</v>
      </c>
      <c r="E122">
        <f>IF(AND(gamma!D40=1, VLOOKUP($A122,'40Trips'!$A$43:$I$46, 3,FALSE)=VLOOKUP(E$1,'40Trips'!$A$3:$I$42,3,FALSE)),1,0)</f>
        <v>0</v>
      </c>
      <c r="F122">
        <f>IF(AND(gamma!E40=1, VLOOKUP($A122,'40Trips'!$A$43:$I$46, 3,FALSE)=VLOOKUP(F$1,'40Trips'!$A$3:$I$42,3,FALSE)),1,0)</f>
        <v>0</v>
      </c>
      <c r="G122">
        <f>IF(AND(gamma!F40=1, VLOOKUP($A122,'40Trips'!$A$43:$I$46, 3,FALSE)=VLOOKUP(G$1,'40Trips'!$A$3:$I$42,3,FALSE)),1,0)</f>
        <v>0</v>
      </c>
      <c r="H122">
        <f>IF(AND(gamma!G40=1, VLOOKUP($A122,'40Trips'!$A$43:$I$46, 3,FALSE)=VLOOKUP(H$1,'40Trips'!$A$3:$I$42,3,FALSE)),1,0)</f>
        <v>0</v>
      </c>
      <c r="I122">
        <f>IF(AND(gamma!H40=1, VLOOKUP($A122,'40Trips'!$A$43:$I$46, 3,FALSE)=VLOOKUP(I$1,'40Trips'!$A$3:$I$42,3,FALSE)),1,0)</f>
        <v>0</v>
      </c>
      <c r="J122">
        <f>IF(AND(gamma!I40=1, VLOOKUP($A122,'40Trips'!$A$43:$I$46, 3,FALSE)=VLOOKUP(J$1,'40Trips'!$A$3:$I$42,3,FALSE)),1,0)</f>
        <v>0</v>
      </c>
      <c r="K122">
        <f>IF(AND(gamma!J40=1, VLOOKUP($A122,'40Trips'!$A$43:$I$46, 3,FALSE)=VLOOKUP(K$1,'40Trips'!$A$3:$I$42,3,FALSE)),1,0)</f>
        <v>0</v>
      </c>
      <c r="L122">
        <f>IF(AND(gamma!K40=1, VLOOKUP($A122,'40Trips'!$A$43:$I$46, 3,FALSE)=VLOOKUP(L$1,'40Trips'!$A$3:$I$42,3,FALSE)),1,0)</f>
        <v>0</v>
      </c>
      <c r="M122">
        <f>IF(AND(gamma!L40=1, VLOOKUP($A122,'40Trips'!$A$43:$I$46, 3,FALSE)=VLOOKUP(M$1,'40Trips'!$A$3:$I$42,3,FALSE)),1,0)</f>
        <v>0</v>
      </c>
      <c r="N122">
        <f>IF(AND(gamma!M40=1, VLOOKUP($A122,'40Trips'!$A$43:$I$46, 3,FALSE)=VLOOKUP(N$1,'40Trips'!$A$3:$I$42,3,FALSE)),1,0)</f>
        <v>0</v>
      </c>
      <c r="O122">
        <f>IF(AND(gamma!N40=1, VLOOKUP($A122,'40Trips'!$A$43:$I$46, 3,FALSE)=VLOOKUP(O$1,'40Trips'!$A$3:$I$42,3,FALSE)),1,0)</f>
        <v>0</v>
      </c>
      <c r="P122">
        <f>IF(AND(gamma!O40=1, VLOOKUP($A122,'40Trips'!$A$43:$I$46, 3,FALSE)=VLOOKUP(P$1,'40Trips'!$A$3:$I$42,3,FALSE)),1,0)</f>
        <v>0</v>
      </c>
      <c r="Q122">
        <f>IF(AND(gamma!P40=1, VLOOKUP($A122,'40Trips'!$A$43:$I$46, 3,FALSE)=VLOOKUP(Q$1,'40Trips'!$A$3:$I$42,3,FALSE)),1,0)</f>
        <v>0</v>
      </c>
      <c r="R122">
        <f>IF(AND(gamma!Q40=1, VLOOKUP($A122,'40Trips'!$A$43:$I$46, 3,FALSE)=VLOOKUP(R$1,'40Trips'!$A$3:$I$42,3,FALSE)),1,0)</f>
        <v>0</v>
      </c>
      <c r="S122">
        <f>IF(AND(gamma!R40=1, VLOOKUP($A122,'40Trips'!$A$43:$I$46, 3,FALSE)=VLOOKUP(S$1,'40Trips'!$A$3:$I$42,3,FALSE)),1,0)</f>
        <v>1</v>
      </c>
      <c r="T122">
        <f>IF(AND(gamma!S40=1, VLOOKUP($A122,'40Trips'!$A$43:$I$46, 3,FALSE)=VLOOKUP(T$1,'40Trips'!$A$3:$I$42,3,FALSE)),1,0)</f>
        <v>0</v>
      </c>
      <c r="U122">
        <f>IF(AND(gamma!T40=1, VLOOKUP($A122,'40Trips'!$A$43:$I$46, 3,FALSE)=VLOOKUP(U$1,'40Trips'!$A$3:$I$42,3,FALSE)),1,0)</f>
        <v>0</v>
      </c>
      <c r="V122">
        <f>IF(AND(gamma!U40=1, VLOOKUP($A122,'40Trips'!$A$43:$I$46, 3,FALSE)=VLOOKUP(V$1,'40Trips'!$A$3:$I$42,3,FALSE)),1,0)</f>
        <v>0</v>
      </c>
      <c r="W122">
        <f>IF(AND(gamma!V40=1, VLOOKUP($A122,'40Trips'!$A$43:$I$46, 3,FALSE)=VLOOKUP(W$1,'40Trips'!$A$3:$I$42,3,FALSE)),1,0)</f>
        <v>1</v>
      </c>
      <c r="X122">
        <f>IF(AND(gamma!W40=1, VLOOKUP($A122,'40Trips'!$A$43:$I$46, 3,FALSE)=VLOOKUP(X$1,'40Trips'!$A$3:$I$42,3,FALSE)),1,0)</f>
        <v>0</v>
      </c>
      <c r="Y122">
        <f>IF(AND(gamma!X40=1, VLOOKUP($A122,'40Trips'!$A$43:$I$46, 3,FALSE)=VLOOKUP(Y$1,'40Trips'!$A$3:$I$42,3,FALSE)),1,0)</f>
        <v>0</v>
      </c>
      <c r="Z122">
        <f>IF(AND(gamma!Y40=1, VLOOKUP($A122,'40Trips'!$A$43:$I$46, 3,FALSE)=VLOOKUP(Z$1,'40Trips'!$A$3:$I$42,3,FALSE)),1,0)</f>
        <v>0</v>
      </c>
      <c r="AA122">
        <f>IF(AND(gamma!Z40=1, VLOOKUP($A122,'40Trips'!$A$43:$I$46, 3,FALSE)=VLOOKUP(AA$1,'40Trips'!$A$3:$I$42,3,FALSE)),1,0)</f>
        <v>0</v>
      </c>
      <c r="AB122">
        <f>IF(AND(gamma!AA40=1, VLOOKUP($A122,'40Trips'!$A$43:$I$46, 3,FALSE)=VLOOKUP(AB$1,'40Trips'!$A$3:$I$42,3,FALSE)),1,0)</f>
        <v>0</v>
      </c>
      <c r="AC122">
        <f>IF(AND(gamma!AB40=1, VLOOKUP($A122,'40Trips'!$A$43:$I$46, 3,FALSE)=VLOOKUP(AC$1,'40Trips'!$A$3:$I$42,3,FALSE)),1,0)</f>
        <v>0</v>
      </c>
      <c r="AD122">
        <f>IF(AND(gamma!AC40=1, VLOOKUP($A122,'40Trips'!$A$43:$I$46, 3,FALSE)=VLOOKUP(AD$1,'40Trips'!$A$3:$I$42,3,FALSE)),1,0)</f>
        <v>0</v>
      </c>
      <c r="AE122">
        <f>IF(AND(gamma!AD40=1, VLOOKUP($A122,'40Trips'!$A$43:$I$46, 3,FALSE)=VLOOKUP(AE$1,'40Trips'!$A$3:$I$42,3,FALSE)),1,0)</f>
        <v>0</v>
      </c>
      <c r="AF122">
        <f>IF(AND(gamma!AE40=1, VLOOKUP($A122,'40Trips'!$A$43:$I$46, 3,FALSE)=VLOOKUP(AF$1,'40Trips'!$A$3:$I$42,3,FALSE)),1,0)</f>
        <v>0</v>
      </c>
      <c r="AG122">
        <f>IF(AND(gamma!AF40=1, VLOOKUP($A122,'40Trips'!$A$43:$I$46, 3,FALSE)=VLOOKUP(AG$1,'40Trips'!$A$3:$I$42,3,FALSE)),1,0)</f>
        <v>0</v>
      </c>
      <c r="AH122">
        <f>IF(AND(gamma!AG40=1, VLOOKUP($A122,'40Trips'!$A$43:$I$46, 3,FALSE)=VLOOKUP(AH$1,'40Trips'!$A$3:$I$42,3,FALSE)),1,0)</f>
        <v>0</v>
      </c>
      <c r="AI122">
        <f>IF(AND(gamma!AH40=1, VLOOKUP($A122,'40Trips'!$A$43:$I$46, 3,FALSE)=VLOOKUP(AI$1,'40Trips'!$A$3:$I$42,3,FALSE)),1,0)</f>
        <v>0</v>
      </c>
      <c r="AJ122">
        <f>IF(AND(gamma!AI40=1, VLOOKUP($A122,'40Trips'!$A$43:$I$46, 3,FALSE)=VLOOKUP(AJ$1,'40Trips'!$A$3:$I$42,3,FALSE)),1,0)</f>
        <v>0</v>
      </c>
      <c r="AK122">
        <f>IF(AND(gamma!AJ40=1, VLOOKUP($A122,'40Trips'!$A$43:$I$46, 3,FALSE)=VLOOKUP(AK$1,'40Trips'!$A$3:$I$42,3,FALSE)),1,0)</f>
        <v>0</v>
      </c>
      <c r="AL122">
        <f>IF(AND(gamma!AK40=1, VLOOKUP($A122,'40Trips'!$A$43:$I$46, 3,FALSE)=VLOOKUP(AL$1,'40Trips'!$A$3:$I$42,3,FALSE)),1,0)</f>
        <v>0</v>
      </c>
      <c r="AM122">
        <f>IF(AND(gamma!AL40=1, VLOOKUP($A122,'40Trips'!$A$43:$I$46, 3,FALSE)=VLOOKUP(AM$1,'40Trips'!$A$3:$I$42,3,FALSE)),1,0)</f>
        <v>0</v>
      </c>
      <c r="AN122">
        <f>IF(AND(gamma!AM40=1, VLOOKUP($A122,'40Trips'!$A$43:$I$46, 3,FALSE)=VLOOKUP(AN$1,'40Trips'!$A$3:$I$42,3,FALSE)),1,0)</f>
        <v>0</v>
      </c>
      <c r="AO122">
        <f>IF(AND(gamma!AN40=1, VLOOKUP($A122,'40Trips'!$A$43:$I$46, 3,FALSE)=VLOOKUP(AO$1,'40Trips'!$A$3:$I$42,3,FALSE)),1,0)</f>
        <v>0</v>
      </c>
      <c r="AP122">
        <f>IF(AND(gamma!AO40=1, VLOOKUP($A122,'40Trips'!$A$43:$I$46, 3,FALSE)=VLOOKUP(AP$1,'40Trips'!$A$3:$I$42,3,FALSE)),1,0)</f>
        <v>0</v>
      </c>
      <c r="AQ122">
        <f>IF(AND(gamma!AP40=1, VLOOKUP($A122,'40Trips'!$A$43:$I$46, 3,FALSE)=VLOOKUP(AQ$1,'40Trips'!$A$3:$I$42,3,FALSE)),1,0)</f>
        <v>0</v>
      </c>
    </row>
    <row r="123" spans="1:43" x14ac:dyDescent="0.25">
      <c r="A123" t="s">
        <v>67</v>
      </c>
      <c r="B123" t="s">
        <v>90</v>
      </c>
      <c r="C123">
        <v>0</v>
      </c>
      <c r="D123">
        <f>IF(AND(gamma!C41=1, VLOOKUP($A123,'40Trips'!$A$43:$I$46, 3,FALSE)=VLOOKUP(D$1,'40Trips'!$A$3:$I$42,3,FALSE)),1,0)</f>
        <v>0</v>
      </c>
      <c r="E123">
        <f>IF(AND(gamma!D41=1, VLOOKUP($A123,'40Trips'!$A$43:$I$46, 3,FALSE)=VLOOKUP(E$1,'40Trips'!$A$3:$I$42,3,FALSE)),1,0)</f>
        <v>0</v>
      </c>
      <c r="F123">
        <f>IF(AND(gamma!E41=1, VLOOKUP($A123,'40Trips'!$A$43:$I$46, 3,FALSE)=VLOOKUP(F$1,'40Trips'!$A$3:$I$42,3,FALSE)),1,0)</f>
        <v>0</v>
      </c>
      <c r="G123">
        <f>IF(AND(gamma!F41=1, VLOOKUP($A123,'40Trips'!$A$43:$I$46, 3,FALSE)=VLOOKUP(G$1,'40Trips'!$A$3:$I$42,3,FALSE)),1,0)</f>
        <v>0</v>
      </c>
      <c r="H123">
        <f>IF(AND(gamma!G41=1, VLOOKUP($A123,'40Trips'!$A$43:$I$46, 3,FALSE)=VLOOKUP(H$1,'40Trips'!$A$3:$I$42,3,FALSE)),1,0)</f>
        <v>0</v>
      </c>
      <c r="I123">
        <f>IF(AND(gamma!H41=1, VLOOKUP($A123,'40Trips'!$A$43:$I$46, 3,FALSE)=VLOOKUP(I$1,'40Trips'!$A$3:$I$42,3,FALSE)),1,0)</f>
        <v>0</v>
      </c>
      <c r="J123">
        <f>IF(AND(gamma!I41=1, VLOOKUP($A123,'40Trips'!$A$43:$I$46, 3,FALSE)=VLOOKUP(J$1,'40Trips'!$A$3:$I$42,3,FALSE)),1,0)</f>
        <v>0</v>
      </c>
      <c r="K123">
        <f>IF(AND(gamma!J41=1, VLOOKUP($A123,'40Trips'!$A$43:$I$46, 3,FALSE)=VLOOKUP(K$1,'40Trips'!$A$3:$I$42,3,FALSE)),1,0)</f>
        <v>0</v>
      </c>
      <c r="L123">
        <f>IF(AND(gamma!K41=1, VLOOKUP($A123,'40Trips'!$A$43:$I$46, 3,FALSE)=VLOOKUP(L$1,'40Trips'!$A$3:$I$42,3,FALSE)),1,0)</f>
        <v>0</v>
      </c>
      <c r="M123">
        <f>IF(AND(gamma!L41=1, VLOOKUP($A123,'40Trips'!$A$43:$I$46, 3,FALSE)=VLOOKUP(M$1,'40Trips'!$A$3:$I$42,3,FALSE)),1,0)</f>
        <v>0</v>
      </c>
      <c r="N123">
        <f>IF(AND(gamma!M41=1, VLOOKUP($A123,'40Trips'!$A$43:$I$46, 3,FALSE)=VLOOKUP(N$1,'40Trips'!$A$3:$I$42,3,FALSE)),1,0)</f>
        <v>0</v>
      </c>
      <c r="O123">
        <f>IF(AND(gamma!N41=1, VLOOKUP($A123,'40Trips'!$A$43:$I$46, 3,FALSE)=VLOOKUP(O$1,'40Trips'!$A$3:$I$42,3,FALSE)),1,0)</f>
        <v>0</v>
      </c>
      <c r="P123">
        <f>IF(AND(gamma!O41=1, VLOOKUP($A123,'40Trips'!$A$43:$I$46, 3,FALSE)=VLOOKUP(P$1,'40Trips'!$A$3:$I$42,3,FALSE)),1,0)</f>
        <v>0</v>
      </c>
      <c r="Q123">
        <f>IF(AND(gamma!P41=1, VLOOKUP($A123,'40Trips'!$A$43:$I$46, 3,FALSE)=VLOOKUP(Q$1,'40Trips'!$A$3:$I$42,3,FALSE)),1,0)</f>
        <v>0</v>
      </c>
      <c r="R123">
        <f>IF(AND(gamma!Q41=1, VLOOKUP($A123,'40Trips'!$A$43:$I$46, 3,FALSE)=VLOOKUP(R$1,'40Trips'!$A$3:$I$42,3,FALSE)),1,0)</f>
        <v>0</v>
      </c>
      <c r="S123">
        <f>IF(AND(gamma!R41=1, VLOOKUP($A123,'40Trips'!$A$43:$I$46, 3,FALSE)=VLOOKUP(S$1,'40Trips'!$A$3:$I$42,3,FALSE)),1,0)</f>
        <v>0</v>
      </c>
      <c r="T123">
        <f>IF(AND(gamma!S41=1, VLOOKUP($A123,'40Trips'!$A$43:$I$46, 3,FALSE)=VLOOKUP(T$1,'40Trips'!$A$3:$I$42,3,FALSE)),1,0)</f>
        <v>0</v>
      </c>
      <c r="U123">
        <f>IF(AND(gamma!T41=1, VLOOKUP($A123,'40Trips'!$A$43:$I$46, 3,FALSE)=VLOOKUP(U$1,'40Trips'!$A$3:$I$42,3,FALSE)),1,0)</f>
        <v>0</v>
      </c>
      <c r="V123">
        <f>IF(AND(gamma!U41=1, VLOOKUP($A123,'40Trips'!$A$43:$I$46, 3,FALSE)=VLOOKUP(V$1,'40Trips'!$A$3:$I$42,3,FALSE)),1,0)</f>
        <v>0</v>
      </c>
      <c r="W123">
        <f>IF(AND(gamma!V41=1, VLOOKUP($A123,'40Trips'!$A$43:$I$46, 3,FALSE)=VLOOKUP(W$1,'40Trips'!$A$3:$I$42,3,FALSE)),1,0)</f>
        <v>1</v>
      </c>
      <c r="X123">
        <f>IF(AND(gamma!W41=1, VLOOKUP($A123,'40Trips'!$A$43:$I$46, 3,FALSE)=VLOOKUP(X$1,'40Trips'!$A$3:$I$42,3,FALSE)),1,0)</f>
        <v>0</v>
      </c>
      <c r="Y123">
        <f>IF(AND(gamma!X41=1, VLOOKUP($A123,'40Trips'!$A$43:$I$46, 3,FALSE)=VLOOKUP(Y$1,'40Trips'!$A$3:$I$42,3,FALSE)),1,0)</f>
        <v>0</v>
      </c>
      <c r="Z123">
        <f>IF(AND(gamma!Y41=1, VLOOKUP($A123,'40Trips'!$A$43:$I$46, 3,FALSE)=VLOOKUP(Z$1,'40Trips'!$A$3:$I$42,3,FALSE)),1,0)</f>
        <v>0</v>
      </c>
      <c r="AA123">
        <f>IF(AND(gamma!Z41=1, VLOOKUP($A123,'40Trips'!$A$43:$I$46, 3,FALSE)=VLOOKUP(AA$1,'40Trips'!$A$3:$I$42,3,FALSE)),1,0)</f>
        <v>0</v>
      </c>
      <c r="AB123">
        <f>IF(AND(gamma!AA41=1, VLOOKUP($A123,'40Trips'!$A$43:$I$46, 3,FALSE)=VLOOKUP(AB$1,'40Trips'!$A$3:$I$42,3,FALSE)),1,0)</f>
        <v>0</v>
      </c>
      <c r="AC123">
        <f>IF(AND(gamma!AB41=1, VLOOKUP($A123,'40Trips'!$A$43:$I$46, 3,FALSE)=VLOOKUP(AC$1,'40Trips'!$A$3:$I$42,3,FALSE)),1,0)</f>
        <v>0</v>
      </c>
      <c r="AD123">
        <f>IF(AND(gamma!AC41=1, VLOOKUP($A123,'40Trips'!$A$43:$I$46, 3,FALSE)=VLOOKUP(AD$1,'40Trips'!$A$3:$I$42,3,FALSE)),1,0)</f>
        <v>0</v>
      </c>
      <c r="AE123">
        <f>IF(AND(gamma!AD41=1, VLOOKUP($A123,'40Trips'!$A$43:$I$46, 3,FALSE)=VLOOKUP(AE$1,'40Trips'!$A$3:$I$42,3,FALSE)),1,0)</f>
        <v>0</v>
      </c>
      <c r="AF123">
        <f>IF(AND(gamma!AE41=1, VLOOKUP($A123,'40Trips'!$A$43:$I$46, 3,FALSE)=VLOOKUP(AF$1,'40Trips'!$A$3:$I$42,3,FALSE)),1,0)</f>
        <v>0</v>
      </c>
      <c r="AG123">
        <f>IF(AND(gamma!AF41=1, VLOOKUP($A123,'40Trips'!$A$43:$I$46, 3,FALSE)=VLOOKUP(AG$1,'40Trips'!$A$3:$I$42,3,FALSE)),1,0)</f>
        <v>0</v>
      </c>
      <c r="AH123">
        <f>IF(AND(gamma!AG41=1, VLOOKUP($A123,'40Trips'!$A$43:$I$46, 3,FALSE)=VLOOKUP(AH$1,'40Trips'!$A$3:$I$42,3,FALSE)),1,0)</f>
        <v>0</v>
      </c>
      <c r="AI123">
        <f>IF(AND(gamma!AH41=1, VLOOKUP($A123,'40Trips'!$A$43:$I$46, 3,FALSE)=VLOOKUP(AI$1,'40Trips'!$A$3:$I$42,3,FALSE)),1,0)</f>
        <v>0</v>
      </c>
      <c r="AJ123">
        <f>IF(AND(gamma!AI41=1, VLOOKUP($A123,'40Trips'!$A$43:$I$46, 3,FALSE)=VLOOKUP(AJ$1,'40Trips'!$A$3:$I$42,3,FALSE)),1,0)</f>
        <v>0</v>
      </c>
      <c r="AK123">
        <f>IF(AND(gamma!AJ41=1, VLOOKUP($A123,'40Trips'!$A$43:$I$46, 3,FALSE)=VLOOKUP(AK$1,'40Trips'!$A$3:$I$42,3,FALSE)),1,0)</f>
        <v>0</v>
      </c>
      <c r="AL123">
        <f>IF(AND(gamma!AK41=1, VLOOKUP($A123,'40Trips'!$A$43:$I$46, 3,FALSE)=VLOOKUP(AL$1,'40Trips'!$A$3:$I$42,3,FALSE)),1,0)</f>
        <v>0</v>
      </c>
      <c r="AM123">
        <f>IF(AND(gamma!AL41=1, VLOOKUP($A123,'40Trips'!$A$43:$I$46, 3,FALSE)=VLOOKUP(AM$1,'40Trips'!$A$3:$I$42,3,FALSE)),1,0)</f>
        <v>0</v>
      </c>
      <c r="AN123">
        <f>IF(AND(gamma!AM41=1, VLOOKUP($A123,'40Trips'!$A$43:$I$46, 3,FALSE)=VLOOKUP(AN$1,'40Trips'!$A$3:$I$42,3,FALSE)),1,0)</f>
        <v>0</v>
      </c>
      <c r="AO123">
        <f>IF(AND(gamma!AN41=1, VLOOKUP($A123,'40Trips'!$A$43:$I$46, 3,FALSE)=VLOOKUP(AO$1,'40Trips'!$A$3:$I$42,3,FALSE)),1,0)</f>
        <v>0</v>
      </c>
      <c r="AP123">
        <f>IF(AND(gamma!AO41=1, VLOOKUP($A123,'40Trips'!$A$43:$I$46, 3,FALSE)=VLOOKUP(AP$1,'40Trips'!$A$3:$I$42,3,FALSE)),1,0)</f>
        <v>0</v>
      </c>
      <c r="AQ123">
        <f>IF(AND(gamma!AP41=1, VLOOKUP($A123,'40Trips'!$A$43:$I$46, 3,FALSE)=VLOOKUP(AQ$1,'40Trips'!$A$3:$I$42,3,FALSE)),1,0)</f>
        <v>0</v>
      </c>
    </row>
    <row r="124" spans="1:43" x14ac:dyDescent="0.25">
      <c r="A124" t="s">
        <v>67</v>
      </c>
      <c r="B124" t="s">
        <v>91</v>
      </c>
      <c r="C124">
        <v>0</v>
      </c>
      <c r="D124">
        <f>IF(AND(gamma!C42=1, VLOOKUP($A124,'40Trips'!$A$43:$I$46, 3,FALSE)=VLOOKUP(D$1,'40Trips'!$A$3:$I$42,3,FALSE)),1,0)</f>
        <v>0</v>
      </c>
      <c r="E124">
        <f>IF(AND(gamma!D42=1, VLOOKUP($A124,'40Trips'!$A$43:$I$46, 3,FALSE)=VLOOKUP(E$1,'40Trips'!$A$3:$I$42,3,FALSE)),1,0)</f>
        <v>0</v>
      </c>
      <c r="F124">
        <f>IF(AND(gamma!E42=1, VLOOKUP($A124,'40Trips'!$A$43:$I$46, 3,FALSE)=VLOOKUP(F$1,'40Trips'!$A$3:$I$42,3,FALSE)),1,0)</f>
        <v>0</v>
      </c>
      <c r="G124">
        <f>IF(AND(gamma!F42=1, VLOOKUP($A124,'40Trips'!$A$43:$I$46, 3,FALSE)=VLOOKUP(G$1,'40Trips'!$A$3:$I$42,3,FALSE)),1,0)</f>
        <v>0</v>
      </c>
      <c r="H124">
        <f>IF(AND(gamma!G42=1, VLOOKUP($A124,'40Trips'!$A$43:$I$46, 3,FALSE)=VLOOKUP(H$1,'40Trips'!$A$3:$I$42,3,FALSE)),1,0)</f>
        <v>0</v>
      </c>
      <c r="I124">
        <f>IF(AND(gamma!H42=1, VLOOKUP($A124,'40Trips'!$A$43:$I$46, 3,FALSE)=VLOOKUP(I$1,'40Trips'!$A$3:$I$42,3,FALSE)),1,0)</f>
        <v>0</v>
      </c>
      <c r="J124">
        <f>IF(AND(gamma!I42=1, VLOOKUP($A124,'40Trips'!$A$43:$I$46, 3,FALSE)=VLOOKUP(J$1,'40Trips'!$A$3:$I$42,3,FALSE)),1,0)</f>
        <v>0</v>
      </c>
      <c r="K124">
        <f>IF(AND(gamma!J42=1, VLOOKUP($A124,'40Trips'!$A$43:$I$46, 3,FALSE)=VLOOKUP(K$1,'40Trips'!$A$3:$I$42,3,FALSE)),1,0)</f>
        <v>0</v>
      </c>
      <c r="L124">
        <f>IF(AND(gamma!K42=1, VLOOKUP($A124,'40Trips'!$A$43:$I$46, 3,FALSE)=VLOOKUP(L$1,'40Trips'!$A$3:$I$42,3,FALSE)),1,0)</f>
        <v>0</v>
      </c>
      <c r="M124">
        <f>IF(AND(gamma!L42=1, VLOOKUP($A124,'40Trips'!$A$43:$I$46, 3,FALSE)=VLOOKUP(M$1,'40Trips'!$A$3:$I$42,3,FALSE)),1,0)</f>
        <v>0</v>
      </c>
      <c r="N124">
        <f>IF(AND(gamma!M42=1, VLOOKUP($A124,'40Trips'!$A$43:$I$46, 3,FALSE)=VLOOKUP(N$1,'40Trips'!$A$3:$I$42,3,FALSE)),1,0)</f>
        <v>0</v>
      </c>
      <c r="O124">
        <f>IF(AND(gamma!N42=1, VLOOKUP($A124,'40Trips'!$A$43:$I$46, 3,FALSE)=VLOOKUP(O$1,'40Trips'!$A$3:$I$42,3,FALSE)),1,0)</f>
        <v>0</v>
      </c>
      <c r="P124">
        <f>IF(AND(gamma!O42=1, VLOOKUP($A124,'40Trips'!$A$43:$I$46, 3,FALSE)=VLOOKUP(P$1,'40Trips'!$A$3:$I$42,3,FALSE)),1,0)</f>
        <v>0</v>
      </c>
      <c r="Q124">
        <f>IF(AND(gamma!P42=1, VLOOKUP($A124,'40Trips'!$A$43:$I$46, 3,FALSE)=VLOOKUP(Q$1,'40Trips'!$A$3:$I$42,3,FALSE)),1,0)</f>
        <v>0</v>
      </c>
      <c r="R124">
        <f>IF(AND(gamma!Q42=1, VLOOKUP($A124,'40Trips'!$A$43:$I$46, 3,FALSE)=VLOOKUP(R$1,'40Trips'!$A$3:$I$42,3,FALSE)),1,0)</f>
        <v>0</v>
      </c>
      <c r="S124">
        <f>IF(AND(gamma!R42=1, VLOOKUP($A124,'40Trips'!$A$43:$I$46, 3,FALSE)=VLOOKUP(S$1,'40Trips'!$A$3:$I$42,3,FALSE)),1,0)</f>
        <v>0</v>
      </c>
      <c r="T124">
        <f>IF(AND(gamma!S42=1, VLOOKUP($A124,'40Trips'!$A$43:$I$46, 3,FALSE)=VLOOKUP(T$1,'40Trips'!$A$3:$I$42,3,FALSE)),1,0)</f>
        <v>0</v>
      </c>
      <c r="U124">
        <f>IF(AND(gamma!T42=1, VLOOKUP($A124,'40Trips'!$A$43:$I$46, 3,FALSE)=VLOOKUP(U$1,'40Trips'!$A$3:$I$42,3,FALSE)),1,0)</f>
        <v>0</v>
      </c>
      <c r="V124">
        <f>IF(AND(gamma!U42=1, VLOOKUP($A124,'40Trips'!$A$43:$I$46, 3,FALSE)=VLOOKUP(V$1,'40Trips'!$A$3:$I$42,3,FALSE)),1,0)</f>
        <v>0</v>
      </c>
      <c r="W124">
        <f>IF(AND(gamma!V42=1, VLOOKUP($A124,'40Trips'!$A$43:$I$46, 3,FALSE)=VLOOKUP(W$1,'40Trips'!$A$3:$I$42,3,FALSE)),1,0)</f>
        <v>0</v>
      </c>
      <c r="X124">
        <f>IF(AND(gamma!W42=1, VLOOKUP($A124,'40Trips'!$A$43:$I$46, 3,FALSE)=VLOOKUP(X$1,'40Trips'!$A$3:$I$42,3,FALSE)),1,0)</f>
        <v>0</v>
      </c>
      <c r="Y124">
        <f>IF(AND(gamma!X42=1, VLOOKUP($A124,'40Trips'!$A$43:$I$46, 3,FALSE)=VLOOKUP(Y$1,'40Trips'!$A$3:$I$42,3,FALSE)),1,0)</f>
        <v>0</v>
      </c>
      <c r="Z124">
        <f>IF(AND(gamma!Y42=1, VLOOKUP($A124,'40Trips'!$A$43:$I$46, 3,FALSE)=VLOOKUP(Z$1,'40Trips'!$A$3:$I$42,3,FALSE)),1,0)</f>
        <v>0</v>
      </c>
      <c r="AA124">
        <f>IF(AND(gamma!Z42=1, VLOOKUP($A124,'40Trips'!$A$43:$I$46, 3,FALSE)=VLOOKUP(AA$1,'40Trips'!$A$3:$I$42,3,FALSE)),1,0)</f>
        <v>0</v>
      </c>
      <c r="AB124">
        <f>IF(AND(gamma!AA42=1, VLOOKUP($A124,'40Trips'!$A$43:$I$46, 3,FALSE)=VLOOKUP(AB$1,'40Trips'!$A$3:$I$42,3,FALSE)),1,0)</f>
        <v>0</v>
      </c>
      <c r="AC124">
        <f>IF(AND(gamma!AB42=1, VLOOKUP($A124,'40Trips'!$A$43:$I$46, 3,FALSE)=VLOOKUP(AC$1,'40Trips'!$A$3:$I$42,3,FALSE)),1,0)</f>
        <v>0</v>
      </c>
      <c r="AD124">
        <f>IF(AND(gamma!AC42=1, VLOOKUP($A124,'40Trips'!$A$43:$I$46, 3,FALSE)=VLOOKUP(AD$1,'40Trips'!$A$3:$I$42,3,FALSE)),1,0)</f>
        <v>0</v>
      </c>
      <c r="AE124">
        <f>IF(AND(gamma!AD42=1, VLOOKUP($A124,'40Trips'!$A$43:$I$46, 3,FALSE)=VLOOKUP(AE$1,'40Trips'!$A$3:$I$42,3,FALSE)),1,0)</f>
        <v>0</v>
      </c>
      <c r="AF124">
        <f>IF(AND(gamma!AE42=1, VLOOKUP($A124,'40Trips'!$A$43:$I$46, 3,FALSE)=VLOOKUP(AF$1,'40Trips'!$A$3:$I$42,3,FALSE)),1,0)</f>
        <v>0</v>
      </c>
      <c r="AG124">
        <f>IF(AND(gamma!AF42=1, VLOOKUP($A124,'40Trips'!$A$43:$I$46, 3,FALSE)=VLOOKUP(AG$1,'40Trips'!$A$3:$I$42,3,FALSE)),1,0)</f>
        <v>0</v>
      </c>
      <c r="AH124">
        <f>IF(AND(gamma!AG42=1, VLOOKUP($A124,'40Trips'!$A$43:$I$46, 3,FALSE)=VLOOKUP(AH$1,'40Trips'!$A$3:$I$42,3,FALSE)),1,0)</f>
        <v>0</v>
      </c>
      <c r="AI124">
        <f>IF(AND(gamma!AH42=1, VLOOKUP($A124,'40Trips'!$A$43:$I$46, 3,FALSE)=VLOOKUP(AI$1,'40Trips'!$A$3:$I$42,3,FALSE)),1,0)</f>
        <v>0</v>
      </c>
      <c r="AJ124">
        <f>IF(AND(gamma!AI42=1, VLOOKUP($A124,'40Trips'!$A$43:$I$46, 3,FALSE)=VLOOKUP(AJ$1,'40Trips'!$A$3:$I$42,3,FALSE)),1,0)</f>
        <v>0</v>
      </c>
      <c r="AK124">
        <f>IF(AND(gamma!AJ42=1, VLOOKUP($A124,'40Trips'!$A$43:$I$46, 3,FALSE)=VLOOKUP(AK$1,'40Trips'!$A$3:$I$42,3,FALSE)),1,0)</f>
        <v>0</v>
      </c>
      <c r="AL124">
        <f>IF(AND(gamma!AK42=1, VLOOKUP($A124,'40Trips'!$A$43:$I$46, 3,FALSE)=VLOOKUP(AL$1,'40Trips'!$A$3:$I$42,3,FALSE)),1,0)</f>
        <v>0</v>
      </c>
      <c r="AM124">
        <f>IF(AND(gamma!AL42=1, VLOOKUP($A124,'40Trips'!$A$43:$I$46, 3,FALSE)=VLOOKUP(AM$1,'40Trips'!$A$3:$I$42,3,FALSE)),1,0)</f>
        <v>0</v>
      </c>
      <c r="AN124">
        <f>IF(AND(gamma!AM42=1, VLOOKUP($A124,'40Trips'!$A$43:$I$46, 3,FALSE)=VLOOKUP(AN$1,'40Trips'!$A$3:$I$42,3,FALSE)),1,0)</f>
        <v>0</v>
      </c>
      <c r="AO124">
        <f>IF(AND(gamma!AN42=1, VLOOKUP($A124,'40Trips'!$A$43:$I$46, 3,FALSE)=VLOOKUP(AO$1,'40Trips'!$A$3:$I$42,3,FALSE)),1,0)</f>
        <v>0</v>
      </c>
      <c r="AP124">
        <f>IF(AND(gamma!AO42=1, VLOOKUP($A124,'40Trips'!$A$43:$I$46, 3,FALSE)=VLOOKUP(AP$1,'40Trips'!$A$3:$I$42,3,FALSE)),1,0)</f>
        <v>0</v>
      </c>
      <c r="AQ124">
        <f>IF(AND(gamma!AP42=1, VLOOKUP($A124,'40Trips'!$A$43:$I$46, 3,FALSE)=VLOOKUP(AQ$1,'40Trips'!$A$3:$I$42,3,FALSE)),1,0)</f>
        <v>0</v>
      </c>
    </row>
    <row r="125" spans="1:43" x14ac:dyDescent="0.25">
      <c r="A125" t="s">
        <v>68</v>
      </c>
      <c r="B125" t="s">
        <v>46</v>
      </c>
      <c r="C125">
        <v>0</v>
      </c>
      <c r="D125">
        <f>IF(AND(gamma!C43=1, VLOOKUP($A125,'40Trips'!$A$43:$I$46, 3,FALSE)=VLOOKUP(D$1,'40Trips'!$A$3:$I$42,3,FALSE)),1,0)</f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25">
      <c r="A126" t="s">
        <v>68</v>
      </c>
      <c r="B126" t="s">
        <v>6</v>
      </c>
      <c r="C126">
        <v>0</v>
      </c>
      <c r="D126">
        <f>IF(AND(gamma!C3=1, VLOOKUP($A126,'40Trips'!$A$43:$I$46, 3,FALSE)=VLOOKUP(D$1,'40Trips'!$A$3:$I$42,3,FALSE)),1,0)</f>
        <v>0</v>
      </c>
      <c r="E126">
        <f>IF(AND(gamma!D3=1, VLOOKUP($A126,'40Trips'!$A$43:$I$46, 3,FALSE)=VLOOKUP(E$1,'40Trips'!$A$3:$I$42,3,FALSE)),1,0)</f>
        <v>0</v>
      </c>
      <c r="F126">
        <f>IF(AND(gamma!E3=1, VLOOKUP($A126,'40Trips'!$A$43:$I$46, 3,FALSE)=VLOOKUP(F$1,'40Trips'!$A$3:$I$42,3,FALSE)),1,0)</f>
        <v>0</v>
      </c>
      <c r="G126">
        <f>IF(AND(gamma!F3=1, VLOOKUP($A126,'40Trips'!$A$43:$I$46, 3,FALSE)=VLOOKUP(G$1,'40Trips'!$A$3:$I$42,3,FALSE)),1,0)</f>
        <v>0</v>
      </c>
      <c r="H126">
        <f>IF(AND(gamma!G3=1, VLOOKUP($A126,'40Trips'!$A$43:$I$46, 3,FALSE)=VLOOKUP(H$1,'40Trips'!$A$3:$I$42,3,FALSE)),1,0)</f>
        <v>0</v>
      </c>
      <c r="I126">
        <f>IF(AND(gamma!H3=1, VLOOKUP($A126,'40Trips'!$A$43:$I$46, 3,FALSE)=VLOOKUP(I$1,'40Trips'!$A$3:$I$42,3,FALSE)),1,0)</f>
        <v>0</v>
      </c>
      <c r="J126">
        <f>IF(AND(gamma!I3=1, VLOOKUP($A126,'40Trips'!$A$43:$I$46, 3,FALSE)=VLOOKUP(J$1,'40Trips'!$A$3:$I$42,3,FALSE)),1,0)</f>
        <v>0</v>
      </c>
      <c r="K126">
        <f>IF(AND(gamma!J3=1, VLOOKUP($A126,'40Trips'!$A$43:$I$46, 3,FALSE)=VLOOKUP(K$1,'40Trips'!$A$3:$I$42,3,FALSE)),1,0)</f>
        <v>0</v>
      </c>
      <c r="L126">
        <f>IF(AND(gamma!K3=1, VLOOKUP($A126,'40Trips'!$A$43:$I$46, 3,FALSE)=VLOOKUP(L$1,'40Trips'!$A$3:$I$42,3,FALSE)),1,0)</f>
        <v>0</v>
      </c>
      <c r="M126">
        <f>IF(AND(gamma!L3=1, VLOOKUP($A126,'40Trips'!$A$43:$I$46, 3,FALSE)=VLOOKUP(M$1,'40Trips'!$A$3:$I$42,3,FALSE)),1,0)</f>
        <v>0</v>
      </c>
      <c r="N126">
        <f>IF(AND(gamma!M3=1, VLOOKUP($A126,'40Trips'!$A$43:$I$46, 3,FALSE)=VLOOKUP(N$1,'40Trips'!$A$3:$I$42,3,FALSE)),1,0)</f>
        <v>0</v>
      </c>
      <c r="O126">
        <f>IF(AND(gamma!N3=1, VLOOKUP($A126,'40Trips'!$A$43:$I$46, 3,FALSE)=VLOOKUP(O$1,'40Trips'!$A$3:$I$42,3,FALSE)),1,0)</f>
        <v>0</v>
      </c>
      <c r="P126">
        <f>IF(AND(gamma!O3=1, VLOOKUP($A126,'40Trips'!$A$43:$I$46, 3,FALSE)=VLOOKUP(P$1,'40Trips'!$A$3:$I$42,3,FALSE)),1,0)</f>
        <v>0</v>
      </c>
      <c r="Q126">
        <f>IF(AND(gamma!P3=1, VLOOKUP($A126,'40Trips'!$A$43:$I$46, 3,FALSE)=VLOOKUP(Q$1,'40Trips'!$A$3:$I$42,3,FALSE)),1,0)</f>
        <v>0</v>
      </c>
      <c r="R126">
        <f>IF(AND(gamma!Q3=1, VLOOKUP($A126,'40Trips'!$A$43:$I$46, 3,FALSE)=VLOOKUP(R$1,'40Trips'!$A$3:$I$42,3,FALSE)),1,0)</f>
        <v>0</v>
      </c>
      <c r="S126">
        <f>IF(AND(gamma!R3=1, VLOOKUP($A126,'40Trips'!$A$43:$I$46, 3,FALSE)=VLOOKUP(S$1,'40Trips'!$A$3:$I$42,3,FALSE)),1,0)</f>
        <v>0</v>
      </c>
      <c r="T126">
        <f>IF(AND(gamma!S3=1, VLOOKUP($A126,'40Trips'!$A$43:$I$46, 3,FALSE)=VLOOKUP(T$1,'40Trips'!$A$3:$I$42,3,FALSE)),1,0)</f>
        <v>0</v>
      </c>
      <c r="U126">
        <f>IF(AND(gamma!T3=1, VLOOKUP($A126,'40Trips'!$A$43:$I$46, 3,FALSE)=VLOOKUP(U$1,'40Trips'!$A$3:$I$42,3,FALSE)),1,0)</f>
        <v>0</v>
      </c>
      <c r="V126">
        <f>IF(AND(gamma!U3=1, VLOOKUP($A126,'40Trips'!$A$43:$I$46, 3,FALSE)=VLOOKUP(V$1,'40Trips'!$A$3:$I$42,3,FALSE)),1,0)</f>
        <v>0</v>
      </c>
      <c r="W126">
        <f>IF(AND(gamma!V3=1, VLOOKUP($A126,'40Trips'!$A$43:$I$46, 3,FALSE)=VLOOKUP(W$1,'40Trips'!$A$3:$I$42,3,FALSE)),1,0)</f>
        <v>0</v>
      </c>
      <c r="X126">
        <f>IF(AND(gamma!W3=1, VLOOKUP($A126,'40Trips'!$A$43:$I$46, 3,FALSE)=VLOOKUP(X$1,'40Trips'!$A$3:$I$42,3,FALSE)),1,0)</f>
        <v>0</v>
      </c>
      <c r="Y126">
        <f>IF(AND(gamma!X3=1, VLOOKUP($A126,'40Trips'!$A$43:$I$46, 3,FALSE)=VLOOKUP(Y$1,'40Trips'!$A$3:$I$42,3,FALSE)),1,0)</f>
        <v>1</v>
      </c>
      <c r="Z126">
        <f>IF(AND(gamma!Y3=1, VLOOKUP($A126,'40Trips'!$A$43:$I$46, 3,FALSE)=VLOOKUP(Z$1,'40Trips'!$A$3:$I$42,3,FALSE)),1,0)</f>
        <v>1</v>
      </c>
      <c r="AA126">
        <f>IF(AND(gamma!Z3=1, VLOOKUP($A126,'40Trips'!$A$43:$I$46, 3,FALSE)=VLOOKUP(AA$1,'40Trips'!$A$3:$I$42,3,FALSE)),1,0)</f>
        <v>1</v>
      </c>
      <c r="AB126">
        <f>IF(AND(gamma!AA3=1, VLOOKUP($A126,'40Trips'!$A$43:$I$46, 3,FALSE)=VLOOKUP(AB$1,'40Trips'!$A$3:$I$42,3,FALSE)),1,0)</f>
        <v>0</v>
      </c>
      <c r="AC126">
        <f>IF(AND(gamma!AB3=1, VLOOKUP($A126,'40Trips'!$A$43:$I$46, 3,FALSE)=VLOOKUP(AC$1,'40Trips'!$A$3:$I$42,3,FALSE)),1,0)</f>
        <v>0</v>
      </c>
      <c r="AD126">
        <f>IF(AND(gamma!AC3=1, VLOOKUP($A126,'40Trips'!$A$43:$I$46, 3,FALSE)=VLOOKUP(AD$1,'40Trips'!$A$3:$I$42,3,FALSE)),1,0)</f>
        <v>1</v>
      </c>
      <c r="AE126">
        <f>IF(AND(gamma!AD3=1, VLOOKUP($A126,'40Trips'!$A$43:$I$46, 3,FALSE)=VLOOKUP(AE$1,'40Trips'!$A$3:$I$42,3,FALSE)),1,0)</f>
        <v>1</v>
      </c>
      <c r="AF126">
        <f>IF(AND(gamma!AE3=1, VLOOKUP($A126,'40Trips'!$A$43:$I$46, 3,FALSE)=VLOOKUP(AF$1,'40Trips'!$A$3:$I$42,3,FALSE)),1,0)</f>
        <v>0</v>
      </c>
      <c r="AG126">
        <f>IF(AND(gamma!AF3=1, VLOOKUP($A126,'40Trips'!$A$43:$I$46, 3,FALSE)=VLOOKUP(AG$1,'40Trips'!$A$3:$I$42,3,FALSE)),1,0)</f>
        <v>0</v>
      </c>
      <c r="AH126">
        <f>IF(AND(gamma!AG3=1, VLOOKUP($A126,'40Trips'!$A$43:$I$46, 3,FALSE)=VLOOKUP(AH$1,'40Trips'!$A$3:$I$42,3,FALSE)),1,0)</f>
        <v>0</v>
      </c>
      <c r="AI126">
        <f>IF(AND(gamma!AH3=1, VLOOKUP($A126,'40Trips'!$A$43:$I$46, 3,FALSE)=VLOOKUP(AI$1,'40Trips'!$A$3:$I$42,3,FALSE)),1,0)</f>
        <v>1</v>
      </c>
      <c r="AJ126">
        <f>IF(AND(gamma!AI3=1, VLOOKUP($A126,'40Trips'!$A$43:$I$46, 3,FALSE)=VLOOKUP(AJ$1,'40Trips'!$A$3:$I$42,3,FALSE)),1,0)</f>
        <v>0</v>
      </c>
      <c r="AK126">
        <f>IF(AND(gamma!AJ3=1, VLOOKUP($A126,'40Trips'!$A$43:$I$46, 3,FALSE)=VLOOKUP(AK$1,'40Trips'!$A$3:$I$42,3,FALSE)),1,0)</f>
        <v>0</v>
      </c>
      <c r="AL126">
        <f>IF(AND(gamma!AK3=1, VLOOKUP($A126,'40Trips'!$A$43:$I$46, 3,FALSE)=VLOOKUP(AL$1,'40Trips'!$A$3:$I$42,3,FALSE)),1,0)</f>
        <v>0</v>
      </c>
      <c r="AM126">
        <f>IF(AND(gamma!AL3=1, VLOOKUP($A126,'40Trips'!$A$43:$I$46, 3,FALSE)=VLOOKUP(AM$1,'40Trips'!$A$3:$I$42,3,FALSE)),1,0)</f>
        <v>0</v>
      </c>
      <c r="AN126">
        <f>IF(AND(gamma!AM3=1, VLOOKUP($A126,'40Trips'!$A$43:$I$46, 3,FALSE)=VLOOKUP(AN$1,'40Trips'!$A$3:$I$42,3,FALSE)),1,0)</f>
        <v>0</v>
      </c>
      <c r="AO126">
        <f>IF(AND(gamma!AN3=1, VLOOKUP($A126,'40Trips'!$A$43:$I$46, 3,FALSE)=VLOOKUP(AO$1,'40Trips'!$A$3:$I$42,3,FALSE)),1,0)</f>
        <v>0</v>
      </c>
      <c r="AP126">
        <f>IF(AND(gamma!AO3=1, VLOOKUP($A126,'40Trips'!$A$43:$I$46, 3,FALSE)=VLOOKUP(AP$1,'40Trips'!$A$3:$I$42,3,FALSE)),1,0)</f>
        <v>0</v>
      </c>
      <c r="AQ126">
        <f>IF(AND(gamma!AP3=1, VLOOKUP($A126,'40Trips'!$A$43:$I$46, 3,FALSE)=VLOOKUP(AQ$1,'40Trips'!$A$3:$I$42,3,FALSE)),1,0)</f>
        <v>0</v>
      </c>
    </row>
    <row r="127" spans="1:43" x14ac:dyDescent="0.25">
      <c r="A127" t="s">
        <v>68</v>
      </c>
      <c r="B127" t="s">
        <v>9</v>
      </c>
      <c r="C127">
        <v>0</v>
      </c>
      <c r="D127">
        <f>IF(AND(gamma!C4=1, VLOOKUP($A127,'40Trips'!$A$43:$I$46, 3,FALSE)=VLOOKUP(D$1,'40Trips'!$A$3:$I$42,3,FALSE)),1,0)</f>
        <v>0</v>
      </c>
      <c r="E127">
        <f>IF(AND(gamma!D4=1, VLOOKUP($A127,'40Trips'!$A$43:$I$46, 3,FALSE)=VLOOKUP(E$1,'40Trips'!$A$3:$I$42,3,FALSE)),1,0)</f>
        <v>0</v>
      </c>
      <c r="F127">
        <f>IF(AND(gamma!E4=1, VLOOKUP($A127,'40Trips'!$A$43:$I$46, 3,FALSE)=VLOOKUP(F$1,'40Trips'!$A$3:$I$42,3,FALSE)),1,0)</f>
        <v>0</v>
      </c>
      <c r="G127">
        <f>IF(AND(gamma!F4=1, VLOOKUP($A127,'40Trips'!$A$43:$I$46, 3,FALSE)=VLOOKUP(G$1,'40Trips'!$A$3:$I$42,3,FALSE)),1,0)</f>
        <v>0</v>
      </c>
      <c r="H127">
        <f>IF(AND(gamma!G4=1, VLOOKUP($A127,'40Trips'!$A$43:$I$46, 3,FALSE)=VLOOKUP(H$1,'40Trips'!$A$3:$I$42,3,FALSE)),1,0)</f>
        <v>0</v>
      </c>
      <c r="I127">
        <f>IF(AND(gamma!H4=1, VLOOKUP($A127,'40Trips'!$A$43:$I$46, 3,FALSE)=VLOOKUP(I$1,'40Trips'!$A$3:$I$42,3,FALSE)),1,0)</f>
        <v>0</v>
      </c>
      <c r="J127">
        <f>IF(AND(gamma!I4=1, VLOOKUP($A127,'40Trips'!$A$43:$I$46, 3,FALSE)=VLOOKUP(J$1,'40Trips'!$A$3:$I$42,3,FALSE)),1,0)</f>
        <v>0</v>
      </c>
      <c r="K127">
        <f>IF(AND(gamma!J4=1, VLOOKUP($A127,'40Trips'!$A$43:$I$46, 3,FALSE)=VLOOKUP(K$1,'40Trips'!$A$3:$I$42,3,FALSE)),1,0)</f>
        <v>0</v>
      </c>
      <c r="L127">
        <f>IF(AND(gamma!K4=1, VLOOKUP($A127,'40Trips'!$A$43:$I$46, 3,FALSE)=VLOOKUP(L$1,'40Trips'!$A$3:$I$42,3,FALSE)),1,0)</f>
        <v>0</v>
      </c>
      <c r="M127">
        <f>IF(AND(gamma!L4=1, VLOOKUP($A127,'40Trips'!$A$43:$I$46, 3,FALSE)=VLOOKUP(M$1,'40Trips'!$A$3:$I$42,3,FALSE)),1,0)</f>
        <v>0</v>
      </c>
      <c r="N127">
        <f>IF(AND(gamma!M4=1, VLOOKUP($A127,'40Trips'!$A$43:$I$46, 3,FALSE)=VLOOKUP(N$1,'40Trips'!$A$3:$I$42,3,FALSE)),1,0)</f>
        <v>0</v>
      </c>
      <c r="O127">
        <f>IF(AND(gamma!N4=1, VLOOKUP($A127,'40Trips'!$A$43:$I$46, 3,FALSE)=VLOOKUP(O$1,'40Trips'!$A$3:$I$42,3,FALSE)),1,0)</f>
        <v>0</v>
      </c>
      <c r="P127">
        <f>IF(AND(gamma!O4=1, VLOOKUP($A127,'40Trips'!$A$43:$I$46, 3,FALSE)=VLOOKUP(P$1,'40Trips'!$A$3:$I$42,3,FALSE)),1,0)</f>
        <v>0</v>
      </c>
      <c r="Q127">
        <f>IF(AND(gamma!P4=1, VLOOKUP($A127,'40Trips'!$A$43:$I$46, 3,FALSE)=VLOOKUP(Q$1,'40Trips'!$A$3:$I$42,3,FALSE)),1,0)</f>
        <v>0</v>
      </c>
      <c r="R127">
        <f>IF(AND(gamma!Q4=1, VLOOKUP($A127,'40Trips'!$A$43:$I$46, 3,FALSE)=VLOOKUP(R$1,'40Trips'!$A$3:$I$42,3,FALSE)),1,0)</f>
        <v>0</v>
      </c>
      <c r="S127">
        <f>IF(AND(gamma!R4=1, VLOOKUP($A127,'40Trips'!$A$43:$I$46, 3,FALSE)=VLOOKUP(S$1,'40Trips'!$A$3:$I$42,3,FALSE)),1,0)</f>
        <v>0</v>
      </c>
      <c r="T127">
        <f>IF(AND(gamma!S4=1, VLOOKUP($A127,'40Trips'!$A$43:$I$46, 3,FALSE)=VLOOKUP(T$1,'40Trips'!$A$3:$I$42,3,FALSE)),1,0)</f>
        <v>0</v>
      </c>
      <c r="U127">
        <f>IF(AND(gamma!T4=1, VLOOKUP($A127,'40Trips'!$A$43:$I$46, 3,FALSE)=VLOOKUP(U$1,'40Trips'!$A$3:$I$42,3,FALSE)),1,0)</f>
        <v>0</v>
      </c>
      <c r="V127">
        <f>IF(AND(gamma!U4=1, VLOOKUP($A127,'40Trips'!$A$43:$I$46, 3,FALSE)=VLOOKUP(V$1,'40Trips'!$A$3:$I$42,3,FALSE)),1,0)</f>
        <v>0</v>
      </c>
      <c r="W127">
        <f>IF(AND(gamma!V4=1, VLOOKUP($A127,'40Trips'!$A$43:$I$46, 3,FALSE)=VLOOKUP(W$1,'40Trips'!$A$3:$I$42,3,FALSE)),1,0)</f>
        <v>0</v>
      </c>
      <c r="X127">
        <f>IF(AND(gamma!W4=1, VLOOKUP($A127,'40Trips'!$A$43:$I$46, 3,FALSE)=VLOOKUP(X$1,'40Trips'!$A$3:$I$42,3,FALSE)),1,0)</f>
        <v>0</v>
      </c>
      <c r="Y127">
        <f>IF(AND(gamma!X4=1, VLOOKUP($A127,'40Trips'!$A$43:$I$46, 3,FALSE)=VLOOKUP(Y$1,'40Trips'!$A$3:$I$42,3,FALSE)),1,0)</f>
        <v>0</v>
      </c>
      <c r="Z127">
        <f>IF(AND(gamma!Y4=1, VLOOKUP($A127,'40Trips'!$A$43:$I$46, 3,FALSE)=VLOOKUP(Z$1,'40Trips'!$A$3:$I$42,3,FALSE)),1,0)</f>
        <v>0</v>
      </c>
      <c r="AA127">
        <f>IF(AND(gamma!Z4=1, VLOOKUP($A127,'40Trips'!$A$43:$I$46, 3,FALSE)=VLOOKUP(AA$1,'40Trips'!$A$3:$I$42,3,FALSE)),1,0)</f>
        <v>1</v>
      </c>
      <c r="AB127">
        <f>IF(AND(gamma!AA4=1, VLOOKUP($A127,'40Trips'!$A$43:$I$46, 3,FALSE)=VLOOKUP(AB$1,'40Trips'!$A$3:$I$42,3,FALSE)),1,0)</f>
        <v>0</v>
      </c>
      <c r="AC127">
        <f>IF(AND(gamma!AB4=1, VLOOKUP($A127,'40Trips'!$A$43:$I$46, 3,FALSE)=VLOOKUP(AC$1,'40Trips'!$A$3:$I$42,3,FALSE)),1,0)</f>
        <v>0</v>
      </c>
      <c r="AD127">
        <f>IF(AND(gamma!AC4=1, VLOOKUP($A127,'40Trips'!$A$43:$I$46, 3,FALSE)=VLOOKUP(AD$1,'40Trips'!$A$3:$I$42,3,FALSE)),1,0)</f>
        <v>1</v>
      </c>
      <c r="AE127">
        <f>IF(AND(gamma!AD4=1, VLOOKUP($A127,'40Trips'!$A$43:$I$46, 3,FALSE)=VLOOKUP(AE$1,'40Trips'!$A$3:$I$42,3,FALSE)),1,0)</f>
        <v>1</v>
      </c>
      <c r="AF127">
        <f>IF(AND(gamma!AE4=1, VLOOKUP($A127,'40Trips'!$A$43:$I$46, 3,FALSE)=VLOOKUP(AF$1,'40Trips'!$A$3:$I$42,3,FALSE)),1,0)</f>
        <v>0</v>
      </c>
      <c r="AG127">
        <f>IF(AND(gamma!AF4=1, VLOOKUP($A127,'40Trips'!$A$43:$I$46, 3,FALSE)=VLOOKUP(AG$1,'40Trips'!$A$3:$I$42,3,FALSE)),1,0)</f>
        <v>0</v>
      </c>
      <c r="AH127">
        <f>IF(AND(gamma!AG4=1, VLOOKUP($A127,'40Trips'!$A$43:$I$46, 3,FALSE)=VLOOKUP(AH$1,'40Trips'!$A$3:$I$42,3,FALSE)),1,0)</f>
        <v>0</v>
      </c>
      <c r="AI127">
        <f>IF(AND(gamma!AH4=1, VLOOKUP($A127,'40Trips'!$A$43:$I$46, 3,FALSE)=VLOOKUP(AI$1,'40Trips'!$A$3:$I$42,3,FALSE)),1,0)</f>
        <v>0</v>
      </c>
      <c r="AJ127">
        <f>IF(AND(gamma!AI4=1, VLOOKUP($A127,'40Trips'!$A$43:$I$46, 3,FALSE)=VLOOKUP(AJ$1,'40Trips'!$A$3:$I$42,3,FALSE)),1,0)</f>
        <v>0</v>
      </c>
      <c r="AK127">
        <f>IF(AND(gamma!AJ4=1, VLOOKUP($A127,'40Trips'!$A$43:$I$46, 3,FALSE)=VLOOKUP(AK$1,'40Trips'!$A$3:$I$42,3,FALSE)),1,0)</f>
        <v>0</v>
      </c>
      <c r="AL127">
        <f>IF(AND(gamma!AK4=1, VLOOKUP($A127,'40Trips'!$A$43:$I$46, 3,FALSE)=VLOOKUP(AL$1,'40Trips'!$A$3:$I$42,3,FALSE)),1,0)</f>
        <v>0</v>
      </c>
      <c r="AM127">
        <f>IF(AND(gamma!AL4=1, VLOOKUP($A127,'40Trips'!$A$43:$I$46, 3,FALSE)=VLOOKUP(AM$1,'40Trips'!$A$3:$I$42,3,FALSE)),1,0)</f>
        <v>0</v>
      </c>
      <c r="AN127">
        <f>IF(AND(gamma!AM4=1, VLOOKUP($A127,'40Trips'!$A$43:$I$46, 3,FALSE)=VLOOKUP(AN$1,'40Trips'!$A$3:$I$42,3,FALSE)),1,0)</f>
        <v>0</v>
      </c>
      <c r="AO127">
        <f>IF(AND(gamma!AN4=1, VLOOKUP($A127,'40Trips'!$A$43:$I$46, 3,FALSE)=VLOOKUP(AO$1,'40Trips'!$A$3:$I$42,3,FALSE)),1,0)</f>
        <v>0</v>
      </c>
      <c r="AP127">
        <f>IF(AND(gamma!AO4=1, VLOOKUP($A127,'40Trips'!$A$43:$I$46, 3,FALSE)=VLOOKUP(AP$1,'40Trips'!$A$3:$I$42,3,FALSE)),1,0)</f>
        <v>0</v>
      </c>
      <c r="AQ127">
        <f>IF(AND(gamma!AP4=1, VLOOKUP($A127,'40Trips'!$A$43:$I$46, 3,FALSE)=VLOOKUP(AQ$1,'40Trips'!$A$3:$I$42,3,FALSE)),1,0)</f>
        <v>0</v>
      </c>
    </row>
    <row r="128" spans="1:43" x14ac:dyDescent="0.25">
      <c r="A128" t="s">
        <v>68</v>
      </c>
      <c r="B128" t="s">
        <v>10</v>
      </c>
      <c r="C128">
        <v>0</v>
      </c>
      <c r="D128">
        <f>IF(AND(gamma!C5=1, VLOOKUP($A128,'40Trips'!$A$43:$I$46, 3,FALSE)=VLOOKUP(D$1,'40Trips'!$A$3:$I$42,3,FALSE)),1,0)</f>
        <v>0</v>
      </c>
      <c r="E128">
        <f>IF(AND(gamma!D5=1, VLOOKUP($A128,'40Trips'!$A$43:$I$46, 3,FALSE)=VLOOKUP(E$1,'40Trips'!$A$3:$I$42,3,FALSE)),1,0)</f>
        <v>0</v>
      </c>
      <c r="F128">
        <f>IF(AND(gamma!E5=1, VLOOKUP($A128,'40Trips'!$A$43:$I$46, 3,FALSE)=VLOOKUP(F$1,'40Trips'!$A$3:$I$42,3,FALSE)),1,0)</f>
        <v>0</v>
      </c>
      <c r="G128">
        <f>IF(AND(gamma!F5=1, VLOOKUP($A128,'40Trips'!$A$43:$I$46, 3,FALSE)=VLOOKUP(G$1,'40Trips'!$A$3:$I$42,3,FALSE)),1,0)</f>
        <v>0</v>
      </c>
      <c r="H128">
        <f>IF(AND(gamma!G5=1, VLOOKUP($A128,'40Trips'!$A$43:$I$46, 3,FALSE)=VLOOKUP(H$1,'40Trips'!$A$3:$I$42,3,FALSE)),1,0)</f>
        <v>0</v>
      </c>
      <c r="I128">
        <f>IF(AND(gamma!H5=1, VLOOKUP($A128,'40Trips'!$A$43:$I$46, 3,FALSE)=VLOOKUP(I$1,'40Trips'!$A$3:$I$42,3,FALSE)),1,0)</f>
        <v>0</v>
      </c>
      <c r="J128">
        <f>IF(AND(gamma!I5=1, VLOOKUP($A128,'40Trips'!$A$43:$I$46, 3,FALSE)=VLOOKUP(J$1,'40Trips'!$A$3:$I$42,3,FALSE)),1,0)</f>
        <v>0</v>
      </c>
      <c r="K128">
        <f>IF(AND(gamma!J5=1, VLOOKUP($A128,'40Trips'!$A$43:$I$46, 3,FALSE)=VLOOKUP(K$1,'40Trips'!$A$3:$I$42,3,FALSE)),1,0)</f>
        <v>0</v>
      </c>
      <c r="L128">
        <f>IF(AND(gamma!K5=1, VLOOKUP($A128,'40Trips'!$A$43:$I$46, 3,FALSE)=VLOOKUP(L$1,'40Trips'!$A$3:$I$42,3,FALSE)),1,0)</f>
        <v>0</v>
      </c>
      <c r="M128">
        <f>IF(AND(gamma!L5=1, VLOOKUP($A128,'40Trips'!$A$43:$I$46, 3,FALSE)=VLOOKUP(M$1,'40Trips'!$A$3:$I$42,3,FALSE)),1,0)</f>
        <v>0</v>
      </c>
      <c r="N128">
        <f>IF(AND(gamma!M5=1, VLOOKUP($A128,'40Trips'!$A$43:$I$46, 3,FALSE)=VLOOKUP(N$1,'40Trips'!$A$3:$I$42,3,FALSE)),1,0)</f>
        <v>0</v>
      </c>
      <c r="O128">
        <f>IF(AND(gamma!N5=1, VLOOKUP($A128,'40Trips'!$A$43:$I$46, 3,FALSE)=VLOOKUP(O$1,'40Trips'!$A$3:$I$42,3,FALSE)),1,0)</f>
        <v>0</v>
      </c>
      <c r="P128">
        <f>IF(AND(gamma!O5=1, VLOOKUP($A128,'40Trips'!$A$43:$I$46, 3,FALSE)=VLOOKUP(P$1,'40Trips'!$A$3:$I$42,3,FALSE)),1,0)</f>
        <v>0</v>
      </c>
      <c r="Q128">
        <f>IF(AND(gamma!P5=1, VLOOKUP($A128,'40Trips'!$A$43:$I$46, 3,FALSE)=VLOOKUP(Q$1,'40Trips'!$A$3:$I$42,3,FALSE)),1,0)</f>
        <v>0</v>
      </c>
      <c r="R128">
        <f>IF(AND(gamma!Q5=1, VLOOKUP($A128,'40Trips'!$A$43:$I$46, 3,FALSE)=VLOOKUP(R$1,'40Trips'!$A$3:$I$42,3,FALSE)),1,0)</f>
        <v>0</v>
      </c>
      <c r="S128">
        <f>IF(AND(gamma!R5=1, VLOOKUP($A128,'40Trips'!$A$43:$I$46, 3,FALSE)=VLOOKUP(S$1,'40Trips'!$A$3:$I$42,3,FALSE)),1,0)</f>
        <v>0</v>
      </c>
      <c r="T128">
        <f>IF(AND(gamma!S5=1, VLOOKUP($A128,'40Trips'!$A$43:$I$46, 3,FALSE)=VLOOKUP(T$1,'40Trips'!$A$3:$I$42,3,FALSE)),1,0)</f>
        <v>0</v>
      </c>
      <c r="U128">
        <f>IF(AND(gamma!T5=1, VLOOKUP($A128,'40Trips'!$A$43:$I$46, 3,FALSE)=VLOOKUP(U$1,'40Trips'!$A$3:$I$42,3,FALSE)),1,0)</f>
        <v>0</v>
      </c>
      <c r="V128">
        <f>IF(AND(gamma!U5=1, VLOOKUP($A128,'40Trips'!$A$43:$I$46, 3,FALSE)=VLOOKUP(V$1,'40Trips'!$A$3:$I$42,3,FALSE)),1,0)</f>
        <v>0</v>
      </c>
      <c r="W128">
        <f>IF(AND(gamma!V5=1, VLOOKUP($A128,'40Trips'!$A$43:$I$46, 3,FALSE)=VLOOKUP(W$1,'40Trips'!$A$3:$I$42,3,FALSE)),1,0)</f>
        <v>0</v>
      </c>
      <c r="X128">
        <f>IF(AND(gamma!W5=1, VLOOKUP($A128,'40Trips'!$A$43:$I$46, 3,FALSE)=VLOOKUP(X$1,'40Trips'!$A$3:$I$42,3,FALSE)),1,0)</f>
        <v>0</v>
      </c>
      <c r="Y128">
        <f>IF(AND(gamma!X5=1, VLOOKUP($A128,'40Trips'!$A$43:$I$46, 3,FALSE)=VLOOKUP(Y$1,'40Trips'!$A$3:$I$42,3,FALSE)),1,0)</f>
        <v>0</v>
      </c>
      <c r="Z128">
        <f>IF(AND(gamma!Y5=1, VLOOKUP($A128,'40Trips'!$A$43:$I$46, 3,FALSE)=VLOOKUP(Z$1,'40Trips'!$A$3:$I$42,3,FALSE)),1,0)</f>
        <v>0</v>
      </c>
      <c r="AA128">
        <f>IF(AND(gamma!Z5=1, VLOOKUP($A128,'40Trips'!$A$43:$I$46, 3,FALSE)=VLOOKUP(AA$1,'40Trips'!$A$3:$I$42,3,FALSE)),1,0)</f>
        <v>0</v>
      </c>
      <c r="AB128">
        <f>IF(AND(gamma!AA5=1, VLOOKUP($A128,'40Trips'!$A$43:$I$46, 3,FALSE)=VLOOKUP(AB$1,'40Trips'!$A$3:$I$42,3,FALSE)),1,0)</f>
        <v>0</v>
      </c>
      <c r="AC128">
        <f>IF(AND(gamma!AB5=1, VLOOKUP($A128,'40Trips'!$A$43:$I$46, 3,FALSE)=VLOOKUP(AC$1,'40Trips'!$A$3:$I$42,3,FALSE)),1,0)</f>
        <v>0</v>
      </c>
      <c r="AD128">
        <f>IF(AND(gamma!AC5=1, VLOOKUP($A128,'40Trips'!$A$43:$I$46, 3,FALSE)=VLOOKUP(AD$1,'40Trips'!$A$3:$I$42,3,FALSE)),1,0)</f>
        <v>0</v>
      </c>
      <c r="AE128">
        <f>IF(AND(gamma!AD5=1, VLOOKUP($A128,'40Trips'!$A$43:$I$46, 3,FALSE)=VLOOKUP(AE$1,'40Trips'!$A$3:$I$42,3,FALSE)),1,0)</f>
        <v>0</v>
      </c>
      <c r="AF128">
        <f>IF(AND(gamma!AE5=1, VLOOKUP($A128,'40Trips'!$A$43:$I$46, 3,FALSE)=VLOOKUP(AF$1,'40Trips'!$A$3:$I$42,3,FALSE)),1,0)</f>
        <v>0</v>
      </c>
      <c r="AG128">
        <f>IF(AND(gamma!AF5=1, VLOOKUP($A128,'40Trips'!$A$43:$I$46, 3,FALSE)=VLOOKUP(AG$1,'40Trips'!$A$3:$I$42,3,FALSE)),1,0)</f>
        <v>0</v>
      </c>
      <c r="AH128">
        <f>IF(AND(gamma!AG5=1, VLOOKUP($A128,'40Trips'!$A$43:$I$46, 3,FALSE)=VLOOKUP(AH$1,'40Trips'!$A$3:$I$42,3,FALSE)),1,0)</f>
        <v>0</v>
      </c>
      <c r="AI128">
        <f>IF(AND(gamma!AH5=1, VLOOKUP($A128,'40Trips'!$A$43:$I$46, 3,FALSE)=VLOOKUP(AI$1,'40Trips'!$A$3:$I$42,3,FALSE)),1,0)</f>
        <v>0</v>
      </c>
      <c r="AJ128">
        <f>IF(AND(gamma!AI5=1, VLOOKUP($A128,'40Trips'!$A$43:$I$46, 3,FALSE)=VLOOKUP(AJ$1,'40Trips'!$A$3:$I$42,3,FALSE)),1,0)</f>
        <v>0</v>
      </c>
      <c r="AK128">
        <f>IF(AND(gamma!AJ5=1, VLOOKUP($A128,'40Trips'!$A$43:$I$46, 3,FALSE)=VLOOKUP(AK$1,'40Trips'!$A$3:$I$42,3,FALSE)),1,0)</f>
        <v>0</v>
      </c>
      <c r="AL128">
        <f>IF(AND(gamma!AK5=1, VLOOKUP($A128,'40Trips'!$A$43:$I$46, 3,FALSE)=VLOOKUP(AL$1,'40Trips'!$A$3:$I$42,3,FALSE)),1,0)</f>
        <v>0</v>
      </c>
      <c r="AM128">
        <f>IF(AND(gamma!AL5=1, VLOOKUP($A128,'40Trips'!$A$43:$I$46, 3,FALSE)=VLOOKUP(AM$1,'40Trips'!$A$3:$I$42,3,FALSE)),1,0)</f>
        <v>0</v>
      </c>
      <c r="AN128">
        <f>IF(AND(gamma!AM5=1, VLOOKUP($A128,'40Trips'!$A$43:$I$46, 3,FALSE)=VLOOKUP(AN$1,'40Trips'!$A$3:$I$42,3,FALSE)),1,0)</f>
        <v>0</v>
      </c>
      <c r="AO128">
        <f>IF(AND(gamma!AN5=1, VLOOKUP($A128,'40Trips'!$A$43:$I$46, 3,FALSE)=VLOOKUP(AO$1,'40Trips'!$A$3:$I$42,3,FALSE)),1,0)</f>
        <v>0</v>
      </c>
      <c r="AP128">
        <f>IF(AND(gamma!AO5=1, VLOOKUP($A128,'40Trips'!$A$43:$I$46, 3,FALSE)=VLOOKUP(AP$1,'40Trips'!$A$3:$I$42,3,FALSE)),1,0)</f>
        <v>0</v>
      </c>
      <c r="AQ128">
        <f>IF(AND(gamma!AP5=1, VLOOKUP($A128,'40Trips'!$A$43:$I$46, 3,FALSE)=VLOOKUP(AQ$1,'40Trips'!$A$3:$I$42,3,FALSE)),1,0)</f>
        <v>0</v>
      </c>
    </row>
    <row r="129" spans="1:43" x14ac:dyDescent="0.25">
      <c r="A129" t="s">
        <v>68</v>
      </c>
      <c r="B129" t="s">
        <v>11</v>
      </c>
      <c r="C129">
        <v>0</v>
      </c>
      <c r="D129">
        <f>IF(AND(gamma!C6=1, VLOOKUP($A129,'40Trips'!$A$43:$I$46, 3,FALSE)=VLOOKUP(D$1,'40Trips'!$A$3:$I$42,3,FALSE)),1,0)</f>
        <v>0</v>
      </c>
      <c r="E129">
        <f>IF(AND(gamma!D6=1, VLOOKUP($A129,'40Trips'!$A$43:$I$46, 3,FALSE)=VLOOKUP(E$1,'40Trips'!$A$3:$I$42,3,FALSE)),1,0)</f>
        <v>0</v>
      </c>
      <c r="F129">
        <f>IF(AND(gamma!E6=1, VLOOKUP($A129,'40Trips'!$A$43:$I$46, 3,FALSE)=VLOOKUP(F$1,'40Trips'!$A$3:$I$42,3,FALSE)),1,0)</f>
        <v>0</v>
      </c>
      <c r="G129">
        <f>IF(AND(gamma!F6=1, VLOOKUP($A129,'40Trips'!$A$43:$I$46, 3,FALSE)=VLOOKUP(G$1,'40Trips'!$A$3:$I$42,3,FALSE)),1,0)</f>
        <v>0</v>
      </c>
      <c r="H129">
        <f>IF(AND(gamma!G6=1, VLOOKUP($A129,'40Trips'!$A$43:$I$46, 3,FALSE)=VLOOKUP(H$1,'40Trips'!$A$3:$I$42,3,FALSE)),1,0)</f>
        <v>0</v>
      </c>
      <c r="I129">
        <f>IF(AND(gamma!H6=1, VLOOKUP($A129,'40Trips'!$A$43:$I$46, 3,FALSE)=VLOOKUP(I$1,'40Trips'!$A$3:$I$42,3,FALSE)),1,0)</f>
        <v>0</v>
      </c>
      <c r="J129">
        <f>IF(AND(gamma!I6=1, VLOOKUP($A129,'40Trips'!$A$43:$I$46, 3,FALSE)=VLOOKUP(J$1,'40Trips'!$A$3:$I$42,3,FALSE)),1,0)</f>
        <v>0</v>
      </c>
      <c r="K129">
        <f>IF(AND(gamma!J6=1, VLOOKUP($A129,'40Trips'!$A$43:$I$46, 3,FALSE)=VLOOKUP(K$1,'40Trips'!$A$3:$I$42,3,FALSE)),1,0)</f>
        <v>0</v>
      </c>
      <c r="L129">
        <f>IF(AND(gamma!K6=1, VLOOKUP($A129,'40Trips'!$A$43:$I$46, 3,FALSE)=VLOOKUP(L$1,'40Trips'!$A$3:$I$42,3,FALSE)),1,0)</f>
        <v>0</v>
      </c>
      <c r="M129">
        <f>IF(AND(gamma!L6=1, VLOOKUP($A129,'40Trips'!$A$43:$I$46, 3,FALSE)=VLOOKUP(M$1,'40Trips'!$A$3:$I$42,3,FALSE)),1,0)</f>
        <v>0</v>
      </c>
      <c r="N129">
        <f>IF(AND(gamma!M6=1, VLOOKUP($A129,'40Trips'!$A$43:$I$46, 3,FALSE)=VLOOKUP(N$1,'40Trips'!$A$3:$I$42,3,FALSE)),1,0)</f>
        <v>0</v>
      </c>
      <c r="O129">
        <f>IF(AND(gamma!N6=1, VLOOKUP($A129,'40Trips'!$A$43:$I$46, 3,FALSE)=VLOOKUP(O$1,'40Trips'!$A$3:$I$42,3,FALSE)),1,0)</f>
        <v>0</v>
      </c>
      <c r="P129">
        <f>IF(AND(gamma!O6=1, VLOOKUP($A129,'40Trips'!$A$43:$I$46, 3,FALSE)=VLOOKUP(P$1,'40Trips'!$A$3:$I$42,3,FALSE)),1,0)</f>
        <v>0</v>
      </c>
      <c r="Q129">
        <f>IF(AND(gamma!P6=1, VLOOKUP($A129,'40Trips'!$A$43:$I$46, 3,FALSE)=VLOOKUP(Q$1,'40Trips'!$A$3:$I$42,3,FALSE)),1,0)</f>
        <v>0</v>
      </c>
      <c r="R129">
        <f>IF(AND(gamma!Q6=1, VLOOKUP($A129,'40Trips'!$A$43:$I$46, 3,FALSE)=VLOOKUP(R$1,'40Trips'!$A$3:$I$42,3,FALSE)),1,0)</f>
        <v>0</v>
      </c>
      <c r="S129">
        <f>IF(AND(gamma!R6=1, VLOOKUP($A129,'40Trips'!$A$43:$I$46, 3,FALSE)=VLOOKUP(S$1,'40Trips'!$A$3:$I$42,3,FALSE)),1,0)</f>
        <v>0</v>
      </c>
      <c r="T129">
        <f>IF(AND(gamma!S6=1, VLOOKUP($A129,'40Trips'!$A$43:$I$46, 3,FALSE)=VLOOKUP(T$1,'40Trips'!$A$3:$I$42,3,FALSE)),1,0)</f>
        <v>0</v>
      </c>
      <c r="U129">
        <f>IF(AND(gamma!T6=1, VLOOKUP($A129,'40Trips'!$A$43:$I$46, 3,FALSE)=VLOOKUP(U$1,'40Trips'!$A$3:$I$42,3,FALSE)),1,0)</f>
        <v>0</v>
      </c>
      <c r="V129">
        <f>IF(AND(gamma!U6=1, VLOOKUP($A129,'40Trips'!$A$43:$I$46, 3,FALSE)=VLOOKUP(V$1,'40Trips'!$A$3:$I$42,3,FALSE)),1,0)</f>
        <v>0</v>
      </c>
      <c r="W129">
        <f>IF(AND(gamma!V6=1, VLOOKUP($A129,'40Trips'!$A$43:$I$46, 3,FALSE)=VLOOKUP(W$1,'40Trips'!$A$3:$I$42,3,FALSE)),1,0)</f>
        <v>0</v>
      </c>
      <c r="X129">
        <f>IF(AND(gamma!W6=1, VLOOKUP($A129,'40Trips'!$A$43:$I$46, 3,FALSE)=VLOOKUP(X$1,'40Trips'!$A$3:$I$42,3,FALSE)),1,0)</f>
        <v>0</v>
      </c>
      <c r="Y129">
        <f>IF(AND(gamma!X6=1, VLOOKUP($A129,'40Trips'!$A$43:$I$46, 3,FALSE)=VLOOKUP(Y$1,'40Trips'!$A$3:$I$42,3,FALSE)),1,0)</f>
        <v>0</v>
      </c>
      <c r="Z129">
        <f>IF(AND(gamma!Y6=1, VLOOKUP($A129,'40Trips'!$A$43:$I$46, 3,FALSE)=VLOOKUP(Z$1,'40Trips'!$A$3:$I$42,3,FALSE)),1,0)</f>
        <v>0</v>
      </c>
      <c r="AA129">
        <f>IF(AND(gamma!Z6=1, VLOOKUP($A129,'40Trips'!$A$43:$I$46, 3,FALSE)=VLOOKUP(AA$1,'40Trips'!$A$3:$I$42,3,FALSE)),1,0)</f>
        <v>0</v>
      </c>
      <c r="AB129">
        <f>IF(AND(gamma!AA6=1, VLOOKUP($A129,'40Trips'!$A$43:$I$46, 3,FALSE)=VLOOKUP(AB$1,'40Trips'!$A$3:$I$42,3,FALSE)),1,0)</f>
        <v>0</v>
      </c>
      <c r="AC129">
        <f>IF(AND(gamma!AB6=1, VLOOKUP($A129,'40Trips'!$A$43:$I$46, 3,FALSE)=VLOOKUP(AC$1,'40Trips'!$A$3:$I$42,3,FALSE)),1,0)</f>
        <v>0</v>
      </c>
      <c r="AD129">
        <f>IF(AND(gamma!AC6=1, VLOOKUP($A129,'40Trips'!$A$43:$I$46, 3,FALSE)=VLOOKUP(AD$1,'40Trips'!$A$3:$I$42,3,FALSE)),1,0)</f>
        <v>0</v>
      </c>
      <c r="AE129">
        <f>IF(AND(gamma!AD6=1, VLOOKUP($A129,'40Trips'!$A$43:$I$46, 3,FALSE)=VLOOKUP(AE$1,'40Trips'!$A$3:$I$42,3,FALSE)),1,0)</f>
        <v>0</v>
      </c>
      <c r="AF129">
        <f>IF(AND(gamma!AE6=1, VLOOKUP($A129,'40Trips'!$A$43:$I$46, 3,FALSE)=VLOOKUP(AF$1,'40Trips'!$A$3:$I$42,3,FALSE)),1,0)</f>
        <v>0</v>
      </c>
      <c r="AG129">
        <f>IF(AND(gamma!AF6=1, VLOOKUP($A129,'40Trips'!$A$43:$I$46, 3,FALSE)=VLOOKUP(AG$1,'40Trips'!$A$3:$I$42,3,FALSE)),1,0)</f>
        <v>0</v>
      </c>
      <c r="AH129">
        <f>IF(AND(gamma!AG6=1, VLOOKUP($A129,'40Trips'!$A$43:$I$46, 3,FALSE)=VLOOKUP(AH$1,'40Trips'!$A$3:$I$42,3,FALSE)),1,0)</f>
        <v>0</v>
      </c>
      <c r="AI129">
        <f>IF(AND(gamma!AH6=1, VLOOKUP($A129,'40Trips'!$A$43:$I$46, 3,FALSE)=VLOOKUP(AI$1,'40Trips'!$A$3:$I$42,3,FALSE)),1,0)</f>
        <v>0</v>
      </c>
      <c r="AJ129">
        <f>IF(AND(gamma!AI6=1, VLOOKUP($A129,'40Trips'!$A$43:$I$46, 3,FALSE)=VLOOKUP(AJ$1,'40Trips'!$A$3:$I$42,3,FALSE)),1,0)</f>
        <v>0</v>
      </c>
      <c r="AK129">
        <f>IF(AND(gamma!AJ6=1, VLOOKUP($A129,'40Trips'!$A$43:$I$46, 3,FALSE)=VLOOKUP(AK$1,'40Trips'!$A$3:$I$42,3,FALSE)),1,0)</f>
        <v>0</v>
      </c>
      <c r="AL129">
        <f>IF(AND(gamma!AK6=1, VLOOKUP($A129,'40Trips'!$A$43:$I$46, 3,FALSE)=VLOOKUP(AL$1,'40Trips'!$A$3:$I$42,3,FALSE)),1,0)</f>
        <v>0</v>
      </c>
      <c r="AM129">
        <f>IF(AND(gamma!AL6=1, VLOOKUP($A129,'40Trips'!$A$43:$I$46, 3,FALSE)=VLOOKUP(AM$1,'40Trips'!$A$3:$I$42,3,FALSE)),1,0)</f>
        <v>0</v>
      </c>
      <c r="AN129">
        <f>IF(AND(gamma!AM6=1, VLOOKUP($A129,'40Trips'!$A$43:$I$46, 3,FALSE)=VLOOKUP(AN$1,'40Trips'!$A$3:$I$42,3,FALSE)),1,0)</f>
        <v>0</v>
      </c>
      <c r="AO129">
        <f>IF(AND(gamma!AN6=1, VLOOKUP($A129,'40Trips'!$A$43:$I$46, 3,FALSE)=VLOOKUP(AO$1,'40Trips'!$A$3:$I$42,3,FALSE)),1,0)</f>
        <v>0</v>
      </c>
      <c r="AP129">
        <f>IF(AND(gamma!AO6=1, VLOOKUP($A129,'40Trips'!$A$43:$I$46, 3,FALSE)=VLOOKUP(AP$1,'40Trips'!$A$3:$I$42,3,FALSE)),1,0)</f>
        <v>0</v>
      </c>
      <c r="AQ129">
        <f>IF(AND(gamma!AP6=1, VLOOKUP($A129,'40Trips'!$A$43:$I$46, 3,FALSE)=VLOOKUP(AQ$1,'40Trips'!$A$3:$I$42,3,FALSE)),1,0)</f>
        <v>0</v>
      </c>
    </row>
    <row r="130" spans="1:43" x14ac:dyDescent="0.25">
      <c r="A130" t="s">
        <v>68</v>
      </c>
      <c r="B130" t="s">
        <v>18</v>
      </c>
      <c r="C130">
        <v>0</v>
      </c>
      <c r="D130">
        <f>IF(AND(gamma!C7=1, VLOOKUP($A130,'40Trips'!$A$43:$I$46, 3,FALSE)=VLOOKUP(D$1,'40Trips'!$A$3:$I$42,3,FALSE)),1,0)</f>
        <v>0</v>
      </c>
      <c r="E130">
        <f>IF(AND(gamma!D7=1, VLOOKUP($A130,'40Trips'!$A$43:$I$46, 3,FALSE)=VLOOKUP(E$1,'40Trips'!$A$3:$I$42,3,FALSE)),1,0)</f>
        <v>0</v>
      </c>
      <c r="F130">
        <f>IF(AND(gamma!E7=1, VLOOKUP($A130,'40Trips'!$A$43:$I$46, 3,FALSE)=VLOOKUP(F$1,'40Trips'!$A$3:$I$42,3,FALSE)),1,0)</f>
        <v>0</v>
      </c>
      <c r="G130">
        <f>IF(AND(gamma!F7=1, VLOOKUP($A130,'40Trips'!$A$43:$I$46, 3,FALSE)=VLOOKUP(G$1,'40Trips'!$A$3:$I$42,3,FALSE)),1,0)</f>
        <v>0</v>
      </c>
      <c r="H130">
        <f>IF(AND(gamma!G7=1, VLOOKUP($A130,'40Trips'!$A$43:$I$46, 3,FALSE)=VLOOKUP(H$1,'40Trips'!$A$3:$I$42,3,FALSE)),1,0)</f>
        <v>0</v>
      </c>
      <c r="I130">
        <f>IF(AND(gamma!H7=1, VLOOKUP($A130,'40Trips'!$A$43:$I$46, 3,FALSE)=VLOOKUP(I$1,'40Trips'!$A$3:$I$42,3,FALSE)),1,0)</f>
        <v>0</v>
      </c>
      <c r="J130">
        <f>IF(AND(gamma!I7=1, VLOOKUP($A130,'40Trips'!$A$43:$I$46, 3,FALSE)=VLOOKUP(J$1,'40Trips'!$A$3:$I$42,3,FALSE)),1,0)</f>
        <v>0</v>
      </c>
      <c r="K130">
        <f>IF(AND(gamma!J7=1, VLOOKUP($A130,'40Trips'!$A$43:$I$46, 3,FALSE)=VLOOKUP(K$1,'40Trips'!$A$3:$I$42,3,FALSE)),1,0)</f>
        <v>0</v>
      </c>
      <c r="L130">
        <f>IF(AND(gamma!K7=1, VLOOKUP($A130,'40Trips'!$A$43:$I$46, 3,FALSE)=VLOOKUP(L$1,'40Trips'!$A$3:$I$42,3,FALSE)),1,0)</f>
        <v>0</v>
      </c>
      <c r="M130">
        <f>IF(AND(gamma!L7=1, VLOOKUP($A130,'40Trips'!$A$43:$I$46, 3,FALSE)=VLOOKUP(M$1,'40Trips'!$A$3:$I$42,3,FALSE)),1,0)</f>
        <v>0</v>
      </c>
      <c r="N130">
        <f>IF(AND(gamma!M7=1, VLOOKUP($A130,'40Trips'!$A$43:$I$46, 3,FALSE)=VLOOKUP(N$1,'40Trips'!$A$3:$I$42,3,FALSE)),1,0)</f>
        <v>0</v>
      </c>
      <c r="O130">
        <f>IF(AND(gamma!N7=1, VLOOKUP($A130,'40Trips'!$A$43:$I$46, 3,FALSE)=VLOOKUP(O$1,'40Trips'!$A$3:$I$42,3,FALSE)),1,0)</f>
        <v>0</v>
      </c>
      <c r="P130">
        <f>IF(AND(gamma!O7=1, VLOOKUP($A130,'40Trips'!$A$43:$I$46, 3,FALSE)=VLOOKUP(P$1,'40Trips'!$A$3:$I$42,3,FALSE)),1,0)</f>
        <v>0</v>
      </c>
      <c r="Q130">
        <f>IF(AND(gamma!P7=1, VLOOKUP($A130,'40Trips'!$A$43:$I$46, 3,FALSE)=VLOOKUP(Q$1,'40Trips'!$A$3:$I$42,3,FALSE)),1,0)</f>
        <v>0</v>
      </c>
      <c r="R130">
        <f>IF(AND(gamma!Q7=1, VLOOKUP($A130,'40Trips'!$A$43:$I$46, 3,FALSE)=VLOOKUP(R$1,'40Trips'!$A$3:$I$42,3,FALSE)),1,0)</f>
        <v>0</v>
      </c>
      <c r="S130">
        <f>IF(AND(gamma!R7=1, VLOOKUP($A130,'40Trips'!$A$43:$I$46, 3,FALSE)=VLOOKUP(S$1,'40Trips'!$A$3:$I$42,3,FALSE)),1,0)</f>
        <v>0</v>
      </c>
      <c r="T130">
        <f>IF(AND(gamma!S7=1, VLOOKUP($A130,'40Trips'!$A$43:$I$46, 3,FALSE)=VLOOKUP(T$1,'40Trips'!$A$3:$I$42,3,FALSE)),1,0)</f>
        <v>0</v>
      </c>
      <c r="U130">
        <f>IF(AND(gamma!T7=1, VLOOKUP($A130,'40Trips'!$A$43:$I$46, 3,FALSE)=VLOOKUP(U$1,'40Trips'!$A$3:$I$42,3,FALSE)),1,0)</f>
        <v>0</v>
      </c>
      <c r="V130">
        <f>IF(AND(gamma!U7=1, VLOOKUP($A130,'40Trips'!$A$43:$I$46, 3,FALSE)=VLOOKUP(V$1,'40Trips'!$A$3:$I$42,3,FALSE)),1,0)</f>
        <v>0</v>
      </c>
      <c r="W130">
        <f>IF(AND(gamma!V7=1, VLOOKUP($A130,'40Trips'!$A$43:$I$46, 3,FALSE)=VLOOKUP(W$1,'40Trips'!$A$3:$I$42,3,FALSE)),1,0)</f>
        <v>0</v>
      </c>
      <c r="X130">
        <f>IF(AND(gamma!W7=1, VLOOKUP($A130,'40Trips'!$A$43:$I$46, 3,FALSE)=VLOOKUP(X$1,'40Trips'!$A$3:$I$42,3,FALSE)),1,0)</f>
        <v>0</v>
      </c>
      <c r="Y130">
        <f>IF(AND(gamma!X7=1, VLOOKUP($A130,'40Trips'!$A$43:$I$46, 3,FALSE)=VLOOKUP(Y$1,'40Trips'!$A$3:$I$42,3,FALSE)),1,0)</f>
        <v>1</v>
      </c>
      <c r="Z130">
        <f>IF(AND(gamma!Y7=1, VLOOKUP($A130,'40Trips'!$A$43:$I$46, 3,FALSE)=VLOOKUP(Z$1,'40Trips'!$A$3:$I$42,3,FALSE)),1,0)</f>
        <v>1</v>
      </c>
      <c r="AA130">
        <f>IF(AND(gamma!Z7=1, VLOOKUP($A130,'40Trips'!$A$43:$I$46, 3,FALSE)=VLOOKUP(AA$1,'40Trips'!$A$3:$I$42,3,FALSE)),1,0)</f>
        <v>1</v>
      </c>
      <c r="AB130">
        <f>IF(AND(gamma!AA7=1, VLOOKUP($A130,'40Trips'!$A$43:$I$46, 3,FALSE)=VLOOKUP(AB$1,'40Trips'!$A$3:$I$42,3,FALSE)),1,0)</f>
        <v>0</v>
      </c>
      <c r="AC130">
        <f>IF(AND(gamma!AB7=1, VLOOKUP($A130,'40Trips'!$A$43:$I$46, 3,FALSE)=VLOOKUP(AC$1,'40Trips'!$A$3:$I$42,3,FALSE)),1,0)</f>
        <v>0</v>
      </c>
      <c r="AD130">
        <f>IF(AND(gamma!AC7=1, VLOOKUP($A130,'40Trips'!$A$43:$I$46, 3,FALSE)=VLOOKUP(AD$1,'40Trips'!$A$3:$I$42,3,FALSE)),1,0)</f>
        <v>1</v>
      </c>
      <c r="AE130">
        <f>IF(AND(gamma!AD7=1, VLOOKUP($A130,'40Trips'!$A$43:$I$46, 3,FALSE)=VLOOKUP(AE$1,'40Trips'!$A$3:$I$42,3,FALSE)),1,0)</f>
        <v>1</v>
      </c>
      <c r="AF130">
        <f>IF(AND(gamma!AE7=1, VLOOKUP($A130,'40Trips'!$A$43:$I$46, 3,FALSE)=VLOOKUP(AF$1,'40Trips'!$A$3:$I$42,3,FALSE)),1,0)</f>
        <v>0</v>
      </c>
      <c r="AG130">
        <f>IF(AND(gamma!AF7=1, VLOOKUP($A130,'40Trips'!$A$43:$I$46, 3,FALSE)=VLOOKUP(AG$1,'40Trips'!$A$3:$I$42,3,FALSE)),1,0)</f>
        <v>0</v>
      </c>
      <c r="AH130">
        <f>IF(AND(gamma!AG7=1, VLOOKUP($A130,'40Trips'!$A$43:$I$46, 3,FALSE)=VLOOKUP(AH$1,'40Trips'!$A$3:$I$42,3,FALSE)),1,0)</f>
        <v>0</v>
      </c>
      <c r="AI130">
        <f>IF(AND(gamma!AH7=1, VLOOKUP($A130,'40Trips'!$A$43:$I$46, 3,FALSE)=VLOOKUP(AI$1,'40Trips'!$A$3:$I$42,3,FALSE)),1,0)</f>
        <v>1</v>
      </c>
      <c r="AJ130">
        <f>IF(AND(gamma!AI7=1, VLOOKUP($A130,'40Trips'!$A$43:$I$46, 3,FALSE)=VLOOKUP(AJ$1,'40Trips'!$A$3:$I$42,3,FALSE)),1,0)</f>
        <v>0</v>
      </c>
      <c r="AK130">
        <f>IF(AND(gamma!AJ7=1, VLOOKUP($A130,'40Trips'!$A$43:$I$46, 3,FALSE)=VLOOKUP(AK$1,'40Trips'!$A$3:$I$42,3,FALSE)),1,0)</f>
        <v>0</v>
      </c>
      <c r="AL130">
        <f>IF(AND(gamma!AK7=1, VLOOKUP($A130,'40Trips'!$A$43:$I$46, 3,FALSE)=VLOOKUP(AL$1,'40Trips'!$A$3:$I$42,3,FALSE)),1,0)</f>
        <v>0</v>
      </c>
      <c r="AM130">
        <f>IF(AND(gamma!AL7=1, VLOOKUP($A130,'40Trips'!$A$43:$I$46, 3,FALSE)=VLOOKUP(AM$1,'40Trips'!$A$3:$I$42,3,FALSE)),1,0)</f>
        <v>0</v>
      </c>
      <c r="AN130">
        <f>IF(AND(gamma!AM7=1, VLOOKUP($A130,'40Trips'!$A$43:$I$46, 3,FALSE)=VLOOKUP(AN$1,'40Trips'!$A$3:$I$42,3,FALSE)),1,0)</f>
        <v>0</v>
      </c>
      <c r="AO130">
        <f>IF(AND(gamma!AN7=1, VLOOKUP($A130,'40Trips'!$A$43:$I$46, 3,FALSE)=VLOOKUP(AO$1,'40Trips'!$A$3:$I$42,3,FALSE)),1,0)</f>
        <v>0</v>
      </c>
      <c r="AP130">
        <f>IF(AND(gamma!AO7=1, VLOOKUP($A130,'40Trips'!$A$43:$I$46, 3,FALSE)=VLOOKUP(AP$1,'40Trips'!$A$3:$I$42,3,FALSE)),1,0)</f>
        <v>0</v>
      </c>
      <c r="AQ130">
        <f>IF(AND(gamma!AP7=1, VLOOKUP($A130,'40Trips'!$A$43:$I$46, 3,FALSE)=VLOOKUP(AQ$1,'40Trips'!$A$3:$I$42,3,FALSE)),1,0)</f>
        <v>0</v>
      </c>
    </row>
    <row r="131" spans="1:43" x14ac:dyDescent="0.25">
      <c r="A131" t="s">
        <v>68</v>
      </c>
      <c r="B131" t="s">
        <v>20</v>
      </c>
      <c r="C131">
        <v>0</v>
      </c>
      <c r="D131">
        <f>IF(AND(gamma!C8=1, VLOOKUP($A131,'40Trips'!$A$43:$I$46, 3,FALSE)=VLOOKUP(D$1,'40Trips'!$A$3:$I$42,3,FALSE)),1,0)</f>
        <v>0</v>
      </c>
      <c r="E131">
        <f>IF(AND(gamma!D8=1, VLOOKUP($A131,'40Trips'!$A$43:$I$46, 3,FALSE)=VLOOKUP(E$1,'40Trips'!$A$3:$I$42,3,FALSE)),1,0)</f>
        <v>0</v>
      </c>
      <c r="F131">
        <f>IF(AND(gamma!E8=1, VLOOKUP($A131,'40Trips'!$A$43:$I$46, 3,FALSE)=VLOOKUP(F$1,'40Trips'!$A$3:$I$42,3,FALSE)),1,0)</f>
        <v>0</v>
      </c>
      <c r="G131">
        <f>IF(AND(gamma!F8=1, VLOOKUP($A131,'40Trips'!$A$43:$I$46, 3,FALSE)=VLOOKUP(G$1,'40Trips'!$A$3:$I$42,3,FALSE)),1,0)</f>
        <v>0</v>
      </c>
      <c r="H131">
        <f>IF(AND(gamma!G8=1, VLOOKUP($A131,'40Trips'!$A$43:$I$46, 3,FALSE)=VLOOKUP(H$1,'40Trips'!$A$3:$I$42,3,FALSE)),1,0)</f>
        <v>0</v>
      </c>
      <c r="I131">
        <f>IF(AND(gamma!H8=1, VLOOKUP($A131,'40Trips'!$A$43:$I$46, 3,FALSE)=VLOOKUP(I$1,'40Trips'!$A$3:$I$42,3,FALSE)),1,0)</f>
        <v>0</v>
      </c>
      <c r="J131">
        <f>IF(AND(gamma!I8=1, VLOOKUP($A131,'40Trips'!$A$43:$I$46, 3,FALSE)=VLOOKUP(J$1,'40Trips'!$A$3:$I$42,3,FALSE)),1,0)</f>
        <v>0</v>
      </c>
      <c r="K131">
        <f>IF(AND(gamma!J8=1, VLOOKUP($A131,'40Trips'!$A$43:$I$46, 3,FALSE)=VLOOKUP(K$1,'40Trips'!$A$3:$I$42,3,FALSE)),1,0)</f>
        <v>0</v>
      </c>
      <c r="L131">
        <f>IF(AND(gamma!K8=1, VLOOKUP($A131,'40Trips'!$A$43:$I$46, 3,FALSE)=VLOOKUP(L$1,'40Trips'!$A$3:$I$42,3,FALSE)),1,0)</f>
        <v>0</v>
      </c>
      <c r="M131">
        <f>IF(AND(gamma!L8=1, VLOOKUP($A131,'40Trips'!$A$43:$I$46, 3,FALSE)=VLOOKUP(M$1,'40Trips'!$A$3:$I$42,3,FALSE)),1,0)</f>
        <v>0</v>
      </c>
      <c r="N131">
        <f>IF(AND(gamma!M8=1, VLOOKUP($A131,'40Trips'!$A$43:$I$46, 3,FALSE)=VLOOKUP(N$1,'40Trips'!$A$3:$I$42,3,FALSE)),1,0)</f>
        <v>0</v>
      </c>
      <c r="O131">
        <f>IF(AND(gamma!N8=1, VLOOKUP($A131,'40Trips'!$A$43:$I$46, 3,FALSE)=VLOOKUP(O$1,'40Trips'!$A$3:$I$42,3,FALSE)),1,0)</f>
        <v>0</v>
      </c>
      <c r="P131">
        <f>IF(AND(gamma!O8=1, VLOOKUP($A131,'40Trips'!$A$43:$I$46, 3,FALSE)=VLOOKUP(P$1,'40Trips'!$A$3:$I$42,3,FALSE)),1,0)</f>
        <v>0</v>
      </c>
      <c r="Q131">
        <f>IF(AND(gamma!P8=1, VLOOKUP($A131,'40Trips'!$A$43:$I$46, 3,FALSE)=VLOOKUP(Q$1,'40Trips'!$A$3:$I$42,3,FALSE)),1,0)</f>
        <v>0</v>
      </c>
      <c r="R131">
        <f>IF(AND(gamma!Q8=1, VLOOKUP($A131,'40Trips'!$A$43:$I$46, 3,FALSE)=VLOOKUP(R$1,'40Trips'!$A$3:$I$42,3,FALSE)),1,0)</f>
        <v>0</v>
      </c>
      <c r="S131">
        <f>IF(AND(gamma!R8=1, VLOOKUP($A131,'40Trips'!$A$43:$I$46, 3,FALSE)=VLOOKUP(S$1,'40Trips'!$A$3:$I$42,3,FALSE)),1,0)</f>
        <v>0</v>
      </c>
      <c r="T131">
        <f>IF(AND(gamma!S8=1, VLOOKUP($A131,'40Trips'!$A$43:$I$46, 3,FALSE)=VLOOKUP(T$1,'40Trips'!$A$3:$I$42,3,FALSE)),1,0)</f>
        <v>0</v>
      </c>
      <c r="U131">
        <f>IF(AND(gamma!T8=1, VLOOKUP($A131,'40Trips'!$A$43:$I$46, 3,FALSE)=VLOOKUP(U$1,'40Trips'!$A$3:$I$42,3,FALSE)),1,0)</f>
        <v>0</v>
      </c>
      <c r="V131">
        <f>IF(AND(gamma!U8=1, VLOOKUP($A131,'40Trips'!$A$43:$I$46, 3,FALSE)=VLOOKUP(V$1,'40Trips'!$A$3:$I$42,3,FALSE)),1,0)</f>
        <v>0</v>
      </c>
      <c r="W131">
        <f>IF(AND(gamma!V8=1, VLOOKUP($A131,'40Trips'!$A$43:$I$46, 3,FALSE)=VLOOKUP(W$1,'40Trips'!$A$3:$I$42,3,FALSE)),1,0)</f>
        <v>0</v>
      </c>
      <c r="X131">
        <f>IF(AND(gamma!W8=1, VLOOKUP($A131,'40Trips'!$A$43:$I$46, 3,FALSE)=VLOOKUP(X$1,'40Trips'!$A$3:$I$42,3,FALSE)),1,0)</f>
        <v>0</v>
      </c>
      <c r="Y131">
        <f>IF(AND(gamma!X8=1, VLOOKUP($A131,'40Trips'!$A$43:$I$46, 3,FALSE)=VLOOKUP(Y$1,'40Trips'!$A$3:$I$42,3,FALSE)),1,0)</f>
        <v>0</v>
      </c>
      <c r="Z131">
        <f>IF(AND(gamma!Y8=1, VLOOKUP($A131,'40Trips'!$A$43:$I$46, 3,FALSE)=VLOOKUP(Z$1,'40Trips'!$A$3:$I$42,3,FALSE)),1,0)</f>
        <v>1</v>
      </c>
      <c r="AA131">
        <f>IF(AND(gamma!Z8=1, VLOOKUP($A131,'40Trips'!$A$43:$I$46, 3,FALSE)=VLOOKUP(AA$1,'40Trips'!$A$3:$I$42,3,FALSE)),1,0)</f>
        <v>1</v>
      </c>
      <c r="AB131">
        <f>IF(AND(gamma!AA8=1, VLOOKUP($A131,'40Trips'!$A$43:$I$46, 3,FALSE)=VLOOKUP(AB$1,'40Trips'!$A$3:$I$42,3,FALSE)),1,0)</f>
        <v>0</v>
      </c>
      <c r="AC131">
        <f>IF(AND(gamma!AB8=1, VLOOKUP($A131,'40Trips'!$A$43:$I$46, 3,FALSE)=VLOOKUP(AC$1,'40Trips'!$A$3:$I$42,3,FALSE)),1,0)</f>
        <v>0</v>
      </c>
      <c r="AD131">
        <f>IF(AND(gamma!AC8=1, VLOOKUP($A131,'40Trips'!$A$43:$I$46, 3,FALSE)=VLOOKUP(AD$1,'40Trips'!$A$3:$I$42,3,FALSE)),1,0)</f>
        <v>1</v>
      </c>
      <c r="AE131">
        <f>IF(AND(gamma!AD8=1, VLOOKUP($A131,'40Trips'!$A$43:$I$46, 3,FALSE)=VLOOKUP(AE$1,'40Trips'!$A$3:$I$42,3,FALSE)),1,0)</f>
        <v>1</v>
      </c>
      <c r="AF131">
        <f>IF(AND(gamma!AE8=1, VLOOKUP($A131,'40Trips'!$A$43:$I$46, 3,FALSE)=VLOOKUP(AF$1,'40Trips'!$A$3:$I$42,3,FALSE)),1,0)</f>
        <v>0</v>
      </c>
      <c r="AG131">
        <f>IF(AND(gamma!AF8=1, VLOOKUP($A131,'40Trips'!$A$43:$I$46, 3,FALSE)=VLOOKUP(AG$1,'40Trips'!$A$3:$I$42,3,FALSE)),1,0)</f>
        <v>0</v>
      </c>
      <c r="AH131">
        <f>IF(AND(gamma!AG8=1, VLOOKUP($A131,'40Trips'!$A$43:$I$46, 3,FALSE)=VLOOKUP(AH$1,'40Trips'!$A$3:$I$42,3,FALSE)),1,0)</f>
        <v>0</v>
      </c>
      <c r="AI131">
        <f>IF(AND(gamma!AH8=1, VLOOKUP($A131,'40Trips'!$A$43:$I$46, 3,FALSE)=VLOOKUP(AI$1,'40Trips'!$A$3:$I$42,3,FALSE)),1,0)</f>
        <v>0</v>
      </c>
      <c r="AJ131">
        <f>IF(AND(gamma!AI8=1, VLOOKUP($A131,'40Trips'!$A$43:$I$46, 3,FALSE)=VLOOKUP(AJ$1,'40Trips'!$A$3:$I$42,3,FALSE)),1,0)</f>
        <v>0</v>
      </c>
      <c r="AK131">
        <f>IF(AND(gamma!AJ8=1, VLOOKUP($A131,'40Trips'!$A$43:$I$46, 3,FALSE)=VLOOKUP(AK$1,'40Trips'!$A$3:$I$42,3,FALSE)),1,0)</f>
        <v>0</v>
      </c>
      <c r="AL131">
        <f>IF(AND(gamma!AK8=1, VLOOKUP($A131,'40Trips'!$A$43:$I$46, 3,FALSE)=VLOOKUP(AL$1,'40Trips'!$A$3:$I$42,3,FALSE)),1,0)</f>
        <v>0</v>
      </c>
      <c r="AM131">
        <f>IF(AND(gamma!AL8=1, VLOOKUP($A131,'40Trips'!$A$43:$I$46, 3,FALSE)=VLOOKUP(AM$1,'40Trips'!$A$3:$I$42,3,FALSE)),1,0)</f>
        <v>0</v>
      </c>
      <c r="AN131">
        <f>IF(AND(gamma!AM8=1, VLOOKUP($A131,'40Trips'!$A$43:$I$46, 3,FALSE)=VLOOKUP(AN$1,'40Trips'!$A$3:$I$42,3,FALSE)),1,0)</f>
        <v>0</v>
      </c>
      <c r="AO131">
        <f>IF(AND(gamma!AN8=1, VLOOKUP($A131,'40Trips'!$A$43:$I$46, 3,FALSE)=VLOOKUP(AO$1,'40Trips'!$A$3:$I$42,3,FALSE)),1,0)</f>
        <v>0</v>
      </c>
      <c r="AP131">
        <f>IF(AND(gamma!AO8=1, VLOOKUP($A131,'40Trips'!$A$43:$I$46, 3,FALSE)=VLOOKUP(AP$1,'40Trips'!$A$3:$I$42,3,FALSE)),1,0)</f>
        <v>0</v>
      </c>
      <c r="AQ131">
        <f>IF(AND(gamma!AP8=1, VLOOKUP($A131,'40Trips'!$A$43:$I$46, 3,FALSE)=VLOOKUP(AQ$1,'40Trips'!$A$3:$I$42,3,FALSE)),1,0)</f>
        <v>0</v>
      </c>
    </row>
    <row r="132" spans="1:43" x14ac:dyDescent="0.25">
      <c r="A132" t="s">
        <v>68</v>
      </c>
      <c r="B132" t="s">
        <v>21</v>
      </c>
      <c r="C132">
        <v>0</v>
      </c>
      <c r="D132">
        <f>IF(AND(gamma!C9=1, VLOOKUP($A132,'40Trips'!$A$43:$I$46, 3,FALSE)=VLOOKUP(D$1,'40Trips'!$A$3:$I$42,3,FALSE)),1,0)</f>
        <v>0</v>
      </c>
      <c r="E132">
        <f>IF(AND(gamma!D9=1, VLOOKUP($A132,'40Trips'!$A$43:$I$46, 3,FALSE)=VLOOKUP(E$1,'40Trips'!$A$3:$I$42,3,FALSE)),1,0)</f>
        <v>0</v>
      </c>
      <c r="F132">
        <f>IF(AND(gamma!E9=1, VLOOKUP($A132,'40Trips'!$A$43:$I$46, 3,FALSE)=VLOOKUP(F$1,'40Trips'!$A$3:$I$42,3,FALSE)),1,0)</f>
        <v>0</v>
      </c>
      <c r="G132">
        <f>IF(AND(gamma!F9=1, VLOOKUP($A132,'40Trips'!$A$43:$I$46, 3,FALSE)=VLOOKUP(G$1,'40Trips'!$A$3:$I$42,3,FALSE)),1,0)</f>
        <v>0</v>
      </c>
      <c r="H132">
        <f>IF(AND(gamma!G9=1, VLOOKUP($A132,'40Trips'!$A$43:$I$46, 3,FALSE)=VLOOKUP(H$1,'40Trips'!$A$3:$I$42,3,FALSE)),1,0)</f>
        <v>0</v>
      </c>
      <c r="I132">
        <f>IF(AND(gamma!H9=1, VLOOKUP($A132,'40Trips'!$A$43:$I$46, 3,FALSE)=VLOOKUP(I$1,'40Trips'!$A$3:$I$42,3,FALSE)),1,0)</f>
        <v>0</v>
      </c>
      <c r="J132">
        <f>IF(AND(gamma!I9=1, VLOOKUP($A132,'40Trips'!$A$43:$I$46, 3,FALSE)=VLOOKUP(J$1,'40Trips'!$A$3:$I$42,3,FALSE)),1,0)</f>
        <v>0</v>
      </c>
      <c r="K132">
        <f>IF(AND(gamma!J9=1, VLOOKUP($A132,'40Trips'!$A$43:$I$46, 3,FALSE)=VLOOKUP(K$1,'40Trips'!$A$3:$I$42,3,FALSE)),1,0)</f>
        <v>0</v>
      </c>
      <c r="L132">
        <f>IF(AND(gamma!K9=1, VLOOKUP($A132,'40Trips'!$A$43:$I$46, 3,FALSE)=VLOOKUP(L$1,'40Trips'!$A$3:$I$42,3,FALSE)),1,0)</f>
        <v>0</v>
      </c>
      <c r="M132">
        <f>IF(AND(gamma!L9=1, VLOOKUP($A132,'40Trips'!$A$43:$I$46, 3,FALSE)=VLOOKUP(M$1,'40Trips'!$A$3:$I$42,3,FALSE)),1,0)</f>
        <v>0</v>
      </c>
      <c r="N132">
        <f>IF(AND(gamma!M9=1, VLOOKUP($A132,'40Trips'!$A$43:$I$46, 3,FALSE)=VLOOKUP(N$1,'40Trips'!$A$3:$I$42,3,FALSE)),1,0)</f>
        <v>0</v>
      </c>
      <c r="O132">
        <f>IF(AND(gamma!N9=1, VLOOKUP($A132,'40Trips'!$A$43:$I$46, 3,FALSE)=VLOOKUP(O$1,'40Trips'!$A$3:$I$42,3,FALSE)),1,0)</f>
        <v>0</v>
      </c>
      <c r="P132">
        <f>IF(AND(gamma!O9=1, VLOOKUP($A132,'40Trips'!$A$43:$I$46, 3,FALSE)=VLOOKUP(P$1,'40Trips'!$A$3:$I$42,3,FALSE)),1,0)</f>
        <v>0</v>
      </c>
      <c r="Q132">
        <f>IF(AND(gamma!P9=1, VLOOKUP($A132,'40Trips'!$A$43:$I$46, 3,FALSE)=VLOOKUP(Q$1,'40Trips'!$A$3:$I$42,3,FALSE)),1,0)</f>
        <v>0</v>
      </c>
      <c r="R132">
        <f>IF(AND(gamma!Q9=1, VLOOKUP($A132,'40Trips'!$A$43:$I$46, 3,FALSE)=VLOOKUP(R$1,'40Trips'!$A$3:$I$42,3,FALSE)),1,0)</f>
        <v>0</v>
      </c>
      <c r="S132">
        <f>IF(AND(gamma!R9=1, VLOOKUP($A132,'40Trips'!$A$43:$I$46, 3,FALSE)=VLOOKUP(S$1,'40Trips'!$A$3:$I$42,3,FALSE)),1,0)</f>
        <v>0</v>
      </c>
      <c r="T132">
        <f>IF(AND(gamma!S9=1, VLOOKUP($A132,'40Trips'!$A$43:$I$46, 3,FALSE)=VLOOKUP(T$1,'40Trips'!$A$3:$I$42,3,FALSE)),1,0)</f>
        <v>0</v>
      </c>
      <c r="U132">
        <f>IF(AND(gamma!T9=1, VLOOKUP($A132,'40Trips'!$A$43:$I$46, 3,FALSE)=VLOOKUP(U$1,'40Trips'!$A$3:$I$42,3,FALSE)),1,0)</f>
        <v>0</v>
      </c>
      <c r="V132">
        <f>IF(AND(gamma!U9=1, VLOOKUP($A132,'40Trips'!$A$43:$I$46, 3,FALSE)=VLOOKUP(V$1,'40Trips'!$A$3:$I$42,3,FALSE)),1,0)</f>
        <v>0</v>
      </c>
      <c r="W132">
        <f>IF(AND(gamma!V9=1, VLOOKUP($A132,'40Trips'!$A$43:$I$46, 3,FALSE)=VLOOKUP(W$1,'40Trips'!$A$3:$I$42,3,FALSE)),1,0)</f>
        <v>0</v>
      </c>
      <c r="X132">
        <f>IF(AND(gamma!W9=1, VLOOKUP($A132,'40Trips'!$A$43:$I$46, 3,FALSE)=VLOOKUP(X$1,'40Trips'!$A$3:$I$42,3,FALSE)),1,0)</f>
        <v>0</v>
      </c>
      <c r="Y132">
        <f>IF(AND(gamma!X9=1, VLOOKUP($A132,'40Trips'!$A$43:$I$46, 3,FALSE)=VLOOKUP(Y$1,'40Trips'!$A$3:$I$42,3,FALSE)),1,0)</f>
        <v>0</v>
      </c>
      <c r="Z132">
        <f>IF(AND(gamma!Y9=1, VLOOKUP($A132,'40Trips'!$A$43:$I$46, 3,FALSE)=VLOOKUP(Z$1,'40Trips'!$A$3:$I$42,3,FALSE)),1,0)</f>
        <v>0</v>
      </c>
      <c r="AA132">
        <f>IF(AND(gamma!Z9=1, VLOOKUP($A132,'40Trips'!$A$43:$I$46, 3,FALSE)=VLOOKUP(AA$1,'40Trips'!$A$3:$I$42,3,FALSE)),1,0)</f>
        <v>0</v>
      </c>
      <c r="AB132">
        <f>IF(AND(gamma!AA9=1, VLOOKUP($A132,'40Trips'!$A$43:$I$46, 3,FALSE)=VLOOKUP(AB$1,'40Trips'!$A$3:$I$42,3,FALSE)),1,0)</f>
        <v>0</v>
      </c>
      <c r="AC132">
        <f>IF(AND(gamma!AB9=1, VLOOKUP($A132,'40Trips'!$A$43:$I$46, 3,FALSE)=VLOOKUP(AC$1,'40Trips'!$A$3:$I$42,3,FALSE)),1,0)</f>
        <v>0</v>
      </c>
      <c r="AD132">
        <f>IF(AND(gamma!AC9=1, VLOOKUP($A132,'40Trips'!$A$43:$I$46, 3,FALSE)=VLOOKUP(AD$1,'40Trips'!$A$3:$I$42,3,FALSE)),1,0)</f>
        <v>0</v>
      </c>
      <c r="AE132">
        <f>IF(AND(gamma!AD9=1, VLOOKUP($A132,'40Trips'!$A$43:$I$46, 3,FALSE)=VLOOKUP(AE$1,'40Trips'!$A$3:$I$42,3,FALSE)),1,0)</f>
        <v>1</v>
      </c>
      <c r="AF132">
        <f>IF(AND(gamma!AE9=1, VLOOKUP($A132,'40Trips'!$A$43:$I$46, 3,FALSE)=VLOOKUP(AF$1,'40Trips'!$A$3:$I$42,3,FALSE)),1,0)</f>
        <v>0</v>
      </c>
      <c r="AG132">
        <f>IF(AND(gamma!AF9=1, VLOOKUP($A132,'40Trips'!$A$43:$I$46, 3,FALSE)=VLOOKUP(AG$1,'40Trips'!$A$3:$I$42,3,FALSE)),1,0)</f>
        <v>0</v>
      </c>
      <c r="AH132">
        <f>IF(AND(gamma!AG9=1, VLOOKUP($A132,'40Trips'!$A$43:$I$46, 3,FALSE)=VLOOKUP(AH$1,'40Trips'!$A$3:$I$42,3,FALSE)),1,0)</f>
        <v>0</v>
      </c>
      <c r="AI132">
        <f>IF(AND(gamma!AH9=1, VLOOKUP($A132,'40Trips'!$A$43:$I$46, 3,FALSE)=VLOOKUP(AI$1,'40Trips'!$A$3:$I$42,3,FALSE)),1,0)</f>
        <v>0</v>
      </c>
      <c r="AJ132">
        <f>IF(AND(gamma!AI9=1, VLOOKUP($A132,'40Trips'!$A$43:$I$46, 3,FALSE)=VLOOKUP(AJ$1,'40Trips'!$A$3:$I$42,3,FALSE)),1,0)</f>
        <v>0</v>
      </c>
      <c r="AK132">
        <f>IF(AND(gamma!AJ9=1, VLOOKUP($A132,'40Trips'!$A$43:$I$46, 3,FALSE)=VLOOKUP(AK$1,'40Trips'!$A$3:$I$42,3,FALSE)),1,0)</f>
        <v>0</v>
      </c>
      <c r="AL132">
        <f>IF(AND(gamma!AK9=1, VLOOKUP($A132,'40Trips'!$A$43:$I$46, 3,FALSE)=VLOOKUP(AL$1,'40Trips'!$A$3:$I$42,3,FALSE)),1,0)</f>
        <v>0</v>
      </c>
      <c r="AM132">
        <f>IF(AND(gamma!AL9=1, VLOOKUP($A132,'40Trips'!$A$43:$I$46, 3,FALSE)=VLOOKUP(AM$1,'40Trips'!$A$3:$I$42,3,FALSE)),1,0)</f>
        <v>0</v>
      </c>
      <c r="AN132">
        <f>IF(AND(gamma!AM9=1, VLOOKUP($A132,'40Trips'!$A$43:$I$46, 3,FALSE)=VLOOKUP(AN$1,'40Trips'!$A$3:$I$42,3,FALSE)),1,0)</f>
        <v>0</v>
      </c>
      <c r="AO132">
        <f>IF(AND(gamma!AN9=1, VLOOKUP($A132,'40Trips'!$A$43:$I$46, 3,FALSE)=VLOOKUP(AO$1,'40Trips'!$A$3:$I$42,3,FALSE)),1,0)</f>
        <v>0</v>
      </c>
      <c r="AP132">
        <f>IF(AND(gamma!AO9=1, VLOOKUP($A132,'40Trips'!$A$43:$I$46, 3,FALSE)=VLOOKUP(AP$1,'40Trips'!$A$3:$I$42,3,FALSE)),1,0)</f>
        <v>0</v>
      </c>
      <c r="AQ132">
        <f>IF(AND(gamma!AP9=1, VLOOKUP($A132,'40Trips'!$A$43:$I$46, 3,FALSE)=VLOOKUP(AQ$1,'40Trips'!$A$3:$I$42,3,FALSE)),1,0)</f>
        <v>0</v>
      </c>
    </row>
    <row r="133" spans="1:43" x14ac:dyDescent="0.25">
      <c r="A133" t="s">
        <v>68</v>
      </c>
      <c r="B133" t="s">
        <v>22</v>
      </c>
      <c r="C133">
        <v>0</v>
      </c>
      <c r="D133">
        <f>IF(AND(gamma!C10=1, VLOOKUP($A133,'40Trips'!$A$43:$I$46, 3,FALSE)=VLOOKUP(D$1,'40Trips'!$A$3:$I$42,3,FALSE)),1,0)</f>
        <v>0</v>
      </c>
      <c r="E133">
        <f>IF(AND(gamma!D10=1, VLOOKUP($A133,'40Trips'!$A$43:$I$46, 3,FALSE)=VLOOKUP(E$1,'40Trips'!$A$3:$I$42,3,FALSE)),1,0)</f>
        <v>0</v>
      </c>
      <c r="F133">
        <f>IF(AND(gamma!E10=1, VLOOKUP($A133,'40Trips'!$A$43:$I$46, 3,FALSE)=VLOOKUP(F$1,'40Trips'!$A$3:$I$42,3,FALSE)),1,0)</f>
        <v>0</v>
      </c>
      <c r="G133">
        <f>IF(AND(gamma!F10=1, VLOOKUP($A133,'40Trips'!$A$43:$I$46, 3,FALSE)=VLOOKUP(G$1,'40Trips'!$A$3:$I$42,3,FALSE)),1,0)</f>
        <v>0</v>
      </c>
      <c r="H133">
        <f>IF(AND(gamma!G10=1, VLOOKUP($A133,'40Trips'!$A$43:$I$46, 3,FALSE)=VLOOKUP(H$1,'40Trips'!$A$3:$I$42,3,FALSE)),1,0)</f>
        <v>0</v>
      </c>
      <c r="I133">
        <f>IF(AND(gamma!H10=1, VLOOKUP($A133,'40Trips'!$A$43:$I$46, 3,FALSE)=VLOOKUP(I$1,'40Trips'!$A$3:$I$42,3,FALSE)),1,0)</f>
        <v>0</v>
      </c>
      <c r="J133">
        <f>IF(AND(gamma!I10=1, VLOOKUP($A133,'40Trips'!$A$43:$I$46, 3,FALSE)=VLOOKUP(J$1,'40Trips'!$A$3:$I$42,3,FALSE)),1,0)</f>
        <v>0</v>
      </c>
      <c r="K133">
        <f>IF(AND(gamma!J10=1, VLOOKUP($A133,'40Trips'!$A$43:$I$46, 3,FALSE)=VLOOKUP(K$1,'40Trips'!$A$3:$I$42,3,FALSE)),1,0)</f>
        <v>0</v>
      </c>
      <c r="L133">
        <f>IF(AND(gamma!K10=1, VLOOKUP($A133,'40Trips'!$A$43:$I$46, 3,FALSE)=VLOOKUP(L$1,'40Trips'!$A$3:$I$42,3,FALSE)),1,0)</f>
        <v>0</v>
      </c>
      <c r="M133">
        <f>IF(AND(gamma!L10=1, VLOOKUP($A133,'40Trips'!$A$43:$I$46, 3,FALSE)=VLOOKUP(M$1,'40Trips'!$A$3:$I$42,3,FALSE)),1,0)</f>
        <v>0</v>
      </c>
      <c r="N133">
        <f>IF(AND(gamma!M10=1, VLOOKUP($A133,'40Trips'!$A$43:$I$46, 3,FALSE)=VLOOKUP(N$1,'40Trips'!$A$3:$I$42,3,FALSE)),1,0)</f>
        <v>0</v>
      </c>
      <c r="O133">
        <f>IF(AND(gamma!N10=1, VLOOKUP($A133,'40Trips'!$A$43:$I$46, 3,FALSE)=VLOOKUP(O$1,'40Trips'!$A$3:$I$42,3,FALSE)),1,0)</f>
        <v>0</v>
      </c>
      <c r="P133">
        <f>IF(AND(gamma!O10=1, VLOOKUP($A133,'40Trips'!$A$43:$I$46, 3,FALSE)=VLOOKUP(P$1,'40Trips'!$A$3:$I$42,3,FALSE)),1,0)</f>
        <v>0</v>
      </c>
      <c r="Q133">
        <f>IF(AND(gamma!P10=1, VLOOKUP($A133,'40Trips'!$A$43:$I$46, 3,FALSE)=VLOOKUP(Q$1,'40Trips'!$A$3:$I$42,3,FALSE)),1,0)</f>
        <v>0</v>
      </c>
      <c r="R133">
        <f>IF(AND(gamma!Q10=1, VLOOKUP($A133,'40Trips'!$A$43:$I$46, 3,FALSE)=VLOOKUP(R$1,'40Trips'!$A$3:$I$42,3,FALSE)),1,0)</f>
        <v>0</v>
      </c>
      <c r="S133">
        <f>IF(AND(gamma!R10=1, VLOOKUP($A133,'40Trips'!$A$43:$I$46, 3,FALSE)=VLOOKUP(S$1,'40Trips'!$A$3:$I$42,3,FALSE)),1,0)</f>
        <v>0</v>
      </c>
      <c r="T133">
        <f>IF(AND(gamma!S10=1, VLOOKUP($A133,'40Trips'!$A$43:$I$46, 3,FALSE)=VLOOKUP(T$1,'40Trips'!$A$3:$I$42,3,FALSE)),1,0)</f>
        <v>0</v>
      </c>
      <c r="U133">
        <f>IF(AND(gamma!T10=1, VLOOKUP($A133,'40Trips'!$A$43:$I$46, 3,FALSE)=VLOOKUP(U$1,'40Trips'!$A$3:$I$42,3,FALSE)),1,0)</f>
        <v>0</v>
      </c>
      <c r="V133">
        <f>IF(AND(gamma!U10=1, VLOOKUP($A133,'40Trips'!$A$43:$I$46, 3,FALSE)=VLOOKUP(V$1,'40Trips'!$A$3:$I$42,3,FALSE)),1,0)</f>
        <v>0</v>
      </c>
      <c r="W133">
        <f>IF(AND(gamma!V10=1, VLOOKUP($A133,'40Trips'!$A$43:$I$46, 3,FALSE)=VLOOKUP(W$1,'40Trips'!$A$3:$I$42,3,FALSE)),1,0)</f>
        <v>0</v>
      </c>
      <c r="X133">
        <f>IF(AND(gamma!W10=1, VLOOKUP($A133,'40Trips'!$A$43:$I$46, 3,FALSE)=VLOOKUP(X$1,'40Trips'!$A$3:$I$42,3,FALSE)),1,0)</f>
        <v>0</v>
      </c>
      <c r="Y133">
        <f>IF(AND(gamma!X10=1, VLOOKUP($A133,'40Trips'!$A$43:$I$46, 3,FALSE)=VLOOKUP(Y$1,'40Trips'!$A$3:$I$42,3,FALSE)),1,0)</f>
        <v>0</v>
      </c>
      <c r="Z133">
        <f>IF(AND(gamma!Y10=1, VLOOKUP($A133,'40Trips'!$A$43:$I$46, 3,FALSE)=VLOOKUP(Z$1,'40Trips'!$A$3:$I$42,3,FALSE)),1,0)</f>
        <v>0</v>
      </c>
      <c r="AA133">
        <f>IF(AND(gamma!Z10=1, VLOOKUP($A133,'40Trips'!$A$43:$I$46, 3,FALSE)=VLOOKUP(AA$1,'40Trips'!$A$3:$I$42,3,FALSE)),1,0)</f>
        <v>0</v>
      </c>
      <c r="AB133">
        <f>IF(AND(gamma!AA10=1, VLOOKUP($A133,'40Trips'!$A$43:$I$46, 3,FALSE)=VLOOKUP(AB$1,'40Trips'!$A$3:$I$42,3,FALSE)),1,0)</f>
        <v>0</v>
      </c>
      <c r="AC133">
        <f>IF(AND(gamma!AB10=1, VLOOKUP($A133,'40Trips'!$A$43:$I$46, 3,FALSE)=VLOOKUP(AC$1,'40Trips'!$A$3:$I$42,3,FALSE)),1,0)</f>
        <v>0</v>
      </c>
      <c r="AD133">
        <f>IF(AND(gamma!AC10=1, VLOOKUP($A133,'40Trips'!$A$43:$I$46, 3,FALSE)=VLOOKUP(AD$1,'40Trips'!$A$3:$I$42,3,FALSE)),1,0)</f>
        <v>0</v>
      </c>
      <c r="AE133">
        <f>IF(AND(gamma!AD10=1, VLOOKUP($A133,'40Trips'!$A$43:$I$46, 3,FALSE)=VLOOKUP(AE$1,'40Trips'!$A$3:$I$42,3,FALSE)),1,0)</f>
        <v>0</v>
      </c>
      <c r="AF133">
        <f>IF(AND(gamma!AE10=1, VLOOKUP($A133,'40Trips'!$A$43:$I$46, 3,FALSE)=VLOOKUP(AF$1,'40Trips'!$A$3:$I$42,3,FALSE)),1,0)</f>
        <v>0</v>
      </c>
      <c r="AG133">
        <f>IF(AND(gamma!AF10=1, VLOOKUP($A133,'40Trips'!$A$43:$I$46, 3,FALSE)=VLOOKUP(AG$1,'40Trips'!$A$3:$I$42,3,FALSE)),1,0)</f>
        <v>0</v>
      </c>
      <c r="AH133">
        <f>IF(AND(gamma!AG10=1, VLOOKUP($A133,'40Trips'!$A$43:$I$46, 3,FALSE)=VLOOKUP(AH$1,'40Trips'!$A$3:$I$42,3,FALSE)),1,0)</f>
        <v>0</v>
      </c>
      <c r="AI133">
        <f>IF(AND(gamma!AH10=1, VLOOKUP($A133,'40Trips'!$A$43:$I$46, 3,FALSE)=VLOOKUP(AI$1,'40Trips'!$A$3:$I$42,3,FALSE)),1,0)</f>
        <v>0</v>
      </c>
      <c r="AJ133">
        <f>IF(AND(gamma!AI10=1, VLOOKUP($A133,'40Trips'!$A$43:$I$46, 3,FALSE)=VLOOKUP(AJ$1,'40Trips'!$A$3:$I$42,3,FALSE)),1,0)</f>
        <v>0</v>
      </c>
      <c r="AK133">
        <f>IF(AND(gamma!AJ10=1, VLOOKUP($A133,'40Trips'!$A$43:$I$46, 3,FALSE)=VLOOKUP(AK$1,'40Trips'!$A$3:$I$42,3,FALSE)),1,0)</f>
        <v>0</v>
      </c>
      <c r="AL133">
        <f>IF(AND(gamma!AK10=1, VLOOKUP($A133,'40Trips'!$A$43:$I$46, 3,FALSE)=VLOOKUP(AL$1,'40Trips'!$A$3:$I$42,3,FALSE)),1,0)</f>
        <v>0</v>
      </c>
      <c r="AM133">
        <f>IF(AND(gamma!AL10=1, VLOOKUP($A133,'40Trips'!$A$43:$I$46, 3,FALSE)=VLOOKUP(AM$1,'40Trips'!$A$3:$I$42,3,FALSE)),1,0)</f>
        <v>0</v>
      </c>
      <c r="AN133">
        <f>IF(AND(gamma!AM10=1, VLOOKUP($A133,'40Trips'!$A$43:$I$46, 3,FALSE)=VLOOKUP(AN$1,'40Trips'!$A$3:$I$42,3,FALSE)),1,0)</f>
        <v>0</v>
      </c>
      <c r="AO133">
        <f>IF(AND(gamma!AN10=1, VLOOKUP($A133,'40Trips'!$A$43:$I$46, 3,FALSE)=VLOOKUP(AO$1,'40Trips'!$A$3:$I$42,3,FALSE)),1,0)</f>
        <v>0</v>
      </c>
      <c r="AP133">
        <f>IF(AND(gamma!AO10=1, VLOOKUP($A133,'40Trips'!$A$43:$I$46, 3,FALSE)=VLOOKUP(AP$1,'40Trips'!$A$3:$I$42,3,FALSE)),1,0)</f>
        <v>0</v>
      </c>
      <c r="AQ133">
        <f>IF(AND(gamma!AP10=1, VLOOKUP($A133,'40Trips'!$A$43:$I$46, 3,FALSE)=VLOOKUP(AQ$1,'40Trips'!$A$3:$I$42,3,FALSE)),1,0)</f>
        <v>0</v>
      </c>
    </row>
    <row r="134" spans="1:43" x14ac:dyDescent="0.25">
      <c r="A134" t="s">
        <v>68</v>
      </c>
      <c r="B134" t="s">
        <v>24</v>
      </c>
      <c r="C134">
        <v>0</v>
      </c>
      <c r="D134">
        <f>IF(AND(gamma!C11=1, VLOOKUP($A134,'40Trips'!$A$43:$I$46, 3,FALSE)=VLOOKUP(D$1,'40Trips'!$A$3:$I$42,3,FALSE)),1,0)</f>
        <v>0</v>
      </c>
      <c r="E134">
        <f>IF(AND(gamma!D11=1, VLOOKUP($A134,'40Trips'!$A$43:$I$46, 3,FALSE)=VLOOKUP(E$1,'40Trips'!$A$3:$I$42,3,FALSE)),1,0)</f>
        <v>0</v>
      </c>
      <c r="F134">
        <f>IF(AND(gamma!E11=1, VLOOKUP($A134,'40Trips'!$A$43:$I$46, 3,FALSE)=VLOOKUP(F$1,'40Trips'!$A$3:$I$42,3,FALSE)),1,0)</f>
        <v>0</v>
      </c>
      <c r="G134">
        <f>IF(AND(gamma!F11=1, VLOOKUP($A134,'40Trips'!$A$43:$I$46, 3,FALSE)=VLOOKUP(G$1,'40Trips'!$A$3:$I$42,3,FALSE)),1,0)</f>
        <v>0</v>
      </c>
      <c r="H134">
        <f>IF(AND(gamma!G11=1, VLOOKUP($A134,'40Trips'!$A$43:$I$46, 3,FALSE)=VLOOKUP(H$1,'40Trips'!$A$3:$I$42,3,FALSE)),1,0)</f>
        <v>0</v>
      </c>
      <c r="I134">
        <f>IF(AND(gamma!H11=1, VLOOKUP($A134,'40Trips'!$A$43:$I$46, 3,FALSE)=VLOOKUP(I$1,'40Trips'!$A$3:$I$42,3,FALSE)),1,0)</f>
        <v>0</v>
      </c>
      <c r="J134">
        <f>IF(AND(gamma!I11=1, VLOOKUP($A134,'40Trips'!$A$43:$I$46, 3,FALSE)=VLOOKUP(J$1,'40Trips'!$A$3:$I$42,3,FALSE)),1,0)</f>
        <v>0</v>
      </c>
      <c r="K134">
        <f>IF(AND(gamma!J11=1, VLOOKUP($A134,'40Trips'!$A$43:$I$46, 3,FALSE)=VLOOKUP(K$1,'40Trips'!$A$3:$I$42,3,FALSE)),1,0)</f>
        <v>0</v>
      </c>
      <c r="L134">
        <f>IF(AND(gamma!K11=1, VLOOKUP($A134,'40Trips'!$A$43:$I$46, 3,FALSE)=VLOOKUP(L$1,'40Trips'!$A$3:$I$42,3,FALSE)),1,0)</f>
        <v>0</v>
      </c>
      <c r="M134">
        <f>IF(AND(gamma!L11=1, VLOOKUP($A134,'40Trips'!$A$43:$I$46, 3,FALSE)=VLOOKUP(M$1,'40Trips'!$A$3:$I$42,3,FALSE)),1,0)</f>
        <v>0</v>
      </c>
      <c r="N134">
        <f>IF(AND(gamma!M11=1, VLOOKUP($A134,'40Trips'!$A$43:$I$46, 3,FALSE)=VLOOKUP(N$1,'40Trips'!$A$3:$I$42,3,FALSE)),1,0)</f>
        <v>0</v>
      </c>
      <c r="O134">
        <f>IF(AND(gamma!N11=1, VLOOKUP($A134,'40Trips'!$A$43:$I$46, 3,FALSE)=VLOOKUP(O$1,'40Trips'!$A$3:$I$42,3,FALSE)),1,0)</f>
        <v>0</v>
      </c>
      <c r="P134">
        <f>IF(AND(gamma!O11=1, VLOOKUP($A134,'40Trips'!$A$43:$I$46, 3,FALSE)=VLOOKUP(P$1,'40Trips'!$A$3:$I$42,3,FALSE)),1,0)</f>
        <v>0</v>
      </c>
      <c r="Q134">
        <f>IF(AND(gamma!P11=1, VLOOKUP($A134,'40Trips'!$A$43:$I$46, 3,FALSE)=VLOOKUP(Q$1,'40Trips'!$A$3:$I$42,3,FALSE)),1,0)</f>
        <v>0</v>
      </c>
      <c r="R134">
        <f>IF(AND(gamma!Q11=1, VLOOKUP($A134,'40Trips'!$A$43:$I$46, 3,FALSE)=VLOOKUP(R$1,'40Trips'!$A$3:$I$42,3,FALSE)),1,0)</f>
        <v>0</v>
      </c>
      <c r="S134">
        <f>IF(AND(gamma!R11=1, VLOOKUP($A134,'40Trips'!$A$43:$I$46, 3,FALSE)=VLOOKUP(S$1,'40Trips'!$A$3:$I$42,3,FALSE)),1,0)</f>
        <v>0</v>
      </c>
      <c r="T134">
        <f>IF(AND(gamma!S11=1, VLOOKUP($A134,'40Trips'!$A$43:$I$46, 3,FALSE)=VLOOKUP(T$1,'40Trips'!$A$3:$I$42,3,FALSE)),1,0)</f>
        <v>0</v>
      </c>
      <c r="U134">
        <f>IF(AND(gamma!T11=1, VLOOKUP($A134,'40Trips'!$A$43:$I$46, 3,FALSE)=VLOOKUP(U$1,'40Trips'!$A$3:$I$42,3,FALSE)),1,0)</f>
        <v>0</v>
      </c>
      <c r="V134">
        <f>IF(AND(gamma!U11=1, VLOOKUP($A134,'40Trips'!$A$43:$I$46, 3,FALSE)=VLOOKUP(V$1,'40Trips'!$A$3:$I$42,3,FALSE)),1,0)</f>
        <v>0</v>
      </c>
      <c r="W134">
        <f>IF(AND(gamma!V11=1, VLOOKUP($A134,'40Trips'!$A$43:$I$46, 3,FALSE)=VLOOKUP(W$1,'40Trips'!$A$3:$I$42,3,FALSE)),1,0)</f>
        <v>0</v>
      </c>
      <c r="X134">
        <f>IF(AND(gamma!W11=1, VLOOKUP($A134,'40Trips'!$A$43:$I$46, 3,FALSE)=VLOOKUP(X$1,'40Trips'!$A$3:$I$42,3,FALSE)),1,0)</f>
        <v>0</v>
      </c>
      <c r="Y134">
        <f>IF(AND(gamma!X11=1, VLOOKUP($A134,'40Trips'!$A$43:$I$46, 3,FALSE)=VLOOKUP(Y$1,'40Trips'!$A$3:$I$42,3,FALSE)),1,0)</f>
        <v>1</v>
      </c>
      <c r="Z134">
        <f>IF(AND(gamma!Y11=1, VLOOKUP($A134,'40Trips'!$A$43:$I$46, 3,FALSE)=VLOOKUP(Z$1,'40Trips'!$A$3:$I$42,3,FALSE)),1,0)</f>
        <v>1</v>
      </c>
      <c r="AA134">
        <f>IF(AND(gamma!Z11=1, VLOOKUP($A134,'40Trips'!$A$43:$I$46, 3,FALSE)=VLOOKUP(AA$1,'40Trips'!$A$3:$I$42,3,FALSE)),1,0)</f>
        <v>1</v>
      </c>
      <c r="AB134">
        <f>IF(AND(gamma!AA11=1, VLOOKUP($A134,'40Trips'!$A$43:$I$46, 3,FALSE)=VLOOKUP(AB$1,'40Trips'!$A$3:$I$42,3,FALSE)),1,0)</f>
        <v>0</v>
      </c>
      <c r="AC134">
        <f>IF(AND(gamma!AB11=1, VLOOKUP($A134,'40Trips'!$A$43:$I$46, 3,FALSE)=VLOOKUP(AC$1,'40Trips'!$A$3:$I$42,3,FALSE)),1,0)</f>
        <v>0</v>
      </c>
      <c r="AD134">
        <f>IF(AND(gamma!AC11=1, VLOOKUP($A134,'40Trips'!$A$43:$I$46, 3,FALSE)=VLOOKUP(AD$1,'40Trips'!$A$3:$I$42,3,FALSE)),1,0)</f>
        <v>1</v>
      </c>
      <c r="AE134">
        <f>IF(AND(gamma!AD11=1, VLOOKUP($A134,'40Trips'!$A$43:$I$46, 3,FALSE)=VLOOKUP(AE$1,'40Trips'!$A$3:$I$42,3,FALSE)),1,0)</f>
        <v>1</v>
      </c>
      <c r="AF134">
        <f>IF(AND(gamma!AE11=1, VLOOKUP($A134,'40Trips'!$A$43:$I$46, 3,FALSE)=VLOOKUP(AF$1,'40Trips'!$A$3:$I$42,3,FALSE)),1,0)</f>
        <v>0</v>
      </c>
      <c r="AG134">
        <f>IF(AND(gamma!AF11=1, VLOOKUP($A134,'40Trips'!$A$43:$I$46, 3,FALSE)=VLOOKUP(AG$1,'40Trips'!$A$3:$I$42,3,FALSE)),1,0)</f>
        <v>0</v>
      </c>
      <c r="AH134">
        <f>IF(AND(gamma!AG11=1, VLOOKUP($A134,'40Trips'!$A$43:$I$46, 3,FALSE)=VLOOKUP(AH$1,'40Trips'!$A$3:$I$42,3,FALSE)),1,0)</f>
        <v>0</v>
      </c>
      <c r="AI134">
        <f>IF(AND(gamma!AH11=1, VLOOKUP($A134,'40Trips'!$A$43:$I$46, 3,FALSE)=VLOOKUP(AI$1,'40Trips'!$A$3:$I$42,3,FALSE)),1,0)</f>
        <v>1</v>
      </c>
      <c r="AJ134">
        <f>IF(AND(gamma!AI11=1, VLOOKUP($A134,'40Trips'!$A$43:$I$46, 3,FALSE)=VLOOKUP(AJ$1,'40Trips'!$A$3:$I$42,3,FALSE)),1,0)</f>
        <v>0</v>
      </c>
      <c r="AK134">
        <f>IF(AND(gamma!AJ11=1, VLOOKUP($A134,'40Trips'!$A$43:$I$46, 3,FALSE)=VLOOKUP(AK$1,'40Trips'!$A$3:$I$42,3,FALSE)),1,0)</f>
        <v>0</v>
      </c>
      <c r="AL134">
        <f>IF(AND(gamma!AK11=1, VLOOKUP($A134,'40Trips'!$A$43:$I$46, 3,FALSE)=VLOOKUP(AL$1,'40Trips'!$A$3:$I$42,3,FALSE)),1,0)</f>
        <v>0</v>
      </c>
      <c r="AM134">
        <f>IF(AND(gamma!AL11=1, VLOOKUP($A134,'40Trips'!$A$43:$I$46, 3,FALSE)=VLOOKUP(AM$1,'40Trips'!$A$3:$I$42,3,FALSE)),1,0)</f>
        <v>0</v>
      </c>
      <c r="AN134">
        <f>IF(AND(gamma!AM11=1, VLOOKUP($A134,'40Trips'!$A$43:$I$46, 3,FALSE)=VLOOKUP(AN$1,'40Trips'!$A$3:$I$42,3,FALSE)),1,0)</f>
        <v>0</v>
      </c>
      <c r="AO134">
        <f>IF(AND(gamma!AN11=1, VLOOKUP($A134,'40Trips'!$A$43:$I$46, 3,FALSE)=VLOOKUP(AO$1,'40Trips'!$A$3:$I$42,3,FALSE)),1,0)</f>
        <v>0</v>
      </c>
      <c r="AP134">
        <f>IF(AND(gamma!AO11=1, VLOOKUP($A134,'40Trips'!$A$43:$I$46, 3,FALSE)=VLOOKUP(AP$1,'40Trips'!$A$3:$I$42,3,FALSE)),1,0)</f>
        <v>0</v>
      </c>
      <c r="AQ134">
        <f>IF(AND(gamma!AP11=1, VLOOKUP($A134,'40Trips'!$A$43:$I$46, 3,FALSE)=VLOOKUP(AQ$1,'40Trips'!$A$3:$I$42,3,FALSE)),1,0)</f>
        <v>0</v>
      </c>
    </row>
    <row r="135" spans="1:43" x14ac:dyDescent="0.25">
      <c r="A135" t="s">
        <v>68</v>
      </c>
      <c r="B135" t="s">
        <v>73</v>
      </c>
      <c r="C135">
        <v>0</v>
      </c>
      <c r="D135">
        <f>IF(AND(gamma!C12=1, VLOOKUP($A135,'40Trips'!$A$43:$I$46, 3,FALSE)=VLOOKUP(D$1,'40Trips'!$A$3:$I$42,3,FALSE)),1,0)</f>
        <v>0</v>
      </c>
      <c r="E135">
        <f>IF(AND(gamma!D12=1, VLOOKUP($A135,'40Trips'!$A$43:$I$46, 3,FALSE)=VLOOKUP(E$1,'40Trips'!$A$3:$I$42,3,FALSE)),1,0)</f>
        <v>0</v>
      </c>
      <c r="F135">
        <f>IF(AND(gamma!E12=1, VLOOKUP($A135,'40Trips'!$A$43:$I$46, 3,FALSE)=VLOOKUP(F$1,'40Trips'!$A$3:$I$42,3,FALSE)),1,0)</f>
        <v>0</v>
      </c>
      <c r="G135">
        <f>IF(AND(gamma!F12=1, VLOOKUP($A135,'40Trips'!$A$43:$I$46, 3,FALSE)=VLOOKUP(G$1,'40Trips'!$A$3:$I$42,3,FALSE)),1,0)</f>
        <v>0</v>
      </c>
      <c r="H135">
        <f>IF(AND(gamma!G12=1, VLOOKUP($A135,'40Trips'!$A$43:$I$46, 3,FALSE)=VLOOKUP(H$1,'40Trips'!$A$3:$I$42,3,FALSE)),1,0)</f>
        <v>0</v>
      </c>
      <c r="I135">
        <f>IF(AND(gamma!H12=1, VLOOKUP($A135,'40Trips'!$A$43:$I$46, 3,FALSE)=VLOOKUP(I$1,'40Trips'!$A$3:$I$42,3,FALSE)),1,0)</f>
        <v>0</v>
      </c>
      <c r="J135">
        <f>IF(AND(gamma!I12=1, VLOOKUP($A135,'40Trips'!$A$43:$I$46, 3,FALSE)=VLOOKUP(J$1,'40Trips'!$A$3:$I$42,3,FALSE)),1,0)</f>
        <v>0</v>
      </c>
      <c r="K135">
        <f>IF(AND(gamma!J12=1, VLOOKUP($A135,'40Trips'!$A$43:$I$46, 3,FALSE)=VLOOKUP(K$1,'40Trips'!$A$3:$I$42,3,FALSE)),1,0)</f>
        <v>0</v>
      </c>
      <c r="L135">
        <f>IF(AND(gamma!K12=1, VLOOKUP($A135,'40Trips'!$A$43:$I$46, 3,FALSE)=VLOOKUP(L$1,'40Trips'!$A$3:$I$42,3,FALSE)),1,0)</f>
        <v>0</v>
      </c>
      <c r="M135">
        <f>IF(AND(gamma!L12=1, VLOOKUP($A135,'40Trips'!$A$43:$I$46, 3,FALSE)=VLOOKUP(M$1,'40Trips'!$A$3:$I$42,3,FALSE)),1,0)</f>
        <v>0</v>
      </c>
      <c r="N135">
        <f>IF(AND(gamma!M12=1, VLOOKUP($A135,'40Trips'!$A$43:$I$46, 3,FALSE)=VLOOKUP(N$1,'40Trips'!$A$3:$I$42,3,FALSE)),1,0)</f>
        <v>0</v>
      </c>
      <c r="O135">
        <f>IF(AND(gamma!N12=1, VLOOKUP($A135,'40Trips'!$A$43:$I$46, 3,FALSE)=VLOOKUP(O$1,'40Trips'!$A$3:$I$42,3,FALSE)),1,0)</f>
        <v>0</v>
      </c>
      <c r="P135">
        <f>IF(AND(gamma!O12=1, VLOOKUP($A135,'40Trips'!$A$43:$I$46, 3,FALSE)=VLOOKUP(P$1,'40Trips'!$A$3:$I$42,3,FALSE)),1,0)</f>
        <v>0</v>
      </c>
      <c r="Q135">
        <f>IF(AND(gamma!P12=1, VLOOKUP($A135,'40Trips'!$A$43:$I$46, 3,FALSE)=VLOOKUP(Q$1,'40Trips'!$A$3:$I$42,3,FALSE)),1,0)</f>
        <v>0</v>
      </c>
      <c r="R135">
        <f>IF(AND(gamma!Q12=1, VLOOKUP($A135,'40Trips'!$A$43:$I$46, 3,FALSE)=VLOOKUP(R$1,'40Trips'!$A$3:$I$42,3,FALSE)),1,0)</f>
        <v>0</v>
      </c>
      <c r="S135">
        <f>IF(AND(gamma!R12=1, VLOOKUP($A135,'40Trips'!$A$43:$I$46, 3,FALSE)=VLOOKUP(S$1,'40Trips'!$A$3:$I$42,3,FALSE)),1,0)</f>
        <v>0</v>
      </c>
      <c r="T135">
        <f>IF(AND(gamma!S12=1, VLOOKUP($A135,'40Trips'!$A$43:$I$46, 3,FALSE)=VLOOKUP(T$1,'40Trips'!$A$3:$I$42,3,FALSE)),1,0)</f>
        <v>0</v>
      </c>
      <c r="U135">
        <f>IF(AND(gamma!T12=1, VLOOKUP($A135,'40Trips'!$A$43:$I$46, 3,FALSE)=VLOOKUP(U$1,'40Trips'!$A$3:$I$42,3,FALSE)),1,0)</f>
        <v>0</v>
      </c>
      <c r="V135">
        <f>IF(AND(gamma!U12=1, VLOOKUP($A135,'40Trips'!$A$43:$I$46, 3,FALSE)=VLOOKUP(V$1,'40Trips'!$A$3:$I$42,3,FALSE)),1,0)</f>
        <v>0</v>
      </c>
      <c r="W135">
        <f>IF(AND(gamma!V12=1, VLOOKUP($A135,'40Trips'!$A$43:$I$46, 3,FALSE)=VLOOKUP(W$1,'40Trips'!$A$3:$I$42,3,FALSE)),1,0)</f>
        <v>0</v>
      </c>
      <c r="X135">
        <f>IF(AND(gamma!W12=1, VLOOKUP($A135,'40Trips'!$A$43:$I$46, 3,FALSE)=VLOOKUP(X$1,'40Trips'!$A$3:$I$42,3,FALSE)),1,0)</f>
        <v>0</v>
      </c>
      <c r="Y135">
        <f>IF(AND(gamma!X12=1, VLOOKUP($A135,'40Trips'!$A$43:$I$46, 3,FALSE)=VLOOKUP(Y$1,'40Trips'!$A$3:$I$42,3,FALSE)),1,0)</f>
        <v>0</v>
      </c>
      <c r="Z135">
        <f>IF(AND(gamma!Y12=1, VLOOKUP($A135,'40Trips'!$A$43:$I$46, 3,FALSE)=VLOOKUP(Z$1,'40Trips'!$A$3:$I$42,3,FALSE)),1,0)</f>
        <v>1</v>
      </c>
      <c r="AA135">
        <f>IF(AND(gamma!Z12=1, VLOOKUP($A135,'40Trips'!$A$43:$I$46, 3,FALSE)=VLOOKUP(AA$1,'40Trips'!$A$3:$I$42,3,FALSE)),1,0)</f>
        <v>1</v>
      </c>
      <c r="AB135">
        <f>IF(AND(gamma!AA12=1, VLOOKUP($A135,'40Trips'!$A$43:$I$46, 3,FALSE)=VLOOKUP(AB$1,'40Trips'!$A$3:$I$42,3,FALSE)),1,0)</f>
        <v>0</v>
      </c>
      <c r="AC135">
        <f>IF(AND(gamma!AB12=1, VLOOKUP($A135,'40Trips'!$A$43:$I$46, 3,FALSE)=VLOOKUP(AC$1,'40Trips'!$A$3:$I$42,3,FALSE)),1,0)</f>
        <v>0</v>
      </c>
      <c r="AD135">
        <f>IF(AND(gamma!AC12=1, VLOOKUP($A135,'40Trips'!$A$43:$I$46, 3,FALSE)=VLOOKUP(AD$1,'40Trips'!$A$3:$I$42,3,FALSE)),1,0)</f>
        <v>1</v>
      </c>
      <c r="AE135">
        <f>IF(AND(gamma!AD12=1, VLOOKUP($A135,'40Trips'!$A$43:$I$46, 3,FALSE)=VLOOKUP(AE$1,'40Trips'!$A$3:$I$42,3,FALSE)),1,0)</f>
        <v>1</v>
      </c>
      <c r="AF135">
        <f>IF(AND(gamma!AE12=1, VLOOKUP($A135,'40Trips'!$A$43:$I$46, 3,FALSE)=VLOOKUP(AF$1,'40Trips'!$A$3:$I$42,3,FALSE)),1,0)</f>
        <v>0</v>
      </c>
      <c r="AG135">
        <f>IF(AND(gamma!AF12=1, VLOOKUP($A135,'40Trips'!$A$43:$I$46, 3,FALSE)=VLOOKUP(AG$1,'40Trips'!$A$3:$I$42,3,FALSE)),1,0)</f>
        <v>0</v>
      </c>
      <c r="AH135">
        <f>IF(AND(gamma!AG12=1, VLOOKUP($A135,'40Trips'!$A$43:$I$46, 3,FALSE)=VLOOKUP(AH$1,'40Trips'!$A$3:$I$42,3,FALSE)),1,0)</f>
        <v>0</v>
      </c>
      <c r="AI135">
        <f>IF(AND(gamma!AH12=1, VLOOKUP($A135,'40Trips'!$A$43:$I$46, 3,FALSE)=VLOOKUP(AI$1,'40Trips'!$A$3:$I$42,3,FALSE)),1,0)</f>
        <v>0</v>
      </c>
      <c r="AJ135">
        <f>IF(AND(gamma!AI12=1, VLOOKUP($A135,'40Trips'!$A$43:$I$46, 3,FALSE)=VLOOKUP(AJ$1,'40Trips'!$A$3:$I$42,3,FALSE)),1,0)</f>
        <v>0</v>
      </c>
      <c r="AK135">
        <f>IF(AND(gamma!AJ12=1, VLOOKUP($A135,'40Trips'!$A$43:$I$46, 3,FALSE)=VLOOKUP(AK$1,'40Trips'!$A$3:$I$42,3,FALSE)),1,0)</f>
        <v>0</v>
      </c>
      <c r="AL135">
        <f>IF(AND(gamma!AK12=1, VLOOKUP($A135,'40Trips'!$A$43:$I$46, 3,FALSE)=VLOOKUP(AL$1,'40Trips'!$A$3:$I$42,3,FALSE)),1,0)</f>
        <v>0</v>
      </c>
      <c r="AM135">
        <f>IF(AND(gamma!AL12=1, VLOOKUP($A135,'40Trips'!$A$43:$I$46, 3,FALSE)=VLOOKUP(AM$1,'40Trips'!$A$3:$I$42,3,FALSE)),1,0)</f>
        <v>0</v>
      </c>
      <c r="AN135">
        <f>IF(AND(gamma!AM12=1, VLOOKUP($A135,'40Trips'!$A$43:$I$46, 3,FALSE)=VLOOKUP(AN$1,'40Trips'!$A$3:$I$42,3,FALSE)),1,0)</f>
        <v>0</v>
      </c>
      <c r="AO135">
        <f>IF(AND(gamma!AN12=1, VLOOKUP($A135,'40Trips'!$A$43:$I$46, 3,FALSE)=VLOOKUP(AO$1,'40Trips'!$A$3:$I$42,3,FALSE)),1,0)</f>
        <v>0</v>
      </c>
      <c r="AP135">
        <f>IF(AND(gamma!AO12=1, VLOOKUP($A135,'40Trips'!$A$43:$I$46, 3,FALSE)=VLOOKUP(AP$1,'40Trips'!$A$3:$I$42,3,FALSE)),1,0)</f>
        <v>0</v>
      </c>
      <c r="AQ135">
        <f>IF(AND(gamma!AP12=1, VLOOKUP($A135,'40Trips'!$A$43:$I$46, 3,FALSE)=VLOOKUP(AQ$1,'40Trips'!$A$3:$I$42,3,FALSE)),1,0)</f>
        <v>0</v>
      </c>
    </row>
    <row r="136" spans="1:43" x14ac:dyDescent="0.25">
      <c r="A136" t="s">
        <v>68</v>
      </c>
      <c r="B136" t="s">
        <v>74</v>
      </c>
      <c r="C136">
        <v>0</v>
      </c>
      <c r="D136">
        <f>IF(AND(gamma!C13=1, VLOOKUP($A136,'40Trips'!$A$43:$I$46, 3,FALSE)=VLOOKUP(D$1,'40Trips'!$A$3:$I$42,3,FALSE)),1,0)</f>
        <v>0</v>
      </c>
      <c r="E136">
        <f>IF(AND(gamma!D13=1, VLOOKUP($A136,'40Trips'!$A$43:$I$46, 3,FALSE)=VLOOKUP(E$1,'40Trips'!$A$3:$I$42,3,FALSE)),1,0)</f>
        <v>0</v>
      </c>
      <c r="F136">
        <f>IF(AND(gamma!E13=1, VLOOKUP($A136,'40Trips'!$A$43:$I$46, 3,FALSE)=VLOOKUP(F$1,'40Trips'!$A$3:$I$42,3,FALSE)),1,0)</f>
        <v>0</v>
      </c>
      <c r="G136">
        <f>IF(AND(gamma!F13=1, VLOOKUP($A136,'40Trips'!$A$43:$I$46, 3,FALSE)=VLOOKUP(G$1,'40Trips'!$A$3:$I$42,3,FALSE)),1,0)</f>
        <v>0</v>
      </c>
      <c r="H136">
        <f>IF(AND(gamma!G13=1, VLOOKUP($A136,'40Trips'!$A$43:$I$46, 3,FALSE)=VLOOKUP(H$1,'40Trips'!$A$3:$I$42,3,FALSE)),1,0)</f>
        <v>0</v>
      </c>
      <c r="I136">
        <f>IF(AND(gamma!H13=1, VLOOKUP($A136,'40Trips'!$A$43:$I$46, 3,FALSE)=VLOOKUP(I$1,'40Trips'!$A$3:$I$42,3,FALSE)),1,0)</f>
        <v>0</v>
      </c>
      <c r="J136">
        <f>IF(AND(gamma!I13=1, VLOOKUP($A136,'40Trips'!$A$43:$I$46, 3,FALSE)=VLOOKUP(J$1,'40Trips'!$A$3:$I$42,3,FALSE)),1,0)</f>
        <v>0</v>
      </c>
      <c r="K136">
        <f>IF(AND(gamma!J13=1, VLOOKUP($A136,'40Trips'!$A$43:$I$46, 3,FALSE)=VLOOKUP(K$1,'40Trips'!$A$3:$I$42,3,FALSE)),1,0)</f>
        <v>0</v>
      </c>
      <c r="L136">
        <f>IF(AND(gamma!K13=1, VLOOKUP($A136,'40Trips'!$A$43:$I$46, 3,FALSE)=VLOOKUP(L$1,'40Trips'!$A$3:$I$42,3,FALSE)),1,0)</f>
        <v>0</v>
      </c>
      <c r="M136">
        <f>IF(AND(gamma!L13=1, VLOOKUP($A136,'40Trips'!$A$43:$I$46, 3,FALSE)=VLOOKUP(M$1,'40Trips'!$A$3:$I$42,3,FALSE)),1,0)</f>
        <v>0</v>
      </c>
      <c r="N136">
        <f>IF(AND(gamma!M13=1, VLOOKUP($A136,'40Trips'!$A$43:$I$46, 3,FALSE)=VLOOKUP(N$1,'40Trips'!$A$3:$I$42,3,FALSE)),1,0)</f>
        <v>0</v>
      </c>
      <c r="O136">
        <f>IF(AND(gamma!N13=1, VLOOKUP($A136,'40Trips'!$A$43:$I$46, 3,FALSE)=VLOOKUP(O$1,'40Trips'!$A$3:$I$42,3,FALSE)),1,0)</f>
        <v>0</v>
      </c>
      <c r="P136">
        <f>IF(AND(gamma!O13=1, VLOOKUP($A136,'40Trips'!$A$43:$I$46, 3,FALSE)=VLOOKUP(P$1,'40Trips'!$A$3:$I$42,3,FALSE)),1,0)</f>
        <v>0</v>
      </c>
      <c r="Q136">
        <f>IF(AND(gamma!P13=1, VLOOKUP($A136,'40Trips'!$A$43:$I$46, 3,FALSE)=VLOOKUP(Q$1,'40Trips'!$A$3:$I$42,3,FALSE)),1,0)</f>
        <v>0</v>
      </c>
      <c r="R136">
        <f>IF(AND(gamma!Q13=1, VLOOKUP($A136,'40Trips'!$A$43:$I$46, 3,FALSE)=VLOOKUP(R$1,'40Trips'!$A$3:$I$42,3,FALSE)),1,0)</f>
        <v>0</v>
      </c>
      <c r="S136">
        <f>IF(AND(gamma!R13=1, VLOOKUP($A136,'40Trips'!$A$43:$I$46, 3,FALSE)=VLOOKUP(S$1,'40Trips'!$A$3:$I$42,3,FALSE)),1,0)</f>
        <v>0</v>
      </c>
      <c r="T136">
        <f>IF(AND(gamma!S13=1, VLOOKUP($A136,'40Trips'!$A$43:$I$46, 3,FALSE)=VLOOKUP(T$1,'40Trips'!$A$3:$I$42,3,FALSE)),1,0)</f>
        <v>0</v>
      </c>
      <c r="U136">
        <f>IF(AND(gamma!T13=1, VLOOKUP($A136,'40Trips'!$A$43:$I$46, 3,FALSE)=VLOOKUP(U$1,'40Trips'!$A$3:$I$42,3,FALSE)),1,0)</f>
        <v>0</v>
      </c>
      <c r="V136">
        <f>IF(AND(gamma!U13=1, VLOOKUP($A136,'40Trips'!$A$43:$I$46, 3,FALSE)=VLOOKUP(V$1,'40Trips'!$A$3:$I$42,3,FALSE)),1,0)</f>
        <v>0</v>
      </c>
      <c r="W136">
        <f>IF(AND(gamma!V13=1, VLOOKUP($A136,'40Trips'!$A$43:$I$46, 3,FALSE)=VLOOKUP(W$1,'40Trips'!$A$3:$I$42,3,FALSE)),1,0)</f>
        <v>0</v>
      </c>
      <c r="X136">
        <f>IF(AND(gamma!W13=1, VLOOKUP($A136,'40Trips'!$A$43:$I$46, 3,FALSE)=VLOOKUP(X$1,'40Trips'!$A$3:$I$42,3,FALSE)),1,0)</f>
        <v>0</v>
      </c>
      <c r="Y136">
        <f>IF(AND(gamma!X13=1, VLOOKUP($A136,'40Trips'!$A$43:$I$46, 3,FALSE)=VLOOKUP(Y$1,'40Trips'!$A$3:$I$42,3,FALSE)),1,0)</f>
        <v>0</v>
      </c>
      <c r="Z136">
        <f>IF(AND(gamma!Y13=1, VLOOKUP($A136,'40Trips'!$A$43:$I$46, 3,FALSE)=VLOOKUP(Z$1,'40Trips'!$A$3:$I$42,3,FALSE)),1,0)</f>
        <v>0</v>
      </c>
      <c r="AA136">
        <f>IF(AND(gamma!Z13=1, VLOOKUP($A136,'40Trips'!$A$43:$I$46, 3,FALSE)=VLOOKUP(AA$1,'40Trips'!$A$3:$I$42,3,FALSE)),1,0)</f>
        <v>0</v>
      </c>
      <c r="AB136">
        <f>IF(AND(gamma!AA13=1, VLOOKUP($A136,'40Trips'!$A$43:$I$46, 3,FALSE)=VLOOKUP(AB$1,'40Trips'!$A$3:$I$42,3,FALSE)),1,0)</f>
        <v>0</v>
      </c>
      <c r="AC136">
        <f>IF(AND(gamma!AB13=1, VLOOKUP($A136,'40Trips'!$A$43:$I$46, 3,FALSE)=VLOOKUP(AC$1,'40Trips'!$A$3:$I$42,3,FALSE)),1,0)</f>
        <v>0</v>
      </c>
      <c r="AD136">
        <f>IF(AND(gamma!AC13=1, VLOOKUP($A136,'40Trips'!$A$43:$I$46, 3,FALSE)=VLOOKUP(AD$1,'40Trips'!$A$3:$I$42,3,FALSE)),1,0)</f>
        <v>0</v>
      </c>
      <c r="AE136">
        <f>IF(AND(gamma!AD13=1, VLOOKUP($A136,'40Trips'!$A$43:$I$46, 3,FALSE)=VLOOKUP(AE$1,'40Trips'!$A$3:$I$42,3,FALSE)),1,0)</f>
        <v>1</v>
      </c>
      <c r="AF136">
        <f>IF(AND(gamma!AE13=1, VLOOKUP($A136,'40Trips'!$A$43:$I$46, 3,FALSE)=VLOOKUP(AF$1,'40Trips'!$A$3:$I$42,3,FALSE)),1,0)</f>
        <v>0</v>
      </c>
      <c r="AG136">
        <f>IF(AND(gamma!AF13=1, VLOOKUP($A136,'40Trips'!$A$43:$I$46, 3,FALSE)=VLOOKUP(AG$1,'40Trips'!$A$3:$I$42,3,FALSE)),1,0)</f>
        <v>0</v>
      </c>
      <c r="AH136">
        <f>IF(AND(gamma!AG13=1, VLOOKUP($A136,'40Trips'!$A$43:$I$46, 3,FALSE)=VLOOKUP(AH$1,'40Trips'!$A$3:$I$42,3,FALSE)),1,0)</f>
        <v>0</v>
      </c>
      <c r="AI136">
        <f>IF(AND(gamma!AH13=1, VLOOKUP($A136,'40Trips'!$A$43:$I$46, 3,FALSE)=VLOOKUP(AI$1,'40Trips'!$A$3:$I$42,3,FALSE)),1,0)</f>
        <v>0</v>
      </c>
      <c r="AJ136">
        <f>IF(AND(gamma!AI13=1, VLOOKUP($A136,'40Trips'!$A$43:$I$46, 3,FALSE)=VLOOKUP(AJ$1,'40Trips'!$A$3:$I$42,3,FALSE)),1,0)</f>
        <v>0</v>
      </c>
      <c r="AK136">
        <f>IF(AND(gamma!AJ13=1, VLOOKUP($A136,'40Trips'!$A$43:$I$46, 3,FALSE)=VLOOKUP(AK$1,'40Trips'!$A$3:$I$42,3,FALSE)),1,0)</f>
        <v>0</v>
      </c>
      <c r="AL136">
        <f>IF(AND(gamma!AK13=1, VLOOKUP($A136,'40Trips'!$A$43:$I$46, 3,FALSE)=VLOOKUP(AL$1,'40Trips'!$A$3:$I$42,3,FALSE)),1,0)</f>
        <v>0</v>
      </c>
      <c r="AM136">
        <f>IF(AND(gamma!AL13=1, VLOOKUP($A136,'40Trips'!$A$43:$I$46, 3,FALSE)=VLOOKUP(AM$1,'40Trips'!$A$3:$I$42,3,FALSE)),1,0)</f>
        <v>0</v>
      </c>
      <c r="AN136">
        <f>IF(AND(gamma!AM13=1, VLOOKUP($A136,'40Trips'!$A$43:$I$46, 3,FALSE)=VLOOKUP(AN$1,'40Trips'!$A$3:$I$42,3,FALSE)),1,0)</f>
        <v>0</v>
      </c>
      <c r="AO136">
        <f>IF(AND(gamma!AN13=1, VLOOKUP($A136,'40Trips'!$A$43:$I$46, 3,FALSE)=VLOOKUP(AO$1,'40Trips'!$A$3:$I$42,3,FALSE)),1,0)</f>
        <v>0</v>
      </c>
      <c r="AP136">
        <f>IF(AND(gamma!AO13=1, VLOOKUP($A136,'40Trips'!$A$43:$I$46, 3,FALSE)=VLOOKUP(AP$1,'40Trips'!$A$3:$I$42,3,FALSE)),1,0)</f>
        <v>0</v>
      </c>
      <c r="AQ136">
        <f>IF(AND(gamma!AP13=1, VLOOKUP($A136,'40Trips'!$A$43:$I$46, 3,FALSE)=VLOOKUP(AQ$1,'40Trips'!$A$3:$I$42,3,FALSE)),1,0)</f>
        <v>0</v>
      </c>
    </row>
    <row r="137" spans="1:43" x14ac:dyDescent="0.25">
      <c r="A137" t="s">
        <v>68</v>
      </c>
      <c r="B137" t="s">
        <v>26</v>
      </c>
      <c r="C137">
        <v>0</v>
      </c>
      <c r="D137">
        <f>IF(AND(gamma!C14=1, VLOOKUP($A137,'40Trips'!$A$43:$I$46, 3,FALSE)=VLOOKUP(D$1,'40Trips'!$A$3:$I$42,3,FALSE)),1,0)</f>
        <v>0</v>
      </c>
      <c r="E137">
        <f>IF(AND(gamma!D14=1, VLOOKUP($A137,'40Trips'!$A$43:$I$46, 3,FALSE)=VLOOKUP(E$1,'40Trips'!$A$3:$I$42,3,FALSE)),1,0)</f>
        <v>0</v>
      </c>
      <c r="F137">
        <f>IF(AND(gamma!E14=1, VLOOKUP($A137,'40Trips'!$A$43:$I$46, 3,FALSE)=VLOOKUP(F$1,'40Trips'!$A$3:$I$42,3,FALSE)),1,0)</f>
        <v>0</v>
      </c>
      <c r="G137">
        <f>IF(AND(gamma!F14=1, VLOOKUP($A137,'40Trips'!$A$43:$I$46, 3,FALSE)=VLOOKUP(G$1,'40Trips'!$A$3:$I$42,3,FALSE)),1,0)</f>
        <v>0</v>
      </c>
      <c r="H137">
        <f>IF(AND(gamma!G14=1, VLOOKUP($A137,'40Trips'!$A$43:$I$46, 3,FALSE)=VLOOKUP(H$1,'40Trips'!$A$3:$I$42,3,FALSE)),1,0)</f>
        <v>0</v>
      </c>
      <c r="I137">
        <f>IF(AND(gamma!H14=1, VLOOKUP($A137,'40Trips'!$A$43:$I$46, 3,FALSE)=VLOOKUP(I$1,'40Trips'!$A$3:$I$42,3,FALSE)),1,0)</f>
        <v>0</v>
      </c>
      <c r="J137">
        <f>IF(AND(gamma!I14=1, VLOOKUP($A137,'40Trips'!$A$43:$I$46, 3,FALSE)=VLOOKUP(J$1,'40Trips'!$A$3:$I$42,3,FALSE)),1,0)</f>
        <v>0</v>
      </c>
      <c r="K137">
        <f>IF(AND(gamma!J14=1, VLOOKUP($A137,'40Trips'!$A$43:$I$46, 3,FALSE)=VLOOKUP(K$1,'40Trips'!$A$3:$I$42,3,FALSE)),1,0)</f>
        <v>0</v>
      </c>
      <c r="L137">
        <f>IF(AND(gamma!K14=1, VLOOKUP($A137,'40Trips'!$A$43:$I$46, 3,FALSE)=VLOOKUP(L$1,'40Trips'!$A$3:$I$42,3,FALSE)),1,0)</f>
        <v>0</v>
      </c>
      <c r="M137">
        <f>IF(AND(gamma!L14=1, VLOOKUP($A137,'40Trips'!$A$43:$I$46, 3,FALSE)=VLOOKUP(M$1,'40Trips'!$A$3:$I$42,3,FALSE)),1,0)</f>
        <v>0</v>
      </c>
      <c r="N137">
        <f>IF(AND(gamma!M14=1, VLOOKUP($A137,'40Trips'!$A$43:$I$46, 3,FALSE)=VLOOKUP(N$1,'40Trips'!$A$3:$I$42,3,FALSE)),1,0)</f>
        <v>0</v>
      </c>
      <c r="O137">
        <f>IF(AND(gamma!N14=1, VLOOKUP($A137,'40Trips'!$A$43:$I$46, 3,FALSE)=VLOOKUP(O$1,'40Trips'!$A$3:$I$42,3,FALSE)),1,0)</f>
        <v>0</v>
      </c>
      <c r="P137">
        <f>IF(AND(gamma!O14=1, VLOOKUP($A137,'40Trips'!$A$43:$I$46, 3,FALSE)=VLOOKUP(P$1,'40Trips'!$A$3:$I$42,3,FALSE)),1,0)</f>
        <v>0</v>
      </c>
      <c r="Q137">
        <f>IF(AND(gamma!P14=1, VLOOKUP($A137,'40Trips'!$A$43:$I$46, 3,FALSE)=VLOOKUP(Q$1,'40Trips'!$A$3:$I$42,3,FALSE)),1,0)</f>
        <v>0</v>
      </c>
      <c r="R137">
        <f>IF(AND(gamma!Q14=1, VLOOKUP($A137,'40Trips'!$A$43:$I$46, 3,FALSE)=VLOOKUP(R$1,'40Trips'!$A$3:$I$42,3,FALSE)),1,0)</f>
        <v>0</v>
      </c>
      <c r="S137">
        <f>IF(AND(gamma!R14=1, VLOOKUP($A137,'40Trips'!$A$43:$I$46, 3,FALSE)=VLOOKUP(S$1,'40Trips'!$A$3:$I$42,3,FALSE)),1,0)</f>
        <v>0</v>
      </c>
      <c r="T137">
        <f>IF(AND(gamma!S14=1, VLOOKUP($A137,'40Trips'!$A$43:$I$46, 3,FALSE)=VLOOKUP(T$1,'40Trips'!$A$3:$I$42,3,FALSE)),1,0)</f>
        <v>0</v>
      </c>
      <c r="U137">
        <f>IF(AND(gamma!T14=1, VLOOKUP($A137,'40Trips'!$A$43:$I$46, 3,FALSE)=VLOOKUP(U$1,'40Trips'!$A$3:$I$42,3,FALSE)),1,0)</f>
        <v>0</v>
      </c>
      <c r="V137">
        <f>IF(AND(gamma!U14=1, VLOOKUP($A137,'40Trips'!$A$43:$I$46, 3,FALSE)=VLOOKUP(V$1,'40Trips'!$A$3:$I$42,3,FALSE)),1,0)</f>
        <v>0</v>
      </c>
      <c r="W137">
        <f>IF(AND(gamma!V14=1, VLOOKUP($A137,'40Trips'!$A$43:$I$46, 3,FALSE)=VLOOKUP(W$1,'40Trips'!$A$3:$I$42,3,FALSE)),1,0)</f>
        <v>0</v>
      </c>
      <c r="X137">
        <f>IF(AND(gamma!W14=1, VLOOKUP($A137,'40Trips'!$A$43:$I$46, 3,FALSE)=VLOOKUP(X$1,'40Trips'!$A$3:$I$42,3,FALSE)),1,0)</f>
        <v>0</v>
      </c>
      <c r="Y137">
        <f>IF(AND(gamma!X14=1, VLOOKUP($A137,'40Trips'!$A$43:$I$46, 3,FALSE)=VLOOKUP(Y$1,'40Trips'!$A$3:$I$42,3,FALSE)),1,0)</f>
        <v>1</v>
      </c>
      <c r="Z137">
        <f>IF(AND(gamma!Y14=1, VLOOKUP($A137,'40Trips'!$A$43:$I$46, 3,FALSE)=VLOOKUP(Z$1,'40Trips'!$A$3:$I$42,3,FALSE)),1,0)</f>
        <v>1</v>
      </c>
      <c r="AA137">
        <f>IF(AND(gamma!Z14=1, VLOOKUP($A137,'40Trips'!$A$43:$I$46, 3,FALSE)=VLOOKUP(AA$1,'40Trips'!$A$3:$I$42,3,FALSE)),1,0)</f>
        <v>1</v>
      </c>
      <c r="AB137">
        <f>IF(AND(gamma!AA14=1, VLOOKUP($A137,'40Trips'!$A$43:$I$46, 3,FALSE)=VLOOKUP(AB$1,'40Trips'!$A$3:$I$42,3,FALSE)),1,0)</f>
        <v>0</v>
      </c>
      <c r="AC137">
        <f>IF(AND(gamma!AB14=1, VLOOKUP($A137,'40Trips'!$A$43:$I$46, 3,FALSE)=VLOOKUP(AC$1,'40Trips'!$A$3:$I$42,3,FALSE)),1,0)</f>
        <v>0</v>
      </c>
      <c r="AD137">
        <f>IF(AND(gamma!AC14=1, VLOOKUP($A137,'40Trips'!$A$43:$I$46, 3,FALSE)=VLOOKUP(AD$1,'40Trips'!$A$3:$I$42,3,FALSE)),1,0)</f>
        <v>1</v>
      </c>
      <c r="AE137">
        <f>IF(AND(gamma!AD14=1, VLOOKUP($A137,'40Trips'!$A$43:$I$46, 3,FALSE)=VLOOKUP(AE$1,'40Trips'!$A$3:$I$42,3,FALSE)),1,0)</f>
        <v>1</v>
      </c>
      <c r="AF137">
        <f>IF(AND(gamma!AE14=1, VLOOKUP($A137,'40Trips'!$A$43:$I$46, 3,FALSE)=VLOOKUP(AF$1,'40Trips'!$A$3:$I$42,3,FALSE)),1,0)</f>
        <v>0</v>
      </c>
      <c r="AG137">
        <f>IF(AND(gamma!AF14=1, VLOOKUP($A137,'40Trips'!$A$43:$I$46, 3,FALSE)=VLOOKUP(AG$1,'40Trips'!$A$3:$I$42,3,FALSE)),1,0)</f>
        <v>0</v>
      </c>
      <c r="AH137">
        <f>IF(AND(gamma!AG14=1, VLOOKUP($A137,'40Trips'!$A$43:$I$46, 3,FALSE)=VLOOKUP(AH$1,'40Trips'!$A$3:$I$42,3,FALSE)),1,0)</f>
        <v>0</v>
      </c>
      <c r="AI137">
        <f>IF(AND(gamma!AH14=1, VLOOKUP($A137,'40Trips'!$A$43:$I$46, 3,FALSE)=VLOOKUP(AI$1,'40Trips'!$A$3:$I$42,3,FALSE)),1,0)</f>
        <v>1</v>
      </c>
      <c r="AJ137">
        <f>IF(AND(gamma!AI14=1, VLOOKUP($A137,'40Trips'!$A$43:$I$46, 3,FALSE)=VLOOKUP(AJ$1,'40Trips'!$A$3:$I$42,3,FALSE)),1,0)</f>
        <v>0</v>
      </c>
      <c r="AK137">
        <f>IF(AND(gamma!AJ14=1, VLOOKUP($A137,'40Trips'!$A$43:$I$46, 3,FALSE)=VLOOKUP(AK$1,'40Trips'!$A$3:$I$42,3,FALSE)),1,0)</f>
        <v>0</v>
      </c>
      <c r="AL137">
        <f>IF(AND(gamma!AK14=1, VLOOKUP($A137,'40Trips'!$A$43:$I$46, 3,FALSE)=VLOOKUP(AL$1,'40Trips'!$A$3:$I$42,3,FALSE)),1,0)</f>
        <v>0</v>
      </c>
      <c r="AM137">
        <f>IF(AND(gamma!AL14=1, VLOOKUP($A137,'40Trips'!$A$43:$I$46, 3,FALSE)=VLOOKUP(AM$1,'40Trips'!$A$3:$I$42,3,FALSE)),1,0)</f>
        <v>0</v>
      </c>
      <c r="AN137">
        <f>IF(AND(gamma!AM14=1, VLOOKUP($A137,'40Trips'!$A$43:$I$46, 3,FALSE)=VLOOKUP(AN$1,'40Trips'!$A$3:$I$42,3,FALSE)),1,0)</f>
        <v>0</v>
      </c>
      <c r="AO137">
        <f>IF(AND(gamma!AN14=1, VLOOKUP($A137,'40Trips'!$A$43:$I$46, 3,FALSE)=VLOOKUP(AO$1,'40Trips'!$A$3:$I$42,3,FALSE)),1,0)</f>
        <v>0</v>
      </c>
      <c r="AP137">
        <f>IF(AND(gamma!AO14=1, VLOOKUP($A137,'40Trips'!$A$43:$I$46, 3,FALSE)=VLOOKUP(AP$1,'40Trips'!$A$3:$I$42,3,FALSE)),1,0)</f>
        <v>0</v>
      </c>
      <c r="AQ137">
        <f>IF(AND(gamma!AP14=1, VLOOKUP($A137,'40Trips'!$A$43:$I$46, 3,FALSE)=VLOOKUP(AQ$1,'40Trips'!$A$3:$I$42,3,FALSE)),1,0)</f>
        <v>0</v>
      </c>
    </row>
    <row r="138" spans="1:43" x14ac:dyDescent="0.25">
      <c r="A138" t="s">
        <v>68</v>
      </c>
      <c r="B138" t="s">
        <v>27</v>
      </c>
      <c r="C138">
        <v>0</v>
      </c>
      <c r="D138">
        <f>IF(AND(gamma!C15=1, VLOOKUP($A138,'40Trips'!$A$43:$I$46, 3,FALSE)=VLOOKUP(D$1,'40Trips'!$A$3:$I$42,3,FALSE)),1,0)</f>
        <v>0</v>
      </c>
      <c r="E138">
        <f>IF(AND(gamma!D15=1, VLOOKUP($A138,'40Trips'!$A$43:$I$46, 3,FALSE)=VLOOKUP(E$1,'40Trips'!$A$3:$I$42,3,FALSE)),1,0)</f>
        <v>0</v>
      </c>
      <c r="F138">
        <f>IF(AND(gamma!E15=1, VLOOKUP($A138,'40Trips'!$A$43:$I$46, 3,FALSE)=VLOOKUP(F$1,'40Trips'!$A$3:$I$42,3,FALSE)),1,0)</f>
        <v>0</v>
      </c>
      <c r="G138">
        <f>IF(AND(gamma!F15=1, VLOOKUP($A138,'40Trips'!$A$43:$I$46, 3,FALSE)=VLOOKUP(G$1,'40Trips'!$A$3:$I$42,3,FALSE)),1,0)</f>
        <v>0</v>
      </c>
      <c r="H138">
        <f>IF(AND(gamma!G15=1, VLOOKUP($A138,'40Trips'!$A$43:$I$46, 3,FALSE)=VLOOKUP(H$1,'40Trips'!$A$3:$I$42,3,FALSE)),1,0)</f>
        <v>0</v>
      </c>
      <c r="I138">
        <f>IF(AND(gamma!H15=1, VLOOKUP($A138,'40Trips'!$A$43:$I$46, 3,FALSE)=VLOOKUP(I$1,'40Trips'!$A$3:$I$42,3,FALSE)),1,0)</f>
        <v>0</v>
      </c>
      <c r="J138">
        <f>IF(AND(gamma!I15=1, VLOOKUP($A138,'40Trips'!$A$43:$I$46, 3,FALSE)=VLOOKUP(J$1,'40Trips'!$A$3:$I$42,3,FALSE)),1,0)</f>
        <v>0</v>
      </c>
      <c r="K138">
        <f>IF(AND(gamma!J15=1, VLOOKUP($A138,'40Trips'!$A$43:$I$46, 3,FALSE)=VLOOKUP(K$1,'40Trips'!$A$3:$I$42,3,FALSE)),1,0)</f>
        <v>0</v>
      </c>
      <c r="L138">
        <f>IF(AND(gamma!K15=1, VLOOKUP($A138,'40Trips'!$A$43:$I$46, 3,FALSE)=VLOOKUP(L$1,'40Trips'!$A$3:$I$42,3,FALSE)),1,0)</f>
        <v>0</v>
      </c>
      <c r="M138">
        <f>IF(AND(gamma!L15=1, VLOOKUP($A138,'40Trips'!$A$43:$I$46, 3,FALSE)=VLOOKUP(M$1,'40Trips'!$A$3:$I$42,3,FALSE)),1,0)</f>
        <v>0</v>
      </c>
      <c r="N138">
        <f>IF(AND(gamma!M15=1, VLOOKUP($A138,'40Trips'!$A$43:$I$46, 3,FALSE)=VLOOKUP(N$1,'40Trips'!$A$3:$I$42,3,FALSE)),1,0)</f>
        <v>0</v>
      </c>
      <c r="O138">
        <f>IF(AND(gamma!N15=1, VLOOKUP($A138,'40Trips'!$A$43:$I$46, 3,FALSE)=VLOOKUP(O$1,'40Trips'!$A$3:$I$42,3,FALSE)),1,0)</f>
        <v>0</v>
      </c>
      <c r="P138">
        <f>IF(AND(gamma!O15=1, VLOOKUP($A138,'40Trips'!$A$43:$I$46, 3,FALSE)=VLOOKUP(P$1,'40Trips'!$A$3:$I$42,3,FALSE)),1,0)</f>
        <v>0</v>
      </c>
      <c r="Q138">
        <f>IF(AND(gamma!P15=1, VLOOKUP($A138,'40Trips'!$A$43:$I$46, 3,FALSE)=VLOOKUP(Q$1,'40Trips'!$A$3:$I$42,3,FALSE)),1,0)</f>
        <v>0</v>
      </c>
      <c r="R138">
        <f>IF(AND(gamma!Q15=1, VLOOKUP($A138,'40Trips'!$A$43:$I$46, 3,FALSE)=VLOOKUP(R$1,'40Trips'!$A$3:$I$42,3,FALSE)),1,0)</f>
        <v>0</v>
      </c>
      <c r="S138">
        <f>IF(AND(gamma!R15=1, VLOOKUP($A138,'40Trips'!$A$43:$I$46, 3,FALSE)=VLOOKUP(S$1,'40Trips'!$A$3:$I$42,3,FALSE)),1,0)</f>
        <v>0</v>
      </c>
      <c r="T138">
        <f>IF(AND(gamma!S15=1, VLOOKUP($A138,'40Trips'!$A$43:$I$46, 3,FALSE)=VLOOKUP(T$1,'40Trips'!$A$3:$I$42,3,FALSE)),1,0)</f>
        <v>0</v>
      </c>
      <c r="U138">
        <f>IF(AND(gamma!T15=1, VLOOKUP($A138,'40Trips'!$A$43:$I$46, 3,FALSE)=VLOOKUP(U$1,'40Trips'!$A$3:$I$42,3,FALSE)),1,0)</f>
        <v>0</v>
      </c>
      <c r="V138">
        <f>IF(AND(gamma!U15=1, VLOOKUP($A138,'40Trips'!$A$43:$I$46, 3,FALSE)=VLOOKUP(V$1,'40Trips'!$A$3:$I$42,3,FALSE)),1,0)</f>
        <v>0</v>
      </c>
      <c r="W138">
        <f>IF(AND(gamma!V15=1, VLOOKUP($A138,'40Trips'!$A$43:$I$46, 3,FALSE)=VLOOKUP(W$1,'40Trips'!$A$3:$I$42,3,FALSE)),1,0)</f>
        <v>0</v>
      </c>
      <c r="X138">
        <f>IF(AND(gamma!W15=1, VLOOKUP($A138,'40Trips'!$A$43:$I$46, 3,FALSE)=VLOOKUP(X$1,'40Trips'!$A$3:$I$42,3,FALSE)),1,0)</f>
        <v>0</v>
      </c>
      <c r="Y138">
        <f>IF(AND(gamma!X15=1, VLOOKUP($A138,'40Trips'!$A$43:$I$46, 3,FALSE)=VLOOKUP(Y$1,'40Trips'!$A$3:$I$42,3,FALSE)),1,0)</f>
        <v>0</v>
      </c>
      <c r="Z138">
        <f>IF(AND(gamma!Y15=1, VLOOKUP($A138,'40Trips'!$A$43:$I$46, 3,FALSE)=VLOOKUP(Z$1,'40Trips'!$A$3:$I$42,3,FALSE)),1,0)</f>
        <v>1</v>
      </c>
      <c r="AA138">
        <f>IF(AND(gamma!Z15=1, VLOOKUP($A138,'40Trips'!$A$43:$I$46, 3,FALSE)=VLOOKUP(AA$1,'40Trips'!$A$3:$I$42,3,FALSE)),1,0)</f>
        <v>1</v>
      </c>
      <c r="AB138">
        <f>IF(AND(gamma!AA15=1, VLOOKUP($A138,'40Trips'!$A$43:$I$46, 3,FALSE)=VLOOKUP(AB$1,'40Trips'!$A$3:$I$42,3,FALSE)),1,0)</f>
        <v>0</v>
      </c>
      <c r="AC138">
        <f>IF(AND(gamma!AB15=1, VLOOKUP($A138,'40Trips'!$A$43:$I$46, 3,FALSE)=VLOOKUP(AC$1,'40Trips'!$A$3:$I$42,3,FALSE)),1,0)</f>
        <v>0</v>
      </c>
      <c r="AD138">
        <f>IF(AND(gamma!AC15=1, VLOOKUP($A138,'40Trips'!$A$43:$I$46, 3,FALSE)=VLOOKUP(AD$1,'40Trips'!$A$3:$I$42,3,FALSE)),1,0)</f>
        <v>1</v>
      </c>
      <c r="AE138">
        <f>IF(AND(gamma!AD15=1, VLOOKUP($A138,'40Trips'!$A$43:$I$46, 3,FALSE)=VLOOKUP(AE$1,'40Trips'!$A$3:$I$42,3,FALSE)),1,0)</f>
        <v>1</v>
      </c>
      <c r="AF138">
        <f>IF(AND(gamma!AE15=1, VLOOKUP($A138,'40Trips'!$A$43:$I$46, 3,FALSE)=VLOOKUP(AF$1,'40Trips'!$A$3:$I$42,3,FALSE)),1,0)</f>
        <v>0</v>
      </c>
      <c r="AG138">
        <f>IF(AND(gamma!AF15=1, VLOOKUP($A138,'40Trips'!$A$43:$I$46, 3,FALSE)=VLOOKUP(AG$1,'40Trips'!$A$3:$I$42,3,FALSE)),1,0)</f>
        <v>0</v>
      </c>
      <c r="AH138">
        <f>IF(AND(gamma!AG15=1, VLOOKUP($A138,'40Trips'!$A$43:$I$46, 3,FALSE)=VLOOKUP(AH$1,'40Trips'!$A$3:$I$42,3,FALSE)),1,0)</f>
        <v>0</v>
      </c>
      <c r="AI138">
        <f>IF(AND(gamma!AH15=1, VLOOKUP($A138,'40Trips'!$A$43:$I$46, 3,FALSE)=VLOOKUP(AI$1,'40Trips'!$A$3:$I$42,3,FALSE)),1,0)</f>
        <v>0</v>
      </c>
      <c r="AJ138">
        <f>IF(AND(gamma!AI15=1, VLOOKUP($A138,'40Trips'!$A$43:$I$46, 3,FALSE)=VLOOKUP(AJ$1,'40Trips'!$A$3:$I$42,3,FALSE)),1,0)</f>
        <v>0</v>
      </c>
      <c r="AK138">
        <f>IF(AND(gamma!AJ15=1, VLOOKUP($A138,'40Trips'!$A$43:$I$46, 3,FALSE)=VLOOKUP(AK$1,'40Trips'!$A$3:$I$42,3,FALSE)),1,0)</f>
        <v>0</v>
      </c>
      <c r="AL138">
        <f>IF(AND(gamma!AK15=1, VLOOKUP($A138,'40Trips'!$A$43:$I$46, 3,FALSE)=VLOOKUP(AL$1,'40Trips'!$A$3:$I$42,3,FALSE)),1,0)</f>
        <v>0</v>
      </c>
      <c r="AM138">
        <f>IF(AND(gamma!AL15=1, VLOOKUP($A138,'40Trips'!$A$43:$I$46, 3,FALSE)=VLOOKUP(AM$1,'40Trips'!$A$3:$I$42,3,FALSE)),1,0)</f>
        <v>0</v>
      </c>
      <c r="AN138">
        <f>IF(AND(gamma!AM15=1, VLOOKUP($A138,'40Trips'!$A$43:$I$46, 3,FALSE)=VLOOKUP(AN$1,'40Trips'!$A$3:$I$42,3,FALSE)),1,0)</f>
        <v>0</v>
      </c>
      <c r="AO138">
        <f>IF(AND(gamma!AN15=1, VLOOKUP($A138,'40Trips'!$A$43:$I$46, 3,FALSE)=VLOOKUP(AO$1,'40Trips'!$A$3:$I$42,3,FALSE)),1,0)</f>
        <v>0</v>
      </c>
      <c r="AP138">
        <f>IF(AND(gamma!AO15=1, VLOOKUP($A138,'40Trips'!$A$43:$I$46, 3,FALSE)=VLOOKUP(AP$1,'40Trips'!$A$3:$I$42,3,FALSE)),1,0)</f>
        <v>0</v>
      </c>
      <c r="AQ138">
        <f>IF(AND(gamma!AP15=1, VLOOKUP($A138,'40Trips'!$A$43:$I$46, 3,FALSE)=VLOOKUP(AQ$1,'40Trips'!$A$3:$I$42,3,FALSE)),1,0)</f>
        <v>0</v>
      </c>
    </row>
    <row r="139" spans="1:43" x14ac:dyDescent="0.25">
      <c r="A139" t="s">
        <v>68</v>
      </c>
      <c r="B139" t="s">
        <v>28</v>
      </c>
      <c r="C139">
        <v>0</v>
      </c>
      <c r="D139">
        <f>IF(AND(gamma!C16=1, VLOOKUP($A139,'40Trips'!$A$43:$I$46, 3,FALSE)=VLOOKUP(D$1,'40Trips'!$A$3:$I$42,3,FALSE)),1,0)</f>
        <v>0</v>
      </c>
      <c r="E139">
        <f>IF(AND(gamma!D16=1, VLOOKUP($A139,'40Trips'!$A$43:$I$46, 3,FALSE)=VLOOKUP(E$1,'40Trips'!$A$3:$I$42,3,FALSE)),1,0)</f>
        <v>0</v>
      </c>
      <c r="F139">
        <f>IF(AND(gamma!E16=1, VLOOKUP($A139,'40Trips'!$A$43:$I$46, 3,FALSE)=VLOOKUP(F$1,'40Trips'!$A$3:$I$42,3,FALSE)),1,0)</f>
        <v>0</v>
      </c>
      <c r="G139">
        <f>IF(AND(gamma!F16=1, VLOOKUP($A139,'40Trips'!$A$43:$I$46, 3,FALSE)=VLOOKUP(G$1,'40Trips'!$A$3:$I$42,3,FALSE)),1,0)</f>
        <v>0</v>
      </c>
      <c r="H139">
        <f>IF(AND(gamma!G16=1, VLOOKUP($A139,'40Trips'!$A$43:$I$46, 3,FALSE)=VLOOKUP(H$1,'40Trips'!$A$3:$I$42,3,FALSE)),1,0)</f>
        <v>0</v>
      </c>
      <c r="I139">
        <f>IF(AND(gamma!H16=1, VLOOKUP($A139,'40Trips'!$A$43:$I$46, 3,FALSE)=VLOOKUP(I$1,'40Trips'!$A$3:$I$42,3,FALSE)),1,0)</f>
        <v>0</v>
      </c>
      <c r="J139">
        <f>IF(AND(gamma!I16=1, VLOOKUP($A139,'40Trips'!$A$43:$I$46, 3,FALSE)=VLOOKUP(J$1,'40Trips'!$A$3:$I$42,3,FALSE)),1,0)</f>
        <v>0</v>
      </c>
      <c r="K139">
        <f>IF(AND(gamma!J16=1, VLOOKUP($A139,'40Trips'!$A$43:$I$46, 3,FALSE)=VLOOKUP(K$1,'40Trips'!$A$3:$I$42,3,FALSE)),1,0)</f>
        <v>0</v>
      </c>
      <c r="L139">
        <f>IF(AND(gamma!K16=1, VLOOKUP($A139,'40Trips'!$A$43:$I$46, 3,FALSE)=VLOOKUP(L$1,'40Trips'!$A$3:$I$42,3,FALSE)),1,0)</f>
        <v>0</v>
      </c>
      <c r="M139">
        <f>IF(AND(gamma!L16=1, VLOOKUP($A139,'40Trips'!$A$43:$I$46, 3,FALSE)=VLOOKUP(M$1,'40Trips'!$A$3:$I$42,3,FALSE)),1,0)</f>
        <v>0</v>
      </c>
      <c r="N139">
        <f>IF(AND(gamma!M16=1, VLOOKUP($A139,'40Trips'!$A$43:$I$46, 3,FALSE)=VLOOKUP(N$1,'40Trips'!$A$3:$I$42,3,FALSE)),1,0)</f>
        <v>0</v>
      </c>
      <c r="O139">
        <f>IF(AND(gamma!N16=1, VLOOKUP($A139,'40Trips'!$A$43:$I$46, 3,FALSE)=VLOOKUP(O$1,'40Trips'!$A$3:$I$42,3,FALSE)),1,0)</f>
        <v>0</v>
      </c>
      <c r="P139">
        <f>IF(AND(gamma!O16=1, VLOOKUP($A139,'40Trips'!$A$43:$I$46, 3,FALSE)=VLOOKUP(P$1,'40Trips'!$A$3:$I$42,3,FALSE)),1,0)</f>
        <v>0</v>
      </c>
      <c r="Q139">
        <f>IF(AND(gamma!P16=1, VLOOKUP($A139,'40Trips'!$A$43:$I$46, 3,FALSE)=VLOOKUP(Q$1,'40Trips'!$A$3:$I$42,3,FALSE)),1,0)</f>
        <v>0</v>
      </c>
      <c r="R139">
        <f>IF(AND(gamma!Q16=1, VLOOKUP($A139,'40Trips'!$A$43:$I$46, 3,FALSE)=VLOOKUP(R$1,'40Trips'!$A$3:$I$42,3,FALSE)),1,0)</f>
        <v>0</v>
      </c>
      <c r="S139">
        <f>IF(AND(gamma!R16=1, VLOOKUP($A139,'40Trips'!$A$43:$I$46, 3,FALSE)=VLOOKUP(S$1,'40Trips'!$A$3:$I$42,3,FALSE)),1,0)</f>
        <v>0</v>
      </c>
      <c r="T139">
        <f>IF(AND(gamma!S16=1, VLOOKUP($A139,'40Trips'!$A$43:$I$46, 3,FALSE)=VLOOKUP(T$1,'40Trips'!$A$3:$I$42,3,FALSE)),1,0)</f>
        <v>0</v>
      </c>
      <c r="U139">
        <f>IF(AND(gamma!T16=1, VLOOKUP($A139,'40Trips'!$A$43:$I$46, 3,FALSE)=VLOOKUP(U$1,'40Trips'!$A$3:$I$42,3,FALSE)),1,0)</f>
        <v>0</v>
      </c>
      <c r="V139">
        <f>IF(AND(gamma!U16=1, VLOOKUP($A139,'40Trips'!$A$43:$I$46, 3,FALSE)=VLOOKUP(V$1,'40Trips'!$A$3:$I$42,3,FALSE)),1,0)</f>
        <v>0</v>
      </c>
      <c r="W139">
        <f>IF(AND(gamma!V16=1, VLOOKUP($A139,'40Trips'!$A$43:$I$46, 3,FALSE)=VLOOKUP(W$1,'40Trips'!$A$3:$I$42,3,FALSE)),1,0)</f>
        <v>0</v>
      </c>
      <c r="X139">
        <f>IF(AND(gamma!W16=1, VLOOKUP($A139,'40Trips'!$A$43:$I$46, 3,FALSE)=VLOOKUP(X$1,'40Trips'!$A$3:$I$42,3,FALSE)),1,0)</f>
        <v>0</v>
      </c>
      <c r="Y139">
        <f>IF(AND(gamma!X16=1, VLOOKUP($A139,'40Trips'!$A$43:$I$46, 3,FALSE)=VLOOKUP(Y$1,'40Trips'!$A$3:$I$42,3,FALSE)),1,0)</f>
        <v>0</v>
      </c>
      <c r="Z139">
        <f>IF(AND(gamma!Y16=1, VLOOKUP($A139,'40Trips'!$A$43:$I$46, 3,FALSE)=VLOOKUP(Z$1,'40Trips'!$A$3:$I$42,3,FALSE)),1,0)</f>
        <v>0</v>
      </c>
      <c r="AA139">
        <f>IF(AND(gamma!Z16=1, VLOOKUP($A139,'40Trips'!$A$43:$I$46, 3,FALSE)=VLOOKUP(AA$1,'40Trips'!$A$3:$I$42,3,FALSE)),1,0)</f>
        <v>1</v>
      </c>
      <c r="AB139">
        <f>IF(AND(gamma!AA16=1, VLOOKUP($A139,'40Trips'!$A$43:$I$46, 3,FALSE)=VLOOKUP(AB$1,'40Trips'!$A$3:$I$42,3,FALSE)),1,0)</f>
        <v>0</v>
      </c>
      <c r="AC139">
        <f>IF(AND(gamma!AB16=1, VLOOKUP($A139,'40Trips'!$A$43:$I$46, 3,FALSE)=VLOOKUP(AC$1,'40Trips'!$A$3:$I$42,3,FALSE)),1,0)</f>
        <v>0</v>
      </c>
      <c r="AD139">
        <f>IF(AND(gamma!AC16=1, VLOOKUP($A139,'40Trips'!$A$43:$I$46, 3,FALSE)=VLOOKUP(AD$1,'40Trips'!$A$3:$I$42,3,FALSE)),1,0)</f>
        <v>1</v>
      </c>
      <c r="AE139">
        <f>IF(AND(gamma!AD16=1, VLOOKUP($A139,'40Trips'!$A$43:$I$46, 3,FALSE)=VLOOKUP(AE$1,'40Trips'!$A$3:$I$42,3,FALSE)),1,0)</f>
        <v>1</v>
      </c>
      <c r="AF139">
        <f>IF(AND(gamma!AE16=1, VLOOKUP($A139,'40Trips'!$A$43:$I$46, 3,FALSE)=VLOOKUP(AF$1,'40Trips'!$A$3:$I$42,3,FALSE)),1,0)</f>
        <v>0</v>
      </c>
      <c r="AG139">
        <f>IF(AND(gamma!AF16=1, VLOOKUP($A139,'40Trips'!$A$43:$I$46, 3,FALSE)=VLOOKUP(AG$1,'40Trips'!$A$3:$I$42,3,FALSE)),1,0)</f>
        <v>0</v>
      </c>
      <c r="AH139">
        <f>IF(AND(gamma!AG16=1, VLOOKUP($A139,'40Trips'!$A$43:$I$46, 3,FALSE)=VLOOKUP(AH$1,'40Trips'!$A$3:$I$42,3,FALSE)),1,0)</f>
        <v>0</v>
      </c>
      <c r="AI139">
        <f>IF(AND(gamma!AH16=1, VLOOKUP($A139,'40Trips'!$A$43:$I$46, 3,FALSE)=VLOOKUP(AI$1,'40Trips'!$A$3:$I$42,3,FALSE)),1,0)</f>
        <v>0</v>
      </c>
      <c r="AJ139">
        <f>IF(AND(gamma!AI16=1, VLOOKUP($A139,'40Trips'!$A$43:$I$46, 3,FALSE)=VLOOKUP(AJ$1,'40Trips'!$A$3:$I$42,3,FALSE)),1,0)</f>
        <v>0</v>
      </c>
      <c r="AK139">
        <f>IF(AND(gamma!AJ16=1, VLOOKUP($A139,'40Trips'!$A$43:$I$46, 3,FALSE)=VLOOKUP(AK$1,'40Trips'!$A$3:$I$42,3,FALSE)),1,0)</f>
        <v>0</v>
      </c>
      <c r="AL139">
        <f>IF(AND(gamma!AK16=1, VLOOKUP($A139,'40Trips'!$A$43:$I$46, 3,FALSE)=VLOOKUP(AL$1,'40Trips'!$A$3:$I$42,3,FALSE)),1,0)</f>
        <v>0</v>
      </c>
      <c r="AM139">
        <f>IF(AND(gamma!AL16=1, VLOOKUP($A139,'40Trips'!$A$43:$I$46, 3,FALSE)=VLOOKUP(AM$1,'40Trips'!$A$3:$I$42,3,FALSE)),1,0)</f>
        <v>0</v>
      </c>
      <c r="AN139">
        <f>IF(AND(gamma!AM16=1, VLOOKUP($A139,'40Trips'!$A$43:$I$46, 3,FALSE)=VLOOKUP(AN$1,'40Trips'!$A$3:$I$42,3,FALSE)),1,0)</f>
        <v>0</v>
      </c>
      <c r="AO139">
        <f>IF(AND(gamma!AN16=1, VLOOKUP($A139,'40Trips'!$A$43:$I$46, 3,FALSE)=VLOOKUP(AO$1,'40Trips'!$A$3:$I$42,3,FALSE)),1,0)</f>
        <v>0</v>
      </c>
      <c r="AP139">
        <f>IF(AND(gamma!AO16=1, VLOOKUP($A139,'40Trips'!$A$43:$I$46, 3,FALSE)=VLOOKUP(AP$1,'40Trips'!$A$3:$I$42,3,FALSE)),1,0)</f>
        <v>0</v>
      </c>
      <c r="AQ139">
        <f>IF(AND(gamma!AP16=1, VLOOKUP($A139,'40Trips'!$A$43:$I$46, 3,FALSE)=VLOOKUP(AQ$1,'40Trips'!$A$3:$I$42,3,FALSE)),1,0)</f>
        <v>0</v>
      </c>
    </row>
    <row r="140" spans="1:43" x14ac:dyDescent="0.25">
      <c r="A140" t="s">
        <v>68</v>
      </c>
      <c r="B140" t="s">
        <v>29</v>
      </c>
      <c r="C140">
        <v>0</v>
      </c>
      <c r="D140">
        <f>IF(AND(gamma!C17=1, VLOOKUP($A140,'40Trips'!$A$43:$I$46, 3,FALSE)=VLOOKUP(D$1,'40Trips'!$A$3:$I$42,3,FALSE)),1,0)</f>
        <v>0</v>
      </c>
      <c r="E140">
        <f>IF(AND(gamma!D17=1, VLOOKUP($A140,'40Trips'!$A$43:$I$46, 3,FALSE)=VLOOKUP(E$1,'40Trips'!$A$3:$I$42,3,FALSE)),1,0)</f>
        <v>0</v>
      </c>
      <c r="F140">
        <f>IF(AND(gamma!E17=1, VLOOKUP($A140,'40Trips'!$A$43:$I$46, 3,FALSE)=VLOOKUP(F$1,'40Trips'!$A$3:$I$42,3,FALSE)),1,0)</f>
        <v>0</v>
      </c>
      <c r="G140">
        <f>IF(AND(gamma!F17=1, VLOOKUP($A140,'40Trips'!$A$43:$I$46, 3,FALSE)=VLOOKUP(G$1,'40Trips'!$A$3:$I$42,3,FALSE)),1,0)</f>
        <v>0</v>
      </c>
      <c r="H140">
        <f>IF(AND(gamma!G17=1, VLOOKUP($A140,'40Trips'!$A$43:$I$46, 3,FALSE)=VLOOKUP(H$1,'40Trips'!$A$3:$I$42,3,FALSE)),1,0)</f>
        <v>0</v>
      </c>
      <c r="I140">
        <f>IF(AND(gamma!H17=1, VLOOKUP($A140,'40Trips'!$A$43:$I$46, 3,FALSE)=VLOOKUP(I$1,'40Trips'!$A$3:$I$42,3,FALSE)),1,0)</f>
        <v>0</v>
      </c>
      <c r="J140">
        <f>IF(AND(gamma!I17=1, VLOOKUP($A140,'40Trips'!$A$43:$I$46, 3,FALSE)=VLOOKUP(J$1,'40Trips'!$A$3:$I$42,3,FALSE)),1,0)</f>
        <v>0</v>
      </c>
      <c r="K140">
        <f>IF(AND(gamma!J17=1, VLOOKUP($A140,'40Trips'!$A$43:$I$46, 3,FALSE)=VLOOKUP(K$1,'40Trips'!$A$3:$I$42,3,FALSE)),1,0)</f>
        <v>0</v>
      </c>
      <c r="L140">
        <f>IF(AND(gamma!K17=1, VLOOKUP($A140,'40Trips'!$A$43:$I$46, 3,FALSE)=VLOOKUP(L$1,'40Trips'!$A$3:$I$42,3,FALSE)),1,0)</f>
        <v>0</v>
      </c>
      <c r="M140">
        <f>IF(AND(gamma!L17=1, VLOOKUP($A140,'40Trips'!$A$43:$I$46, 3,FALSE)=VLOOKUP(M$1,'40Trips'!$A$3:$I$42,3,FALSE)),1,0)</f>
        <v>0</v>
      </c>
      <c r="N140">
        <f>IF(AND(gamma!M17=1, VLOOKUP($A140,'40Trips'!$A$43:$I$46, 3,FALSE)=VLOOKUP(N$1,'40Trips'!$A$3:$I$42,3,FALSE)),1,0)</f>
        <v>0</v>
      </c>
      <c r="O140">
        <f>IF(AND(gamma!N17=1, VLOOKUP($A140,'40Trips'!$A$43:$I$46, 3,FALSE)=VLOOKUP(O$1,'40Trips'!$A$3:$I$42,3,FALSE)),1,0)</f>
        <v>0</v>
      </c>
      <c r="P140">
        <f>IF(AND(gamma!O17=1, VLOOKUP($A140,'40Trips'!$A$43:$I$46, 3,FALSE)=VLOOKUP(P$1,'40Trips'!$A$3:$I$42,3,FALSE)),1,0)</f>
        <v>0</v>
      </c>
      <c r="Q140">
        <f>IF(AND(gamma!P17=1, VLOOKUP($A140,'40Trips'!$A$43:$I$46, 3,FALSE)=VLOOKUP(Q$1,'40Trips'!$A$3:$I$42,3,FALSE)),1,0)</f>
        <v>0</v>
      </c>
      <c r="R140">
        <f>IF(AND(gamma!Q17=1, VLOOKUP($A140,'40Trips'!$A$43:$I$46, 3,FALSE)=VLOOKUP(R$1,'40Trips'!$A$3:$I$42,3,FALSE)),1,0)</f>
        <v>0</v>
      </c>
      <c r="S140">
        <f>IF(AND(gamma!R17=1, VLOOKUP($A140,'40Trips'!$A$43:$I$46, 3,FALSE)=VLOOKUP(S$1,'40Trips'!$A$3:$I$42,3,FALSE)),1,0)</f>
        <v>0</v>
      </c>
      <c r="T140">
        <f>IF(AND(gamma!S17=1, VLOOKUP($A140,'40Trips'!$A$43:$I$46, 3,FALSE)=VLOOKUP(T$1,'40Trips'!$A$3:$I$42,3,FALSE)),1,0)</f>
        <v>0</v>
      </c>
      <c r="U140">
        <f>IF(AND(gamma!T17=1, VLOOKUP($A140,'40Trips'!$A$43:$I$46, 3,FALSE)=VLOOKUP(U$1,'40Trips'!$A$3:$I$42,3,FALSE)),1,0)</f>
        <v>0</v>
      </c>
      <c r="V140">
        <f>IF(AND(gamma!U17=1, VLOOKUP($A140,'40Trips'!$A$43:$I$46, 3,FALSE)=VLOOKUP(V$1,'40Trips'!$A$3:$I$42,3,FALSE)),1,0)</f>
        <v>0</v>
      </c>
      <c r="W140">
        <f>IF(AND(gamma!V17=1, VLOOKUP($A140,'40Trips'!$A$43:$I$46, 3,FALSE)=VLOOKUP(W$1,'40Trips'!$A$3:$I$42,3,FALSE)),1,0)</f>
        <v>0</v>
      </c>
      <c r="X140">
        <f>IF(AND(gamma!W17=1, VLOOKUP($A140,'40Trips'!$A$43:$I$46, 3,FALSE)=VLOOKUP(X$1,'40Trips'!$A$3:$I$42,3,FALSE)),1,0)</f>
        <v>0</v>
      </c>
      <c r="Y140">
        <f>IF(AND(gamma!X17=1, VLOOKUP($A140,'40Trips'!$A$43:$I$46, 3,FALSE)=VLOOKUP(Y$1,'40Trips'!$A$3:$I$42,3,FALSE)),1,0)</f>
        <v>0</v>
      </c>
      <c r="Z140">
        <f>IF(AND(gamma!Y17=1, VLOOKUP($A140,'40Trips'!$A$43:$I$46, 3,FALSE)=VLOOKUP(Z$1,'40Trips'!$A$3:$I$42,3,FALSE)),1,0)</f>
        <v>0</v>
      </c>
      <c r="AA140">
        <f>IF(AND(gamma!Z17=1, VLOOKUP($A140,'40Trips'!$A$43:$I$46, 3,FALSE)=VLOOKUP(AA$1,'40Trips'!$A$3:$I$42,3,FALSE)),1,0)</f>
        <v>0</v>
      </c>
      <c r="AB140">
        <f>IF(AND(gamma!AA17=1, VLOOKUP($A140,'40Trips'!$A$43:$I$46, 3,FALSE)=VLOOKUP(AB$1,'40Trips'!$A$3:$I$42,3,FALSE)),1,0)</f>
        <v>0</v>
      </c>
      <c r="AC140">
        <f>IF(AND(gamma!AB17=1, VLOOKUP($A140,'40Trips'!$A$43:$I$46, 3,FALSE)=VLOOKUP(AC$1,'40Trips'!$A$3:$I$42,3,FALSE)),1,0)</f>
        <v>0</v>
      </c>
      <c r="AD140">
        <f>IF(AND(gamma!AC17=1, VLOOKUP($A140,'40Trips'!$A$43:$I$46, 3,FALSE)=VLOOKUP(AD$1,'40Trips'!$A$3:$I$42,3,FALSE)),1,0)</f>
        <v>0</v>
      </c>
      <c r="AE140">
        <f>IF(AND(gamma!AD17=1, VLOOKUP($A140,'40Trips'!$A$43:$I$46, 3,FALSE)=VLOOKUP(AE$1,'40Trips'!$A$3:$I$42,3,FALSE)),1,0)</f>
        <v>0</v>
      </c>
      <c r="AF140">
        <f>IF(AND(gamma!AE17=1, VLOOKUP($A140,'40Trips'!$A$43:$I$46, 3,FALSE)=VLOOKUP(AF$1,'40Trips'!$A$3:$I$42,3,FALSE)),1,0)</f>
        <v>0</v>
      </c>
      <c r="AG140">
        <f>IF(AND(gamma!AF17=1, VLOOKUP($A140,'40Trips'!$A$43:$I$46, 3,FALSE)=VLOOKUP(AG$1,'40Trips'!$A$3:$I$42,3,FALSE)),1,0)</f>
        <v>0</v>
      </c>
      <c r="AH140">
        <f>IF(AND(gamma!AG17=1, VLOOKUP($A140,'40Trips'!$A$43:$I$46, 3,FALSE)=VLOOKUP(AH$1,'40Trips'!$A$3:$I$42,3,FALSE)),1,0)</f>
        <v>0</v>
      </c>
      <c r="AI140">
        <f>IF(AND(gamma!AH17=1, VLOOKUP($A140,'40Trips'!$A$43:$I$46, 3,FALSE)=VLOOKUP(AI$1,'40Trips'!$A$3:$I$42,3,FALSE)),1,0)</f>
        <v>0</v>
      </c>
      <c r="AJ140">
        <f>IF(AND(gamma!AI17=1, VLOOKUP($A140,'40Trips'!$A$43:$I$46, 3,FALSE)=VLOOKUP(AJ$1,'40Trips'!$A$3:$I$42,3,FALSE)),1,0)</f>
        <v>0</v>
      </c>
      <c r="AK140">
        <f>IF(AND(gamma!AJ17=1, VLOOKUP($A140,'40Trips'!$A$43:$I$46, 3,FALSE)=VLOOKUP(AK$1,'40Trips'!$A$3:$I$42,3,FALSE)),1,0)</f>
        <v>0</v>
      </c>
      <c r="AL140">
        <f>IF(AND(gamma!AK17=1, VLOOKUP($A140,'40Trips'!$A$43:$I$46, 3,FALSE)=VLOOKUP(AL$1,'40Trips'!$A$3:$I$42,3,FALSE)),1,0)</f>
        <v>0</v>
      </c>
      <c r="AM140">
        <f>IF(AND(gamma!AL17=1, VLOOKUP($A140,'40Trips'!$A$43:$I$46, 3,FALSE)=VLOOKUP(AM$1,'40Trips'!$A$3:$I$42,3,FALSE)),1,0)</f>
        <v>0</v>
      </c>
      <c r="AN140">
        <f>IF(AND(gamma!AM17=1, VLOOKUP($A140,'40Trips'!$A$43:$I$46, 3,FALSE)=VLOOKUP(AN$1,'40Trips'!$A$3:$I$42,3,FALSE)),1,0)</f>
        <v>0</v>
      </c>
      <c r="AO140">
        <f>IF(AND(gamma!AN17=1, VLOOKUP($A140,'40Trips'!$A$43:$I$46, 3,FALSE)=VLOOKUP(AO$1,'40Trips'!$A$3:$I$42,3,FALSE)),1,0)</f>
        <v>0</v>
      </c>
      <c r="AP140">
        <f>IF(AND(gamma!AO17=1, VLOOKUP($A140,'40Trips'!$A$43:$I$46, 3,FALSE)=VLOOKUP(AP$1,'40Trips'!$A$3:$I$42,3,FALSE)),1,0)</f>
        <v>0</v>
      </c>
      <c r="AQ140">
        <f>IF(AND(gamma!AP17=1, VLOOKUP($A140,'40Trips'!$A$43:$I$46, 3,FALSE)=VLOOKUP(AQ$1,'40Trips'!$A$3:$I$42,3,FALSE)),1,0)</f>
        <v>0</v>
      </c>
    </row>
    <row r="141" spans="1:43" x14ac:dyDescent="0.25">
      <c r="A141" t="s">
        <v>68</v>
      </c>
      <c r="B141" t="s">
        <v>30</v>
      </c>
      <c r="C141">
        <v>0</v>
      </c>
      <c r="D141">
        <f>IF(AND(gamma!C18=1, VLOOKUP($A141,'40Trips'!$A$43:$I$46, 3,FALSE)=VLOOKUP(D$1,'40Trips'!$A$3:$I$42,3,FALSE)),1,0)</f>
        <v>0</v>
      </c>
      <c r="E141">
        <f>IF(AND(gamma!D18=1, VLOOKUP($A141,'40Trips'!$A$43:$I$46, 3,FALSE)=VLOOKUP(E$1,'40Trips'!$A$3:$I$42,3,FALSE)),1,0)</f>
        <v>0</v>
      </c>
      <c r="F141">
        <f>IF(AND(gamma!E18=1, VLOOKUP($A141,'40Trips'!$A$43:$I$46, 3,FALSE)=VLOOKUP(F$1,'40Trips'!$A$3:$I$42,3,FALSE)),1,0)</f>
        <v>0</v>
      </c>
      <c r="G141">
        <f>IF(AND(gamma!F18=1, VLOOKUP($A141,'40Trips'!$A$43:$I$46, 3,FALSE)=VLOOKUP(G$1,'40Trips'!$A$3:$I$42,3,FALSE)),1,0)</f>
        <v>0</v>
      </c>
      <c r="H141">
        <f>IF(AND(gamma!G18=1, VLOOKUP($A141,'40Trips'!$A$43:$I$46, 3,FALSE)=VLOOKUP(H$1,'40Trips'!$A$3:$I$42,3,FALSE)),1,0)</f>
        <v>0</v>
      </c>
      <c r="I141">
        <f>IF(AND(gamma!H18=1, VLOOKUP($A141,'40Trips'!$A$43:$I$46, 3,FALSE)=VLOOKUP(I$1,'40Trips'!$A$3:$I$42,3,FALSE)),1,0)</f>
        <v>0</v>
      </c>
      <c r="J141">
        <f>IF(AND(gamma!I18=1, VLOOKUP($A141,'40Trips'!$A$43:$I$46, 3,FALSE)=VLOOKUP(J$1,'40Trips'!$A$3:$I$42,3,FALSE)),1,0)</f>
        <v>0</v>
      </c>
      <c r="K141">
        <f>IF(AND(gamma!J18=1, VLOOKUP($A141,'40Trips'!$A$43:$I$46, 3,FALSE)=VLOOKUP(K$1,'40Trips'!$A$3:$I$42,3,FALSE)),1,0)</f>
        <v>0</v>
      </c>
      <c r="L141">
        <f>IF(AND(gamma!K18=1, VLOOKUP($A141,'40Trips'!$A$43:$I$46, 3,FALSE)=VLOOKUP(L$1,'40Trips'!$A$3:$I$42,3,FALSE)),1,0)</f>
        <v>0</v>
      </c>
      <c r="M141">
        <f>IF(AND(gamma!L18=1, VLOOKUP($A141,'40Trips'!$A$43:$I$46, 3,FALSE)=VLOOKUP(M$1,'40Trips'!$A$3:$I$42,3,FALSE)),1,0)</f>
        <v>0</v>
      </c>
      <c r="N141">
        <f>IF(AND(gamma!M18=1, VLOOKUP($A141,'40Trips'!$A$43:$I$46, 3,FALSE)=VLOOKUP(N$1,'40Trips'!$A$3:$I$42,3,FALSE)),1,0)</f>
        <v>0</v>
      </c>
      <c r="O141">
        <f>IF(AND(gamma!N18=1, VLOOKUP($A141,'40Trips'!$A$43:$I$46, 3,FALSE)=VLOOKUP(O$1,'40Trips'!$A$3:$I$42,3,FALSE)),1,0)</f>
        <v>0</v>
      </c>
      <c r="P141">
        <f>IF(AND(gamma!O18=1, VLOOKUP($A141,'40Trips'!$A$43:$I$46, 3,FALSE)=VLOOKUP(P$1,'40Trips'!$A$3:$I$42,3,FALSE)),1,0)</f>
        <v>0</v>
      </c>
      <c r="Q141">
        <f>IF(AND(gamma!P18=1, VLOOKUP($A141,'40Trips'!$A$43:$I$46, 3,FALSE)=VLOOKUP(Q$1,'40Trips'!$A$3:$I$42,3,FALSE)),1,0)</f>
        <v>0</v>
      </c>
      <c r="R141">
        <f>IF(AND(gamma!Q18=1, VLOOKUP($A141,'40Trips'!$A$43:$I$46, 3,FALSE)=VLOOKUP(R$1,'40Trips'!$A$3:$I$42,3,FALSE)),1,0)</f>
        <v>0</v>
      </c>
      <c r="S141">
        <f>IF(AND(gamma!R18=1, VLOOKUP($A141,'40Trips'!$A$43:$I$46, 3,FALSE)=VLOOKUP(S$1,'40Trips'!$A$3:$I$42,3,FALSE)),1,0)</f>
        <v>0</v>
      </c>
      <c r="T141">
        <f>IF(AND(gamma!S18=1, VLOOKUP($A141,'40Trips'!$A$43:$I$46, 3,FALSE)=VLOOKUP(T$1,'40Trips'!$A$3:$I$42,3,FALSE)),1,0)</f>
        <v>0</v>
      </c>
      <c r="U141">
        <f>IF(AND(gamma!T18=1, VLOOKUP($A141,'40Trips'!$A$43:$I$46, 3,FALSE)=VLOOKUP(U$1,'40Trips'!$A$3:$I$42,3,FALSE)),1,0)</f>
        <v>0</v>
      </c>
      <c r="V141">
        <f>IF(AND(gamma!U18=1, VLOOKUP($A141,'40Trips'!$A$43:$I$46, 3,FALSE)=VLOOKUP(V$1,'40Trips'!$A$3:$I$42,3,FALSE)),1,0)</f>
        <v>0</v>
      </c>
      <c r="W141">
        <f>IF(AND(gamma!V18=1, VLOOKUP($A141,'40Trips'!$A$43:$I$46, 3,FALSE)=VLOOKUP(W$1,'40Trips'!$A$3:$I$42,3,FALSE)),1,0)</f>
        <v>0</v>
      </c>
      <c r="X141">
        <f>IF(AND(gamma!W18=1, VLOOKUP($A141,'40Trips'!$A$43:$I$46, 3,FALSE)=VLOOKUP(X$1,'40Trips'!$A$3:$I$42,3,FALSE)),1,0)</f>
        <v>0</v>
      </c>
      <c r="Y141">
        <f>IF(AND(gamma!X18=1, VLOOKUP($A141,'40Trips'!$A$43:$I$46, 3,FALSE)=VLOOKUP(Y$1,'40Trips'!$A$3:$I$42,3,FALSE)),1,0)</f>
        <v>0</v>
      </c>
      <c r="Z141">
        <f>IF(AND(gamma!Y18=1, VLOOKUP($A141,'40Trips'!$A$43:$I$46, 3,FALSE)=VLOOKUP(Z$1,'40Trips'!$A$3:$I$42,3,FALSE)),1,0)</f>
        <v>0</v>
      </c>
      <c r="AA141">
        <f>IF(AND(gamma!Z18=1, VLOOKUP($A141,'40Trips'!$A$43:$I$46, 3,FALSE)=VLOOKUP(AA$1,'40Trips'!$A$3:$I$42,3,FALSE)),1,0)</f>
        <v>0</v>
      </c>
      <c r="AB141">
        <f>IF(AND(gamma!AA18=1, VLOOKUP($A141,'40Trips'!$A$43:$I$46, 3,FALSE)=VLOOKUP(AB$1,'40Trips'!$A$3:$I$42,3,FALSE)),1,0)</f>
        <v>0</v>
      </c>
      <c r="AC141">
        <f>IF(AND(gamma!AB18=1, VLOOKUP($A141,'40Trips'!$A$43:$I$46, 3,FALSE)=VLOOKUP(AC$1,'40Trips'!$A$3:$I$42,3,FALSE)),1,0)</f>
        <v>0</v>
      </c>
      <c r="AD141">
        <f>IF(AND(gamma!AC18=1, VLOOKUP($A141,'40Trips'!$A$43:$I$46, 3,FALSE)=VLOOKUP(AD$1,'40Trips'!$A$3:$I$42,3,FALSE)),1,0)</f>
        <v>0</v>
      </c>
      <c r="AE141">
        <f>IF(AND(gamma!AD18=1, VLOOKUP($A141,'40Trips'!$A$43:$I$46, 3,FALSE)=VLOOKUP(AE$1,'40Trips'!$A$3:$I$42,3,FALSE)),1,0)</f>
        <v>0</v>
      </c>
      <c r="AF141">
        <f>IF(AND(gamma!AE18=1, VLOOKUP($A141,'40Trips'!$A$43:$I$46, 3,FALSE)=VLOOKUP(AF$1,'40Trips'!$A$3:$I$42,3,FALSE)),1,0)</f>
        <v>0</v>
      </c>
      <c r="AG141">
        <f>IF(AND(gamma!AF18=1, VLOOKUP($A141,'40Trips'!$A$43:$I$46, 3,FALSE)=VLOOKUP(AG$1,'40Trips'!$A$3:$I$42,3,FALSE)),1,0)</f>
        <v>0</v>
      </c>
      <c r="AH141">
        <f>IF(AND(gamma!AG18=1, VLOOKUP($A141,'40Trips'!$A$43:$I$46, 3,FALSE)=VLOOKUP(AH$1,'40Trips'!$A$3:$I$42,3,FALSE)),1,0)</f>
        <v>0</v>
      </c>
      <c r="AI141">
        <f>IF(AND(gamma!AH18=1, VLOOKUP($A141,'40Trips'!$A$43:$I$46, 3,FALSE)=VLOOKUP(AI$1,'40Trips'!$A$3:$I$42,3,FALSE)),1,0)</f>
        <v>0</v>
      </c>
      <c r="AJ141">
        <f>IF(AND(gamma!AI18=1, VLOOKUP($A141,'40Trips'!$A$43:$I$46, 3,FALSE)=VLOOKUP(AJ$1,'40Trips'!$A$3:$I$42,3,FALSE)),1,0)</f>
        <v>0</v>
      </c>
      <c r="AK141">
        <f>IF(AND(gamma!AJ18=1, VLOOKUP($A141,'40Trips'!$A$43:$I$46, 3,FALSE)=VLOOKUP(AK$1,'40Trips'!$A$3:$I$42,3,FALSE)),1,0)</f>
        <v>0</v>
      </c>
      <c r="AL141">
        <f>IF(AND(gamma!AK18=1, VLOOKUP($A141,'40Trips'!$A$43:$I$46, 3,FALSE)=VLOOKUP(AL$1,'40Trips'!$A$3:$I$42,3,FALSE)),1,0)</f>
        <v>0</v>
      </c>
      <c r="AM141">
        <f>IF(AND(gamma!AL18=1, VLOOKUP($A141,'40Trips'!$A$43:$I$46, 3,FALSE)=VLOOKUP(AM$1,'40Trips'!$A$3:$I$42,3,FALSE)),1,0)</f>
        <v>0</v>
      </c>
      <c r="AN141">
        <f>IF(AND(gamma!AM18=1, VLOOKUP($A141,'40Trips'!$A$43:$I$46, 3,FALSE)=VLOOKUP(AN$1,'40Trips'!$A$3:$I$42,3,FALSE)),1,0)</f>
        <v>0</v>
      </c>
      <c r="AO141">
        <f>IF(AND(gamma!AN18=1, VLOOKUP($A141,'40Trips'!$A$43:$I$46, 3,FALSE)=VLOOKUP(AO$1,'40Trips'!$A$3:$I$42,3,FALSE)),1,0)</f>
        <v>0</v>
      </c>
      <c r="AP141">
        <f>IF(AND(gamma!AO18=1, VLOOKUP($A141,'40Trips'!$A$43:$I$46, 3,FALSE)=VLOOKUP(AP$1,'40Trips'!$A$3:$I$42,3,FALSE)),1,0)</f>
        <v>0</v>
      </c>
      <c r="AQ141">
        <f>IF(AND(gamma!AP18=1, VLOOKUP($A141,'40Trips'!$A$43:$I$46, 3,FALSE)=VLOOKUP(AQ$1,'40Trips'!$A$3:$I$42,3,FALSE)),1,0)</f>
        <v>0</v>
      </c>
    </row>
    <row r="142" spans="1:43" x14ac:dyDescent="0.25">
      <c r="A142" t="s">
        <v>68</v>
      </c>
      <c r="B142" t="s">
        <v>75</v>
      </c>
      <c r="C142">
        <v>0</v>
      </c>
      <c r="D142">
        <f>IF(AND(gamma!C19=1, VLOOKUP($A142,'40Trips'!$A$43:$I$46, 3,FALSE)=VLOOKUP(D$1,'40Trips'!$A$3:$I$42,3,FALSE)),1,0)</f>
        <v>0</v>
      </c>
      <c r="E142">
        <f>IF(AND(gamma!D19=1, VLOOKUP($A142,'40Trips'!$A$43:$I$46, 3,FALSE)=VLOOKUP(E$1,'40Trips'!$A$3:$I$42,3,FALSE)),1,0)</f>
        <v>0</v>
      </c>
      <c r="F142">
        <f>IF(AND(gamma!E19=1, VLOOKUP($A142,'40Trips'!$A$43:$I$46, 3,FALSE)=VLOOKUP(F$1,'40Trips'!$A$3:$I$42,3,FALSE)),1,0)</f>
        <v>0</v>
      </c>
      <c r="G142">
        <f>IF(AND(gamma!F19=1, VLOOKUP($A142,'40Trips'!$A$43:$I$46, 3,FALSE)=VLOOKUP(G$1,'40Trips'!$A$3:$I$42,3,FALSE)),1,0)</f>
        <v>0</v>
      </c>
      <c r="H142">
        <f>IF(AND(gamma!G19=1, VLOOKUP($A142,'40Trips'!$A$43:$I$46, 3,FALSE)=VLOOKUP(H$1,'40Trips'!$A$3:$I$42,3,FALSE)),1,0)</f>
        <v>0</v>
      </c>
      <c r="I142">
        <f>IF(AND(gamma!H19=1, VLOOKUP($A142,'40Trips'!$A$43:$I$46, 3,FALSE)=VLOOKUP(I$1,'40Trips'!$A$3:$I$42,3,FALSE)),1,0)</f>
        <v>0</v>
      </c>
      <c r="J142">
        <f>IF(AND(gamma!I19=1, VLOOKUP($A142,'40Trips'!$A$43:$I$46, 3,FALSE)=VLOOKUP(J$1,'40Trips'!$A$3:$I$42,3,FALSE)),1,0)</f>
        <v>0</v>
      </c>
      <c r="K142">
        <f>IF(AND(gamma!J19=1, VLOOKUP($A142,'40Trips'!$A$43:$I$46, 3,FALSE)=VLOOKUP(K$1,'40Trips'!$A$3:$I$42,3,FALSE)),1,0)</f>
        <v>0</v>
      </c>
      <c r="L142">
        <f>IF(AND(gamma!K19=1, VLOOKUP($A142,'40Trips'!$A$43:$I$46, 3,FALSE)=VLOOKUP(L$1,'40Trips'!$A$3:$I$42,3,FALSE)),1,0)</f>
        <v>0</v>
      </c>
      <c r="M142">
        <f>IF(AND(gamma!L19=1, VLOOKUP($A142,'40Trips'!$A$43:$I$46, 3,FALSE)=VLOOKUP(M$1,'40Trips'!$A$3:$I$42,3,FALSE)),1,0)</f>
        <v>0</v>
      </c>
      <c r="N142">
        <f>IF(AND(gamma!M19=1, VLOOKUP($A142,'40Trips'!$A$43:$I$46, 3,FALSE)=VLOOKUP(N$1,'40Trips'!$A$3:$I$42,3,FALSE)),1,0)</f>
        <v>0</v>
      </c>
      <c r="O142">
        <f>IF(AND(gamma!N19=1, VLOOKUP($A142,'40Trips'!$A$43:$I$46, 3,FALSE)=VLOOKUP(O$1,'40Trips'!$A$3:$I$42,3,FALSE)),1,0)</f>
        <v>0</v>
      </c>
      <c r="P142">
        <f>IF(AND(gamma!O19=1, VLOOKUP($A142,'40Trips'!$A$43:$I$46, 3,FALSE)=VLOOKUP(P$1,'40Trips'!$A$3:$I$42,3,FALSE)),1,0)</f>
        <v>0</v>
      </c>
      <c r="Q142">
        <f>IF(AND(gamma!P19=1, VLOOKUP($A142,'40Trips'!$A$43:$I$46, 3,FALSE)=VLOOKUP(Q$1,'40Trips'!$A$3:$I$42,3,FALSE)),1,0)</f>
        <v>0</v>
      </c>
      <c r="R142">
        <f>IF(AND(gamma!Q19=1, VLOOKUP($A142,'40Trips'!$A$43:$I$46, 3,FALSE)=VLOOKUP(R$1,'40Trips'!$A$3:$I$42,3,FALSE)),1,0)</f>
        <v>0</v>
      </c>
      <c r="S142">
        <f>IF(AND(gamma!R19=1, VLOOKUP($A142,'40Trips'!$A$43:$I$46, 3,FALSE)=VLOOKUP(S$1,'40Trips'!$A$3:$I$42,3,FALSE)),1,0)</f>
        <v>0</v>
      </c>
      <c r="T142">
        <f>IF(AND(gamma!S19=1, VLOOKUP($A142,'40Trips'!$A$43:$I$46, 3,FALSE)=VLOOKUP(T$1,'40Trips'!$A$3:$I$42,3,FALSE)),1,0)</f>
        <v>0</v>
      </c>
      <c r="U142">
        <f>IF(AND(gamma!T19=1, VLOOKUP($A142,'40Trips'!$A$43:$I$46, 3,FALSE)=VLOOKUP(U$1,'40Trips'!$A$3:$I$42,3,FALSE)),1,0)</f>
        <v>0</v>
      </c>
      <c r="V142">
        <f>IF(AND(gamma!U19=1, VLOOKUP($A142,'40Trips'!$A$43:$I$46, 3,FALSE)=VLOOKUP(V$1,'40Trips'!$A$3:$I$42,3,FALSE)),1,0)</f>
        <v>0</v>
      </c>
      <c r="W142">
        <f>IF(AND(gamma!V19=1, VLOOKUP($A142,'40Trips'!$A$43:$I$46, 3,FALSE)=VLOOKUP(W$1,'40Trips'!$A$3:$I$42,3,FALSE)),1,0)</f>
        <v>0</v>
      </c>
      <c r="X142">
        <f>IF(AND(gamma!W19=1, VLOOKUP($A142,'40Trips'!$A$43:$I$46, 3,FALSE)=VLOOKUP(X$1,'40Trips'!$A$3:$I$42,3,FALSE)),1,0)</f>
        <v>1</v>
      </c>
      <c r="Y142">
        <f>IF(AND(gamma!X19=1, VLOOKUP($A142,'40Trips'!$A$43:$I$46, 3,FALSE)=VLOOKUP(Y$1,'40Trips'!$A$3:$I$42,3,FALSE)),1,0)</f>
        <v>1</v>
      </c>
      <c r="Z142">
        <f>IF(AND(gamma!Y19=1, VLOOKUP($A142,'40Trips'!$A$43:$I$46, 3,FALSE)=VLOOKUP(Z$1,'40Trips'!$A$3:$I$42,3,FALSE)),1,0)</f>
        <v>1</v>
      </c>
      <c r="AA142">
        <f>IF(AND(gamma!Z19=1, VLOOKUP($A142,'40Trips'!$A$43:$I$46, 3,FALSE)=VLOOKUP(AA$1,'40Trips'!$A$3:$I$42,3,FALSE)),1,0)</f>
        <v>1</v>
      </c>
      <c r="AB142">
        <f>IF(AND(gamma!AA19=1, VLOOKUP($A142,'40Trips'!$A$43:$I$46, 3,FALSE)=VLOOKUP(AB$1,'40Trips'!$A$3:$I$42,3,FALSE)),1,0)</f>
        <v>1</v>
      </c>
      <c r="AC142">
        <f>IF(AND(gamma!AB19=1, VLOOKUP($A142,'40Trips'!$A$43:$I$46, 3,FALSE)=VLOOKUP(AC$1,'40Trips'!$A$3:$I$42,3,FALSE)),1,0)</f>
        <v>1</v>
      </c>
      <c r="AD142">
        <f>IF(AND(gamma!AC19=1, VLOOKUP($A142,'40Trips'!$A$43:$I$46, 3,FALSE)=VLOOKUP(AD$1,'40Trips'!$A$3:$I$42,3,FALSE)),1,0)</f>
        <v>1</v>
      </c>
      <c r="AE142">
        <f>IF(AND(gamma!AD19=1, VLOOKUP($A142,'40Trips'!$A$43:$I$46, 3,FALSE)=VLOOKUP(AE$1,'40Trips'!$A$3:$I$42,3,FALSE)),1,0)</f>
        <v>1</v>
      </c>
      <c r="AF142">
        <f>IF(AND(gamma!AE19=1, VLOOKUP($A142,'40Trips'!$A$43:$I$46, 3,FALSE)=VLOOKUP(AF$1,'40Trips'!$A$3:$I$42,3,FALSE)),1,0)</f>
        <v>1</v>
      </c>
      <c r="AG142">
        <f>IF(AND(gamma!AF19=1, VLOOKUP($A142,'40Trips'!$A$43:$I$46, 3,FALSE)=VLOOKUP(AG$1,'40Trips'!$A$3:$I$42,3,FALSE)),1,0)</f>
        <v>1</v>
      </c>
      <c r="AH142">
        <f>IF(AND(gamma!AG19=1, VLOOKUP($A142,'40Trips'!$A$43:$I$46, 3,FALSE)=VLOOKUP(AH$1,'40Trips'!$A$3:$I$42,3,FALSE)),1,0)</f>
        <v>1</v>
      </c>
      <c r="AI142">
        <f>IF(AND(gamma!AH19=1, VLOOKUP($A142,'40Trips'!$A$43:$I$46, 3,FALSE)=VLOOKUP(AI$1,'40Trips'!$A$3:$I$42,3,FALSE)),1,0)</f>
        <v>1</v>
      </c>
      <c r="AJ142">
        <f>IF(AND(gamma!AI19=1, VLOOKUP($A142,'40Trips'!$A$43:$I$46, 3,FALSE)=VLOOKUP(AJ$1,'40Trips'!$A$3:$I$42,3,FALSE)),1,0)</f>
        <v>0</v>
      </c>
      <c r="AK142">
        <f>IF(AND(gamma!AJ19=1, VLOOKUP($A142,'40Trips'!$A$43:$I$46, 3,FALSE)=VLOOKUP(AK$1,'40Trips'!$A$3:$I$42,3,FALSE)),1,0)</f>
        <v>0</v>
      </c>
      <c r="AL142">
        <f>IF(AND(gamma!AK19=1, VLOOKUP($A142,'40Trips'!$A$43:$I$46, 3,FALSE)=VLOOKUP(AL$1,'40Trips'!$A$3:$I$42,3,FALSE)),1,0)</f>
        <v>0</v>
      </c>
      <c r="AM142">
        <f>IF(AND(gamma!AL19=1, VLOOKUP($A142,'40Trips'!$A$43:$I$46, 3,FALSE)=VLOOKUP(AM$1,'40Trips'!$A$3:$I$42,3,FALSE)),1,0)</f>
        <v>0</v>
      </c>
      <c r="AN142">
        <f>IF(AND(gamma!AM19=1, VLOOKUP($A142,'40Trips'!$A$43:$I$46, 3,FALSE)=VLOOKUP(AN$1,'40Trips'!$A$3:$I$42,3,FALSE)),1,0)</f>
        <v>0</v>
      </c>
      <c r="AO142">
        <f>IF(AND(gamma!AN19=1, VLOOKUP($A142,'40Trips'!$A$43:$I$46, 3,FALSE)=VLOOKUP(AO$1,'40Trips'!$A$3:$I$42,3,FALSE)),1,0)</f>
        <v>0</v>
      </c>
      <c r="AP142">
        <f>IF(AND(gamma!AO19=1, VLOOKUP($A142,'40Trips'!$A$43:$I$46, 3,FALSE)=VLOOKUP(AP$1,'40Trips'!$A$3:$I$42,3,FALSE)),1,0)</f>
        <v>0</v>
      </c>
      <c r="AQ142">
        <f>IF(AND(gamma!AP19=1, VLOOKUP($A142,'40Trips'!$A$43:$I$46, 3,FALSE)=VLOOKUP(AQ$1,'40Trips'!$A$3:$I$42,3,FALSE)),1,0)</f>
        <v>0</v>
      </c>
    </row>
    <row r="143" spans="1:43" x14ac:dyDescent="0.25">
      <c r="A143" t="s">
        <v>68</v>
      </c>
      <c r="B143" t="s">
        <v>76</v>
      </c>
      <c r="C143">
        <v>0</v>
      </c>
      <c r="D143">
        <f>IF(AND(gamma!C20=1, VLOOKUP($A143,'40Trips'!$A$43:$I$46, 3,FALSE)=VLOOKUP(D$1,'40Trips'!$A$3:$I$42,3,FALSE)),1,0)</f>
        <v>0</v>
      </c>
      <c r="E143">
        <f>IF(AND(gamma!D20=1, VLOOKUP($A143,'40Trips'!$A$43:$I$46, 3,FALSE)=VLOOKUP(E$1,'40Trips'!$A$3:$I$42,3,FALSE)),1,0)</f>
        <v>0</v>
      </c>
      <c r="F143">
        <f>IF(AND(gamma!E20=1, VLOOKUP($A143,'40Trips'!$A$43:$I$46, 3,FALSE)=VLOOKUP(F$1,'40Trips'!$A$3:$I$42,3,FALSE)),1,0)</f>
        <v>0</v>
      </c>
      <c r="G143">
        <f>IF(AND(gamma!F20=1, VLOOKUP($A143,'40Trips'!$A$43:$I$46, 3,FALSE)=VLOOKUP(G$1,'40Trips'!$A$3:$I$42,3,FALSE)),1,0)</f>
        <v>0</v>
      </c>
      <c r="H143">
        <f>IF(AND(gamma!G20=1, VLOOKUP($A143,'40Trips'!$A$43:$I$46, 3,FALSE)=VLOOKUP(H$1,'40Trips'!$A$3:$I$42,3,FALSE)),1,0)</f>
        <v>0</v>
      </c>
      <c r="I143">
        <f>IF(AND(gamma!H20=1, VLOOKUP($A143,'40Trips'!$A$43:$I$46, 3,FALSE)=VLOOKUP(I$1,'40Trips'!$A$3:$I$42,3,FALSE)),1,0)</f>
        <v>0</v>
      </c>
      <c r="J143">
        <f>IF(AND(gamma!I20=1, VLOOKUP($A143,'40Trips'!$A$43:$I$46, 3,FALSE)=VLOOKUP(J$1,'40Trips'!$A$3:$I$42,3,FALSE)),1,0)</f>
        <v>0</v>
      </c>
      <c r="K143">
        <f>IF(AND(gamma!J20=1, VLOOKUP($A143,'40Trips'!$A$43:$I$46, 3,FALSE)=VLOOKUP(K$1,'40Trips'!$A$3:$I$42,3,FALSE)),1,0)</f>
        <v>0</v>
      </c>
      <c r="L143">
        <f>IF(AND(gamma!K20=1, VLOOKUP($A143,'40Trips'!$A$43:$I$46, 3,FALSE)=VLOOKUP(L$1,'40Trips'!$A$3:$I$42,3,FALSE)),1,0)</f>
        <v>0</v>
      </c>
      <c r="M143">
        <f>IF(AND(gamma!L20=1, VLOOKUP($A143,'40Trips'!$A$43:$I$46, 3,FALSE)=VLOOKUP(M$1,'40Trips'!$A$3:$I$42,3,FALSE)),1,0)</f>
        <v>0</v>
      </c>
      <c r="N143">
        <f>IF(AND(gamma!M20=1, VLOOKUP($A143,'40Trips'!$A$43:$I$46, 3,FALSE)=VLOOKUP(N$1,'40Trips'!$A$3:$I$42,3,FALSE)),1,0)</f>
        <v>0</v>
      </c>
      <c r="O143">
        <f>IF(AND(gamma!N20=1, VLOOKUP($A143,'40Trips'!$A$43:$I$46, 3,FALSE)=VLOOKUP(O$1,'40Trips'!$A$3:$I$42,3,FALSE)),1,0)</f>
        <v>0</v>
      </c>
      <c r="P143">
        <f>IF(AND(gamma!O20=1, VLOOKUP($A143,'40Trips'!$A$43:$I$46, 3,FALSE)=VLOOKUP(P$1,'40Trips'!$A$3:$I$42,3,FALSE)),1,0)</f>
        <v>0</v>
      </c>
      <c r="Q143">
        <f>IF(AND(gamma!P20=1, VLOOKUP($A143,'40Trips'!$A$43:$I$46, 3,FALSE)=VLOOKUP(Q$1,'40Trips'!$A$3:$I$42,3,FALSE)),1,0)</f>
        <v>0</v>
      </c>
      <c r="R143">
        <f>IF(AND(gamma!Q20=1, VLOOKUP($A143,'40Trips'!$A$43:$I$46, 3,FALSE)=VLOOKUP(R$1,'40Trips'!$A$3:$I$42,3,FALSE)),1,0)</f>
        <v>0</v>
      </c>
      <c r="S143">
        <f>IF(AND(gamma!R20=1, VLOOKUP($A143,'40Trips'!$A$43:$I$46, 3,FALSE)=VLOOKUP(S$1,'40Trips'!$A$3:$I$42,3,FALSE)),1,0)</f>
        <v>0</v>
      </c>
      <c r="T143">
        <f>IF(AND(gamma!S20=1, VLOOKUP($A143,'40Trips'!$A$43:$I$46, 3,FALSE)=VLOOKUP(T$1,'40Trips'!$A$3:$I$42,3,FALSE)),1,0)</f>
        <v>0</v>
      </c>
      <c r="U143">
        <f>IF(AND(gamma!T20=1, VLOOKUP($A143,'40Trips'!$A$43:$I$46, 3,FALSE)=VLOOKUP(U$1,'40Trips'!$A$3:$I$42,3,FALSE)),1,0)</f>
        <v>0</v>
      </c>
      <c r="V143">
        <f>IF(AND(gamma!U20=1, VLOOKUP($A143,'40Trips'!$A$43:$I$46, 3,FALSE)=VLOOKUP(V$1,'40Trips'!$A$3:$I$42,3,FALSE)),1,0)</f>
        <v>0</v>
      </c>
      <c r="W143">
        <f>IF(AND(gamma!V20=1, VLOOKUP($A143,'40Trips'!$A$43:$I$46, 3,FALSE)=VLOOKUP(W$1,'40Trips'!$A$3:$I$42,3,FALSE)),1,0)</f>
        <v>0</v>
      </c>
      <c r="X143">
        <f>IF(AND(gamma!W20=1, VLOOKUP($A143,'40Trips'!$A$43:$I$46, 3,FALSE)=VLOOKUP(X$1,'40Trips'!$A$3:$I$42,3,FALSE)),1,0)</f>
        <v>0</v>
      </c>
      <c r="Y143">
        <f>IF(AND(gamma!X20=1, VLOOKUP($A143,'40Trips'!$A$43:$I$46, 3,FALSE)=VLOOKUP(Y$1,'40Trips'!$A$3:$I$42,3,FALSE)),1,0)</f>
        <v>0</v>
      </c>
      <c r="Z143">
        <f>IF(AND(gamma!Y20=1, VLOOKUP($A143,'40Trips'!$A$43:$I$46, 3,FALSE)=VLOOKUP(Z$1,'40Trips'!$A$3:$I$42,3,FALSE)),1,0)</f>
        <v>1</v>
      </c>
      <c r="AA143">
        <f>IF(AND(gamma!Z20=1, VLOOKUP($A143,'40Trips'!$A$43:$I$46, 3,FALSE)=VLOOKUP(AA$1,'40Trips'!$A$3:$I$42,3,FALSE)),1,0)</f>
        <v>1</v>
      </c>
      <c r="AB143">
        <f>IF(AND(gamma!AA20=1, VLOOKUP($A143,'40Trips'!$A$43:$I$46, 3,FALSE)=VLOOKUP(AB$1,'40Trips'!$A$3:$I$42,3,FALSE)),1,0)</f>
        <v>0</v>
      </c>
      <c r="AC143">
        <f>IF(AND(gamma!AB20=1, VLOOKUP($A143,'40Trips'!$A$43:$I$46, 3,FALSE)=VLOOKUP(AC$1,'40Trips'!$A$3:$I$42,3,FALSE)),1,0)</f>
        <v>0</v>
      </c>
      <c r="AD143">
        <f>IF(AND(gamma!AC20=1, VLOOKUP($A143,'40Trips'!$A$43:$I$46, 3,FALSE)=VLOOKUP(AD$1,'40Trips'!$A$3:$I$42,3,FALSE)),1,0)</f>
        <v>1</v>
      </c>
      <c r="AE143">
        <f>IF(AND(gamma!AD20=1, VLOOKUP($A143,'40Trips'!$A$43:$I$46, 3,FALSE)=VLOOKUP(AE$1,'40Trips'!$A$3:$I$42,3,FALSE)),1,0)</f>
        <v>1</v>
      </c>
      <c r="AF143">
        <f>IF(AND(gamma!AE20=1, VLOOKUP($A143,'40Trips'!$A$43:$I$46, 3,FALSE)=VLOOKUP(AF$1,'40Trips'!$A$3:$I$42,3,FALSE)),1,0)</f>
        <v>0</v>
      </c>
      <c r="AG143">
        <f>IF(AND(gamma!AF20=1, VLOOKUP($A143,'40Trips'!$A$43:$I$46, 3,FALSE)=VLOOKUP(AG$1,'40Trips'!$A$3:$I$42,3,FALSE)),1,0)</f>
        <v>0</v>
      </c>
      <c r="AH143">
        <f>IF(AND(gamma!AG20=1, VLOOKUP($A143,'40Trips'!$A$43:$I$46, 3,FALSE)=VLOOKUP(AH$1,'40Trips'!$A$3:$I$42,3,FALSE)),1,0)</f>
        <v>0</v>
      </c>
      <c r="AI143">
        <f>IF(AND(gamma!AH20=1, VLOOKUP($A143,'40Trips'!$A$43:$I$46, 3,FALSE)=VLOOKUP(AI$1,'40Trips'!$A$3:$I$42,3,FALSE)),1,0)</f>
        <v>1</v>
      </c>
      <c r="AJ143">
        <f>IF(AND(gamma!AI20=1, VLOOKUP($A143,'40Trips'!$A$43:$I$46, 3,FALSE)=VLOOKUP(AJ$1,'40Trips'!$A$3:$I$42,3,FALSE)),1,0)</f>
        <v>0</v>
      </c>
      <c r="AK143">
        <f>IF(AND(gamma!AJ20=1, VLOOKUP($A143,'40Trips'!$A$43:$I$46, 3,FALSE)=VLOOKUP(AK$1,'40Trips'!$A$3:$I$42,3,FALSE)),1,0)</f>
        <v>0</v>
      </c>
      <c r="AL143">
        <f>IF(AND(gamma!AK20=1, VLOOKUP($A143,'40Trips'!$A$43:$I$46, 3,FALSE)=VLOOKUP(AL$1,'40Trips'!$A$3:$I$42,3,FALSE)),1,0)</f>
        <v>0</v>
      </c>
      <c r="AM143">
        <f>IF(AND(gamma!AL20=1, VLOOKUP($A143,'40Trips'!$A$43:$I$46, 3,FALSE)=VLOOKUP(AM$1,'40Trips'!$A$3:$I$42,3,FALSE)),1,0)</f>
        <v>0</v>
      </c>
      <c r="AN143">
        <f>IF(AND(gamma!AM20=1, VLOOKUP($A143,'40Trips'!$A$43:$I$46, 3,FALSE)=VLOOKUP(AN$1,'40Trips'!$A$3:$I$42,3,FALSE)),1,0)</f>
        <v>0</v>
      </c>
      <c r="AO143">
        <f>IF(AND(gamma!AN20=1, VLOOKUP($A143,'40Trips'!$A$43:$I$46, 3,FALSE)=VLOOKUP(AO$1,'40Trips'!$A$3:$I$42,3,FALSE)),1,0)</f>
        <v>0</v>
      </c>
      <c r="AP143">
        <f>IF(AND(gamma!AO20=1, VLOOKUP($A143,'40Trips'!$A$43:$I$46, 3,FALSE)=VLOOKUP(AP$1,'40Trips'!$A$3:$I$42,3,FALSE)),1,0)</f>
        <v>0</v>
      </c>
      <c r="AQ143">
        <f>IF(AND(gamma!AP20=1, VLOOKUP($A143,'40Trips'!$A$43:$I$46, 3,FALSE)=VLOOKUP(AQ$1,'40Trips'!$A$3:$I$42,3,FALSE)),1,0)</f>
        <v>0</v>
      </c>
    </row>
    <row r="144" spans="1:43" x14ac:dyDescent="0.25">
      <c r="A144" t="s">
        <v>68</v>
      </c>
      <c r="B144" t="s">
        <v>77</v>
      </c>
      <c r="C144">
        <v>0</v>
      </c>
      <c r="D144">
        <f>IF(AND(gamma!C21=1, VLOOKUP($A144,'40Trips'!$A$43:$I$46, 3,FALSE)=VLOOKUP(D$1,'40Trips'!$A$3:$I$42,3,FALSE)),1,0)</f>
        <v>0</v>
      </c>
      <c r="E144">
        <f>IF(AND(gamma!D21=1, VLOOKUP($A144,'40Trips'!$A$43:$I$46, 3,FALSE)=VLOOKUP(E$1,'40Trips'!$A$3:$I$42,3,FALSE)),1,0)</f>
        <v>0</v>
      </c>
      <c r="F144">
        <f>IF(AND(gamma!E21=1, VLOOKUP($A144,'40Trips'!$A$43:$I$46, 3,FALSE)=VLOOKUP(F$1,'40Trips'!$A$3:$I$42,3,FALSE)),1,0)</f>
        <v>0</v>
      </c>
      <c r="G144">
        <f>IF(AND(gamma!F21=1, VLOOKUP($A144,'40Trips'!$A$43:$I$46, 3,FALSE)=VLOOKUP(G$1,'40Trips'!$A$3:$I$42,3,FALSE)),1,0)</f>
        <v>0</v>
      </c>
      <c r="H144">
        <f>IF(AND(gamma!G21=1, VLOOKUP($A144,'40Trips'!$A$43:$I$46, 3,FALSE)=VLOOKUP(H$1,'40Trips'!$A$3:$I$42,3,FALSE)),1,0)</f>
        <v>0</v>
      </c>
      <c r="I144">
        <f>IF(AND(gamma!H21=1, VLOOKUP($A144,'40Trips'!$A$43:$I$46, 3,FALSE)=VLOOKUP(I$1,'40Trips'!$A$3:$I$42,3,FALSE)),1,0)</f>
        <v>0</v>
      </c>
      <c r="J144">
        <f>IF(AND(gamma!I21=1, VLOOKUP($A144,'40Trips'!$A$43:$I$46, 3,FALSE)=VLOOKUP(J$1,'40Trips'!$A$3:$I$42,3,FALSE)),1,0)</f>
        <v>0</v>
      </c>
      <c r="K144">
        <f>IF(AND(gamma!J21=1, VLOOKUP($A144,'40Trips'!$A$43:$I$46, 3,FALSE)=VLOOKUP(K$1,'40Trips'!$A$3:$I$42,3,FALSE)),1,0)</f>
        <v>0</v>
      </c>
      <c r="L144">
        <f>IF(AND(gamma!K21=1, VLOOKUP($A144,'40Trips'!$A$43:$I$46, 3,FALSE)=VLOOKUP(L$1,'40Trips'!$A$3:$I$42,3,FALSE)),1,0)</f>
        <v>0</v>
      </c>
      <c r="M144">
        <f>IF(AND(gamma!L21=1, VLOOKUP($A144,'40Trips'!$A$43:$I$46, 3,FALSE)=VLOOKUP(M$1,'40Trips'!$A$3:$I$42,3,FALSE)),1,0)</f>
        <v>0</v>
      </c>
      <c r="N144">
        <f>IF(AND(gamma!M21=1, VLOOKUP($A144,'40Trips'!$A$43:$I$46, 3,FALSE)=VLOOKUP(N$1,'40Trips'!$A$3:$I$42,3,FALSE)),1,0)</f>
        <v>0</v>
      </c>
      <c r="O144">
        <f>IF(AND(gamma!N21=1, VLOOKUP($A144,'40Trips'!$A$43:$I$46, 3,FALSE)=VLOOKUP(O$1,'40Trips'!$A$3:$I$42,3,FALSE)),1,0)</f>
        <v>0</v>
      </c>
      <c r="P144">
        <f>IF(AND(gamma!O21=1, VLOOKUP($A144,'40Trips'!$A$43:$I$46, 3,FALSE)=VLOOKUP(P$1,'40Trips'!$A$3:$I$42,3,FALSE)),1,0)</f>
        <v>0</v>
      </c>
      <c r="Q144">
        <f>IF(AND(gamma!P21=1, VLOOKUP($A144,'40Trips'!$A$43:$I$46, 3,FALSE)=VLOOKUP(Q$1,'40Trips'!$A$3:$I$42,3,FALSE)),1,0)</f>
        <v>0</v>
      </c>
      <c r="R144">
        <f>IF(AND(gamma!Q21=1, VLOOKUP($A144,'40Trips'!$A$43:$I$46, 3,FALSE)=VLOOKUP(R$1,'40Trips'!$A$3:$I$42,3,FALSE)),1,0)</f>
        <v>0</v>
      </c>
      <c r="S144">
        <f>IF(AND(gamma!R21=1, VLOOKUP($A144,'40Trips'!$A$43:$I$46, 3,FALSE)=VLOOKUP(S$1,'40Trips'!$A$3:$I$42,3,FALSE)),1,0)</f>
        <v>0</v>
      </c>
      <c r="T144">
        <f>IF(AND(gamma!S21=1, VLOOKUP($A144,'40Trips'!$A$43:$I$46, 3,FALSE)=VLOOKUP(T$1,'40Trips'!$A$3:$I$42,3,FALSE)),1,0)</f>
        <v>0</v>
      </c>
      <c r="U144">
        <f>IF(AND(gamma!T21=1, VLOOKUP($A144,'40Trips'!$A$43:$I$46, 3,FALSE)=VLOOKUP(U$1,'40Trips'!$A$3:$I$42,3,FALSE)),1,0)</f>
        <v>0</v>
      </c>
      <c r="V144">
        <f>IF(AND(gamma!U21=1, VLOOKUP($A144,'40Trips'!$A$43:$I$46, 3,FALSE)=VLOOKUP(V$1,'40Trips'!$A$3:$I$42,3,FALSE)),1,0)</f>
        <v>0</v>
      </c>
      <c r="W144">
        <f>IF(AND(gamma!V21=1, VLOOKUP($A144,'40Trips'!$A$43:$I$46, 3,FALSE)=VLOOKUP(W$1,'40Trips'!$A$3:$I$42,3,FALSE)),1,0)</f>
        <v>0</v>
      </c>
      <c r="X144">
        <f>IF(AND(gamma!W21=1, VLOOKUP($A144,'40Trips'!$A$43:$I$46, 3,FALSE)=VLOOKUP(X$1,'40Trips'!$A$3:$I$42,3,FALSE)),1,0)</f>
        <v>0</v>
      </c>
      <c r="Y144">
        <f>IF(AND(gamma!X21=1, VLOOKUP($A144,'40Trips'!$A$43:$I$46, 3,FALSE)=VLOOKUP(Y$1,'40Trips'!$A$3:$I$42,3,FALSE)),1,0)</f>
        <v>0</v>
      </c>
      <c r="Z144">
        <f>IF(AND(gamma!Y21=1, VLOOKUP($A144,'40Trips'!$A$43:$I$46, 3,FALSE)=VLOOKUP(Z$1,'40Trips'!$A$3:$I$42,3,FALSE)),1,0)</f>
        <v>0</v>
      </c>
      <c r="AA144">
        <f>IF(AND(gamma!Z21=1, VLOOKUP($A144,'40Trips'!$A$43:$I$46, 3,FALSE)=VLOOKUP(AA$1,'40Trips'!$A$3:$I$42,3,FALSE)),1,0)</f>
        <v>0</v>
      </c>
      <c r="AB144">
        <f>IF(AND(gamma!AA21=1, VLOOKUP($A144,'40Trips'!$A$43:$I$46, 3,FALSE)=VLOOKUP(AB$1,'40Trips'!$A$3:$I$42,3,FALSE)),1,0)</f>
        <v>0</v>
      </c>
      <c r="AC144">
        <f>IF(AND(gamma!AB21=1, VLOOKUP($A144,'40Trips'!$A$43:$I$46, 3,FALSE)=VLOOKUP(AC$1,'40Trips'!$A$3:$I$42,3,FALSE)),1,0)</f>
        <v>0</v>
      </c>
      <c r="AD144">
        <f>IF(AND(gamma!AC21=1, VLOOKUP($A144,'40Trips'!$A$43:$I$46, 3,FALSE)=VLOOKUP(AD$1,'40Trips'!$A$3:$I$42,3,FALSE)),1,0)</f>
        <v>0</v>
      </c>
      <c r="AE144">
        <f>IF(AND(gamma!AD21=1, VLOOKUP($A144,'40Trips'!$A$43:$I$46, 3,FALSE)=VLOOKUP(AE$1,'40Trips'!$A$3:$I$42,3,FALSE)),1,0)</f>
        <v>1</v>
      </c>
      <c r="AF144">
        <f>IF(AND(gamma!AE21=1, VLOOKUP($A144,'40Trips'!$A$43:$I$46, 3,FALSE)=VLOOKUP(AF$1,'40Trips'!$A$3:$I$42,3,FALSE)),1,0)</f>
        <v>0</v>
      </c>
      <c r="AG144">
        <f>IF(AND(gamma!AF21=1, VLOOKUP($A144,'40Trips'!$A$43:$I$46, 3,FALSE)=VLOOKUP(AG$1,'40Trips'!$A$3:$I$42,3,FALSE)),1,0)</f>
        <v>0</v>
      </c>
      <c r="AH144">
        <f>IF(AND(gamma!AG21=1, VLOOKUP($A144,'40Trips'!$A$43:$I$46, 3,FALSE)=VLOOKUP(AH$1,'40Trips'!$A$3:$I$42,3,FALSE)),1,0)</f>
        <v>0</v>
      </c>
      <c r="AI144">
        <f>IF(AND(gamma!AH21=1, VLOOKUP($A144,'40Trips'!$A$43:$I$46, 3,FALSE)=VLOOKUP(AI$1,'40Trips'!$A$3:$I$42,3,FALSE)),1,0)</f>
        <v>0</v>
      </c>
      <c r="AJ144">
        <f>IF(AND(gamma!AI21=1, VLOOKUP($A144,'40Trips'!$A$43:$I$46, 3,FALSE)=VLOOKUP(AJ$1,'40Trips'!$A$3:$I$42,3,FALSE)),1,0)</f>
        <v>0</v>
      </c>
      <c r="AK144">
        <f>IF(AND(gamma!AJ21=1, VLOOKUP($A144,'40Trips'!$A$43:$I$46, 3,FALSE)=VLOOKUP(AK$1,'40Trips'!$A$3:$I$42,3,FALSE)),1,0)</f>
        <v>0</v>
      </c>
      <c r="AL144">
        <f>IF(AND(gamma!AK21=1, VLOOKUP($A144,'40Trips'!$A$43:$I$46, 3,FALSE)=VLOOKUP(AL$1,'40Trips'!$A$3:$I$42,3,FALSE)),1,0)</f>
        <v>0</v>
      </c>
      <c r="AM144">
        <f>IF(AND(gamma!AL21=1, VLOOKUP($A144,'40Trips'!$A$43:$I$46, 3,FALSE)=VLOOKUP(AM$1,'40Trips'!$A$3:$I$42,3,FALSE)),1,0)</f>
        <v>0</v>
      </c>
      <c r="AN144">
        <f>IF(AND(gamma!AM21=1, VLOOKUP($A144,'40Trips'!$A$43:$I$46, 3,FALSE)=VLOOKUP(AN$1,'40Trips'!$A$3:$I$42,3,FALSE)),1,0)</f>
        <v>0</v>
      </c>
      <c r="AO144">
        <f>IF(AND(gamma!AN21=1, VLOOKUP($A144,'40Trips'!$A$43:$I$46, 3,FALSE)=VLOOKUP(AO$1,'40Trips'!$A$3:$I$42,3,FALSE)),1,0)</f>
        <v>0</v>
      </c>
      <c r="AP144">
        <f>IF(AND(gamma!AO21=1, VLOOKUP($A144,'40Trips'!$A$43:$I$46, 3,FALSE)=VLOOKUP(AP$1,'40Trips'!$A$3:$I$42,3,FALSE)),1,0)</f>
        <v>0</v>
      </c>
      <c r="AQ144">
        <f>IF(AND(gamma!AP21=1, VLOOKUP($A144,'40Trips'!$A$43:$I$46, 3,FALSE)=VLOOKUP(AQ$1,'40Trips'!$A$3:$I$42,3,FALSE)),1,0)</f>
        <v>0</v>
      </c>
    </row>
    <row r="145" spans="1:43" x14ac:dyDescent="0.25">
      <c r="A145" t="s">
        <v>68</v>
      </c>
      <c r="B145" t="s">
        <v>78</v>
      </c>
      <c r="C145">
        <v>0</v>
      </c>
      <c r="D145">
        <f>IF(AND(gamma!C22=1, VLOOKUP($A145,'40Trips'!$A$43:$I$46, 3,FALSE)=VLOOKUP(D$1,'40Trips'!$A$3:$I$42,3,FALSE)),1,0)</f>
        <v>0</v>
      </c>
      <c r="E145">
        <f>IF(AND(gamma!D22=1, VLOOKUP($A145,'40Trips'!$A$43:$I$46, 3,FALSE)=VLOOKUP(E$1,'40Trips'!$A$3:$I$42,3,FALSE)),1,0)</f>
        <v>0</v>
      </c>
      <c r="F145">
        <f>IF(AND(gamma!E22=1, VLOOKUP($A145,'40Trips'!$A$43:$I$46, 3,FALSE)=VLOOKUP(F$1,'40Trips'!$A$3:$I$42,3,FALSE)),1,0)</f>
        <v>0</v>
      </c>
      <c r="G145">
        <f>IF(AND(gamma!F22=1, VLOOKUP($A145,'40Trips'!$A$43:$I$46, 3,FALSE)=VLOOKUP(G$1,'40Trips'!$A$3:$I$42,3,FALSE)),1,0)</f>
        <v>0</v>
      </c>
      <c r="H145">
        <f>IF(AND(gamma!G22=1, VLOOKUP($A145,'40Trips'!$A$43:$I$46, 3,FALSE)=VLOOKUP(H$1,'40Trips'!$A$3:$I$42,3,FALSE)),1,0)</f>
        <v>0</v>
      </c>
      <c r="I145">
        <f>IF(AND(gamma!H22=1, VLOOKUP($A145,'40Trips'!$A$43:$I$46, 3,FALSE)=VLOOKUP(I$1,'40Trips'!$A$3:$I$42,3,FALSE)),1,0)</f>
        <v>0</v>
      </c>
      <c r="J145">
        <f>IF(AND(gamma!I22=1, VLOOKUP($A145,'40Trips'!$A$43:$I$46, 3,FALSE)=VLOOKUP(J$1,'40Trips'!$A$3:$I$42,3,FALSE)),1,0)</f>
        <v>0</v>
      </c>
      <c r="K145">
        <f>IF(AND(gamma!J22=1, VLOOKUP($A145,'40Trips'!$A$43:$I$46, 3,FALSE)=VLOOKUP(K$1,'40Trips'!$A$3:$I$42,3,FALSE)),1,0)</f>
        <v>0</v>
      </c>
      <c r="L145">
        <f>IF(AND(gamma!K22=1, VLOOKUP($A145,'40Trips'!$A$43:$I$46, 3,FALSE)=VLOOKUP(L$1,'40Trips'!$A$3:$I$42,3,FALSE)),1,0)</f>
        <v>0</v>
      </c>
      <c r="M145">
        <f>IF(AND(gamma!L22=1, VLOOKUP($A145,'40Trips'!$A$43:$I$46, 3,FALSE)=VLOOKUP(M$1,'40Trips'!$A$3:$I$42,3,FALSE)),1,0)</f>
        <v>0</v>
      </c>
      <c r="N145">
        <f>IF(AND(gamma!M22=1, VLOOKUP($A145,'40Trips'!$A$43:$I$46, 3,FALSE)=VLOOKUP(N$1,'40Trips'!$A$3:$I$42,3,FALSE)),1,0)</f>
        <v>0</v>
      </c>
      <c r="O145">
        <f>IF(AND(gamma!N22=1, VLOOKUP($A145,'40Trips'!$A$43:$I$46, 3,FALSE)=VLOOKUP(O$1,'40Trips'!$A$3:$I$42,3,FALSE)),1,0)</f>
        <v>0</v>
      </c>
      <c r="P145">
        <f>IF(AND(gamma!O22=1, VLOOKUP($A145,'40Trips'!$A$43:$I$46, 3,FALSE)=VLOOKUP(P$1,'40Trips'!$A$3:$I$42,3,FALSE)),1,0)</f>
        <v>0</v>
      </c>
      <c r="Q145">
        <f>IF(AND(gamma!P22=1, VLOOKUP($A145,'40Trips'!$A$43:$I$46, 3,FALSE)=VLOOKUP(Q$1,'40Trips'!$A$3:$I$42,3,FALSE)),1,0)</f>
        <v>0</v>
      </c>
      <c r="R145">
        <f>IF(AND(gamma!Q22=1, VLOOKUP($A145,'40Trips'!$A$43:$I$46, 3,FALSE)=VLOOKUP(R$1,'40Trips'!$A$3:$I$42,3,FALSE)),1,0)</f>
        <v>0</v>
      </c>
      <c r="S145">
        <f>IF(AND(gamma!R22=1, VLOOKUP($A145,'40Trips'!$A$43:$I$46, 3,FALSE)=VLOOKUP(S$1,'40Trips'!$A$3:$I$42,3,FALSE)),1,0)</f>
        <v>0</v>
      </c>
      <c r="T145">
        <f>IF(AND(gamma!S22=1, VLOOKUP($A145,'40Trips'!$A$43:$I$46, 3,FALSE)=VLOOKUP(T$1,'40Trips'!$A$3:$I$42,3,FALSE)),1,0)</f>
        <v>0</v>
      </c>
      <c r="U145">
        <f>IF(AND(gamma!T22=1, VLOOKUP($A145,'40Trips'!$A$43:$I$46, 3,FALSE)=VLOOKUP(U$1,'40Trips'!$A$3:$I$42,3,FALSE)),1,0)</f>
        <v>0</v>
      </c>
      <c r="V145">
        <f>IF(AND(gamma!U22=1, VLOOKUP($A145,'40Trips'!$A$43:$I$46, 3,FALSE)=VLOOKUP(V$1,'40Trips'!$A$3:$I$42,3,FALSE)),1,0)</f>
        <v>0</v>
      </c>
      <c r="W145">
        <f>IF(AND(gamma!V22=1, VLOOKUP($A145,'40Trips'!$A$43:$I$46, 3,FALSE)=VLOOKUP(W$1,'40Trips'!$A$3:$I$42,3,FALSE)),1,0)</f>
        <v>0</v>
      </c>
      <c r="X145">
        <f>IF(AND(gamma!W22=1, VLOOKUP($A145,'40Trips'!$A$43:$I$46, 3,FALSE)=VLOOKUP(X$1,'40Trips'!$A$3:$I$42,3,FALSE)),1,0)</f>
        <v>0</v>
      </c>
      <c r="Y145">
        <f>IF(AND(gamma!X22=1, VLOOKUP($A145,'40Trips'!$A$43:$I$46, 3,FALSE)=VLOOKUP(Y$1,'40Trips'!$A$3:$I$42,3,FALSE)),1,0)</f>
        <v>0</v>
      </c>
      <c r="Z145">
        <f>IF(AND(gamma!Y22=1, VLOOKUP($A145,'40Trips'!$A$43:$I$46, 3,FALSE)=VLOOKUP(Z$1,'40Trips'!$A$3:$I$42,3,FALSE)),1,0)</f>
        <v>0</v>
      </c>
      <c r="AA145">
        <f>IF(AND(gamma!Z22=1, VLOOKUP($A145,'40Trips'!$A$43:$I$46, 3,FALSE)=VLOOKUP(AA$1,'40Trips'!$A$3:$I$42,3,FALSE)),1,0)</f>
        <v>0</v>
      </c>
      <c r="AB145">
        <f>IF(AND(gamma!AA22=1, VLOOKUP($A145,'40Trips'!$A$43:$I$46, 3,FALSE)=VLOOKUP(AB$1,'40Trips'!$A$3:$I$42,3,FALSE)),1,0)</f>
        <v>0</v>
      </c>
      <c r="AC145">
        <f>IF(AND(gamma!AB22=1, VLOOKUP($A145,'40Trips'!$A$43:$I$46, 3,FALSE)=VLOOKUP(AC$1,'40Trips'!$A$3:$I$42,3,FALSE)),1,0)</f>
        <v>0</v>
      </c>
      <c r="AD145">
        <f>IF(AND(gamma!AC22=1, VLOOKUP($A145,'40Trips'!$A$43:$I$46, 3,FALSE)=VLOOKUP(AD$1,'40Trips'!$A$3:$I$42,3,FALSE)),1,0)</f>
        <v>0</v>
      </c>
      <c r="AE145">
        <f>IF(AND(gamma!AD22=1, VLOOKUP($A145,'40Trips'!$A$43:$I$46, 3,FALSE)=VLOOKUP(AE$1,'40Trips'!$A$3:$I$42,3,FALSE)),1,0)</f>
        <v>0</v>
      </c>
      <c r="AF145">
        <f>IF(AND(gamma!AE22=1, VLOOKUP($A145,'40Trips'!$A$43:$I$46, 3,FALSE)=VLOOKUP(AF$1,'40Trips'!$A$3:$I$42,3,FALSE)),1,0)</f>
        <v>0</v>
      </c>
      <c r="AG145">
        <f>IF(AND(gamma!AF22=1, VLOOKUP($A145,'40Trips'!$A$43:$I$46, 3,FALSE)=VLOOKUP(AG$1,'40Trips'!$A$3:$I$42,3,FALSE)),1,0)</f>
        <v>0</v>
      </c>
      <c r="AH145">
        <f>IF(AND(gamma!AG22=1, VLOOKUP($A145,'40Trips'!$A$43:$I$46, 3,FALSE)=VLOOKUP(AH$1,'40Trips'!$A$3:$I$42,3,FALSE)),1,0)</f>
        <v>0</v>
      </c>
      <c r="AI145">
        <f>IF(AND(gamma!AH22=1, VLOOKUP($A145,'40Trips'!$A$43:$I$46, 3,FALSE)=VLOOKUP(AI$1,'40Trips'!$A$3:$I$42,3,FALSE)),1,0)</f>
        <v>0</v>
      </c>
      <c r="AJ145">
        <f>IF(AND(gamma!AI22=1, VLOOKUP($A145,'40Trips'!$A$43:$I$46, 3,FALSE)=VLOOKUP(AJ$1,'40Trips'!$A$3:$I$42,3,FALSE)),1,0)</f>
        <v>0</v>
      </c>
      <c r="AK145">
        <f>IF(AND(gamma!AJ22=1, VLOOKUP($A145,'40Trips'!$A$43:$I$46, 3,FALSE)=VLOOKUP(AK$1,'40Trips'!$A$3:$I$42,3,FALSE)),1,0)</f>
        <v>0</v>
      </c>
      <c r="AL145">
        <f>IF(AND(gamma!AK22=1, VLOOKUP($A145,'40Trips'!$A$43:$I$46, 3,FALSE)=VLOOKUP(AL$1,'40Trips'!$A$3:$I$42,3,FALSE)),1,0)</f>
        <v>0</v>
      </c>
      <c r="AM145">
        <f>IF(AND(gamma!AL22=1, VLOOKUP($A145,'40Trips'!$A$43:$I$46, 3,FALSE)=VLOOKUP(AM$1,'40Trips'!$A$3:$I$42,3,FALSE)),1,0)</f>
        <v>0</v>
      </c>
      <c r="AN145">
        <f>IF(AND(gamma!AM22=1, VLOOKUP($A145,'40Trips'!$A$43:$I$46, 3,FALSE)=VLOOKUP(AN$1,'40Trips'!$A$3:$I$42,3,FALSE)),1,0)</f>
        <v>0</v>
      </c>
      <c r="AO145">
        <f>IF(AND(gamma!AN22=1, VLOOKUP($A145,'40Trips'!$A$43:$I$46, 3,FALSE)=VLOOKUP(AO$1,'40Trips'!$A$3:$I$42,3,FALSE)),1,0)</f>
        <v>0</v>
      </c>
      <c r="AP145">
        <f>IF(AND(gamma!AO22=1, VLOOKUP($A145,'40Trips'!$A$43:$I$46, 3,FALSE)=VLOOKUP(AP$1,'40Trips'!$A$3:$I$42,3,FALSE)),1,0)</f>
        <v>0</v>
      </c>
      <c r="AQ145">
        <f>IF(AND(gamma!AP22=1, VLOOKUP($A145,'40Trips'!$A$43:$I$46, 3,FALSE)=VLOOKUP(AQ$1,'40Trips'!$A$3:$I$42,3,FALSE)),1,0)</f>
        <v>0</v>
      </c>
    </row>
    <row r="146" spans="1:43" x14ac:dyDescent="0.25">
      <c r="A146" t="s">
        <v>68</v>
      </c>
      <c r="B146" t="s">
        <v>34</v>
      </c>
      <c r="C146">
        <v>0</v>
      </c>
      <c r="D146">
        <f>IF(AND(gamma!C23=1, VLOOKUP($A146,'40Trips'!$A$43:$I$46, 3,FALSE)=VLOOKUP(D$1,'40Trips'!$A$3:$I$42,3,FALSE)),1,0)</f>
        <v>0</v>
      </c>
      <c r="E146">
        <f>IF(AND(gamma!D23=1, VLOOKUP($A146,'40Trips'!$A$43:$I$46, 3,FALSE)=VLOOKUP(E$1,'40Trips'!$A$3:$I$42,3,FALSE)),1,0)</f>
        <v>0</v>
      </c>
      <c r="F146">
        <f>IF(AND(gamma!E23=1, VLOOKUP($A146,'40Trips'!$A$43:$I$46, 3,FALSE)=VLOOKUP(F$1,'40Trips'!$A$3:$I$42,3,FALSE)),1,0)</f>
        <v>0</v>
      </c>
      <c r="G146">
        <f>IF(AND(gamma!F23=1, VLOOKUP($A146,'40Trips'!$A$43:$I$46, 3,FALSE)=VLOOKUP(G$1,'40Trips'!$A$3:$I$42,3,FALSE)),1,0)</f>
        <v>0</v>
      </c>
      <c r="H146">
        <f>IF(AND(gamma!G23=1, VLOOKUP($A146,'40Trips'!$A$43:$I$46, 3,FALSE)=VLOOKUP(H$1,'40Trips'!$A$3:$I$42,3,FALSE)),1,0)</f>
        <v>0</v>
      </c>
      <c r="I146">
        <f>IF(AND(gamma!H23=1, VLOOKUP($A146,'40Trips'!$A$43:$I$46, 3,FALSE)=VLOOKUP(I$1,'40Trips'!$A$3:$I$42,3,FALSE)),1,0)</f>
        <v>0</v>
      </c>
      <c r="J146">
        <f>IF(AND(gamma!I23=1, VLOOKUP($A146,'40Trips'!$A$43:$I$46, 3,FALSE)=VLOOKUP(J$1,'40Trips'!$A$3:$I$42,3,FALSE)),1,0)</f>
        <v>0</v>
      </c>
      <c r="K146">
        <f>IF(AND(gamma!J23=1, VLOOKUP($A146,'40Trips'!$A$43:$I$46, 3,FALSE)=VLOOKUP(K$1,'40Trips'!$A$3:$I$42,3,FALSE)),1,0)</f>
        <v>0</v>
      </c>
      <c r="L146">
        <f>IF(AND(gamma!K23=1, VLOOKUP($A146,'40Trips'!$A$43:$I$46, 3,FALSE)=VLOOKUP(L$1,'40Trips'!$A$3:$I$42,3,FALSE)),1,0)</f>
        <v>0</v>
      </c>
      <c r="M146">
        <f>IF(AND(gamma!L23=1, VLOOKUP($A146,'40Trips'!$A$43:$I$46, 3,FALSE)=VLOOKUP(M$1,'40Trips'!$A$3:$I$42,3,FALSE)),1,0)</f>
        <v>0</v>
      </c>
      <c r="N146">
        <f>IF(AND(gamma!M23=1, VLOOKUP($A146,'40Trips'!$A$43:$I$46, 3,FALSE)=VLOOKUP(N$1,'40Trips'!$A$3:$I$42,3,FALSE)),1,0)</f>
        <v>0</v>
      </c>
      <c r="O146">
        <f>IF(AND(gamma!N23=1, VLOOKUP($A146,'40Trips'!$A$43:$I$46, 3,FALSE)=VLOOKUP(O$1,'40Trips'!$A$3:$I$42,3,FALSE)),1,0)</f>
        <v>0</v>
      </c>
      <c r="P146">
        <f>IF(AND(gamma!O23=1, VLOOKUP($A146,'40Trips'!$A$43:$I$46, 3,FALSE)=VLOOKUP(P$1,'40Trips'!$A$3:$I$42,3,FALSE)),1,0)</f>
        <v>0</v>
      </c>
      <c r="Q146">
        <f>IF(AND(gamma!P23=1, VLOOKUP($A146,'40Trips'!$A$43:$I$46, 3,FALSE)=VLOOKUP(Q$1,'40Trips'!$A$3:$I$42,3,FALSE)),1,0)</f>
        <v>0</v>
      </c>
      <c r="R146">
        <f>IF(AND(gamma!Q23=1, VLOOKUP($A146,'40Trips'!$A$43:$I$46, 3,FALSE)=VLOOKUP(R$1,'40Trips'!$A$3:$I$42,3,FALSE)),1,0)</f>
        <v>0</v>
      </c>
      <c r="S146">
        <f>IF(AND(gamma!R23=1, VLOOKUP($A146,'40Trips'!$A$43:$I$46, 3,FALSE)=VLOOKUP(S$1,'40Trips'!$A$3:$I$42,3,FALSE)),1,0)</f>
        <v>0</v>
      </c>
      <c r="T146">
        <f>IF(AND(gamma!S23=1, VLOOKUP($A146,'40Trips'!$A$43:$I$46, 3,FALSE)=VLOOKUP(T$1,'40Trips'!$A$3:$I$42,3,FALSE)),1,0)</f>
        <v>0</v>
      </c>
      <c r="U146">
        <f>IF(AND(gamma!T23=1, VLOOKUP($A146,'40Trips'!$A$43:$I$46, 3,FALSE)=VLOOKUP(U$1,'40Trips'!$A$3:$I$42,3,FALSE)),1,0)</f>
        <v>0</v>
      </c>
      <c r="V146">
        <f>IF(AND(gamma!U23=1, VLOOKUP($A146,'40Trips'!$A$43:$I$46, 3,FALSE)=VLOOKUP(V$1,'40Trips'!$A$3:$I$42,3,FALSE)),1,0)</f>
        <v>0</v>
      </c>
      <c r="W146">
        <f>IF(AND(gamma!V23=1, VLOOKUP($A146,'40Trips'!$A$43:$I$46, 3,FALSE)=VLOOKUP(W$1,'40Trips'!$A$3:$I$42,3,FALSE)),1,0)</f>
        <v>0</v>
      </c>
      <c r="X146">
        <f>IF(AND(gamma!W23=1, VLOOKUP($A146,'40Trips'!$A$43:$I$46, 3,FALSE)=VLOOKUP(X$1,'40Trips'!$A$3:$I$42,3,FALSE)),1,0)</f>
        <v>0</v>
      </c>
      <c r="Y146">
        <f>IF(AND(gamma!X23=1, VLOOKUP($A146,'40Trips'!$A$43:$I$46, 3,FALSE)=VLOOKUP(Y$1,'40Trips'!$A$3:$I$42,3,FALSE)),1,0)</f>
        <v>1</v>
      </c>
      <c r="Z146">
        <f>IF(AND(gamma!Y23=1, VLOOKUP($A146,'40Trips'!$A$43:$I$46, 3,FALSE)=VLOOKUP(Z$1,'40Trips'!$A$3:$I$42,3,FALSE)),1,0)</f>
        <v>1</v>
      </c>
      <c r="AA146">
        <f>IF(AND(gamma!Z23=1, VLOOKUP($A146,'40Trips'!$A$43:$I$46, 3,FALSE)=VLOOKUP(AA$1,'40Trips'!$A$3:$I$42,3,FALSE)),1,0)</f>
        <v>1</v>
      </c>
      <c r="AB146">
        <f>IF(AND(gamma!AA23=1, VLOOKUP($A146,'40Trips'!$A$43:$I$46, 3,FALSE)=VLOOKUP(AB$1,'40Trips'!$A$3:$I$42,3,FALSE)),1,0)</f>
        <v>0</v>
      </c>
      <c r="AC146">
        <f>IF(AND(gamma!AB23=1, VLOOKUP($A146,'40Trips'!$A$43:$I$46, 3,FALSE)=VLOOKUP(AC$1,'40Trips'!$A$3:$I$42,3,FALSE)),1,0)</f>
        <v>0</v>
      </c>
      <c r="AD146">
        <f>IF(AND(gamma!AC23=1, VLOOKUP($A146,'40Trips'!$A$43:$I$46, 3,FALSE)=VLOOKUP(AD$1,'40Trips'!$A$3:$I$42,3,FALSE)),1,0)</f>
        <v>1</v>
      </c>
      <c r="AE146">
        <f>IF(AND(gamma!AD23=1, VLOOKUP($A146,'40Trips'!$A$43:$I$46, 3,FALSE)=VLOOKUP(AE$1,'40Trips'!$A$3:$I$42,3,FALSE)),1,0)</f>
        <v>1</v>
      </c>
      <c r="AF146">
        <f>IF(AND(gamma!AE23=1, VLOOKUP($A146,'40Trips'!$A$43:$I$46, 3,FALSE)=VLOOKUP(AF$1,'40Trips'!$A$3:$I$42,3,FALSE)),1,0)</f>
        <v>0</v>
      </c>
      <c r="AG146">
        <f>IF(AND(gamma!AF23=1, VLOOKUP($A146,'40Trips'!$A$43:$I$46, 3,FALSE)=VLOOKUP(AG$1,'40Trips'!$A$3:$I$42,3,FALSE)),1,0)</f>
        <v>0</v>
      </c>
      <c r="AH146">
        <f>IF(AND(gamma!AG23=1, VLOOKUP($A146,'40Trips'!$A$43:$I$46, 3,FALSE)=VLOOKUP(AH$1,'40Trips'!$A$3:$I$42,3,FALSE)),1,0)</f>
        <v>0</v>
      </c>
      <c r="AI146">
        <f>IF(AND(gamma!AH23=1, VLOOKUP($A146,'40Trips'!$A$43:$I$46, 3,FALSE)=VLOOKUP(AI$1,'40Trips'!$A$3:$I$42,3,FALSE)),1,0)</f>
        <v>1</v>
      </c>
      <c r="AJ146">
        <f>IF(AND(gamma!AI23=1, VLOOKUP($A146,'40Trips'!$A$43:$I$46, 3,FALSE)=VLOOKUP(AJ$1,'40Trips'!$A$3:$I$42,3,FALSE)),1,0)</f>
        <v>0</v>
      </c>
      <c r="AK146">
        <f>IF(AND(gamma!AJ23=1, VLOOKUP($A146,'40Trips'!$A$43:$I$46, 3,FALSE)=VLOOKUP(AK$1,'40Trips'!$A$3:$I$42,3,FALSE)),1,0)</f>
        <v>0</v>
      </c>
      <c r="AL146">
        <f>IF(AND(gamma!AK23=1, VLOOKUP($A146,'40Trips'!$A$43:$I$46, 3,FALSE)=VLOOKUP(AL$1,'40Trips'!$A$3:$I$42,3,FALSE)),1,0)</f>
        <v>0</v>
      </c>
      <c r="AM146">
        <f>IF(AND(gamma!AL23=1, VLOOKUP($A146,'40Trips'!$A$43:$I$46, 3,FALSE)=VLOOKUP(AM$1,'40Trips'!$A$3:$I$42,3,FALSE)),1,0)</f>
        <v>0</v>
      </c>
      <c r="AN146">
        <f>IF(AND(gamma!AM23=1, VLOOKUP($A146,'40Trips'!$A$43:$I$46, 3,FALSE)=VLOOKUP(AN$1,'40Trips'!$A$3:$I$42,3,FALSE)),1,0)</f>
        <v>0</v>
      </c>
      <c r="AO146">
        <f>IF(AND(gamma!AN23=1, VLOOKUP($A146,'40Trips'!$A$43:$I$46, 3,FALSE)=VLOOKUP(AO$1,'40Trips'!$A$3:$I$42,3,FALSE)),1,0)</f>
        <v>0</v>
      </c>
      <c r="AP146">
        <f>IF(AND(gamma!AO23=1, VLOOKUP($A146,'40Trips'!$A$43:$I$46, 3,FALSE)=VLOOKUP(AP$1,'40Trips'!$A$3:$I$42,3,FALSE)),1,0)</f>
        <v>0</v>
      </c>
      <c r="AQ146">
        <f>IF(AND(gamma!AP23=1, VLOOKUP($A146,'40Trips'!$A$43:$I$46, 3,FALSE)=VLOOKUP(AQ$1,'40Trips'!$A$3:$I$42,3,FALSE)),1,0)</f>
        <v>0</v>
      </c>
    </row>
    <row r="147" spans="1:43" x14ac:dyDescent="0.25">
      <c r="A147" t="s">
        <v>68</v>
      </c>
      <c r="B147" t="s">
        <v>35</v>
      </c>
      <c r="C147">
        <v>0</v>
      </c>
      <c r="D147">
        <f>IF(AND(gamma!C24=1, VLOOKUP($A147,'40Trips'!$A$43:$I$46, 3,FALSE)=VLOOKUP(D$1,'40Trips'!$A$3:$I$42,3,FALSE)),1,0)</f>
        <v>0</v>
      </c>
      <c r="E147">
        <f>IF(AND(gamma!D24=1, VLOOKUP($A147,'40Trips'!$A$43:$I$46, 3,FALSE)=VLOOKUP(E$1,'40Trips'!$A$3:$I$42,3,FALSE)),1,0)</f>
        <v>0</v>
      </c>
      <c r="F147">
        <f>IF(AND(gamma!E24=1, VLOOKUP($A147,'40Trips'!$A$43:$I$46, 3,FALSE)=VLOOKUP(F$1,'40Trips'!$A$3:$I$42,3,FALSE)),1,0)</f>
        <v>0</v>
      </c>
      <c r="G147">
        <f>IF(AND(gamma!F24=1, VLOOKUP($A147,'40Trips'!$A$43:$I$46, 3,FALSE)=VLOOKUP(G$1,'40Trips'!$A$3:$I$42,3,FALSE)),1,0)</f>
        <v>0</v>
      </c>
      <c r="H147">
        <f>IF(AND(gamma!G24=1, VLOOKUP($A147,'40Trips'!$A$43:$I$46, 3,FALSE)=VLOOKUP(H$1,'40Trips'!$A$3:$I$42,3,FALSE)),1,0)</f>
        <v>0</v>
      </c>
      <c r="I147">
        <f>IF(AND(gamma!H24=1, VLOOKUP($A147,'40Trips'!$A$43:$I$46, 3,FALSE)=VLOOKUP(I$1,'40Trips'!$A$3:$I$42,3,FALSE)),1,0)</f>
        <v>0</v>
      </c>
      <c r="J147">
        <f>IF(AND(gamma!I24=1, VLOOKUP($A147,'40Trips'!$A$43:$I$46, 3,FALSE)=VLOOKUP(J$1,'40Trips'!$A$3:$I$42,3,FALSE)),1,0)</f>
        <v>0</v>
      </c>
      <c r="K147">
        <f>IF(AND(gamma!J24=1, VLOOKUP($A147,'40Trips'!$A$43:$I$46, 3,FALSE)=VLOOKUP(K$1,'40Trips'!$A$3:$I$42,3,FALSE)),1,0)</f>
        <v>0</v>
      </c>
      <c r="L147">
        <f>IF(AND(gamma!K24=1, VLOOKUP($A147,'40Trips'!$A$43:$I$46, 3,FALSE)=VLOOKUP(L$1,'40Trips'!$A$3:$I$42,3,FALSE)),1,0)</f>
        <v>0</v>
      </c>
      <c r="M147">
        <f>IF(AND(gamma!L24=1, VLOOKUP($A147,'40Trips'!$A$43:$I$46, 3,FALSE)=VLOOKUP(M$1,'40Trips'!$A$3:$I$42,3,FALSE)),1,0)</f>
        <v>0</v>
      </c>
      <c r="N147">
        <f>IF(AND(gamma!M24=1, VLOOKUP($A147,'40Trips'!$A$43:$I$46, 3,FALSE)=VLOOKUP(N$1,'40Trips'!$A$3:$I$42,3,FALSE)),1,0)</f>
        <v>0</v>
      </c>
      <c r="O147">
        <f>IF(AND(gamma!N24=1, VLOOKUP($A147,'40Trips'!$A$43:$I$46, 3,FALSE)=VLOOKUP(O$1,'40Trips'!$A$3:$I$42,3,FALSE)),1,0)</f>
        <v>0</v>
      </c>
      <c r="P147">
        <f>IF(AND(gamma!O24=1, VLOOKUP($A147,'40Trips'!$A$43:$I$46, 3,FALSE)=VLOOKUP(P$1,'40Trips'!$A$3:$I$42,3,FALSE)),1,0)</f>
        <v>0</v>
      </c>
      <c r="Q147">
        <f>IF(AND(gamma!P24=1, VLOOKUP($A147,'40Trips'!$A$43:$I$46, 3,FALSE)=VLOOKUP(Q$1,'40Trips'!$A$3:$I$42,3,FALSE)),1,0)</f>
        <v>0</v>
      </c>
      <c r="R147">
        <f>IF(AND(gamma!Q24=1, VLOOKUP($A147,'40Trips'!$A$43:$I$46, 3,FALSE)=VLOOKUP(R$1,'40Trips'!$A$3:$I$42,3,FALSE)),1,0)</f>
        <v>0</v>
      </c>
      <c r="S147">
        <f>IF(AND(gamma!R24=1, VLOOKUP($A147,'40Trips'!$A$43:$I$46, 3,FALSE)=VLOOKUP(S$1,'40Trips'!$A$3:$I$42,3,FALSE)),1,0)</f>
        <v>0</v>
      </c>
      <c r="T147">
        <f>IF(AND(gamma!S24=1, VLOOKUP($A147,'40Trips'!$A$43:$I$46, 3,FALSE)=VLOOKUP(T$1,'40Trips'!$A$3:$I$42,3,FALSE)),1,0)</f>
        <v>0</v>
      </c>
      <c r="U147">
        <f>IF(AND(gamma!T24=1, VLOOKUP($A147,'40Trips'!$A$43:$I$46, 3,FALSE)=VLOOKUP(U$1,'40Trips'!$A$3:$I$42,3,FALSE)),1,0)</f>
        <v>0</v>
      </c>
      <c r="V147">
        <f>IF(AND(gamma!U24=1, VLOOKUP($A147,'40Trips'!$A$43:$I$46, 3,FALSE)=VLOOKUP(V$1,'40Trips'!$A$3:$I$42,3,FALSE)),1,0)</f>
        <v>0</v>
      </c>
      <c r="W147">
        <f>IF(AND(gamma!V24=1, VLOOKUP($A147,'40Trips'!$A$43:$I$46, 3,FALSE)=VLOOKUP(W$1,'40Trips'!$A$3:$I$42,3,FALSE)),1,0)</f>
        <v>0</v>
      </c>
      <c r="X147">
        <f>IF(AND(gamma!W24=1, VLOOKUP($A147,'40Trips'!$A$43:$I$46, 3,FALSE)=VLOOKUP(X$1,'40Trips'!$A$3:$I$42,3,FALSE)),1,0)</f>
        <v>0</v>
      </c>
      <c r="Y147">
        <f>IF(AND(gamma!X24=1, VLOOKUP($A147,'40Trips'!$A$43:$I$46, 3,FALSE)=VLOOKUP(Y$1,'40Trips'!$A$3:$I$42,3,FALSE)),1,0)</f>
        <v>0</v>
      </c>
      <c r="Z147">
        <f>IF(AND(gamma!Y24=1, VLOOKUP($A147,'40Trips'!$A$43:$I$46, 3,FALSE)=VLOOKUP(Z$1,'40Trips'!$A$3:$I$42,3,FALSE)),1,0)</f>
        <v>0</v>
      </c>
      <c r="AA147">
        <f>IF(AND(gamma!Z24=1, VLOOKUP($A147,'40Trips'!$A$43:$I$46, 3,FALSE)=VLOOKUP(AA$1,'40Trips'!$A$3:$I$42,3,FALSE)),1,0)</f>
        <v>1</v>
      </c>
      <c r="AB147">
        <f>IF(AND(gamma!AA24=1, VLOOKUP($A147,'40Trips'!$A$43:$I$46, 3,FALSE)=VLOOKUP(AB$1,'40Trips'!$A$3:$I$42,3,FALSE)),1,0)</f>
        <v>0</v>
      </c>
      <c r="AC147">
        <f>IF(AND(gamma!AB24=1, VLOOKUP($A147,'40Trips'!$A$43:$I$46, 3,FALSE)=VLOOKUP(AC$1,'40Trips'!$A$3:$I$42,3,FALSE)),1,0)</f>
        <v>0</v>
      </c>
      <c r="AD147">
        <f>IF(AND(gamma!AC24=1, VLOOKUP($A147,'40Trips'!$A$43:$I$46, 3,FALSE)=VLOOKUP(AD$1,'40Trips'!$A$3:$I$42,3,FALSE)),1,0)</f>
        <v>1</v>
      </c>
      <c r="AE147">
        <f>IF(AND(gamma!AD24=1, VLOOKUP($A147,'40Trips'!$A$43:$I$46, 3,FALSE)=VLOOKUP(AE$1,'40Trips'!$A$3:$I$42,3,FALSE)),1,0)</f>
        <v>1</v>
      </c>
      <c r="AF147">
        <f>IF(AND(gamma!AE24=1, VLOOKUP($A147,'40Trips'!$A$43:$I$46, 3,FALSE)=VLOOKUP(AF$1,'40Trips'!$A$3:$I$42,3,FALSE)),1,0)</f>
        <v>0</v>
      </c>
      <c r="AG147">
        <f>IF(AND(gamma!AF24=1, VLOOKUP($A147,'40Trips'!$A$43:$I$46, 3,FALSE)=VLOOKUP(AG$1,'40Trips'!$A$3:$I$42,3,FALSE)),1,0)</f>
        <v>0</v>
      </c>
      <c r="AH147">
        <f>IF(AND(gamma!AG24=1, VLOOKUP($A147,'40Trips'!$A$43:$I$46, 3,FALSE)=VLOOKUP(AH$1,'40Trips'!$A$3:$I$42,3,FALSE)),1,0)</f>
        <v>0</v>
      </c>
      <c r="AI147">
        <f>IF(AND(gamma!AH24=1, VLOOKUP($A147,'40Trips'!$A$43:$I$46, 3,FALSE)=VLOOKUP(AI$1,'40Trips'!$A$3:$I$42,3,FALSE)),1,0)</f>
        <v>0</v>
      </c>
      <c r="AJ147">
        <f>IF(AND(gamma!AI24=1, VLOOKUP($A147,'40Trips'!$A$43:$I$46, 3,FALSE)=VLOOKUP(AJ$1,'40Trips'!$A$3:$I$42,3,FALSE)),1,0)</f>
        <v>0</v>
      </c>
      <c r="AK147">
        <f>IF(AND(gamma!AJ24=1, VLOOKUP($A147,'40Trips'!$A$43:$I$46, 3,FALSE)=VLOOKUP(AK$1,'40Trips'!$A$3:$I$42,3,FALSE)),1,0)</f>
        <v>0</v>
      </c>
      <c r="AL147">
        <f>IF(AND(gamma!AK24=1, VLOOKUP($A147,'40Trips'!$A$43:$I$46, 3,FALSE)=VLOOKUP(AL$1,'40Trips'!$A$3:$I$42,3,FALSE)),1,0)</f>
        <v>0</v>
      </c>
      <c r="AM147">
        <f>IF(AND(gamma!AL24=1, VLOOKUP($A147,'40Trips'!$A$43:$I$46, 3,FALSE)=VLOOKUP(AM$1,'40Trips'!$A$3:$I$42,3,FALSE)),1,0)</f>
        <v>0</v>
      </c>
      <c r="AN147">
        <f>IF(AND(gamma!AM24=1, VLOOKUP($A147,'40Trips'!$A$43:$I$46, 3,FALSE)=VLOOKUP(AN$1,'40Trips'!$A$3:$I$42,3,FALSE)),1,0)</f>
        <v>0</v>
      </c>
      <c r="AO147">
        <f>IF(AND(gamma!AN24=1, VLOOKUP($A147,'40Trips'!$A$43:$I$46, 3,FALSE)=VLOOKUP(AO$1,'40Trips'!$A$3:$I$42,3,FALSE)),1,0)</f>
        <v>0</v>
      </c>
      <c r="AP147">
        <f>IF(AND(gamma!AO24=1, VLOOKUP($A147,'40Trips'!$A$43:$I$46, 3,FALSE)=VLOOKUP(AP$1,'40Trips'!$A$3:$I$42,3,FALSE)),1,0)</f>
        <v>0</v>
      </c>
      <c r="AQ147">
        <f>IF(AND(gamma!AP24=1, VLOOKUP($A147,'40Trips'!$A$43:$I$46, 3,FALSE)=VLOOKUP(AQ$1,'40Trips'!$A$3:$I$42,3,FALSE)),1,0)</f>
        <v>0</v>
      </c>
    </row>
    <row r="148" spans="1:43" x14ac:dyDescent="0.25">
      <c r="A148" t="s">
        <v>68</v>
      </c>
      <c r="B148" t="s">
        <v>36</v>
      </c>
      <c r="C148">
        <v>0</v>
      </c>
      <c r="D148">
        <f>IF(AND(gamma!C25=1, VLOOKUP($A148,'40Trips'!$A$43:$I$46, 3,FALSE)=VLOOKUP(D$1,'40Trips'!$A$3:$I$42,3,FALSE)),1,0)</f>
        <v>0</v>
      </c>
      <c r="E148">
        <f>IF(AND(gamma!D25=1, VLOOKUP($A148,'40Trips'!$A$43:$I$46, 3,FALSE)=VLOOKUP(E$1,'40Trips'!$A$3:$I$42,3,FALSE)),1,0)</f>
        <v>0</v>
      </c>
      <c r="F148">
        <f>IF(AND(gamma!E25=1, VLOOKUP($A148,'40Trips'!$A$43:$I$46, 3,FALSE)=VLOOKUP(F$1,'40Trips'!$A$3:$I$42,3,FALSE)),1,0)</f>
        <v>0</v>
      </c>
      <c r="G148">
        <f>IF(AND(gamma!F25=1, VLOOKUP($A148,'40Trips'!$A$43:$I$46, 3,FALSE)=VLOOKUP(G$1,'40Trips'!$A$3:$I$42,3,FALSE)),1,0)</f>
        <v>0</v>
      </c>
      <c r="H148">
        <f>IF(AND(gamma!G25=1, VLOOKUP($A148,'40Trips'!$A$43:$I$46, 3,FALSE)=VLOOKUP(H$1,'40Trips'!$A$3:$I$42,3,FALSE)),1,0)</f>
        <v>0</v>
      </c>
      <c r="I148">
        <f>IF(AND(gamma!H25=1, VLOOKUP($A148,'40Trips'!$A$43:$I$46, 3,FALSE)=VLOOKUP(I$1,'40Trips'!$A$3:$I$42,3,FALSE)),1,0)</f>
        <v>0</v>
      </c>
      <c r="J148">
        <f>IF(AND(gamma!I25=1, VLOOKUP($A148,'40Trips'!$A$43:$I$46, 3,FALSE)=VLOOKUP(J$1,'40Trips'!$A$3:$I$42,3,FALSE)),1,0)</f>
        <v>0</v>
      </c>
      <c r="K148">
        <f>IF(AND(gamma!J25=1, VLOOKUP($A148,'40Trips'!$A$43:$I$46, 3,FALSE)=VLOOKUP(K$1,'40Trips'!$A$3:$I$42,3,FALSE)),1,0)</f>
        <v>0</v>
      </c>
      <c r="L148">
        <f>IF(AND(gamma!K25=1, VLOOKUP($A148,'40Trips'!$A$43:$I$46, 3,FALSE)=VLOOKUP(L$1,'40Trips'!$A$3:$I$42,3,FALSE)),1,0)</f>
        <v>0</v>
      </c>
      <c r="M148">
        <f>IF(AND(gamma!L25=1, VLOOKUP($A148,'40Trips'!$A$43:$I$46, 3,FALSE)=VLOOKUP(M$1,'40Trips'!$A$3:$I$42,3,FALSE)),1,0)</f>
        <v>0</v>
      </c>
      <c r="N148">
        <f>IF(AND(gamma!M25=1, VLOOKUP($A148,'40Trips'!$A$43:$I$46, 3,FALSE)=VLOOKUP(N$1,'40Trips'!$A$3:$I$42,3,FALSE)),1,0)</f>
        <v>0</v>
      </c>
      <c r="O148">
        <f>IF(AND(gamma!N25=1, VLOOKUP($A148,'40Trips'!$A$43:$I$46, 3,FALSE)=VLOOKUP(O$1,'40Trips'!$A$3:$I$42,3,FALSE)),1,0)</f>
        <v>0</v>
      </c>
      <c r="P148">
        <f>IF(AND(gamma!O25=1, VLOOKUP($A148,'40Trips'!$A$43:$I$46, 3,FALSE)=VLOOKUP(P$1,'40Trips'!$A$3:$I$42,3,FALSE)),1,0)</f>
        <v>0</v>
      </c>
      <c r="Q148">
        <f>IF(AND(gamma!P25=1, VLOOKUP($A148,'40Trips'!$A$43:$I$46, 3,FALSE)=VLOOKUP(Q$1,'40Trips'!$A$3:$I$42,3,FALSE)),1,0)</f>
        <v>0</v>
      </c>
      <c r="R148">
        <f>IF(AND(gamma!Q25=1, VLOOKUP($A148,'40Trips'!$A$43:$I$46, 3,FALSE)=VLOOKUP(R$1,'40Trips'!$A$3:$I$42,3,FALSE)),1,0)</f>
        <v>0</v>
      </c>
      <c r="S148">
        <f>IF(AND(gamma!R25=1, VLOOKUP($A148,'40Trips'!$A$43:$I$46, 3,FALSE)=VLOOKUP(S$1,'40Trips'!$A$3:$I$42,3,FALSE)),1,0)</f>
        <v>0</v>
      </c>
      <c r="T148">
        <f>IF(AND(gamma!S25=1, VLOOKUP($A148,'40Trips'!$A$43:$I$46, 3,FALSE)=VLOOKUP(T$1,'40Trips'!$A$3:$I$42,3,FALSE)),1,0)</f>
        <v>0</v>
      </c>
      <c r="U148">
        <f>IF(AND(gamma!T25=1, VLOOKUP($A148,'40Trips'!$A$43:$I$46, 3,FALSE)=VLOOKUP(U$1,'40Trips'!$A$3:$I$42,3,FALSE)),1,0)</f>
        <v>0</v>
      </c>
      <c r="V148">
        <f>IF(AND(gamma!U25=1, VLOOKUP($A148,'40Trips'!$A$43:$I$46, 3,FALSE)=VLOOKUP(V$1,'40Trips'!$A$3:$I$42,3,FALSE)),1,0)</f>
        <v>0</v>
      </c>
      <c r="W148">
        <f>IF(AND(gamma!V25=1, VLOOKUP($A148,'40Trips'!$A$43:$I$46, 3,FALSE)=VLOOKUP(W$1,'40Trips'!$A$3:$I$42,3,FALSE)),1,0)</f>
        <v>0</v>
      </c>
      <c r="X148">
        <f>IF(AND(gamma!W25=1, VLOOKUP($A148,'40Trips'!$A$43:$I$46, 3,FALSE)=VLOOKUP(X$1,'40Trips'!$A$3:$I$42,3,FALSE)),1,0)</f>
        <v>0</v>
      </c>
      <c r="Y148">
        <f>IF(AND(gamma!X25=1, VLOOKUP($A148,'40Trips'!$A$43:$I$46, 3,FALSE)=VLOOKUP(Y$1,'40Trips'!$A$3:$I$42,3,FALSE)),1,0)</f>
        <v>0</v>
      </c>
      <c r="Z148">
        <f>IF(AND(gamma!Y25=1, VLOOKUP($A148,'40Trips'!$A$43:$I$46, 3,FALSE)=VLOOKUP(Z$1,'40Trips'!$A$3:$I$42,3,FALSE)),1,0)</f>
        <v>0</v>
      </c>
      <c r="AA148">
        <f>IF(AND(gamma!Z25=1, VLOOKUP($A148,'40Trips'!$A$43:$I$46, 3,FALSE)=VLOOKUP(AA$1,'40Trips'!$A$3:$I$42,3,FALSE)),1,0)</f>
        <v>0</v>
      </c>
      <c r="AB148">
        <f>IF(AND(gamma!AA25=1, VLOOKUP($A148,'40Trips'!$A$43:$I$46, 3,FALSE)=VLOOKUP(AB$1,'40Trips'!$A$3:$I$42,3,FALSE)),1,0)</f>
        <v>0</v>
      </c>
      <c r="AC148">
        <f>IF(AND(gamma!AB25=1, VLOOKUP($A148,'40Trips'!$A$43:$I$46, 3,FALSE)=VLOOKUP(AC$1,'40Trips'!$A$3:$I$42,3,FALSE)),1,0)</f>
        <v>0</v>
      </c>
      <c r="AD148">
        <f>IF(AND(gamma!AC25=1, VLOOKUP($A148,'40Trips'!$A$43:$I$46, 3,FALSE)=VLOOKUP(AD$1,'40Trips'!$A$3:$I$42,3,FALSE)),1,0)</f>
        <v>0</v>
      </c>
      <c r="AE148">
        <f>IF(AND(gamma!AD25=1, VLOOKUP($A148,'40Trips'!$A$43:$I$46, 3,FALSE)=VLOOKUP(AE$1,'40Trips'!$A$3:$I$42,3,FALSE)),1,0)</f>
        <v>0</v>
      </c>
      <c r="AF148">
        <f>IF(AND(gamma!AE25=1, VLOOKUP($A148,'40Trips'!$A$43:$I$46, 3,FALSE)=VLOOKUP(AF$1,'40Trips'!$A$3:$I$42,3,FALSE)),1,0)</f>
        <v>0</v>
      </c>
      <c r="AG148">
        <f>IF(AND(gamma!AF25=1, VLOOKUP($A148,'40Trips'!$A$43:$I$46, 3,FALSE)=VLOOKUP(AG$1,'40Trips'!$A$3:$I$42,3,FALSE)),1,0)</f>
        <v>0</v>
      </c>
      <c r="AH148">
        <f>IF(AND(gamma!AG25=1, VLOOKUP($A148,'40Trips'!$A$43:$I$46, 3,FALSE)=VLOOKUP(AH$1,'40Trips'!$A$3:$I$42,3,FALSE)),1,0)</f>
        <v>0</v>
      </c>
      <c r="AI148">
        <f>IF(AND(gamma!AH25=1, VLOOKUP($A148,'40Trips'!$A$43:$I$46, 3,FALSE)=VLOOKUP(AI$1,'40Trips'!$A$3:$I$42,3,FALSE)),1,0)</f>
        <v>0</v>
      </c>
      <c r="AJ148">
        <f>IF(AND(gamma!AI25=1, VLOOKUP($A148,'40Trips'!$A$43:$I$46, 3,FALSE)=VLOOKUP(AJ$1,'40Trips'!$A$3:$I$42,3,FALSE)),1,0)</f>
        <v>0</v>
      </c>
      <c r="AK148">
        <f>IF(AND(gamma!AJ25=1, VLOOKUP($A148,'40Trips'!$A$43:$I$46, 3,FALSE)=VLOOKUP(AK$1,'40Trips'!$A$3:$I$42,3,FALSE)),1,0)</f>
        <v>0</v>
      </c>
      <c r="AL148">
        <f>IF(AND(gamma!AK25=1, VLOOKUP($A148,'40Trips'!$A$43:$I$46, 3,FALSE)=VLOOKUP(AL$1,'40Trips'!$A$3:$I$42,3,FALSE)),1,0)</f>
        <v>0</v>
      </c>
      <c r="AM148">
        <f>IF(AND(gamma!AL25=1, VLOOKUP($A148,'40Trips'!$A$43:$I$46, 3,FALSE)=VLOOKUP(AM$1,'40Trips'!$A$3:$I$42,3,FALSE)),1,0)</f>
        <v>0</v>
      </c>
      <c r="AN148">
        <f>IF(AND(gamma!AM25=1, VLOOKUP($A148,'40Trips'!$A$43:$I$46, 3,FALSE)=VLOOKUP(AN$1,'40Trips'!$A$3:$I$42,3,FALSE)),1,0)</f>
        <v>0</v>
      </c>
      <c r="AO148">
        <f>IF(AND(gamma!AN25=1, VLOOKUP($A148,'40Trips'!$A$43:$I$46, 3,FALSE)=VLOOKUP(AO$1,'40Trips'!$A$3:$I$42,3,FALSE)),1,0)</f>
        <v>0</v>
      </c>
      <c r="AP148">
        <f>IF(AND(gamma!AO25=1, VLOOKUP($A148,'40Trips'!$A$43:$I$46, 3,FALSE)=VLOOKUP(AP$1,'40Trips'!$A$3:$I$42,3,FALSE)),1,0)</f>
        <v>0</v>
      </c>
      <c r="AQ148">
        <f>IF(AND(gamma!AP25=1, VLOOKUP($A148,'40Trips'!$A$43:$I$46, 3,FALSE)=VLOOKUP(AQ$1,'40Trips'!$A$3:$I$42,3,FALSE)),1,0)</f>
        <v>0</v>
      </c>
    </row>
    <row r="149" spans="1:43" x14ac:dyDescent="0.25">
      <c r="A149" t="s">
        <v>68</v>
      </c>
      <c r="B149" t="s">
        <v>37</v>
      </c>
      <c r="C149">
        <v>0</v>
      </c>
      <c r="D149">
        <f>IF(AND(gamma!C26=1, VLOOKUP($A149,'40Trips'!$A$43:$I$46, 3,FALSE)=VLOOKUP(D$1,'40Trips'!$A$3:$I$42,3,FALSE)),1,0)</f>
        <v>0</v>
      </c>
      <c r="E149">
        <f>IF(AND(gamma!D26=1, VLOOKUP($A149,'40Trips'!$A$43:$I$46, 3,FALSE)=VLOOKUP(E$1,'40Trips'!$A$3:$I$42,3,FALSE)),1,0)</f>
        <v>0</v>
      </c>
      <c r="F149">
        <f>IF(AND(gamma!E26=1, VLOOKUP($A149,'40Trips'!$A$43:$I$46, 3,FALSE)=VLOOKUP(F$1,'40Trips'!$A$3:$I$42,3,FALSE)),1,0)</f>
        <v>0</v>
      </c>
      <c r="G149">
        <f>IF(AND(gamma!F26=1, VLOOKUP($A149,'40Trips'!$A$43:$I$46, 3,FALSE)=VLOOKUP(G$1,'40Trips'!$A$3:$I$42,3,FALSE)),1,0)</f>
        <v>0</v>
      </c>
      <c r="H149">
        <f>IF(AND(gamma!G26=1, VLOOKUP($A149,'40Trips'!$A$43:$I$46, 3,FALSE)=VLOOKUP(H$1,'40Trips'!$A$3:$I$42,3,FALSE)),1,0)</f>
        <v>0</v>
      </c>
      <c r="I149">
        <f>IF(AND(gamma!H26=1, VLOOKUP($A149,'40Trips'!$A$43:$I$46, 3,FALSE)=VLOOKUP(I$1,'40Trips'!$A$3:$I$42,3,FALSE)),1,0)</f>
        <v>0</v>
      </c>
      <c r="J149">
        <f>IF(AND(gamma!I26=1, VLOOKUP($A149,'40Trips'!$A$43:$I$46, 3,FALSE)=VLOOKUP(J$1,'40Trips'!$A$3:$I$42,3,FALSE)),1,0)</f>
        <v>0</v>
      </c>
      <c r="K149">
        <f>IF(AND(gamma!J26=1, VLOOKUP($A149,'40Trips'!$A$43:$I$46, 3,FALSE)=VLOOKUP(K$1,'40Trips'!$A$3:$I$42,3,FALSE)),1,0)</f>
        <v>0</v>
      </c>
      <c r="L149">
        <f>IF(AND(gamma!K26=1, VLOOKUP($A149,'40Trips'!$A$43:$I$46, 3,FALSE)=VLOOKUP(L$1,'40Trips'!$A$3:$I$42,3,FALSE)),1,0)</f>
        <v>0</v>
      </c>
      <c r="M149">
        <f>IF(AND(gamma!L26=1, VLOOKUP($A149,'40Trips'!$A$43:$I$46, 3,FALSE)=VLOOKUP(M$1,'40Trips'!$A$3:$I$42,3,FALSE)),1,0)</f>
        <v>0</v>
      </c>
      <c r="N149">
        <f>IF(AND(gamma!M26=1, VLOOKUP($A149,'40Trips'!$A$43:$I$46, 3,FALSE)=VLOOKUP(N$1,'40Trips'!$A$3:$I$42,3,FALSE)),1,0)</f>
        <v>0</v>
      </c>
      <c r="O149">
        <f>IF(AND(gamma!N26=1, VLOOKUP($A149,'40Trips'!$A$43:$I$46, 3,FALSE)=VLOOKUP(O$1,'40Trips'!$A$3:$I$42,3,FALSE)),1,0)</f>
        <v>0</v>
      </c>
      <c r="P149">
        <f>IF(AND(gamma!O26=1, VLOOKUP($A149,'40Trips'!$A$43:$I$46, 3,FALSE)=VLOOKUP(P$1,'40Trips'!$A$3:$I$42,3,FALSE)),1,0)</f>
        <v>0</v>
      </c>
      <c r="Q149">
        <f>IF(AND(gamma!P26=1, VLOOKUP($A149,'40Trips'!$A$43:$I$46, 3,FALSE)=VLOOKUP(Q$1,'40Trips'!$A$3:$I$42,3,FALSE)),1,0)</f>
        <v>0</v>
      </c>
      <c r="R149">
        <f>IF(AND(gamma!Q26=1, VLOOKUP($A149,'40Trips'!$A$43:$I$46, 3,FALSE)=VLOOKUP(R$1,'40Trips'!$A$3:$I$42,3,FALSE)),1,0)</f>
        <v>0</v>
      </c>
      <c r="S149">
        <f>IF(AND(gamma!R26=1, VLOOKUP($A149,'40Trips'!$A$43:$I$46, 3,FALSE)=VLOOKUP(S$1,'40Trips'!$A$3:$I$42,3,FALSE)),1,0)</f>
        <v>0</v>
      </c>
      <c r="T149">
        <f>IF(AND(gamma!S26=1, VLOOKUP($A149,'40Trips'!$A$43:$I$46, 3,FALSE)=VLOOKUP(T$1,'40Trips'!$A$3:$I$42,3,FALSE)),1,0)</f>
        <v>0</v>
      </c>
      <c r="U149">
        <f>IF(AND(gamma!T26=1, VLOOKUP($A149,'40Trips'!$A$43:$I$46, 3,FALSE)=VLOOKUP(U$1,'40Trips'!$A$3:$I$42,3,FALSE)),1,0)</f>
        <v>0</v>
      </c>
      <c r="V149">
        <f>IF(AND(gamma!U26=1, VLOOKUP($A149,'40Trips'!$A$43:$I$46, 3,FALSE)=VLOOKUP(V$1,'40Trips'!$A$3:$I$42,3,FALSE)),1,0)</f>
        <v>0</v>
      </c>
      <c r="W149">
        <f>IF(AND(gamma!V26=1, VLOOKUP($A149,'40Trips'!$A$43:$I$46, 3,FALSE)=VLOOKUP(W$1,'40Trips'!$A$3:$I$42,3,FALSE)),1,0)</f>
        <v>0</v>
      </c>
      <c r="X149">
        <f>IF(AND(gamma!W26=1, VLOOKUP($A149,'40Trips'!$A$43:$I$46, 3,FALSE)=VLOOKUP(X$1,'40Trips'!$A$3:$I$42,3,FALSE)),1,0)</f>
        <v>0</v>
      </c>
      <c r="Y149">
        <f>IF(AND(gamma!X26=1, VLOOKUP($A149,'40Trips'!$A$43:$I$46, 3,FALSE)=VLOOKUP(Y$1,'40Trips'!$A$3:$I$42,3,FALSE)),1,0)</f>
        <v>0</v>
      </c>
      <c r="Z149">
        <f>IF(AND(gamma!Y26=1, VLOOKUP($A149,'40Trips'!$A$43:$I$46, 3,FALSE)=VLOOKUP(Z$1,'40Trips'!$A$3:$I$42,3,FALSE)),1,0)</f>
        <v>0</v>
      </c>
      <c r="AA149">
        <f>IF(AND(gamma!Z26=1, VLOOKUP($A149,'40Trips'!$A$43:$I$46, 3,FALSE)=VLOOKUP(AA$1,'40Trips'!$A$3:$I$42,3,FALSE)),1,0)</f>
        <v>0</v>
      </c>
      <c r="AB149">
        <f>IF(AND(gamma!AA26=1, VLOOKUP($A149,'40Trips'!$A$43:$I$46, 3,FALSE)=VLOOKUP(AB$1,'40Trips'!$A$3:$I$42,3,FALSE)),1,0)</f>
        <v>0</v>
      </c>
      <c r="AC149">
        <f>IF(AND(gamma!AB26=1, VLOOKUP($A149,'40Trips'!$A$43:$I$46, 3,FALSE)=VLOOKUP(AC$1,'40Trips'!$A$3:$I$42,3,FALSE)),1,0)</f>
        <v>0</v>
      </c>
      <c r="AD149">
        <f>IF(AND(gamma!AC26=1, VLOOKUP($A149,'40Trips'!$A$43:$I$46, 3,FALSE)=VLOOKUP(AD$1,'40Trips'!$A$3:$I$42,3,FALSE)),1,0)</f>
        <v>0</v>
      </c>
      <c r="AE149">
        <f>IF(AND(gamma!AD26=1, VLOOKUP($A149,'40Trips'!$A$43:$I$46, 3,FALSE)=VLOOKUP(AE$1,'40Trips'!$A$3:$I$42,3,FALSE)),1,0)</f>
        <v>0</v>
      </c>
      <c r="AF149">
        <f>IF(AND(gamma!AE26=1, VLOOKUP($A149,'40Trips'!$A$43:$I$46, 3,FALSE)=VLOOKUP(AF$1,'40Trips'!$A$3:$I$42,3,FALSE)),1,0)</f>
        <v>0</v>
      </c>
      <c r="AG149">
        <f>IF(AND(gamma!AF26=1, VLOOKUP($A149,'40Trips'!$A$43:$I$46, 3,FALSE)=VLOOKUP(AG$1,'40Trips'!$A$3:$I$42,3,FALSE)),1,0)</f>
        <v>0</v>
      </c>
      <c r="AH149">
        <f>IF(AND(gamma!AG26=1, VLOOKUP($A149,'40Trips'!$A$43:$I$46, 3,FALSE)=VLOOKUP(AH$1,'40Trips'!$A$3:$I$42,3,FALSE)),1,0)</f>
        <v>0</v>
      </c>
      <c r="AI149">
        <f>IF(AND(gamma!AH26=1, VLOOKUP($A149,'40Trips'!$A$43:$I$46, 3,FALSE)=VLOOKUP(AI$1,'40Trips'!$A$3:$I$42,3,FALSE)),1,0)</f>
        <v>0</v>
      </c>
      <c r="AJ149">
        <f>IF(AND(gamma!AI26=1, VLOOKUP($A149,'40Trips'!$A$43:$I$46, 3,FALSE)=VLOOKUP(AJ$1,'40Trips'!$A$3:$I$42,3,FALSE)),1,0)</f>
        <v>0</v>
      </c>
      <c r="AK149">
        <f>IF(AND(gamma!AJ26=1, VLOOKUP($A149,'40Trips'!$A$43:$I$46, 3,FALSE)=VLOOKUP(AK$1,'40Trips'!$A$3:$I$42,3,FALSE)),1,0)</f>
        <v>0</v>
      </c>
      <c r="AL149">
        <f>IF(AND(gamma!AK26=1, VLOOKUP($A149,'40Trips'!$A$43:$I$46, 3,FALSE)=VLOOKUP(AL$1,'40Trips'!$A$3:$I$42,3,FALSE)),1,0)</f>
        <v>0</v>
      </c>
      <c r="AM149">
        <f>IF(AND(gamma!AL26=1, VLOOKUP($A149,'40Trips'!$A$43:$I$46, 3,FALSE)=VLOOKUP(AM$1,'40Trips'!$A$3:$I$42,3,FALSE)),1,0)</f>
        <v>0</v>
      </c>
      <c r="AN149">
        <f>IF(AND(gamma!AM26=1, VLOOKUP($A149,'40Trips'!$A$43:$I$46, 3,FALSE)=VLOOKUP(AN$1,'40Trips'!$A$3:$I$42,3,FALSE)),1,0)</f>
        <v>0</v>
      </c>
      <c r="AO149">
        <f>IF(AND(gamma!AN26=1, VLOOKUP($A149,'40Trips'!$A$43:$I$46, 3,FALSE)=VLOOKUP(AO$1,'40Trips'!$A$3:$I$42,3,FALSE)),1,0)</f>
        <v>0</v>
      </c>
      <c r="AP149">
        <f>IF(AND(gamma!AO26=1, VLOOKUP($A149,'40Trips'!$A$43:$I$46, 3,FALSE)=VLOOKUP(AP$1,'40Trips'!$A$3:$I$42,3,FALSE)),1,0)</f>
        <v>0</v>
      </c>
      <c r="AQ149">
        <f>IF(AND(gamma!AP26=1, VLOOKUP($A149,'40Trips'!$A$43:$I$46, 3,FALSE)=VLOOKUP(AQ$1,'40Trips'!$A$3:$I$42,3,FALSE)),1,0)</f>
        <v>0</v>
      </c>
    </row>
    <row r="150" spans="1:43" x14ac:dyDescent="0.25">
      <c r="A150" t="s">
        <v>68</v>
      </c>
      <c r="B150" t="s">
        <v>79</v>
      </c>
      <c r="C150">
        <v>0</v>
      </c>
      <c r="D150">
        <f>IF(AND(gamma!C27=1, VLOOKUP($A150,'40Trips'!$A$43:$I$46, 3,FALSE)=VLOOKUP(D$1,'40Trips'!$A$3:$I$42,3,FALSE)),1,0)</f>
        <v>0</v>
      </c>
      <c r="E150">
        <f>IF(AND(gamma!D27=1, VLOOKUP($A150,'40Trips'!$A$43:$I$46, 3,FALSE)=VLOOKUP(E$1,'40Trips'!$A$3:$I$42,3,FALSE)),1,0)</f>
        <v>0</v>
      </c>
      <c r="F150">
        <f>IF(AND(gamma!E27=1, VLOOKUP($A150,'40Trips'!$A$43:$I$46, 3,FALSE)=VLOOKUP(F$1,'40Trips'!$A$3:$I$42,3,FALSE)),1,0)</f>
        <v>0</v>
      </c>
      <c r="G150">
        <f>IF(AND(gamma!F27=1, VLOOKUP($A150,'40Trips'!$A$43:$I$46, 3,FALSE)=VLOOKUP(G$1,'40Trips'!$A$3:$I$42,3,FALSE)),1,0)</f>
        <v>0</v>
      </c>
      <c r="H150">
        <f>IF(AND(gamma!G27=1, VLOOKUP($A150,'40Trips'!$A$43:$I$46, 3,FALSE)=VLOOKUP(H$1,'40Trips'!$A$3:$I$42,3,FALSE)),1,0)</f>
        <v>0</v>
      </c>
      <c r="I150">
        <f>IF(AND(gamma!H27=1, VLOOKUP($A150,'40Trips'!$A$43:$I$46, 3,FALSE)=VLOOKUP(I$1,'40Trips'!$A$3:$I$42,3,FALSE)),1,0)</f>
        <v>0</v>
      </c>
      <c r="J150">
        <f>IF(AND(gamma!I27=1, VLOOKUP($A150,'40Trips'!$A$43:$I$46, 3,FALSE)=VLOOKUP(J$1,'40Trips'!$A$3:$I$42,3,FALSE)),1,0)</f>
        <v>0</v>
      </c>
      <c r="K150">
        <f>IF(AND(gamma!J27=1, VLOOKUP($A150,'40Trips'!$A$43:$I$46, 3,FALSE)=VLOOKUP(K$1,'40Trips'!$A$3:$I$42,3,FALSE)),1,0)</f>
        <v>0</v>
      </c>
      <c r="L150">
        <f>IF(AND(gamma!K27=1, VLOOKUP($A150,'40Trips'!$A$43:$I$46, 3,FALSE)=VLOOKUP(L$1,'40Trips'!$A$3:$I$42,3,FALSE)),1,0)</f>
        <v>0</v>
      </c>
      <c r="M150">
        <f>IF(AND(gamma!L27=1, VLOOKUP($A150,'40Trips'!$A$43:$I$46, 3,FALSE)=VLOOKUP(M$1,'40Trips'!$A$3:$I$42,3,FALSE)),1,0)</f>
        <v>0</v>
      </c>
      <c r="N150">
        <f>IF(AND(gamma!M27=1, VLOOKUP($A150,'40Trips'!$A$43:$I$46, 3,FALSE)=VLOOKUP(N$1,'40Trips'!$A$3:$I$42,3,FALSE)),1,0)</f>
        <v>0</v>
      </c>
      <c r="O150">
        <f>IF(AND(gamma!N27=1, VLOOKUP($A150,'40Trips'!$A$43:$I$46, 3,FALSE)=VLOOKUP(O$1,'40Trips'!$A$3:$I$42,3,FALSE)),1,0)</f>
        <v>0</v>
      </c>
      <c r="P150">
        <f>IF(AND(gamma!O27=1, VLOOKUP($A150,'40Trips'!$A$43:$I$46, 3,FALSE)=VLOOKUP(P$1,'40Trips'!$A$3:$I$42,3,FALSE)),1,0)</f>
        <v>0</v>
      </c>
      <c r="Q150">
        <f>IF(AND(gamma!P27=1, VLOOKUP($A150,'40Trips'!$A$43:$I$46, 3,FALSE)=VLOOKUP(Q$1,'40Trips'!$A$3:$I$42,3,FALSE)),1,0)</f>
        <v>0</v>
      </c>
      <c r="R150">
        <f>IF(AND(gamma!Q27=1, VLOOKUP($A150,'40Trips'!$A$43:$I$46, 3,FALSE)=VLOOKUP(R$1,'40Trips'!$A$3:$I$42,3,FALSE)),1,0)</f>
        <v>0</v>
      </c>
      <c r="S150">
        <f>IF(AND(gamma!R27=1, VLOOKUP($A150,'40Trips'!$A$43:$I$46, 3,FALSE)=VLOOKUP(S$1,'40Trips'!$A$3:$I$42,3,FALSE)),1,0)</f>
        <v>0</v>
      </c>
      <c r="T150">
        <f>IF(AND(gamma!S27=1, VLOOKUP($A150,'40Trips'!$A$43:$I$46, 3,FALSE)=VLOOKUP(T$1,'40Trips'!$A$3:$I$42,3,FALSE)),1,0)</f>
        <v>0</v>
      </c>
      <c r="U150">
        <f>IF(AND(gamma!T27=1, VLOOKUP($A150,'40Trips'!$A$43:$I$46, 3,FALSE)=VLOOKUP(U$1,'40Trips'!$A$3:$I$42,3,FALSE)),1,0)</f>
        <v>0</v>
      </c>
      <c r="V150">
        <f>IF(AND(gamma!U27=1, VLOOKUP($A150,'40Trips'!$A$43:$I$46, 3,FALSE)=VLOOKUP(V$1,'40Trips'!$A$3:$I$42,3,FALSE)),1,0)</f>
        <v>0</v>
      </c>
      <c r="W150">
        <f>IF(AND(gamma!V27=1, VLOOKUP($A150,'40Trips'!$A$43:$I$46, 3,FALSE)=VLOOKUP(W$1,'40Trips'!$A$3:$I$42,3,FALSE)),1,0)</f>
        <v>0</v>
      </c>
      <c r="X150">
        <f>IF(AND(gamma!W27=1, VLOOKUP($A150,'40Trips'!$A$43:$I$46, 3,FALSE)=VLOOKUP(X$1,'40Trips'!$A$3:$I$42,3,FALSE)),1,0)</f>
        <v>0</v>
      </c>
      <c r="Y150">
        <f>IF(AND(gamma!X27=1, VLOOKUP($A150,'40Trips'!$A$43:$I$46, 3,FALSE)=VLOOKUP(Y$1,'40Trips'!$A$3:$I$42,3,FALSE)),1,0)</f>
        <v>1</v>
      </c>
      <c r="Z150">
        <f>IF(AND(gamma!Y27=1, VLOOKUP($A150,'40Trips'!$A$43:$I$46, 3,FALSE)=VLOOKUP(Z$1,'40Trips'!$A$3:$I$42,3,FALSE)),1,0)</f>
        <v>1</v>
      </c>
      <c r="AA150">
        <f>IF(AND(gamma!Z27=1, VLOOKUP($A150,'40Trips'!$A$43:$I$46, 3,FALSE)=VLOOKUP(AA$1,'40Trips'!$A$3:$I$42,3,FALSE)),1,0)</f>
        <v>1</v>
      </c>
      <c r="AB150">
        <f>IF(AND(gamma!AA27=1, VLOOKUP($A150,'40Trips'!$A$43:$I$46, 3,FALSE)=VLOOKUP(AB$1,'40Trips'!$A$3:$I$42,3,FALSE)),1,0)</f>
        <v>0</v>
      </c>
      <c r="AC150">
        <f>IF(AND(gamma!AB27=1, VLOOKUP($A150,'40Trips'!$A$43:$I$46, 3,FALSE)=VLOOKUP(AC$1,'40Trips'!$A$3:$I$42,3,FALSE)),1,0)</f>
        <v>0</v>
      </c>
      <c r="AD150">
        <f>IF(AND(gamma!AC27=1, VLOOKUP($A150,'40Trips'!$A$43:$I$46, 3,FALSE)=VLOOKUP(AD$1,'40Trips'!$A$3:$I$42,3,FALSE)),1,0)</f>
        <v>1</v>
      </c>
      <c r="AE150">
        <f>IF(AND(gamma!AD27=1, VLOOKUP($A150,'40Trips'!$A$43:$I$46, 3,FALSE)=VLOOKUP(AE$1,'40Trips'!$A$3:$I$42,3,FALSE)),1,0)</f>
        <v>1</v>
      </c>
      <c r="AF150">
        <f>IF(AND(gamma!AE27=1, VLOOKUP($A150,'40Trips'!$A$43:$I$46, 3,FALSE)=VLOOKUP(AF$1,'40Trips'!$A$3:$I$42,3,FALSE)),1,0)</f>
        <v>0</v>
      </c>
      <c r="AG150">
        <f>IF(AND(gamma!AF27=1, VLOOKUP($A150,'40Trips'!$A$43:$I$46, 3,FALSE)=VLOOKUP(AG$1,'40Trips'!$A$3:$I$42,3,FALSE)),1,0)</f>
        <v>0</v>
      </c>
      <c r="AH150">
        <f>IF(AND(gamma!AG27=1, VLOOKUP($A150,'40Trips'!$A$43:$I$46, 3,FALSE)=VLOOKUP(AH$1,'40Trips'!$A$3:$I$42,3,FALSE)),1,0)</f>
        <v>0</v>
      </c>
      <c r="AI150">
        <f>IF(AND(gamma!AH27=1, VLOOKUP($A150,'40Trips'!$A$43:$I$46, 3,FALSE)=VLOOKUP(AI$1,'40Trips'!$A$3:$I$42,3,FALSE)),1,0)</f>
        <v>1</v>
      </c>
      <c r="AJ150">
        <f>IF(AND(gamma!AI27=1, VLOOKUP($A150,'40Trips'!$A$43:$I$46, 3,FALSE)=VLOOKUP(AJ$1,'40Trips'!$A$3:$I$42,3,FALSE)),1,0)</f>
        <v>0</v>
      </c>
      <c r="AK150">
        <f>IF(AND(gamma!AJ27=1, VLOOKUP($A150,'40Trips'!$A$43:$I$46, 3,FALSE)=VLOOKUP(AK$1,'40Trips'!$A$3:$I$42,3,FALSE)),1,0)</f>
        <v>0</v>
      </c>
      <c r="AL150">
        <f>IF(AND(gamma!AK27=1, VLOOKUP($A150,'40Trips'!$A$43:$I$46, 3,FALSE)=VLOOKUP(AL$1,'40Trips'!$A$3:$I$42,3,FALSE)),1,0)</f>
        <v>0</v>
      </c>
      <c r="AM150">
        <f>IF(AND(gamma!AL27=1, VLOOKUP($A150,'40Trips'!$A$43:$I$46, 3,FALSE)=VLOOKUP(AM$1,'40Trips'!$A$3:$I$42,3,FALSE)),1,0)</f>
        <v>0</v>
      </c>
      <c r="AN150">
        <f>IF(AND(gamma!AM27=1, VLOOKUP($A150,'40Trips'!$A$43:$I$46, 3,FALSE)=VLOOKUP(AN$1,'40Trips'!$A$3:$I$42,3,FALSE)),1,0)</f>
        <v>0</v>
      </c>
      <c r="AO150">
        <f>IF(AND(gamma!AN27=1, VLOOKUP($A150,'40Trips'!$A$43:$I$46, 3,FALSE)=VLOOKUP(AO$1,'40Trips'!$A$3:$I$42,3,FALSE)),1,0)</f>
        <v>0</v>
      </c>
      <c r="AP150">
        <f>IF(AND(gamma!AO27=1, VLOOKUP($A150,'40Trips'!$A$43:$I$46, 3,FALSE)=VLOOKUP(AP$1,'40Trips'!$A$3:$I$42,3,FALSE)),1,0)</f>
        <v>0</v>
      </c>
      <c r="AQ150">
        <f>IF(AND(gamma!AP27=1, VLOOKUP($A150,'40Trips'!$A$43:$I$46, 3,FALSE)=VLOOKUP(AQ$1,'40Trips'!$A$3:$I$42,3,FALSE)),1,0)</f>
        <v>0</v>
      </c>
    </row>
    <row r="151" spans="1:43" x14ac:dyDescent="0.25">
      <c r="A151" t="s">
        <v>68</v>
      </c>
      <c r="B151" t="s">
        <v>80</v>
      </c>
      <c r="C151">
        <v>0</v>
      </c>
      <c r="D151">
        <f>IF(AND(gamma!C28=1, VLOOKUP($A151,'40Trips'!$A$43:$I$46, 3,FALSE)=VLOOKUP(D$1,'40Trips'!$A$3:$I$42,3,FALSE)),1,0)</f>
        <v>0</v>
      </c>
      <c r="E151">
        <f>IF(AND(gamma!D28=1, VLOOKUP($A151,'40Trips'!$A$43:$I$46, 3,FALSE)=VLOOKUP(E$1,'40Trips'!$A$3:$I$42,3,FALSE)),1,0)</f>
        <v>0</v>
      </c>
      <c r="F151">
        <f>IF(AND(gamma!E28=1, VLOOKUP($A151,'40Trips'!$A$43:$I$46, 3,FALSE)=VLOOKUP(F$1,'40Trips'!$A$3:$I$42,3,FALSE)),1,0)</f>
        <v>0</v>
      </c>
      <c r="G151">
        <f>IF(AND(gamma!F28=1, VLOOKUP($A151,'40Trips'!$A$43:$I$46, 3,FALSE)=VLOOKUP(G$1,'40Trips'!$A$3:$I$42,3,FALSE)),1,0)</f>
        <v>0</v>
      </c>
      <c r="H151">
        <f>IF(AND(gamma!G28=1, VLOOKUP($A151,'40Trips'!$A$43:$I$46, 3,FALSE)=VLOOKUP(H$1,'40Trips'!$A$3:$I$42,3,FALSE)),1,0)</f>
        <v>0</v>
      </c>
      <c r="I151">
        <f>IF(AND(gamma!H28=1, VLOOKUP($A151,'40Trips'!$A$43:$I$46, 3,FALSE)=VLOOKUP(I$1,'40Trips'!$A$3:$I$42,3,FALSE)),1,0)</f>
        <v>0</v>
      </c>
      <c r="J151">
        <f>IF(AND(gamma!I28=1, VLOOKUP($A151,'40Trips'!$A$43:$I$46, 3,FALSE)=VLOOKUP(J$1,'40Trips'!$A$3:$I$42,3,FALSE)),1,0)</f>
        <v>0</v>
      </c>
      <c r="K151">
        <f>IF(AND(gamma!J28=1, VLOOKUP($A151,'40Trips'!$A$43:$I$46, 3,FALSE)=VLOOKUP(K$1,'40Trips'!$A$3:$I$42,3,FALSE)),1,0)</f>
        <v>0</v>
      </c>
      <c r="L151">
        <f>IF(AND(gamma!K28=1, VLOOKUP($A151,'40Trips'!$A$43:$I$46, 3,FALSE)=VLOOKUP(L$1,'40Trips'!$A$3:$I$42,3,FALSE)),1,0)</f>
        <v>0</v>
      </c>
      <c r="M151">
        <f>IF(AND(gamma!L28=1, VLOOKUP($A151,'40Trips'!$A$43:$I$46, 3,FALSE)=VLOOKUP(M$1,'40Trips'!$A$3:$I$42,3,FALSE)),1,0)</f>
        <v>0</v>
      </c>
      <c r="N151">
        <f>IF(AND(gamma!M28=1, VLOOKUP($A151,'40Trips'!$A$43:$I$46, 3,FALSE)=VLOOKUP(N$1,'40Trips'!$A$3:$I$42,3,FALSE)),1,0)</f>
        <v>0</v>
      </c>
      <c r="O151">
        <f>IF(AND(gamma!N28=1, VLOOKUP($A151,'40Trips'!$A$43:$I$46, 3,FALSE)=VLOOKUP(O$1,'40Trips'!$A$3:$I$42,3,FALSE)),1,0)</f>
        <v>0</v>
      </c>
      <c r="P151">
        <f>IF(AND(gamma!O28=1, VLOOKUP($A151,'40Trips'!$A$43:$I$46, 3,FALSE)=VLOOKUP(P$1,'40Trips'!$A$3:$I$42,3,FALSE)),1,0)</f>
        <v>0</v>
      </c>
      <c r="Q151">
        <f>IF(AND(gamma!P28=1, VLOOKUP($A151,'40Trips'!$A$43:$I$46, 3,FALSE)=VLOOKUP(Q$1,'40Trips'!$A$3:$I$42,3,FALSE)),1,0)</f>
        <v>0</v>
      </c>
      <c r="R151">
        <f>IF(AND(gamma!Q28=1, VLOOKUP($A151,'40Trips'!$A$43:$I$46, 3,FALSE)=VLOOKUP(R$1,'40Trips'!$A$3:$I$42,3,FALSE)),1,0)</f>
        <v>0</v>
      </c>
      <c r="S151">
        <f>IF(AND(gamma!R28=1, VLOOKUP($A151,'40Trips'!$A$43:$I$46, 3,FALSE)=VLOOKUP(S$1,'40Trips'!$A$3:$I$42,3,FALSE)),1,0)</f>
        <v>0</v>
      </c>
      <c r="T151">
        <f>IF(AND(gamma!S28=1, VLOOKUP($A151,'40Trips'!$A$43:$I$46, 3,FALSE)=VLOOKUP(T$1,'40Trips'!$A$3:$I$42,3,FALSE)),1,0)</f>
        <v>0</v>
      </c>
      <c r="U151">
        <f>IF(AND(gamma!T28=1, VLOOKUP($A151,'40Trips'!$A$43:$I$46, 3,FALSE)=VLOOKUP(U$1,'40Trips'!$A$3:$I$42,3,FALSE)),1,0)</f>
        <v>0</v>
      </c>
      <c r="V151">
        <f>IF(AND(gamma!U28=1, VLOOKUP($A151,'40Trips'!$A$43:$I$46, 3,FALSE)=VLOOKUP(V$1,'40Trips'!$A$3:$I$42,3,FALSE)),1,0)</f>
        <v>0</v>
      </c>
      <c r="W151">
        <f>IF(AND(gamma!V28=1, VLOOKUP($A151,'40Trips'!$A$43:$I$46, 3,FALSE)=VLOOKUP(W$1,'40Trips'!$A$3:$I$42,3,FALSE)),1,0)</f>
        <v>0</v>
      </c>
      <c r="X151">
        <f>IF(AND(gamma!W28=1, VLOOKUP($A151,'40Trips'!$A$43:$I$46, 3,FALSE)=VLOOKUP(X$1,'40Trips'!$A$3:$I$42,3,FALSE)),1,0)</f>
        <v>0</v>
      </c>
      <c r="Y151">
        <f>IF(AND(gamma!X28=1, VLOOKUP($A151,'40Trips'!$A$43:$I$46, 3,FALSE)=VLOOKUP(Y$1,'40Trips'!$A$3:$I$42,3,FALSE)),1,0)</f>
        <v>0</v>
      </c>
      <c r="Z151">
        <f>IF(AND(gamma!Y28=1, VLOOKUP($A151,'40Trips'!$A$43:$I$46, 3,FALSE)=VLOOKUP(Z$1,'40Trips'!$A$3:$I$42,3,FALSE)),1,0)</f>
        <v>1</v>
      </c>
      <c r="AA151">
        <f>IF(AND(gamma!Z28=1, VLOOKUP($A151,'40Trips'!$A$43:$I$46, 3,FALSE)=VLOOKUP(AA$1,'40Trips'!$A$3:$I$42,3,FALSE)),1,0)</f>
        <v>1</v>
      </c>
      <c r="AB151">
        <f>IF(AND(gamma!AA28=1, VLOOKUP($A151,'40Trips'!$A$43:$I$46, 3,FALSE)=VLOOKUP(AB$1,'40Trips'!$A$3:$I$42,3,FALSE)),1,0)</f>
        <v>0</v>
      </c>
      <c r="AC151">
        <f>IF(AND(gamma!AB28=1, VLOOKUP($A151,'40Trips'!$A$43:$I$46, 3,FALSE)=VLOOKUP(AC$1,'40Trips'!$A$3:$I$42,3,FALSE)),1,0)</f>
        <v>0</v>
      </c>
      <c r="AD151">
        <f>IF(AND(gamma!AC28=1, VLOOKUP($A151,'40Trips'!$A$43:$I$46, 3,FALSE)=VLOOKUP(AD$1,'40Trips'!$A$3:$I$42,3,FALSE)),1,0)</f>
        <v>1</v>
      </c>
      <c r="AE151">
        <f>IF(AND(gamma!AD28=1, VLOOKUP($A151,'40Trips'!$A$43:$I$46, 3,FALSE)=VLOOKUP(AE$1,'40Trips'!$A$3:$I$42,3,FALSE)),1,0)</f>
        <v>1</v>
      </c>
      <c r="AF151">
        <f>IF(AND(gamma!AE28=1, VLOOKUP($A151,'40Trips'!$A$43:$I$46, 3,FALSE)=VLOOKUP(AF$1,'40Trips'!$A$3:$I$42,3,FALSE)),1,0)</f>
        <v>0</v>
      </c>
      <c r="AG151">
        <f>IF(AND(gamma!AF28=1, VLOOKUP($A151,'40Trips'!$A$43:$I$46, 3,FALSE)=VLOOKUP(AG$1,'40Trips'!$A$3:$I$42,3,FALSE)),1,0)</f>
        <v>0</v>
      </c>
      <c r="AH151">
        <f>IF(AND(gamma!AG28=1, VLOOKUP($A151,'40Trips'!$A$43:$I$46, 3,FALSE)=VLOOKUP(AH$1,'40Trips'!$A$3:$I$42,3,FALSE)),1,0)</f>
        <v>0</v>
      </c>
      <c r="AI151">
        <f>IF(AND(gamma!AH28=1, VLOOKUP($A151,'40Trips'!$A$43:$I$46, 3,FALSE)=VLOOKUP(AI$1,'40Trips'!$A$3:$I$42,3,FALSE)),1,0)</f>
        <v>0</v>
      </c>
      <c r="AJ151">
        <f>IF(AND(gamma!AI28=1, VLOOKUP($A151,'40Trips'!$A$43:$I$46, 3,FALSE)=VLOOKUP(AJ$1,'40Trips'!$A$3:$I$42,3,FALSE)),1,0)</f>
        <v>0</v>
      </c>
      <c r="AK151">
        <f>IF(AND(gamma!AJ28=1, VLOOKUP($A151,'40Trips'!$A$43:$I$46, 3,FALSE)=VLOOKUP(AK$1,'40Trips'!$A$3:$I$42,3,FALSE)),1,0)</f>
        <v>0</v>
      </c>
      <c r="AL151">
        <f>IF(AND(gamma!AK28=1, VLOOKUP($A151,'40Trips'!$A$43:$I$46, 3,FALSE)=VLOOKUP(AL$1,'40Trips'!$A$3:$I$42,3,FALSE)),1,0)</f>
        <v>0</v>
      </c>
      <c r="AM151">
        <f>IF(AND(gamma!AL28=1, VLOOKUP($A151,'40Trips'!$A$43:$I$46, 3,FALSE)=VLOOKUP(AM$1,'40Trips'!$A$3:$I$42,3,FALSE)),1,0)</f>
        <v>0</v>
      </c>
      <c r="AN151">
        <f>IF(AND(gamma!AM28=1, VLOOKUP($A151,'40Trips'!$A$43:$I$46, 3,FALSE)=VLOOKUP(AN$1,'40Trips'!$A$3:$I$42,3,FALSE)),1,0)</f>
        <v>0</v>
      </c>
      <c r="AO151">
        <f>IF(AND(gamma!AN28=1, VLOOKUP($A151,'40Trips'!$A$43:$I$46, 3,FALSE)=VLOOKUP(AO$1,'40Trips'!$A$3:$I$42,3,FALSE)),1,0)</f>
        <v>0</v>
      </c>
      <c r="AP151">
        <f>IF(AND(gamma!AO28=1, VLOOKUP($A151,'40Trips'!$A$43:$I$46, 3,FALSE)=VLOOKUP(AP$1,'40Trips'!$A$3:$I$42,3,FALSE)),1,0)</f>
        <v>0</v>
      </c>
      <c r="AQ151">
        <f>IF(AND(gamma!AP28=1, VLOOKUP($A151,'40Trips'!$A$43:$I$46, 3,FALSE)=VLOOKUP(AQ$1,'40Trips'!$A$3:$I$42,3,FALSE)),1,0)</f>
        <v>0</v>
      </c>
    </row>
    <row r="152" spans="1:43" x14ac:dyDescent="0.25">
      <c r="A152" t="s">
        <v>68</v>
      </c>
      <c r="B152" t="s">
        <v>81</v>
      </c>
      <c r="C152">
        <v>0</v>
      </c>
      <c r="D152">
        <f>IF(AND(gamma!C29=1, VLOOKUP($A152,'40Trips'!$A$43:$I$46, 3,FALSE)=VLOOKUP(D$1,'40Trips'!$A$3:$I$42,3,FALSE)),1,0)</f>
        <v>0</v>
      </c>
      <c r="E152">
        <f>IF(AND(gamma!D29=1, VLOOKUP($A152,'40Trips'!$A$43:$I$46, 3,FALSE)=VLOOKUP(E$1,'40Trips'!$A$3:$I$42,3,FALSE)),1,0)</f>
        <v>0</v>
      </c>
      <c r="F152">
        <f>IF(AND(gamma!E29=1, VLOOKUP($A152,'40Trips'!$A$43:$I$46, 3,FALSE)=VLOOKUP(F$1,'40Trips'!$A$3:$I$42,3,FALSE)),1,0)</f>
        <v>0</v>
      </c>
      <c r="G152">
        <f>IF(AND(gamma!F29=1, VLOOKUP($A152,'40Trips'!$A$43:$I$46, 3,FALSE)=VLOOKUP(G$1,'40Trips'!$A$3:$I$42,3,FALSE)),1,0)</f>
        <v>0</v>
      </c>
      <c r="H152">
        <f>IF(AND(gamma!G29=1, VLOOKUP($A152,'40Trips'!$A$43:$I$46, 3,FALSE)=VLOOKUP(H$1,'40Trips'!$A$3:$I$42,3,FALSE)),1,0)</f>
        <v>0</v>
      </c>
      <c r="I152">
        <f>IF(AND(gamma!H29=1, VLOOKUP($A152,'40Trips'!$A$43:$I$46, 3,FALSE)=VLOOKUP(I$1,'40Trips'!$A$3:$I$42,3,FALSE)),1,0)</f>
        <v>0</v>
      </c>
      <c r="J152">
        <f>IF(AND(gamma!I29=1, VLOOKUP($A152,'40Trips'!$A$43:$I$46, 3,FALSE)=VLOOKUP(J$1,'40Trips'!$A$3:$I$42,3,FALSE)),1,0)</f>
        <v>0</v>
      </c>
      <c r="K152">
        <f>IF(AND(gamma!J29=1, VLOOKUP($A152,'40Trips'!$A$43:$I$46, 3,FALSE)=VLOOKUP(K$1,'40Trips'!$A$3:$I$42,3,FALSE)),1,0)</f>
        <v>0</v>
      </c>
      <c r="L152">
        <f>IF(AND(gamma!K29=1, VLOOKUP($A152,'40Trips'!$A$43:$I$46, 3,FALSE)=VLOOKUP(L$1,'40Trips'!$A$3:$I$42,3,FALSE)),1,0)</f>
        <v>0</v>
      </c>
      <c r="M152">
        <f>IF(AND(gamma!L29=1, VLOOKUP($A152,'40Trips'!$A$43:$I$46, 3,FALSE)=VLOOKUP(M$1,'40Trips'!$A$3:$I$42,3,FALSE)),1,0)</f>
        <v>0</v>
      </c>
      <c r="N152">
        <f>IF(AND(gamma!M29=1, VLOOKUP($A152,'40Trips'!$A$43:$I$46, 3,FALSE)=VLOOKUP(N$1,'40Trips'!$A$3:$I$42,3,FALSE)),1,0)</f>
        <v>0</v>
      </c>
      <c r="O152">
        <f>IF(AND(gamma!N29=1, VLOOKUP($A152,'40Trips'!$A$43:$I$46, 3,FALSE)=VLOOKUP(O$1,'40Trips'!$A$3:$I$42,3,FALSE)),1,0)</f>
        <v>0</v>
      </c>
      <c r="P152">
        <f>IF(AND(gamma!O29=1, VLOOKUP($A152,'40Trips'!$A$43:$I$46, 3,FALSE)=VLOOKUP(P$1,'40Trips'!$A$3:$I$42,3,FALSE)),1,0)</f>
        <v>0</v>
      </c>
      <c r="Q152">
        <f>IF(AND(gamma!P29=1, VLOOKUP($A152,'40Trips'!$A$43:$I$46, 3,FALSE)=VLOOKUP(Q$1,'40Trips'!$A$3:$I$42,3,FALSE)),1,0)</f>
        <v>0</v>
      </c>
      <c r="R152">
        <f>IF(AND(gamma!Q29=1, VLOOKUP($A152,'40Trips'!$A$43:$I$46, 3,FALSE)=VLOOKUP(R$1,'40Trips'!$A$3:$I$42,3,FALSE)),1,0)</f>
        <v>0</v>
      </c>
      <c r="S152">
        <f>IF(AND(gamma!R29=1, VLOOKUP($A152,'40Trips'!$A$43:$I$46, 3,FALSE)=VLOOKUP(S$1,'40Trips'!$A$3:$I$42,3,FALSE)),1,0)</f>
        <v>0</v>
      </c>
      <c r="T152">
        <f>IF(AND(gamma!S29=1, VLOOKUP($A152,'40Trips'!$A$43:$I$46, 3,FALSE)=VLOOKUP(T$1,'40Trips'!$A$3:$I$42,3,FALSE)),1,0)</f>
        <v>0</v>
      </c>
      <c r="U152">
        <f>IF(AND(gamma!T29=1, VLOOKUP($A152,'40Trips'!$A$43:$I$46, 3,FALSE)=VLOOKUP(U$1,'40Trips'!$A$3:$I$42,3,FALSE)),1,0)</f>
        <v>0</v>
      </c>
      <c r="V152">
        <f>IF(AND(gamma!U29=1, VLOOKUP($A152,'40Trips'!$A$43:$I$46, 3,FALSE)=VLOOKUP(V$1,'40Trips'!$A$3:$I$42,3,FALSE)),1,0)</f>
        <v>0</v>
      </c>
      <c r="W152">
        <f>IF(AND(gamma!V29=1, VLOOKUP($A152,'40Trips'!$A$43:$I$46, 3,FALSE)=VLOOKUP(W$1,'40Trips'!$A$3:$I$42,3,FALSE)),1,0)</f>
        <v>0</v>
      </c>
      <c r="X152">
        <f>IF(AND(gamma!W29=1, VLOOKUP($A152,'40Trips'!$A$43:$I$46, 3,FALSE)=VLOOKUP(X$1,'40Trips'!$A$3:$I$42,3,FALSE)),1,0)</f>
        <v>0</v>
      </c>
      <c r="Y152">
        <f>IF(AND(gamma!X29=1, VLOOKUP($A152,'40Trips'!$A$43:$I$46, 3,FALSE)=VLOOKUP(Y$1,'40Trips'!$A$3:$I$42,3,FALSE)),1,0)</f>
        <v>0</v>
      </c>
      <c r="Z152">
        <f>IF(AND(gamma!Y29=1, VLOOKUP($A152,'40Trips'!$A$43:$I$46, 3,FALSE)=VLOOKUP(Z$1,'40Trips'!$A$3:$I$42,3,FALSE)),1,0)</f>
        <v>0</v>
      </c>
      <c r="AA152">
        <f>IF(AND(gamma!Z29=1, VLOOKUP($A152,'40Trips'!$A$43:$I$46, 3,FALSE)=VLOOKUP(AA$1,'40Trips'!$A$3:$I$42,3,FALSE)),1,0)</f>
        <v>0</v>
      </c>
      <c r="AB152">
        <f>IF(AND(gamma!AA29=1, VLOOKUP($A152,'40Trips'!$A$43:$I$46, 3,FALSE)=VLOOKUP(AB$1,'40Trips'!$A$3:$I$42,3,FALSE)),1,0)</f>
        <v>0</v>
      </c>
      <c r="AC152">
        <f>IF(AND(gamma!AB29=1, VLOOKUP($A152,'40Trips'!$A$43:$I$46, 3,FALSE)=VLOOKUP(AC$1,'40Trips'!$A$3:$I$42,3,FALSE)),1,0)</f>
        <v>0</v>
      </c>
      <c r="AD152">
        <f>IF(AND(gamma!AC29=1, VLOOKUP($A152,'40Trips'!$A$43:$I$46, 3,FALSE)=VLOOKUP(AD$1,'40Trips'!$A$3:$I$42,3,FALSE)),1,0)</f>
        <v>0</v>
      </c>
      <c r="AE152">
        <f>IF(AND(gamma!AD29=1, VLOOKUP($A152,'40Trips'!$A$43:$I$46, 3,FALSE)=VLOOKUP(AE$1,'40Trips'!$A$3:$I$42,3,FALSE)),1,0)</f>
        <v>0</v>
      </c>
      <c r="AF152">
        <f>IF(AND(gamma!AE29=1, VLOOKUP($A152,'40Trips'!$A$43:$I$46, 3,FALSE)=VLOOKUP(AF$1,'40Trips'!$A$3:$I$42,3,FALSE)),1,0)</f>
        <v>0</v>
      </c>
      <c r="AG152">
        <f>IF(AND(gamma!AF29=1, VLOOKUP($A152,'40Trips'!$A$43:$I$46, 3,FALSE)=VLOOKUP(AG$1,'40Trips'!$A$3:$I$42,3,FALSE)),1,0)</f>
        <v>0</v>
      </c>
      <c r="AH152">
        <f>IF(AND(gamma!AG29=1, VLOOKUP($A152,'40Trips'!$A$43:$I$46, 3,FALSE)=VLOOKUP(AH$1,'40Trips'!$A$3:$I$42,3,FALSE)),1,0)</f>
        <v>0</v>
      </c>
      <c r="AI152">
        <f>IF(AND(gamma!AH29=1, VLOOKUP($A152,'40Trips'!$A$43:$I$46, 3,FALSE)=VLOOKUP(AI$1,'40Trips'!$A$3:$I$42,3,FALSE)),1,0)</f>
        <v>0</v>
      </c>
      <c r="AJ152">
        <f>IF(AND(gamma!AI29=1, VLOOKUP($A152,'40Trips'!$A$43:$I$46, 3,FALSE)=VLOOKUP(AJ$1,'40Trips'!$A$3:$I$42,3,FALSE)),1,0)</f>
        <v>0</v>
      </c>
      <c r="AK152">
        <f>IF(AND(gamma!AJ29=1, VLOOKUP($A152,'40Trips'!$A$43:$I$46, 3,FALSE)=VLOOKUP(AK$1,'40Trips'!$A$3:$I$42,3,FALSE)),1,0)</f>
        <v>0</v>
      </c>
      <c r="AL152">
        <f>IF(AND(gamma!AK29=1, VLOOKUP($A152,'40Trips'!$A$43:$I$46, 3,FALSE)=VLOOKUP(AL$1,'40Trips'!$A$3:$I$42,3,FALSE)),1,0)</f>
        <v>0</v>
      </c>
      <c r="AM152">
        <f>IF(AND(gamma!AL29=1, VLOOKUP($A152,'40Trips'!$A$43:$I$46, 3,FALSE)=VLOOKUP(AM$1,'40Trips'!$A$3:$I$42,3,FALSE)),1,0)</f>
        <v>0</v>
      </c>
      <c r="AN152">
        <f>IF(AND(gamma!AM29=1, VLOOKUP($A152,'40Trips'!$A$43:$I$46, 3,FALSE)=VLOOKUP(AN$1,'40Trips'!$A$3:$I$42,3,FALSE)),1,0)</f>
        <v>0</v>
      </c>
      <c r="AO152">
        <f>IF(AND(gamma!AN29=1, VLOOKUP($A152,'40Trips'!$A$43:$I$46, 3,FALSE)=VLOOKUP(AO$1,'40Trips'!$A$3:$I$42,3,FALSE)),1,0)</f>
        <v>0</v>
      </c>
      <c r="AP152">
        <f>IF(AND(gamma!AO29=1, VLOOKUP($A152,'40Trips'!$A$43:$I$46, 3,FALSE)=VLOOKUP(AP$1,'40Trips'!$A$3:$I$42,3,FALSE)),1,0)</f>
        <v>0</v>
      </c>
      <c r="AQ152">
        <f>IF(AND(gamma!AP29=1, VLOOKUP($A152,'40Trips'!$A$43:$I$46, 3,FALSE)=VLOOKUP(AQ$1,'40Trips'!$A$3:$I$42,3,FALSE)),1,0)</f>
        <v>0</v>
      </c>
    </row>
    <row r="153" spans="1:43" x14ac:dyDescent="0.25">
      <c r="A153" t="s">
        <v>68</v>
      </c>
      <c r="B153" t="s">
        <v>82</v>
      </c>
      <c r="C153">
        <v>0</v>
      </c>
      <c r="D153">
        <f>IF(AND(gamma!C30=1, VLOOKUP($A153,'40Trips'!$A$43:$I$46, 3,FALSE)=VLOOKUP(D$1,'40Trips'!$A$3:$I$42,3,FALSE)),1,0)</f>
        <v>0</v>
      </c>
      <c r="E153">
        <f>IF(AND(gamma!D30=1, VLOOKUP($A153,'40Trips'!$A$43:$I$46, 3,FALSE)=VLOOKUP(E$1,'40Trips'!$A$3:$I$42,3,FALSE)),1,0)</f>
        <v>0</v>
      </c>
      <c r="F153">
        <f>IF(AND(gamma!E30=1, VLOOKUP($A153,'40Trips'!$A$43:$I$46, 3,FALSE)=VLOOKUP(F$1,'40Trips'!$A$3:$I$42,3,FALSE)),1,0)</f>
        <v>0</v>
      </c>
      <c r="G153">
        <f>IF(AND(gamma!F30=1, VLOOKUP($A153,'40Trips'!$A$43:$I$46, 3,FALSE)=VLOOKUP(G$1,'40Trips'!$A$3:$I$42,3,FALSE)),1,0)</f>
        <v>0</v>
      </c>
      <c r="H153">
        <f>IF(AND(gamma!G30=1, VLOOKUP($A153,'40Trips'!$A$43:$I$46, 3,FALSE)=VLOOKUP(H$1,'40Trips'!$A$3:$I$42,3,FALSE)),1,0)</f>
        <v>0</v>
      </c>
      <c r="I153">
        <f>IF(AND(gamma!H30=1, VLOOKUP($A153,'40Trips'!$A$43:$I$46, 3,FALSE)=VLOOKUP(I$1,'40Trips'!$A$3:$I$42,3,FALSE)),1,0)</f>
        <v>0</v>
      </c>
      <c r="J153">
        <f>IF(AND(gamma!I30=1, VLOOKUP($A153,'40Trips'!$A$43:$I$46, 3,FALSE)=VLOOKUP(J$1,'40Trips'!$A$3:$I$42,3,FALSE)),1,0)</f>
        <v>0</v>
      </c>
      <c r="K153">
        <f>IF(AND(gamma!J30=1, VLOOKUP($A153,'40Trips'!$A$43:$I$46, 3,FALSE)=VLOOKUP(K$1,'40Trips'!$A$3:$I$42,3,FALSE)),1,0)</f>
        <v>0</v>
      </c>
      <c r="L153">
        <f>IF(AND(gamma!K30=1, VLOOKUP($A153,'40Trips'!$A$43:$I$46, 3,FALSE)=VLOOKUP(L$1,'40Trips'!$A$3:$I$42,3,FALSE)),1,0)</f>
        <v>0</v>
      </c>
      <c r="M153">
        <f>IF(AND(gamma!L30=1, VLOOKUP($A153,'40Trips'!$A$43:$I$46, 3,FALSE)=VLOOKUP(M$1,'40Trips'!$A$3:$I$42,3,FALSE)),1,0)</f>
        <v>0</v>
      </c>
      <c r="N153">
        <f>IF(AND(gamma!M30=1, VLOOKUP($A153,'40Trips'!$A$43:$I$46, 3,FALSE)=VLOOKUP(N$1,'40Trips'!$A$3:$I$42,3,FALSE)),1,0)</f>
        <v>0</v>
      </c>
      <c r="O153">
        <f>IF(AND(gamma!N30=1, VLOOKUP($A153,'40Trips'!$A$43:$I$46, 3,FALSE)=VLOOKUP(O$1,'40Trips'!$A$3:$I$42,3,FALSE)),1,0)</f>
        <v>0</v>
      </c>
      <c r="P153">
        <f>IF(AND(gamma!O30=1, VLOOKUP($A153,'40Trips'!$A$43:$I$46, 3,FALSE)=VLOOKUP(P$1,'40Trips'!$A$3:$I$42,3,FALSE)),1,0)</f>
        <v>0</v>
      </c>
      <c r="Q153">
        <f>IF(AND(gamma!P30=1, VLOOKUP($A153,'40Trips'!$A$43:$I$46, 3,FALSE)=VLOOKUP(Q$1,'40Trips'!$A$3:$I$42,3,FALSE)),1,0)</f>
        <v>0</v>
      </c>
      <c r="R153">
        <f>IF(AND(gamma!Q30=1, VLOOKUP($A153,'40Trips'!$A$43:$I$46, 3,FALSE)=VLOOKUP(R$1,'40Trips'!$A$3:$I$42,3,FALSE)),1,0)</f>
        <v>0</v>
      </c>
      <c r="S153">
        <f>IF(AND(gamma!R30=1, VLOOKUP($A153,'40Trips'!$A$43:$I$46, 3,FALSE)=VLOOKUP(S$1,'40Trips'!$A$3:$I$42,3,FALSE)),1,0)</f>
        <v>0</v>
      </c>
      <c r="T153">
        <f>IF(AND(gamma!S30=1, VLOOKUP($A153,'40Trips'!$A$43:$I$46, 3,FALSE)=VLOOKUP(T$1,'40Trips'!$A$3:$I$42,3,FALSE)),1,0)</f>
        <v>0</v>
      </c>
      <c r="U153">
        <f>IF(AND(gamma!T30=1, VLOOKUP($A153,'40Trips'!$A$43:$I$46, 3,FALSE)=VLOOKUP(U$1,'40Trips'!$A$3:$I$42,3,FALSE)),1,0)</f>
        <v>0</v>
      </c>
      <c r="V153">
        <f>IF(AND(gamma!U30=1, VLOOKUP($A153,'40Trips'!$A$43:$I$46, 3,FALSE)=VLOOKUP(V$1,'40Trips'!$A$3:$I$42,3,FALSE)),1,0)</f>
        <v>0</v>
      </c>
      <c r="W153">
        <f>IF(AND(gamma!V30=1, VLOOKUP($A153,'40Trips'!$A$43:$I$46, 3,FALSE)=VLOOKUP(W$1,'40Trips'!$A$3:$I$42,3,FALSE)),1,0)</f>
        <v>0</v>
      </c>
      <c r="X153">
        <f>IF(AND(gamma!W30=1, VLOOKUP($A153,'40Trips'!$A$43:$I$46, 3,FALSE)=VLOOKUP(X$1,'40Trips'!$A$3:$I$42,3,FALSE)),1,0)</f>
        <v>0</v>
      </c>
      <c r="Y153">
        <f>IF(AND(gamma!X30=1, VLOOKUP($A153,'40Trips'!$A$43:$I$46, 3,FALSE)=VLOOKUP(Y$1,'40Trips'!$A$3:$I$42,3,FALSE)),1,0)</f>
        <v>0</v>
      </c>
      <c r="Z153">
        <f>IF(AND(gamma!Y30=1, VLOOKUP($A153,'40Trips'!$A$43:$I$46, 3,FALSE)=VLOOKUP(Z$1,'40Trips'!$A$3:$I$42,3,FALSE)),1,0)</f>
        <v>0</v>
      </c>
      <c r="AA153">
        <f>IF(AND(gamma!Z30=1, VLOOKUP($A153,'40Trips'!$A$43:$I$46, 3,FALSE)=VLOOKUP(AA$1,'40Trips'!$A$3:$I$42,3,FALSE)),1,0)</f>
        <v>0</v>
      </c>
      <c r="AB153">
        <f>IF(AND(gamma!AA30=1, VLOOKUP($A153,'40Trips'!$A$43:$I$46, 3,FALSE)=VLOOKUP(AB$1,'40Trips'!$A$3:$I$42,3,FALSE)),1,0)</f>
        <v>0</v>
      </c>
      <c r="AC153">
        <f>IF(AND(gamma!AB30=1, VLOOKUP($A153,'40Trips'!$A$43:$I$46, 3,FALSE)=VLOOKUP(AC$1,'40Trips'!$A$3:$I$42,3,FALSE)),1,0)</f>
        <v>0</v>
      </c>
      <c r="AD153">
        <f>IF(AND(gamma!AC30=1, VLOOKUP($A153,'40Trips'!$A$43:$I$46, 3,FALSE)=VLOOKUP(AD$1,'40Trips'!$A$3:$I$42,3,FALSE)),1,0)</f>
        <v>0</v>
      </c>
      <c r="AE153">
        <f>IF(AND(gamma!AD30=1, VLOOKUP($A153,'40Trips'!$A$43:$I$46, 3,FALSE)=VLOOKUP(AE$1,'40Trips'!$A$3:$I$42,3,FALSE)),1,0)</f>
        <v>0</v>
      </c>
      <c r="AF153">
        <f>IF(AND(gamma!AE30=1, VLOOKUP($A153,'40Trips'!$A$43:$I$46, 3,FALSE)=VLOOKUP(AF$1,'40Trips'!$A$3:$I$42,3,FALSE)),1,0)</f>
        <v>0</v>
      </c>
      <c r="AG153">
        <f>IF(AND(gamma!AF30=1, VLOOKUP($A153,'40Trips'!$A$43:$I$46, 3,FALSE)=VLOOKUP(AG$1,'40Trips'!$A$3:$I$42,3,FALSE)),1,0)</f>
        <v>0</v>
      </c>
      <c r="AH153">
        <f>IF(AND(gamma!AG30=1, VLOOKUP($A153,'40Trips'!$A$43:$I$46, 3,FALSE)=VLOOKUP(AH$1,'40Trips'!$A$3:$I$42,3,FALSE)),1,0)</f>
        <v>0</v>
      </c>
      <c r="AI153">
        <f>IF(AND(gamma!AH30=1, VLOOKUP($A153,'40Trips'!$A$43:$I$46, 3,FALSE)=VLOOKUP(AI$1,'40Trips'!$A$3:$I$42,3,FALSE)),1,0)</f>
        <v>0</v>
      </c>
      <c r="AJ153">
        <f>IF(AND(gamma!AI30=1, VLOOKUP($A153,'40Trips'!$A$43:$I$46, 3,FALSE)=VLOOKUP(AJ$1,'40Trips'!$A$3:$I$42,3,FALSE)),1,0)</f>
        <v>0</v>
      </c>
      <c r="AK153">
        <f>IF(AND(gamma!AJ30=1, VLOOKUP($A153,'40Trips'!$A$43:$I$46, 3,FALSE)=VLOOKUP(AK$1,'40Trips'!$A$3:$I$42,3,FALSE)),1,0)</f>
        <v>0</v>
      </c>
      <c r="AL153">
        <f>IF(AND(gamma!AK30=1, VLOOKUP($A153,'40Trips'!$A$43:$I$46, 3,FALSE)=VLOOKUP(AL$1,'40Trips'!$A$3:$I$42,3,FALSE)),1,0)</f>
        <v>0</v>
      </c>
      <c r="AM153">
        <f>IF(AND(gamma!AL30=1, VLOOKUP($A153,'40Trips'!$A$43:$I$46, 3,FALSE)=VLOOKUP(AM$1,'40Trips'!$A$3:$I$42,3,FALSE)),1,0)</f>
        <v>0</v>
      </c>
      <c r="AN153">
        <f>IF(AND(gamma!AM30=1, VLOOKUP($A153,'40Trips'!$A$43:$I$46, 3,FALSE)=VLOOKUP(AN$1,'40Trips'!$A$3:$I$42,3,FALSE)),1,0)</f>
        <v>0</v>
      </c>
      <c r="AO153">
        <f>IF(AND(gamma!AN30=1, VLOOKUP($A153,'40Trips'!$A$43:$I$46, 3,FALSE)=VLOOKUP(AO$1,'40Trips'!$A$3:$I$42,3,FALSE)),1,0)</f>
        <v>0</v>
      </c>
      <c r="AP153">
        <f>IF(AND(gamma!AO30=1, VLOOKUP($A153,'40Trips'!$A$43:$I$46, 3,FALSE)=VLOOKUP(AP$1,'40Trips'!$A$3:$I$42,3,FALSE)),1,0)</f>
        <v>0</v>
      </c>
      <c r="AQ153">
        <f>IF(AND(gamma!AP30=1, VLOOKUP($A153,'40Trips'!$A$43:$I$46, 3,FALSE)=VLOOKUP(AQ$1,'40Trips'!$A$3:$I$42,3,FALSE)),1,0)</f>
        <v>0</v>
      </c>
    </row>
    <row r="154" spans="1:43" x14ac:dyDescent="0.25">
      <c r="A154" t="s">
        <v>68</v>
      </c>
      <c r="B154" t="s">
        <v>39</v>
      </c>
      <c r="C154">
        <v>0</v>
      </c>
      <c r="D154">
        <f>IF(AND(gamma!C31=1, VLOOKUP($A154,'40Trips'!$A$43:$I$46, 3,FALSE)=VLOOKUP(D$1,'40Trips'!$A$3:$I$42,3,FALSE)),1,0)</f>
        <v>0</v>
      </c>
      <c r="E154">
        <f>IF(AND(gamma!D31=1, VLOOKUP($A154,'40Trips'!$A$43:$I$46, 3,FALSE)=VLOOKUP(E$1,'40Trips'!$A$3:$I$42,3,FALSE)),1,0)</f>
        <v>0</v>
      </c>
      <c r="F154">
        <f>IF(AND(gamma!E31=1, VLOOKUP($A154,'40Trips'!$A$43:$I$46, 3,FALSE)=VLOOKUP(F$1,'40Trips'!$A$3:$I$42,3,FALSE)),1,0)</f>
        <v>0</v>
      </c>
      <c r="G154">
        <f>IF(AND(gamma!F31=1, VLOOKUP($A154,'40Trips'!$A$43:$I$46, 3,FALSE)=VLOOKUP(G$1,'40Trips'!$A$3:$I$42,3,FALSE)),1,0)</f>
        <v>0</v>
      </c>
      <c r="H154">
        <f>IF(AND(gamma!G31=1, VLOOKUP($A154,'40Trips'!$A$43:$I$46, 3,FALSE)=VLOOKUP(H$1,'40Trips'!$A$3:$I$42,3,FALSE)),1,0)</f>
        <v>0</v>
      </c>
      <c r="I154">
        <f>IF(AND(gamma!H31=1, VLOOKUP($A154,'40Trips'!$A$43:$I$46, 3,FALSE)=VLOOKUP(I$1,'40Trips'!$A$3:$I$42,3,FALSE)),1,0)</f>
        <v>0</v>
      </c>
      <c r="J154">
        <f>IF(AND(gamma!I31=1, VLOOKUP($A154,'40Trips'!$A$43:$I$46, 3,FALSE)=VLOOKUP(J$1,'40Trips'!$A$3:$I$42,3,FALSE)),1,0)</f>
        <v>0</v>
      </c>
      <c r="K154">
        <f>IF(AND(gamma!J31=1, VLOOKUP($A154,'40Trips'!$A$43:$I$46, 3,FALSE)=VLOOKUP(K$1,'40Trips'!$A$3:$I$42,3,FALSE)),1,0)</f>
        <v>0</v>
      </c>
      <c r="L154">
        <f>IF(AND(gamma!K31=1, VLOOKUP($A154,'40Trips'!$A$43:$I$46, 3,FALSE)=VLOOKUP(L$1,'40Trips'!$A$3:$I$42,3,FALSE)),1,0)</f>
        <v>0</v>
      </c>
      <c r="M154">
        <f>IF(AND(gamma!L31=1, VLOOKUP($A154,'40Trips'!$A$43:$I$46, 3,FALSE)=VLOOKUP(M$1,'40Trips'!$A$3:$I$42,3,FALSE)),1,0)</f>
        <v>0</v>
      </c>
      <c r="N154">
        <f>IF(AND(gamma!M31=1, VLOOKUP($A154,'40Trips'!$A$43:$I$46, 3,FALSE)=VLOOKUP(N$1,'40Trips'!$A$3:$I$42,3,FALSE)),1,0)</f>
        <v>0</v>
      </c>
      <c r="O154">
        <f>IF(AND(gamma!N31=1, VLOOKUP($A154,'40Trips'!$A$43:$I$46, 3,FALSE)=VLOOKUP(O$1,'40Trips'!$A$3:$I$42,3,FALSE)),1,0)</f>
        <v>0</v>
      </c>
      <c r="P154">
        <f>IF(AND(gamma!O31=1, VLOOKUP($A154,'40Trips'!$A$43:$I$46, 3,FALSE)=VLOOKUP(P$1,'40Trips'!$A$3:$I$42,3,FALSE)),1,0)</f>
        <v>0</v>
      </c>
      <c r="Q154">
        <f>IF(AND(gamma!P31=1, VLOOKUP($A154,'40Trips'!$A$43:$I$46, 3,FALSE)=VLOOKUP(Q$1,'40Trips'!$A$3:$I$42,3,FALSE)),1,0)</f>
        <v>0</v>
      </c>
      <c r="R154">
        <f>IF(AND(gamma!Q31=1, VLOOKUP($A154,'40Trips'!$A$43:$I$46, 3,FALSE)=VLOOKUP(R$1,'40Trips'!$A$3:$I$42,3,FALSE)),1,0)</f>
        <v>0</v>
      </c>
      <c r="S154">
        <f>IF(AND(gamma!R31=1, VLOOKUP($A154,'40Trips'!$A$43:$I$46, 3,FALSE)=VLOOKUP(S$1,'40Trips'!$A$3:$I$42,3,FALSE)),1,0)</f>
        <v>0</v>
      </c>
      <c r="T154">
        <f>IF(AND(gamma!S31=1, VLOOKUP($A154,'40Trips'!$A$43:$I$46, 3,FALSE)=VLOOKUP(T$1,'40Trips'!$A$3:$I$42,3,FALSE)),1,0)</f>
        <v>0</v>
      </c>
      <c r="U154">
        <f>IF(AND(gamma!T31=1, VLOOKUP($A154,'40Trips'!$A$43:$I$46, 3,FALSE)=VLOOKUP(U$1,'40Trips'!$A$3:$I$42,3,FALSE)),1,0)</f>
        <v>0</v>
      </c>
      <c r="V154">
        <f>IF(AND(gamma!U31=1, VLOOKUP($A154,'40Trips'!$A$43:$I$46, 3,FALSE)=VLOOKUP(V$1,'40Trips'!$A$3:$I$42,3,FALSE)),1,0)</f>
        <v>0</v>
      </c>
      <c r="W154">
        <f>IF(AND(gamma!V31=1, VLOOKUP($A154,'40Trips'!$A$43:$I$46, 3,FALSE)=VLOOKUP(W$1,'40Trips'!$A$3:$I$42,3,FALSE)),1,0)</f>
        <v>0</v>
      </c>
      <c r="X154">
        <f>IF(AND(gamma!W31=1, VLOOKUP($A154,'40Trips'!$A$43:$I$46, 3,FALSE)=VLOOKUP(X$1,'40Trips'!$A$3:$I$42,3,FALSE)),1,0)</f>
        <v>0</v>
      </c>
      <c r="Y154">
        <f>IF(AND(gamma!X31=1, VLOOKUP($A154,'40Trips'!$A$43:$I$46, 3,FALSE)=VLOOKUP(Y$1,'40Trips'!$A$3:$I$42,3,FALSE)),1,0)</f>
        <v>1</v>
      </c>
      <c r="Z154">
        <f>IF(AND(gamma!Y31=1, VLOOKUP($A154,'40Trips'!$A$43:$I$46, 3,FALSE)=VLOOKUP(Z$1,'40Trips'!$A$3:$I$42,3,FALSE)),1,0)</f>
        <v>1</v>
      </c>
      <c r="AA154">
        <f>IF(AND(gamma!Z31=1, VLOOKUP($A154,'40Trips'!$A$43:$I$46, 3,FALSE)=VLOOKUP(AA$1,'40Trips'!$A$3:$I$42,3,FALSE)),1,0)</f>
        <v>1</v>
      </c>
      <c r="AB154">
        <f>IF(AND(gamma!AA31=1, VLOOKUP($A154,'40Trips'!$A$43:$I$46, 3,FALSE)=VLOOKUP(AB$1,'40Trips'!$A$3:$I$42,3,FALSE)),1,0)</f>
        <v>0</v>
      </c>
      <c r="AC154">
        <f>IF(AND(gamma!AB31=1, VLOOKUP($A154,'40Trips'!$A$43:$I$46, 3,FALSE)=VLOOKUP(AC$1,'40Trips'!$A$3:$I$42,3,FALSE)),1,0)</f>
        <v>1</v>
      </c>
      <c r="AD154">
        <f>IF(AND(gamma!AC31=1, VLOOKUP($A154,'40Trips'!$A$43:$I$46, 3,FALSE)=VLOOKUP(AD$1,'40Trips'!$A$3:$I$42,3,FALSE)),1,0)</f>
        <v>1</v>
      </c>
      <c r="AE154">
        <f>IF(AND(gamma!AD31=1, VLOOKUP($A154,'40Trips'!$A$43:$I$46, 3,FALSE)=VLOOKUP(AE$1,'40Trips'!$A$3:$I$42,3,FALSE)),1,0)</f>
        <v>1</v>
      </c>
      <c r="AF154">
        <f>IF(AND(gamma!AE31=1, VLOOKUP($A154,'40Trips'!$A$43:$I$46, 3,FALSE)=VLOOKUP(AF$1,'40Trips'!$A$3:$I$42,3,FALSE)),1,0)</f>
        <v>0</v>
      </c>
      <c r="AG154">
        <f>IF(AND(gamma!AF31=1, VLOOKUP($A154,'40Trips'!$A$43:$I$46, 3,FALSE)=VLOOKUP(AG$1,'40Trips'!$A$3:$I$42,3,FALSE)),1,0)</f>
        <v>0</v>
      </c>
      <c r="AH154">
        <f>IF(AND(gamma!AG31=1, VLOOKUP($A154,'40Trips'!$A$43:$I$46, 3,FALSE)=VLOOKUP(AH$1,'40Trips'!$A$3:$I$42,3,FALSE)),1,0)</f>
        <v>1</v>
      </c>
      <c r="AI154">
        <f>IF(AND(gamma!AH31=1, VLOOKUP($A154,'40Trips'!$A$43:$I$46, 3,FALSE)=VLOOKUP(AI$1,'40Trips'!$A$3:$I$42,3,FALSE)),1,0)</f>
        <v>1</v>
      </c>
      <c r="AJ154">
        <f>IF(AND(gamma!AI31=1, VLOOKUP($A154,'40Trips'!$A$43:$I$46, 3,FALSE)=VLOOKUP(AJ$1,'40Trips'!$A$3:$I$42,3,FALSE)),1,0)</f>
        <v>0</v>
      </c>
      <c r="AK154">
        <f>IF(AND(gamma!AJ31=1, VLOOKUP($A154,'40Trips'!$A$43:$I$46, 3,FALSE)=VLOOKUP(AK$1,'40Trips'!$A$3:$I$42,3,FALSE)),1,0)</f>
        <v>0</v>
      </c>
      <c r="AL154">
        <f>IF(AND(gamma!AK31=1, VLOOKUP($A154,'40Trips'!$A$43:$I$46, 3,FALSE)=VLOOKUP(AL$1,'40Trips'!$A$3:$I$42,3,FALSE)),1,0)</f>
        <v>0</v>
      </c>
      <c r="AM154">
        <f>IF(AND(gamma!AL31=1, VLOOKUP($A154,'40Trips'!$A$43:$I$46, 3,FALSE)=VLOOKUP(AM$1,'40Trips'!$A$3:$I$42,3,FALSE)),1,0)</f>
        <v>0</v>
      </c>
      <c r="AN154">
        <f>IF(AND(gamma!AM31=1, VLOOKUP($A154,'40Trips'!$A$43:$I$46, 3,FALSE)=VLOOKUP(AN$1,'40Trips'!$A$3:$I$42,3,FALSE)),1,0)</f>
        <v>0</v>
      </c>
      <c r="AO154">
        <f>IF(AND(gamma!AN31=1, VLOOKUP($A154,'40Trips'!$A$43:$I$46, 3,FALSE)=VLOOKUP(AO$1,'40Trips'!$A$3:$I$42,3,FALSE)),1,0)</f>
        <v>0</v>
      </c>
      <c r="AP154">
        <f>IF(AND(gamma!AO31=1, VLOOKUP($A154,'40Trips'!$A$43:$I$46, 3,FALSE)=VLOOKUP(AP$1,'40Trips'!$A$3:$I$42,3,FALSE)),1,0)</f>
        <v>0</v>
      </c>
      <c r="AQ154">
        <f>IF(AND(gamma!AP31=1, VLOOKUP($A154,'40Trips'!$A$43:$I$46, 3,FALSE)=VLOOKUP(AQ$1,'40Trips'!$A$3:$I$42,3,FALSE)),1,0)</f>
        <v>0</v>
      </c>
    </row>
    <row r="155" spans="1:43" x14ac:dyDescent="0.25">
      <c r="A155" t="s">
        <v>68</v>
      </c>
      <c r="B155" t="s">
        <v>83</v>
      </c>
      <c r="C155">
        <v>0</v>
      </c>
      <c r="D155">
        <f>IF(AND(gamma!C32=1, VLOOKUP($A155,'40Trips'!$A$43:$I$46, 3,FALSE)=VLOOKUP(D$1,'40Trips'!$A$3:$I$42,3,FALSE)),1,0)</f>
        <v>0</v>
      </c>
      <c r="E155">
        <f>IF(AND(gamma!D32=1, VLOOKUP($A155,'40Trips'!$A$43:$I$46, 3,FALSE)=VLOOKUP(E$1,'40Trips'!$A$3:$I$42,3,FALSE)),1,0)</f>
        <v>0</v>
      </c>
      <c r="F155">
        <f>IF(AND(gamma!E32=1, VLOOKUP($A155,'40Trips'!$A$43:$I$46, 3,FALSE)=VLOOKUP(F$1,'40Trips'!$A$3:$I$42,3,FALSE)),1,0)</f>
        <v>0</v>
      </c>
      <c r="G155">
        <f>IF(AND(gamma!F32=1, VLOOKUP($A155,'40Trips'!$A$43:$I$46, 3,FALSE)=VLOOKUP(G$1,'40Trips'!$A$3:$I$42,3,FALSE)),1,0)</f>
        <v>0</v>
      </c>
      <c r="H155">
        <f>IF(AND(gamma!G32=1, VLOOKUP($A155,'40Trips'!$A$43:$I$46, 3,FALSE)=VLOOKUP(H$1,'40Trips'!$A$3:$I$42,3,FALSE)),1,0)</f>
        <v>0</v>
      </c>
      <c r="I155">
        <f>IF(AND(gamma!H32=1, VLOOKUP($A155,'40Trips'!$A$43:$I$46, 3,FALSE)=VLOOKUP(I$1,'40Trips'!$A$3:$I$42,3,FALSE)),1,0)</f>
        <v>0</v>
      </c>
      <c r="J155">
        <f>IF(AND(gamma!I32=1, VLOOKUP($A155,'40Trips'!$A$43:$I$46, 3,FALSE)=VLOOKUP(J$1,'40Trips'!$A$3:$I$42,3,FALSE)),1,0)</f>
        <v>0</v>
      </c>
      <c r="K155">
        <f>IF(AND(gamma!J32=1, VLOOKUP($A155,'40Trips'!$A$43:$I$46, 3,FALSE)=VLOOKUP(K$1,'40Trips'!$A$3:$I$42,3,FALSE)),1,0)</f>
        <v>0</v>
      </c>
      <c r="L155">
        <f>IF(AND(gamma!K32=1, VLOOKUP($A155,'40Trips'!$A$43:$I$46, 3,FALSE)=VLOOKUP(L$1,'40Trips'!$A$3:$I$42,3,FALSE)),1,0)</f>
        <v>0</v>
      </c>
      <c r="M155">
        <f>IF(AND(gamma!L32=1, VLOOKUP($A155,'40Trips'!$A$43:$I$46, 3,FALSE)=VLOOKUP(M$1,'40Trips'!$A$3:$I$42,3,FALSE)),1,0)</f>
        <v>0</v>
      </c>
      <c r="N155">
        <f>IF(AND(gamma!M32=1, VLOOKUP($A155,'40Trips'!$A$43:$I$46, 3,FALSE)=VLOOKUP(N$1,'40Trips'!$A$3:$I$42,3,FALSE)),1,0)</f>
        <v>0</v>
      </c>
      <c r="O155">
        <f>IF(AND(gamma!N32=1, VLOOKUP($A155,'40Trips'!$A$43:$I$46, 3,FALSE)=VLOOKUP(O$1,'40Trips'!$A$3:$I$42,3,FALSE)),1,0)</f>
        <v>0</v>
      </c>
      <c r="P155">
        <f>IF(AND(gamma!O32=1, VLOOKUP($A155,'40Trips'!$A$43:$I$46, 3,FALSE)=VLOOKUP(P$1,'40Trips'!$A$3:$I$42,3,FALSE)),1,0)</f>
        <v>0</v>
      </c>
      <c r="Q155">
        <f>IF(AND(gamma!P32=1, VLOOKUP($A155,'40Trips'!$A$43:$I$46, 3,FALSE)=VLOOKUP(Q$1,'40Trips'!$A$3:$I$42,3,FALSE)),1,0)</f>
        <v>0</v>
      </c>
      <c r="R155">
        <f>IF(AND(gamma!Q32=1, VLOOKUP($A155,'40Trips'!$A$43:$I$46, 3,FALSE)=VLOOKUP(R$1,'40Trips'!$A$3:$I$42,3,FALSE)),1,0)</f>
        <v>0</v>
      </c>
      <c r="S155">
        <f>IF(AND(gamma!R32=1, VLOOKUP($A155,'40Trips'!$A$43:$I$46, 3,FALSE)=VLOOKUP(S$1,'40Trips'!$A$3:$I$42,3,FALSE)),1,0)</f>
        <v>0</v>
      </c>
      <c r="T155">
        <f>IF(AND(gamma!S32=1, VLOOKUP($A155,'40Trips'!$A$43:$I$46, 3,FALSE)=VLOOKUP(T$1,'40Trips'!$A$3:$I$42,3,FALSE)),1,0)</f>
        <v>0</v>
      </c>
      <c r="U155">
        <f>IF(AND(gamma!T32=1, VLOOKUP($A155,'40Trips'!$A$43:$I$46, 3,FALSE)=VLOOKUP(U$1,'40Trips'!$A$3:$I$42,3,FALSE)),1,0)</f>
        <v>0</v>
      </c>
      <c r="V155">
        <f>IF(AND(gamma!U32=1, VLOOKUP($A155,'40Trips'!$A$43:$I$46, 3,FALSE)=VLOOKUP(V$1,'40Trips'!$A$3:$I$42,3,FALSE)),1,0)</f>
        <v>0</v>
      </c>
      <c r="W155">
        <f>IF(AND(gamma!V32=1, VLOOKUP($A155,'40Trips'!$A$43:$I$46, 3,FALSE)=VLOOKUP(W$1,'40Trips'!$A$3:$I$42,3,FALSE)),1,0)</f>
        <v>0</v>
      </c>
      <c r="X155">
        <f>IF(AND(gamma!W32=1, VLOOKUP($A155,'40Trips'!$A$43:$I$46, 3,FALSE)=VLOOKUP(X$1,'40Trips'!$A$3:$I$42,3,FALSE)),1,0)</f>
        <v>0</v>
      </c>
      <c r="Y155">
        <f>IF(AND(gamma!X32=1, VLOOKUP($A155,'40Trips'!$A$43:$I$46, 3,FALSE)=VLOOKUP(Y$1,'40Trips'!$A$3:$I$42,3,FALSE)),1,0)</f>
        <v>1</v>
      </c>
      <c r="Z155">
        <f>IF(AND(gamma!Y32=1, VLOOKUP($A155,'40Trips'!$A$43:$I$46, 3,FALSE)=VLOOKUP(Z$1,'40Trips'!$A$3:$I$42,3,FALSE)),1,0)</f>
        <v>1</v>
      </c>
      <c r="AA155">
        <f>IF(AND(gamma!Z32=1, VLOOKUP($A155,'40Trips'!$A$43:$I$46, 3,FALSE)=VLOOKUP(AA$1,'40Trips'!$A$3:$I$42,3,FALSE)),1,0)</f>
        <v>1</v>
      </c>
      <c r="AB155">
        <f>IF(AND(gamma!AA32=1, VLOOKUP($A155,'40Trips'!$A$43:$I$46, 3,FALSE)=VLOOKUP(AB$1,'40Trips'!$A$3:$I$42,3,FALSE)),1,0)</f>
        <v>0</v>
      </c>
      <c r="AC155">
        <f>IF(AND(gamma!AB32=1, VLOOKUP($A155,'40Trips'!$A$43:$I$46, 3,FALSE)=VLOOKUP(AC$1,'40Trips'!$A$3:$I$42,3,FALSE)),1,0)</f>
        <v>0</v>
      </c>
      <c r="AD155">
        <f>IF(AND(gamma!AC32=1, VLOOKUP($A155,'40Trips'!$A$43:$I$46, 3,FALSE)=VLOOKUP(AD$1,'40Trips'!$A$3:$I$42,3,FALSE)),1,0)</f>
        <v>1</v>
      </c>
      <c r="AE155">
        <f>IF(AND(gamma!AD32=1, VLOOKUP($A155,'40Trips'!$A$43:$I$46, 3,FALSE)=VLOOKUP(AE$1,'40Trips'!$A$3:$I$42,3,FALSE)),1,0)</f>
        <v>1</v>
      </c>
      <c r="AF155">
        <f>IF(AND(gamma!AE32=1, VLOOKUP($A155,'40Trips'!$A$43:$I$46, 3,FALSE)=VLOOKUP(AF$1,'40Trips'!$A$3:$I$42,3,FALSE)),1,0)</f>
        <v>0</v>
      </c>
      <c r="AG155">
        <f>IF(AND(gamma!AF32=1, VLOOKUP($A155,'40Trips'!$A$43:$I$46, 3,FALSE)=VLOOKUP(AG$1,'40Trips'!$A$3:$I$42,3,FALSE)),1,0)</f>
        <v>0</v>
      </c>
      <c r="AH155">
        <f>IF(AND(gamma!AG32=1, VLOOKUP($A155,'40Trips'!$A$43:$I$46, 3,FALSE)=VLOOKUP(AH$1,'40Trips'!$A$3:$I$42,3,FALSE)),1,0)</f>
        <v>0</v>
      </c>
      <c r="AI155">
        <f>IF(AND(gamma!AH32=1, VLOOKUP($A155,'40Trips'!$A$43:$I$46, 3,FALSE)=VLOOKUP(AI$1,'40Trips'!$A$3:$I$42,3,FALSE)),1,0)</f>
        <v>1</v>
      </c>
      <c r="AJ155">
        <f>IF(AND(gamma!AI32=1, VLOOKUP($A155,'40Trips'!$A$43:$I$46, 3,FALSE)=VLOOKUP(AJ$1,'40Trips'!$A$3:$I$42,3,FALSE)),1,0)</f>
        <v>0</v>
      </c>
      <c r="AK155">
        <f>IF(AND(gamma!AJ32=1, VLOOKUP($A155,'40Trips'!$A$43:$I$46, 3,FALSE)=VLOOKUP(AK$1,'40Trips'!$A$3:$I$42,3,FALSE)),1,0)</f>
        <v>0</v>
      </c>
      <c r="AL155">
        <f>IF(AND(gamma!AK32=1, VLOOKUP($A155,'40Trips'!$A$43:$I$46, 3,FALSE)=VLOOKUP(AL$1,'40Trips'!$A$3:$I$42,3,FALSE)),1,0)</f>
        <v>0</v>
      </c>
      <c r="AM155">
        <f>IF(AND(gamma!AL32=1, VLOOKUP($A155,'40Trips'!$A$43:$I$46, 3,FALSE)=VLOOKUP(AM$1,'40Trips'!$A$3:$I$42,3,FALSE)),1,0)</f>
        <v>0</v>
      </c>
      <c r="AN155">
        <f>IF(AND(gamma!AM32=1, VLOOKUP($A155,'40Trips'!$A$43:$I$46, 3,FALSE)=VLOOKUP(AN$1,'40Trips'!$A$3:$I$42,3,FALSE)),1,0)</f>
        <v>0</v>
      </c>
      <c r="AO155">
        <f>IF(AND(gamma!AN32=1, VLOOKUP($A155,'40Trips'!$A$43:$I$46, 3,FALSE)=VLOOKUP(AO$1,'40Trips'!$A$3:$I$42,3,FALSE)),1,0)</f>
        <v>0</v>
      </c>
      <c r="AP155">
        <f>IF(AND(gamma!AO32=1, VLOOKUP($A155,'40Trips'!$A$43:$I$46, 3,FALSE)=VLOOKUP(AP$1,'40Trips'!$A$3:$I$42,3,FALSE)),1,0)</f>
        <v>0</v>
      </c>
      <c r="AQ155">
        <f>IF(AND(gamma!AP32=1, VLOOKUP($A155,'40Trips'!$A$43:$I$46, 3,FALSE)=VLOOKUP(AQ$1,'40Trips'!$A$3:$I$42,3,FALSE)),1,0)</f>
        <v>0</v>
      </c>
    </row>
    <row r="156" spans="1:43" x14ac:dyDescent="0.25">
      <c r="A156" t="s">
        <v>68</v>
      </c>
      <c r="B156" t="s">
        <v>84</v>
      </c>
      <c r="C156">
        <v>0</v>
      </c>
      <c r="D156">
        <f>IF(AND(gamma!C33=1, VLOOKUP($A156,'40Trips'!$A$43:$I$46, 3,FALSE)=VLOOKUP(D$1,'40Trips'!$A$3:$I$42,3,FALSE)),1,0)</f>
        <v>0</v>
      </c>
      <c r="E156">
        <f>IF(AND(gamma!D33=1, VLOOKUP($A156,'40Trips'!$A$43:$I$46, 3,FALSE)=VLOOKUP(E$1,'40Trips'!$A$3:$I$42,3,FALSE)),1,0)</f>
        <v>0</v>
      </c>
      <c r="F156">
        <f>IF(AND(gamma!E33=1, VLOOKUP($A156,'40Trips'!$A$43:$I$46, 3,FALSE)=VLOOKUP(F$1,'40Trips'!$A$3:$I$42,3,FALSE)),1,0)</f>
        <v>0</v>
      </c>
      <c r="G156">
        <f>IF(AND(gamma!F33=1, VLOOKUP($A156,'40Trips'!$A$43:$I$46, 3,FALSE)=VLOOKUP(G$1,'40Trips'!$A$3:$I$42,3,FALSE)),1,0)</f>
        <v>0</v>
      </c>
      <c r="H156">
        <f>IF(AND(gamma!G33=1, VLOOKUP($A156,'40Trips'!$A$43:$I$46, 3,FALSE)=VLOOKUP(H$1,'40Trips'!$A$3:$I$42,3,FALSE)),1,0)</f>
        <v>0</v>
      </c>
      <c r="I156">
        <f>IF(AND(gamma!H33=1, VLOOKUP($A156,'40Trips'!$A$43:$I$46, 3,FALSE)=VLOOKUP(I$1,'40Trips'!$A$3:$I$42,3,FALSE)),1,0)</f>
        <v>0</v>
      </c>
      <c r="J156">
        <f>IF(AND(gamma!I33=1, VLOOKUP($A156,'40Trips'!$A$43:$I$46, 3,FALSE)=VLOOKUP(J$1,'40Trips'!$A$3:$I$42,3,FALSE)),1,0)</f>
        <v>0</v>
      </c>
      <c r="K156">
        <f>IF(AND(gamma!J33=1, VLOOKUP($A156,'40Trips'!$A$43:$I$46, 3,FALSE)=VLOOKUP(K$1,'40Trips'!$A$3:$I$42,3,FALSE)),1,0)</f>
        <v>0</v>
      </c>
      <c r="L156">
        <f>IF(AND(gamma!K33=1, VLOOKUP($A156,'40Trips'!$A$43:$I$46, 3,FALSE)=VLOOKUP(L$1,'40Trips'!$A$3:$I$42,3,FALSE)),1,0)</f>
        <v>0</v>
      </c>
      <c r="M156">
        <f>IF(AND(gamma!L33=1, VLOOKUP($A156,'40Trips'!$A$43:$I$46, 3,FALSE)=VLOOKUP(M$1,'40Trips'!$A$3:$I$42,3,FALSE)),1,0)</f>
        <v>0</v>
      </c>
      <c r="N156">
        <f>IF(AND(gamma!M33=1, VLOOKUP($A156,'40Trips'!$A$43:$I$46, 3,FALSE)=VLOOKUP(N$1,'40Trips'!$A$3:$I$42,3,FALSE)),1,0)</f>
        <v>0</v>
      </c>
      <c r="O156">
        <f>IF(AND(gamma!N33=1, VLOOKUP($A156,'40Trips'!$A$43:$I$46, 3,FALSE)=VLOOKUP(O$1,'40Trips'!$A$3:$I$42,3,FALSE)),1,0)</f>
        <v>0</v>
      </c>
      <c r="P156">
        <f>IF(AND(gamma!O33=1, VLOOKUP($A156,'40Trips'!$A$43:$I$46, 3,FALSE)=VLOOKUP(P$1,'40Trips'!$A$3:$I$42,3,FALSE)),1,0)</f>
        <v>0</v>
      </c>
      <c r="Q156">
        <f>IF(AND(gamma!P33=1, VLOOKUP($A156,'40Trips'!$A$43:$I$46, 3,FALSE)=VLOOKUP(Q$1,'40Trips'!$A$3:$I$42,3,FALSE)),1,0)</f>
        <v>0</v>
      </c>
      <c r="R156">
        <f>IF(AND(gamma!Q33=1, VLOOKUP($A156,'40Trips'!$A$43:$I$46, 3,FALSE)=VLOOKUP(R$1,'40Trips'!$A$3:$I$42,3,FALSE)),1,0)</f>
        <v>0</v>
      </c>
      <c r="S156">
        <f>IF(AND(gamma!R33=1, VLOOKUP($A156,'40Trips'!$A$43:$I$46, 3,FALSE)=VLOOKUP(S$1,'40Trips'!$A$3:$I$42,3,FALSE)),1,0)</f>
        <v>0</v>
      </c>
      <c r="T156">
        <f>IF(AND(gamma!S33=1, VLOOKUP($A156,'40Trips'!$A$43:$I$46, 3,FALSE)=VLOOKUP(T$1,'40Trips'!$A$3:$I$42,3,FALSE)),1,0)</f>
        <v>0</v>
      </c>
      <c r="U156">
        <f>IF(AND(gamma!T33=1, VLOOKUP($A156,'40Trips'!$A$43:$I$46, 3,FALSE)=VLOOKUP(U$1,'40Trips'!$A$3:$I$42,3,FALSE)),1,0)</f>
        <v>0</v>
      </c>
      <c r="V156">
        <f>IF(AND(gamma!U33=1, VLOOKUP($A156,'40Trips'!$A$43:$I$46, 3,FALSE)=VLOOKUP(V$1,'40Trips'!$A$3:$I$42,3,FALSE)),1,0)</f>
        <v>0</v>
      </c>
      <c r="W156">
        <f>IF(AND(gamma!V33=1, VLOOKUP($A156,'40Trips'!$A$43:$I$46, 3,FALSE)=VLOOKUP(W$1,'40Trips'!$A$3:$I$42,3,FALSE)),1,0)</f>
        <v>0</v>
      </c>
      <c r="X156">
        <f>IF(AND(gamma!W33=1, VLOOKUP($A156,'40Trips'!$A$43:$I$46, 3,FALSE)=VLOOKUP(X$1,'40Trips'!$A$3:$I$42,3,FALSE)),1,0)</f>
        <v>0</v>
      </c>
      <c r="Y156">
        <f>IF(AND(gamma!X33=1, VLOOKUP($A156,'40Trips'!$A$43:$I$46, 3,FALSE)=VLOOKUP(Y$1,'40Trips'!$A$3:$I$42,3,FALSE)),1,0)</f>
        <v>0</v>
      </c>
      <c r="Z156">
        <f>IF(AND(gamma!Y33=1, VLOOKUP($A156,'40Trips'!$A$43:$I$46, 3,FALSE)=VLOOKUP(Z$1,'40Trips'!$A$3:$I$42,3,FALSE)),1,0)</f>
        <v>1</v>
      </c>
      <c r="AA156">
        <f>IF(AND(gamma!Z33=1, VLOOKUP($A156,'40Trips'!$A$43:$I$46, 3,FALSE)=VLOOKUP(AA$1,'40Trips'!$A$3:$I$42,3,FALSE)),1,0)</f>
        <v>1</v>
      </c>
      <c r="AB156">
        <f>IF(AND(gamma!AA33=1, VLOOKUP($A156,'40Trips'!$A$43:$I$46, 3,FALSE)=VLOOKUP(AB$1,'40Trips'!$A$3:$I$42,3,FALSE)),1,0)</f>
        <v>0</v>
      </c>
      <c r="AC156">
        <f>IF(AND(gamma!AB33=1, VLOOKUP($A156,'40Trips'!$A$43:$I$46, 3,FALSE)=VLOOKUP(AC$1,'40Trips'!$A$3:$I$42,3,FALSE)),1,0)</f>
        <v>0</v>
      </c>
      <c r="AD156">
        <f>IF(AND(gamma!AC33=1, VLOOKUP($A156,'40Trips'!$A$43:$I$46, 3,FALSE)=VLOOKUP(AD$1,'40Trips'!$A$3:$I$42,3,FALSE)),1,0)</f>
        <v>1</v>
      </c>
      <c r="AE156">
        <f>IF(AND(gamma!AD33=1, VLOOKUP($A156,'40Trips'!$A$43:$I$46, 3,FALSE)=VLOOKUP(AE$1,'40Trips'!$A$3:$I$42,3,FALSE)),1,0)</f>
        <v>1</v>
      </c>
      <c r="AF156">
        <f>IF(AND(gamma!AE33=1, VLOOKUP($A156,'40Trips'!$A$43:$I$46, 3,FALSE)=VLOOKUP(AF$1,'40Trips'!$A$3:$I$42,3,FALSE)),1,0)</f>
        <v>0</v>
      </c>
      <c r="AG156">
        <f>IF(AND(gamma!AF33=1, VLOOKUP($A156,'40Trips'!$A$43:$I$46, 3,FALSE)=VLOOKUP(AG$1,'40Trips'!$A$3:$I$42,3,FALSE)),1,0)</f>
        <v>0</v>
      </c>
      <c r="AH156">
        <f>IF(AND(gamma!AG33=1, VLOOKUP($A156,'40Trips'!$A$43:$I$46, 3,FALSE)=VLOOKUP(AH$1,'40Trips'!$A$3:$I$42,3,FALSE)),1,0)</f>
        <v>0</v>
      </c>
      <c r="AI156">
        <f>IF(AND(gamma!AH33=1, VLOOKUP($A156,'40Trips'!$A$43:$I$46, 3,FALSE)=VLOOKUP(AI$1,'40Trips'!$A$3:$I$42,3,FALSE)),1,0)</f>
        <v>1</v>
      </c>
      <c r="AJ156">
        <f>IF(AND(gamma!AI33=1, VLOOKUP($A156,'40Trips'!$A$43:$I$46, 3,FALSE)=VLOOKUP(AJ$1,'40Trips'!$A$3:$I$42,3,FALSE)),1,0)</f>
        <v>0</v>
      </c>
      <c r="AK156">
        <f>IF(AND(gamma!AJ33=1, VLOOKUP($A156,'40Trips'!$A$43:$I$46, 3,FALSE)=VLOOKUP(AK$1,'40Trips'!$A$3:$I$42,3,FALSE)),1,0)</f>
        <v>0</v>
      </c>
      <c r="AL156">
        <f>IF(AND(gamma!AK33=1, VLOOKUP($A156,'40Trips'!$A$43:$I$46, 3,FALSE)=VLOOKUP(AL$1,'40Trips'!$A$3:$I$42,3,FALSE)),1,0)</f>
        <v>0</v>
      </c>
      <c r="AM156">
        <f>IF(AND(gamma!AL33=1, VLOOKUP($A156,'40Trips'!$A$43:$I$46, 3,FALSE)=VLOOKUP(AM$1,'40Trips'!$A$3:$I$42,3,FALSE)),1,0)</f>
        <v>0</v>
      </c>
      <c r="AN156">
        <f>IF(AND(gamma!AM33=1, VLOOKUP($A156,'40Trips'!$A$43:$I$46, 3,FALSE)=VLOOKUP(AN$1,'40Trips'!$A$3:$I$42,3,FALSE)),1,0)</f>
        <v>0</v>
      </c>
      <c r="AO156">
        <f>IF(AND(gamma!AN33=1, VLOOKUP($A156,'40Trips'!$A$43:$I$46, 3,FALSE)=VLOOKUP(AO$1,'40Trips'!$A$3:$I$42,3,FALSE)),1,0)</f>
        <v>0</v>
      </c>
      <c r="AP156">
        <f>IF(AND(gamma!AO33=1, VLOOKUP($A156,'40Trips'!$A$43:$I$46, 3,FALSE)=VLOOKUP(AP$1,'40Trips'!$A$3:$I$42,3,FALSE)),1,0)</f>
        <v>0</v>
      </c>
      <c r="AQ156">
        <f>IF(AND(gamma!AP33=1, VLOOKUP($A156,'40Trips'!$A$43:$I$46, 3,FALSE)=VLOOKUP(AQ$1,'40Trips'!$A$3:$I$42,3,FALSE)),1,0)</f>
        <v>0</v>
      </c>
    </row>
    <row r="157" spans="1:43" x14ac:dyDescent="0.25">
      <c r="A157" t="s">
        <v>68</v>
      </c>
      <c r="B157" t="s">
        <v>85</v>
      </c>
      <c r="C157">
        <v>0</v>
      </c>
      <c r="D157">
        <f>IF(AND(gamma!C34=1, VLOOKUP($A157,'40Trips'!$A$43:$I$46, 3,FALSE)=VLOOKUP(D$1,'40Trips'!$A$3:$I$42,3,FALSE)),1,0)</f>
        <v>0</v>
      </c>
      <c r="E157">
        <f>IF(AND(gamma!D34=1, VLOOKUP($A157,'40Trips'!$A$43:$I$46, 3,FALSE)=VLOOKUP(E$1,'40Trips'!$A$3:$I$42,3,FALSE)),1,0)</f>
        <v>0</v>
      </c>
      <c r="F157">
        <f>IF(AND(gamma!E34=1, VLOOKUP($A157,'40Trips'!$A$43:$I$46, 3,FALSE)=VLOOKUP(F$1,'40Trips'!$A$3:$I$42,3,FALSE)),1,0)</f>
        <v>0</v>
      </c>
      <c r="G157">
        <f>IF(AND(gamma!F34=1, VLOOKUP($A157,'40Trips'!$A$43:$I$46, 3,FALSE)=VLOOKUP(G$1,'40Trips'!$A$3:$I$42,3,FALSE)),1,0)</f>
        <v>0</v>
      </c>
      <c r="H157">
        <f>IF(AND(gamma!G34=1, VLOOKUP($A157,'40Trips'!$A$43:$I$46, 3,FALSE)=VLOOKUP(H$1,'40Trips'!$A$3:$I$42,3,FALSE)),1,0)</f>
        <v>0</v>
      </c>
      <c r="I157">
        <f>IF(AND(gamma!H34=1, VLOOKUP($A157,'40Trips'!$A$43:$I$46, 3,FALSE)=VLOOKUP(I$1,'40Trips'!$A$3:$I$42,3,FALSE)),1,0)</f>
        <v>0</v>
      </c>
      <c r="J157">
        <f>IF(AND(gamma!I34=1, VLOOKUP($A157,'40Trips'!$A$43:$I$46, 3,FALSE)=VLOOKUP(J$1,'40Trips'!$A$3:$I$42,3,FALSE)),1,0)</f>
        <v>0</v>
      </c>
      <c r="K157">
        <f>IF(AND(gamma!J34=1, VLOOKUP($A157,'40Trips'!$A$43:$I$46, 3,FALSE)=VLOOKUP(K$1,'40Trips'!$A$3:$I$42,3,FALSE)),1,0)</f>
        <v>0</v>
      </c>
      <c r="L157">
        <f>IF(AND(gamma!K34=1, VLOOKUP($A157,'40Trips'!$A$43:$I$46, 3,FALSE)=VLOOKUP(L$1,'40Trips'!$A$3:$I$42,3,FALSE)),1,0)</f>
        <v>0</v>
      </c>
      <c r="M157">
        <f>IF(AND(gamma!L34=1, VLOOKUP($A157,'40Trips'!$A$43:$I$46, 3,FALSE)=VLOOKUP(M$1,'40Trips'!$A$3:$I$42,3,FALSE)),1,0)</f>
        <v>0</v>
      </c>
      <c r="N157">
        <f>IF(AND(gamma!M34=1, VLOOKUP($A157,'40Trips'!$A$43:$I$46, 3,FALSE)=VLOOKUP(N$1,'40Trips'!$A$3:$I$42,3,FALSE)),1,0)</f>
        <v>0</v>
      </c>
      <c r="O157">
        <f>IF(AND(gamma!N34=1, VLOOKUP($A157,'40Trips'!$A$43:$I$46, 3,FALSE)=VLOOKUP(O$1,'40Trips'!$A$3:$I$42,3,FALSE)),1,0)</f>
        <v>0</v>
      </c>
      <c r="P157">
        <f>IF(AND(gamma!O34=1, VLOOKUP($A157,'40Trips'!$A$43:$I$46, 3,FALSE)=VLOOKUP(P$1,'40Trips'!$A$3:$I$42,3,FALSE)),1,0)</f>
        <v>0</v>
      </c>
      <c r="Q157">
        <f>IF(AND(gamma!P34=1, VLOOKUP($A157,'40Trips'!$A$43:$I$46, 3,FALSE)=VLOOKUP(Q$1,'40Trips'!$A$3:$I$42,3,FALSE)),1,0)</f>
        <v>0</v>
      </c>
      <c r="R157">
        <f>IF(AND(gamma!Q34=1, VLOOKUP($A157,'40Trips'!$A$43:$I$46, 3,FALSE)=VLOOKUP(R$1,'40Trips'!$A$3:$I$42,3,FALSE)),1,0)</f>
        <v>0</v>
      </c>
      <c r="S157">
        <f>IF(AND(gamma!R34=1, VLOOKUP($A157,'40Trips'!$A$43:$I$46, 3,FALSE)=VLOOKUP(S$1,'40Trips'!$A$3:$I$42,3,FALSE)),1,0)</f>
        <v>0</v>
      </c>
      <c r="T157">
        <f>IF(AND(gamma!S34=1, VLOOKUP($A157,'40Trips'!$A$43:$I$46, 3,FALSE)=VLOOKUP(T$1,'40Trips'!$A$3:$I$42,3,FALSE)),1,0)</f>
        <v>0</v>
      </c>
      <c r="U157">
        <f>IF(AND(gamma!T34=1, VLOOKUP($A157,'40Trips'!$A$43:$I$46, 3,FALSE)=VLOOKUP(U$1,'40Trips'!$A$3:$I$42,3,FALSE)),1,0)</f>
        <v>0</v>
      </c>
      <c r="V157">
        <f>IF(AND(gamma!U34=1, VLOOKUP($A157,'40Trips'!$A$43:$I$46, 3,FALSE)=VLOOKUP(V$1,'40Trips'!$A$3:$I$42,3,FALSE)),1,0)</f>
        <v>0</v>
      </c>
      <c r="W157">
        <f>IF(AND(gamma!V34=1, VLOOKUP($A157,'40Trips'!$A$43:$I$46, 3,FALSE)=VLOOKUP(W$1,'40Trips'!$A$3:$I$42,3,FALSE)),1,0)</f>
        <v>0</v>
      </c>
      <c r="X157">
        <f>IF(AND(gamma!W34=1, VLOOKUP($A157,'40Trips'!$A$43:$I$46, 3,FALSE)=VLOOKUP(X$1,'40Trips'!$A$3:$I$42,3,FALSE)),1,0)</f>
        <v>0</v>
      </c>
      <c r="Y157">
        <f>IF(AND(gamma!X34=1, VLOOKUP($A157,'40Trips'!$A$43:$I$46, 3,FALSE)=VLOOKUP(Y$1,'40Trips'!$A$3:$I$42,3,FALSE)),1,0)</f>
        <v>0</v>
      </c>
      <c r="Z157">
        <f>IF(AND(gamma!Y34=1, VLOOKUP($A157,'40Trips'!$A$43:$I$46, 3,FALSE)=VLOOKUP(Z$1,'40Trips'!$A$3:$I$42,3,FALSE)),1,0)</f>
        <v>0</v>
      </c>
      <c r="AA157">
        <f>IF(AND(gamma!Z34=1, VLOOKUP($A157,'40Trips'!$A$43:$I$46, 3,FALSE)=VLOOKUP(AA$1,'40Trips'!$A$3:$I$42,3,FALSE)),1,0)</f>
        <v>1</v>
      </c>
      <c r="AB157">
        <f>IF(AND(gamma!AA34=1, VLOOKUP($A157,'40Trips'!$A$43:$I$46, 3,FALSE)=VLOOKUP(AB$1,'40Trips'!$A$3:$I$42,3,FALSE)),1,0)</f>
        <v>0</v>
      </c>
      <c r="AC157">
        <f>IF(AND(gamma!AB34=1, VLOOKUP($A157,'40Trips'!$A$43:$I$46, 3,FALSE)=VLOOKUP(AC$1,'40Trips'!$A$3:$I$42,3,FALSE)),1,0)</f>
        <v>0</v>
      </c>
      <c r="AD157">
        <f>IF(AND(gamma!AC34=1, VLOOKUP($A157,'40Trips'!$A$43:$I$46, 3,FALSE)=VLOOKUP(AD$1,'40Trips'!$A$3:$I$42,3,FALSE)),1,0)</f>
        <v>0</v>
      </c>
      <c r="AE157">
        <f>IF(AND(gamma!AD34=1, VLOOKUP($A157,'40Trips'!$A$43:$I$46, 3,FALSE)=VLOOKUP(AE$1,'40Trips'!$A$3:$I$42,3,FALSE)),1,0)</f>
        <v>1</v>
      </c>
      <c r="AF157">
        <f>IF(AND(gamma!AE34=1, VLOOKUP($A157,'40Trips'!$A$43:$I$46, 3,FALSE)=VLOOKUP(AF$1,'40Trips'!$A$3:$I$42,3,FALSE)),1,0)</f>
        <v>0</v>
      </c>
      <c r="AG157">
        <f>IF(AND(gamma!AF34=1, VLOOKUP($A157,'40Trips'!$A$43:$I$46, 3,FALSE)=VLOOKUP(AG$1,'40Trips'!$A$3:$I$42,3,FALSE)),1,0)</f>
        <v>0</v>
      </c>
      <c r="AH157">
        <f>IF(AND(gamma!AG34=1, VLOOKUP($A157,'40Trips'!$A$43:$I$46, 3,FALSE)=VLOOKUP(AH$1,'40Trips'!$A$3:$I$42,3,FALSE)),1,0)</f>
        <v>0</v>
      </c>
      <c r="AI157">
        <f>IF(AND(gamma!AH34=1, VLOOKUP($A157,'40Trips'!$A$43:$I$46, 3,FALSE)=VLOOKUP(AI$1,'40Trips'!$A$3:$I$42,3,FALSE)),1,0)</f>
        <v>0</v>
      </c>
      <c r="AJ157">
        <f>IF(AND(gamma!AI34=1, VLOOKUP($A157,'40Trips'!$A$43:$I$46, 3,FALSE)=VLOOKUP(AJ$1,'40Trips'!$A$3:$I$42,3,FALSE)),1,0)</f>
        <v>0</v>
      </c>
      <c r="AK157">
        <f>IF(AND(gamma!AJ34=1, VLOOKUP($A157,'40Trips'!$A$43:$I$46, 3,FALSE)=VLOOKUP(AK$1,'40Trips'!$A$3:$I$42,3,FALSE)),1,0)</f>
        <v>0</v>
      </c>
      <c r="AL157">
        <f>IF(AND(gamma!AK34=1, VLOOKUP($A157,'40Trips'!$A$43:$I$46, 3,FALSE)=VLOOKUP(AL$1,'40Trips'!$A$3:$I$42,3,FALSE)),1,0)</f>
        <v>0</v>
      </c>
      <c r="AM157">
        <f>IF(AND(gamma!AL34=1, VLOOKUP($A157,'40Trips'!$A$43:$I$46, 3,FALSE)=VLOOKUP(AM$1,'40Trips'!$A$3:$I$42,3,FALSE)),1,0)</f>
        <v>0</v>
      </c>
      <c r="AN157">
        <f>IF(AND(gamma!AM34=1, VLOOKUP($A157,'40Trips'!$A$43:$I$46, 3,FALSE)=VLOOKUP(AN$1,'40Trips'!$A$3:$I$42,3,FALSE)),1,0)</f>
        <v>0</v>
      </c>
      <c r="AO157">
        <f>IF(AND(gamma!AN34=1, VLOOKUP($A157,'40Trips'!$A$43:$I$46, 3,FALSE)=VLOOKUP(AO$1,'40Trips'!$A$3:$I$42,3,FALSE)),1,0)</f>
        <v>0</v>
      </c>
      <c r="AP157">
        <f>IF(AND(gamma!AO34=1, VLOOKUP($A157,'40Trips'!$A$43:$I$46, 3,FALSE)=VLOOKUP(AP$1,'40Trips'!$A$3:$I$42,3,FALSE)),1,0)</f>
        <v>0</v>
      </c>
      <c r="AQ157">
        <f>IF(AND(gamma!AP34=1, VLOOKUP($A157,'40Trips'!$A$43:$I$46, 3,FALSE)=VLOOKUP(AQ$1,'40Trips'!$A$3:$I$42,3,FALSE)),1,0)</f>
        <v>0</v>
      </c>
    </row>
    <row r="158" spans="1:43" x14ac:dyDescent="0.25">
      <c r="A158" t="s">
        <v>68</v>
      </c>
      <c r="B158" t="s">
        <v>40</v>
      </c>
      <c r="C158">
        <v>0</v>
      </c>
      <c r="D158">
        <f>IF(AND(gamma!C35=1, VLOOKUP($A158,'40Trips'!$A$43:$I$46, 3,FALSE)=VLOOKUP(D$1,'40Trips'!$A$3:$I$42,3,FALSE)),1,0)</f>
        <v>0</v>
      </c>
      <c r="E158">
        <f>IF(AND(gamma!D35=1, VLOOKUP($A158,'40Trips'!$A$43:$I$46, 3,FALSE)=VLOOKUP(E$1,'40Trips'!$A$3:$I$42,3,FALSE)),1,0)</f>
        <v>0</v>
      </c>
      <c r="F158">
        <f>IF(AND(gamma!E35=1, VLOOKUP($A158,'40Trips'!$A$43:$I$46, 3,FALSE)=VLOOKUP(F$1,'40Trips'!$A$3:$I$42,3,FALSE)),1,0)</f>
        <v>0</v>
      </c>
      <c r="G158">
        <f>IF(AND(gamma!F35=1, VLOOKUP($A158,'40Trips'!$A$43:$I$46, 3,FALSE)=VLOOKUP(G$1,'40Trips'!$A$3:$I$42,3,FALSE)),1,0)</f>
        <v>0</v>
      </c>
      <c r="H158">
        <f>IF(AND(gamma!G35=1, VLOOKUP($A158,'40Trips'!$A$43:$I$46, 3,FALSE)=VLOOKUP(H$1,'40Trips'!$A$3:$I$42,3,FALSE)),1,0)</f>
        <v>0</v>
      </c>
      <c r="I158">
        <f>IF(AND(gamma!H35=1, VLOOKUP($A158,'40Trips'!$A$43:$I$46, 3,FALSE)=VLOOKUP(I$1,'40Trips'!$A$3:$I$42,3,FALSE)),1,0)</f>
        <v>0</v>
      </c>
      <c r="J158">
        <f>IF(AND(gamma!I35=1, VLOOKUP($A158,'40Trips'!$A$43:$I$46, 3,FALSE)=VLOOKUP(J$1,'40Trips'!$A$3:$I$42,3,FALSE)),1,0)</f>
        <v>0</v>
      </c>
      <c r="K158">
        <f>IF(AND(gamma!J35=1, VLOOKUP($A158,'40Trips'!$A$43:$I$46, 3,FALSE)=VLOOKUP(K$1,'40Trips'!$A$3:$I$42,3,FALSE)),1,0)</f>
        <v>0</v>
      </c>
      <c r="L158">
        <f>IF(AND(gamma!K35=1, VLOOKUP($A158,'40Trips'!$A$43:$I$46, 3,FALSE)=VLOOKUP(L$1,'40Trips'!$A$3:$I$42,3,FALSE)),1,0)</f>
        <v>0</v>
      </c>
      <c r="M158">
        <f>IF(AND(gamma!L35=1, VLOOKUP($A158,'40Trips'!$A$43:$I$46, 3,FALSE)=VLOOKUP(M$1,'40Trips'!$A$3:$I$42,3,FALSE)),1,0)</f>
        <v>0</v>
      </c>
      <c r="N158">
        <f>IF(AND(gamma!M35=1, VLOOKUP($A158,'40Trips'!$A$43:$I$46, 3,FALSE)=VLOOKUP(N$1,'40Trips'!$A$3:$I$42,3,FALSE)),1,0)</f>
        <v>0</v>
      </c>
      <c r="O158">
        <f>IF(AND(gamma!N35=1, VLOOKUP($A158,'40Trips'!$A$43:$I$46, 3,FALSE)=VLOOKUP(O$1,'40Trips'!$A$3:$I$42,3,FALSE)),1,0)</f>
        <v>0</v>
      </c>
      <c r="P158">
        <f>IF(AND(gamma!O35=1, VLOOKUP($A158,'40Trips'!$A$43:$I$46, 3,FALSE)=VLOOKUP(P$1,'40Trips'!$A$3:$I$42,3,FALSE)),1,0)</f>
        <v>0</v>
      </c>
      <c r="Q158">
        <f>IF(AND(gamma!P35=1, VLOOKUP($A158,'40Trips'!$A$43:$I$46, 3,FALSE)=VLOOKUP(Q$1,'40Trips'!$A$3:$I$42,3,FALSE)),1,0)</f>
        <v>0</v>
      </c>
      <c r="R158">
        <f>IF(AND(gamma!Q35=1, VLOOKUP($A158,'40Trips'!$A$43:$I$46, 3,FALSE)=VLOOKUP(R$1,'40Trips'!$A$3:$I$42,3,FALSE)),1,0)</f>
        <v>0</v>
      </c>
      <c r="S158">
        <f>IF(AND(gamma!R35=1, VLOOKUP($A158,'40Trips'!$A$43:$I$46, 3,FALSE)=VLOOKUP(S$1,'40Trips'!$A$3:$I$42,3,FALSE)),1,0)</f>
        <v>0</v>
      </c>
      <c r="T158">
        <f>IF(AND(gamma!S35=1, VLOOKUP($A158,'40Trips'!$A$43:$I$46, 3,FALSE)=VLOOKUP(T$1,'40Trips'!$A$3:$I$42,3,FALSE)),1,0)</f>
        <v>0</v>
      </c>
      <c r="U158">
        <f>IF(AND(gamma!T35=1, VLOOKUP($A158,'40Trips'!$A$43:$I$46, 3,FALSE)=VLOOKUP(U$1,'40Trips'!$A$3:$I$42,3,FALSE)),1,0)</f>
        <v>0</v>
      </c>
      <c r="V158">
        <f>IF(AND(gamma!U35=1, VLOOKUP($A158,'40Trips'!$A$43:$I$46, 3,FALSE)=VLOOKUP(V$1,'40Trips'!$A$3:$I$42,3,FALSE)),1,0)</f>
        <v>0</v>
      </c>
      <c r="W158">
        <f>IF(AND(gamma!V35=1, VLOOKUP($A158,'40Trips'!$A$43:$I$46, 3,FALSE)=VLOOKUP(W$1,'40Trips'!$A$3:$I$42,3,FALSE)),1,0)</f>
        <v>0</v>
      </c>
      <c r="X158">
        <f>IF(AND(gamma!W35=1, VLOOKUP($A158,'40Trips'!$A$43:$I$46, 3,FALSE)=VLOOKUP(X$1,'40Trips'!$A$3:$I$42,3,FALSE)),1,0)</f>
        <v>0</v>
      </c>
      <c r="Y158">
        <f>IF(AND(gamma!X35=1, VLOOKUP($A158,'40Trips'!$A$43:$I$46, 3,FALSE)=VLOOKUP(Y$1,'40Trips'!$A$3:$I$42,3,FALSE)),1,0)</f>
        <v>0</v>
      </c>
      <c r="Z158">
        <f>IF(AND(gamma!Y35=1, VLOOKUP($A158,'40Trips'!$A$43:$I$46, 3,FALSE)=VLOOKUP(Z$1,'40Trips'!$A$3:$I$42,3,FALSE)),1,0)</f>
        <v>0</v>
      </c>
      <c r="AA158">
        <f>IF(AND(gamma!Z35=1, VLOOKUP($A158,'40Trips'!$A$43:$I$46, 3,FALSE)=VLOOKUP(AA$1,'40Trips'!$A$3:$I$42,3,FALSE)),1,0)</f>
        <v>1</v>
      </c>
      <c r="AB158">
        <f>IF(AND(gamma!AA35=1, VLOOKUP($A158,'40Trips'!$A$43:$I$46, 3,FALSE)=VLOOKUP(AB$1,'40Trips'!$A$3:$I$42,3,FALSE)),1,0)</f>
        <v>0</v>
      </c>
      <c r="AC158">
        <f>IF(AND(gamma!AB35=1, VLOOKUP($A158,'40Trips'!$A$43:$I$46, 3,FALSE)=VLOOKUP(AC$1,'40Trips'!$A$3:$I$42,3,FALSE)),1,0)</f>
        <v>0</v>
      </c>
      <c r="AD158">
        <f>IF(AND(gamma!AC35=1, VLOOKUP($A158,'40Trips'!$A$43:$I$46, 3,FALSE)=VLOOKUP(AD$1,'40Trips'!$A$3:$I$42,3,FALSE)),1,0)</f>
        <v>1</v>
      </c>
      <c r="AE158">
        <f>IF(AND(gamma!AD35=1, VLOOKUP($A158,'40Trips'!$A$43:$I$46, 3,FALSE)=VLOOKUP(AE$1,'40Trips'!$A$3:$I$42,3,FALSE)),1,0)</f>
        <v>1</v>
      </c>
      <c r="AF158">
        <f>IF(AND(gamma!AE35=1, VLOOKUP($A158,'40Trips'!$A$43:$I$46, 3,FALSE)=VLOOKUP(AF$1,'40Trips'!$A$3:$I$42,3,FALSE)),1,0)</f>
        <v>0</v>
      </c>
      <c r="AG158">
        <f>IF(AND(gamma!AF35=1, VLOOKUP($A158,'40Trips'!$A$43:$I$46, 3,FALSE)=VLOOKUP(AG$1,'40Trips'!$A$3:$I$42,3,FALSE)),1,0)</f>
        <v>0</v>
      </c>
      <c r="AH158">
        <f>IF(AND(gamma!AG35=1, VLOOKUP($A158,'40Trips'!$A$43:$I$46, 3,FALSE)=VLOOKUP(AH$1,'40Trips'!$A$3:$I$42,3,FALSE)),1,0)</f>
        <v>0</v>
      </c>
      <c r="AI158">
        <f>IF(AND(gamma!AH35=1, VLOOKUP($A158,'40Trips'!$A$43:$I$46, 3,FALSE)=VLOOKUP(AI$1,'40Trips'!$A$3:$I$42,3,FALSE)),1,0)</f>
        <v>0</v>
      </c>
      <c r="AJ158">
        <f>IF(AND(gamma!AI35=1, VLOOKUP($A158,'40Trips'!$A$43:$I$46, 3,FALSE)=VLOOKUP(AJ$1,'40Trips'!$A$3:$I$42,3,FALSE)),1,0)</f>
        <v>0</v>
      </c>
      <c r="AK158">
        <f>IF(AND(gamma!AJ35=1, VLOOKUP($A158,'40Trips'!$A$43:$I$46, 3,FALSE)=VLOOKUP(AK$1,'40Trips'!$A$3:$I$42,3,FALSE)),1,0)</f>
        <v>0</v>
      </c>
      <c r="AL158">
        <f>IF(AND(gamma!AK35=1, VLOOKUP($A158,'40Trips'!$A$43:$I$46, 3,FALSE)=VLOOKUP(AL$1,'40Trips'!$A$3:$I$42,3,FALSE)),1,0)</f>
        <v>0</v>
      </c>
      <c r="AM158">
        <f>IF(AND(gamma!AL35=1, VLOOKUP($A158,'40Trips'!$A$43:$I$46, 3,FALSE)=VLOOKUP(AM$1,'40Trips'!$A$3:$I$42,3,FALSE)),1,0)</f>
        <v>0</v>
      </c>
      <c r="AN158">
        <f>IF(AND(gamma!AM35=1, VLOOKUP($A158,'40Trips'!$A$43:$I$46, 3,FALSE)=VLOOKUP(AN$1,'40Trips'!$A$3:$I$42,3,FALSE)),1,0)</f>
        <v>0</v>
      </c>
      <c r="AO158">
        <f>IF(AND(gamma!AN35=1, VLOOKUP($A158,'40Trips'!$A$43:$I$46, 3,FALSE)=VLOOKUP(AO$1,'40Trips'!$A$3:$I$42,3,FALSE)),1,0)</f>
        <v>0</v>
      </c>
      <c r="AP158">
        <f>IF(AND(gamma!AO35=1, VLOOKUP($A158,'40Trips'!$A$43:$I$46, 3,FALSE)=VLOOKUP(AP$1,'40Trips'!$A$3:$I$42,3,FALSE)),1,0)</f>
        <v>0</v>
      </c>
      <c r="AQ158">
        <f>IF(AND(gamma!AP35=1, VLOOKUP($A158,'40Trips'!$A$43:$I$46, 3,FALSE)=VLOOKUP(AQ$1,'40Trips'!$A$3:$I$42,3,FALSE)),1,0)</f>
        <v>0</v>
      </c>
    </row>
    <row r="159" spans="1:43" x14ac:dyDescent="0.25">
      <c r="A159" t="s">
        <v>68</v>
      </c>
      <c r="B159" t="s">
        <v>86</v>
      </c>
      <c r="C159">
        <v>0</v>
      </c>
      <c r="D159">
        <f>IF(AND(gamma!C36=1, VLOOKUP($A159,'40Trips'!$A$43:$I$46, 3,FALSE)=VLOOKUP(D$1,'40Trips'!$A$3:$I$42,3,FALSE)),1,0)</f>
        <v>0</v>
      </c>
      <c r="E159">
        <f>IF(AND(gamma!D36=1, VLOOKUP($A159,'40Trips'!$A$43:$I$46, 3,FALSE)=VLOOKUP(E$1,'40Trips'!$A$3:$I$42,3,FALSE)),1,0)</f>
        <v>0</v>
      </c>
      <c r="F159">
        <f>IF(AND(gamma!E36=1, VLOOKUP($A159,'40Trips'!$A$43:$I$46, 3,FALSE)=VLOOKUP(F$1,'40Trips'!$A$3:$I$42,3,FALSE)),1,0)</f>
        <v>0</v>
      </c>
      <c r="G159">
        <f>IF(AND(gamma!F36=1, VLOOKUP($A159,'40Trips'!$A$43:$I$46, 3,FALSE)=VLOOKUP(G$1,'40Trips'!$A$3:$I$42,3,FALSE)),1,0)</f>
        <v>0</v>
      </c>
      <c r="H159">
        <f>IF(AND(gamma!G36=1, VLOOKUP($A159,'40Trips'!$A$43:$I$46, 3,FALSE)=VLOOKUP(H$1,'40Trips'!$A$3:$I$42,3,FALSE)),1,0)</f>
        <v>0</v>
      </c>
      <c r="I159">
        <f>IF(AND(gamma!H36=1, VLOOKUP($A159,'40Trips'!$A$43:$I$46, 3,FALSE)=VLOOKUP(I$1,'40Trips'!$A$3:$I$42,3,FALSE)),1,0)</f>
        <v>0</v>
      </c>
      <c r="J159">
        <f>IF(AND(gamma!I36=1, VLOOKUP($A159,'40Trips'!$A$43:$I$46, 3,FALSE)=VLOOKUP(J$1,'40Trips'!$A$3:$I$42,3,FALSE)),1,0)</f>
        <v>0</v>
      </c>
      <c r="K159">
        <f>IF(AND(gamma!J36=1, VLOOKUP($A159,'40Trips'!$A$43:$I$46, 3,FALSE)=VLOOKUP(K$1,'40Trips'!$A$3:$I$42,3,FALSE)),1,0)</f>
        <v>0</v>
      </c>
      <c r="L159">
        <f>IF(AND(gamma!K36=1, VLOOKUP($A159,'40Trips'!$A$43:$I$46, 3,FALSE)=VLOOKUP(L$1,'40Trips'!$A$3:$I$42,3,FALSE)),1,0)</f>
        <v>0</v>
      </c>
      <c r="M159">
        <f>IF(AND(gamma!L36=1, VLOOKUP($A159,'40Trips'!$A$43:$I$46, 3,FALSE)=VLOOKUP(M$1,'40Trips'!$A$3:$I$42,3,FALSE)),1,0)</f>
        <v>0</v>
      </c>
      <c r="N159">
        <f>IF(AND(gamma!M36=1, VLOOKUP($A159,'40Trips'!$A$43:$I$46, 3,FALSE)=VLOOKUP(N$1,'40Trips'!$A$3:$I$42,3,FALSE)),1,0)</f>
        <v>0</v>
      </c>
      <c r="O159">
        <f>IF(AND(gamma!N36=1, VLOOKUP($A159,'40Trips'!$A$43:$I$46, 3,FALSE)=VLOOKUP(O$1,'40Trips'!$A$3:$I$42,3,FALSE)),1,0)</f>
        <v>0</v>
      </c>
      <c r="P159">
        <f>IF(AND(gamma!O36=1, VLOOKUP($A159,'40Trips'!$A$43:$I$46, 3,FALSE)=VLOOKUP(P$1,'40Trips'!$A$3:$I$42,3,FALSE)),1,0)</f>
        <v>0</v>
      </c>
      <c r="Q159">
        <f>IF(AND(gamma!P36=1, VLOOKUP($A159,'40Trips'!$A$43:$I$46, 3,FALSE)=VLOOKUP(Q$1,'40Trips'!$A$3:$I$42,3,FALSE)),1,0)</f>
        <v>0</v>
      </c>
      <c r="R159">
        <f>IF(AND(gamma!Q36=1, VLOOKUP($A159,'40Trips'!$A$43:$I$46, 3,FALSE)=VLOOKUP(R$1,'40Trips'!$A$3:$I$42,3,FALSE)),1,0)</f>
        <v>0</v>
      </c>
      <c r="S159">
        <f>IF(AND(gamma!R36=1, VLOOKUP($A159,'40Trips'!$A$43:$I$46, 3,FALSE)=VLOOKUP(S$1,'40Trips'!$A$3:$I$42,3,FALSE)),1,0)</f>
        <v>0</v>
      </c>
      <c r="T159">
        <f>IF(AND(gamma!S36=1, VLOOKUP($A159,'40Trips'!$A$43:$I$46, 3,FALSE)=VLOOKUP(T$1,'40Trips'!$A$3:$I$42,3,FALSE)),1,0)</f>
        <v>0</v>
      </c>
      <c r="U159">
        <f>IF(AND(gamma!T36=1, VLOOKUP($A159,'40Trips'!$A$43:$I$46, 3,FALSE)=VLOOKUP(U$1,'40Trips'!$A$3:$I$42,3,FALSE)),1,0)</f>
        <v>0</v>
      </c>
      <c r="V159">
        <f>IF(AND(gamma!U36=1, VLOOKUP($A159,'40Trips'!$A$43:$I$46, 3,FALSE)=VLOOKUP(V$1,'40Trips'!$A$3:$I$42,3,FALSE)),1,0)</f>
        <v>0</v>
      </c>
      <c r="W159">
        <f>IF(AND(gamma!V36=1, VLOOKUP($A159,'40Trips'!$A$43:$I$46, 3,FALSE)=VLOOKUP(W$1,'40Trips'!$A$3:$I$42,3,FALSE)),1,0)</f>
        <v>0</v>
      </c>
      <c r="X159">
        <f>IF(AND(gamma!W36=1, VLOOKUP($A159,'40Trips'!$A$43:$I$46, 3,FALSE)=VLOOKUP(X$1,'40Trips'!$A$3:$I$42,3,FALSE)),1,0)</f>
        <v>0</v>
      </c>
      <c r="Y159">
        <f>IF(AND(gamma!X36=1, VLOOKUP($A159,'40Trips'!$A$43:$I$46, 3,FALSE)=VLOOKUP(Y$1,'40Trips'!$A$3:$I$42,3,FALSE)),1,0)</f>
        <v>0</v>
      </c>
      <c r="Z159">
        <f>IF(AND(gamma!Y36=1, VLOOKUP($A159,'40Trips'!$A$43:$I$46, 3,FALSE)=VLOOKUP(Z$1,'40Trips'!$A$3:$I$42,3,FALSE)),1,0)</f>
        <v>0</v>
      </c>
      <c r="AA159">
        <f>IF(AND(gamma!Z36=1, VLOOKUP($A159,'40Trips'!$A$43:$I$46, 3,FALSE)=VLOOKUP(AA$1,'40Trips'!$A$3:$I$42,3,FALSE)),1,0)</f>
        <v>1</v>
      </c>
      <c r="AB159">
        <f>IF(AND(gamma!AA36=1, VLOOKUP($A159,'40Trips'!$A$43:$I$46, 3,FALSE)=VLOOKUP(AB$1,'40Trips'!$A$3:$I$42,3,FALSE)),1,0)</f>
        <v>0</v>
      </c>
      <c r="AC159">
        <f>IF(AND(gamma!AB36=1, VLOOKUP($A159,'40Trips'!$A$43:$I$46, 3,FALSE)=VLOOKUP(AC$1,'40Trips'!$A$3:$I$42,3,FALSE)),1,0)</f>
        <v>0</v>
      </c>
      <c r="AD159">
        <f>IF(AND(gamma!AC36=1, VLOOKUP($A159,'40Trips'!$A$43:$I$46, 3,FALSE)=VLOOKUP(AD$1,'40Trips'!$A$3:$I$42,3,FALSE)),1,0)</f>
        <v>1</v>
      </c>
      <c r="AE159">
        <f>IF(AND(gamma!AD36=1, VLOOKUP($A159,'40Trips'!$A$43:$I$46, 3,FALSE)=VLOOKUP(AE$1,'40Trips'!$A$3:$I$42,3,FALSE)),1,0)</f>
        <v>1</v>
      </c>
      <c r="AF159">
        <f>IF(AND(gamma!AE36=1, VLOOKUP($A159,'40Trips'!$A$43:$I$46, 3,FALSE)=VLOOKUP(AF$1,'40Trips'!$A$3:$I$42,3,FALSE)),1,0)</f>
        <v>0</v>
      </c>
      <c r="AG159">
        <f>IF(AND(gamma!AF36=1, VLOOKUP($A159,'40Trips'!$A$43:$I$46, 3,FALSE)=VLOOKUP(AG$1,'40Trips'!$A$3:$I$42,3,FALSE)),1,0)</f>
        <v>0</v>
      </c>
      <c r="AH159">
        <f>IF(AND(gamma!AG36=1, VLOOKUP($A159,'40Trips'!$A$43:$I$46, 3,FALSE)=VLOOKUP(AH$1,'40Trips'!$A$3:$I$42,3,FALSE)),1,0)</f>
        <v>0</v>
      </c>
      <c r="AI159">
        <f>IF(AND(gamma!AH36=1, VLOOKUP($A159,'40Trips'!$A$43:$I$46, 3,FALSE)=VLOOKUP(AI$1,'40Trips'!$A$3:$I$42,3,FALSE)),1,0)</f>
        <v>0</v>
      </c>
      <c r="AJ159">
        <f>IF(AND(gamma!AI36=1, VLOOKUP($A159,'40Trips'!$A$43:$I$46, 3,FALSE)=VLOOKUP(AJ$1,'40Trips'!$A$3:$I$42,3,FALSE)),1,0)</f>
        <v>0</v>
      </c>
      <c r="AK159">
        <f>IF(AND(gamma!AJ36=1, VLOOKUP($A159,'40Trips'!$A$43:$I$46, 3,FALSE)=VLOOKUP(AK$1,'40Trips'!$A$3:$I$42,3,FALSE)),1,0)</f>
        <v>0</v>
      </c>
      <c r="AL159">
        <f>IF(AND(gamma!AK36=1, VLOOKUP($A159,'40Trips'!$A$43:$I$46, 3,FALSE)=VLOOKUP(AL$1,'40Trips'!$A$3:$I$42,3,FALSE)),1,0)</f>
        <v>0</v>
      </c>
      <c r="AM159">
        <f>IF(AND(gamma!AL36=1, VLOOKUP($A159,'40Trips'!$A$43:$I$46, 3,FALSE)=VLOOKUP(AM$1,'40Trips'!$A$3:$I$42,3,FALSE)),1,0)</f>
        <v>0</v>
      </c>
      <c r="AN159">
        <f>IF(AND(gamma!AM36=1, VLOOKUP($A159,'40Trips'!$A$43:$I$46, 3,FALSE)=VLOOKUP(AN$1,'40Trips'!$A$3:$I$42,3,FALSE)),1,0)</f>
        <v>0</v>
      </c>
      <c r="AO159">
        <f>IF(AND(gamma!AN36=1, VLOOKUP($A159,'40Trips'!$A$43:$I$46, 3,FALSE)=VLOOKUP(AO$1,'40Trips'!$A$3:$I$42,3,FALSE)),1,0)</f>
        <v>0</v>
      </c>
      <c r="AP159">
        <f>IF(AND(gamma!AO36=1, VLOOKUP($A159,'40Trips'!$A$43:$I$46, 3,FALSE)=VLOOKUP(AP$1,'40Trips'!$A$3:$I$42,3,FALSE)),1,0)</f>
        <v>0</v>
      </c>
      <c r="AQ159">
        <f>IF(AND(gamma!AP36=1, VLOOKUP($A159,'40Trips'!$A$43:$I$46, 3,FALSE)=VLOOKUP(AQ$1,'40Trips'!$A$3:$I$42,3,FALSE)),1,0)</f>
        <v>0</v>
      </c>
    </row>
    <row r="160" spans="1:43" x14ac:dyDescent="0.25">
      <c r="A160" t="s">
        <v>68</v>
      </c>
      <c r="B160" t="s">
        <v>87</v>
      </c>
      <c r="C160">
        <v>0</v>
      </c>
      <c r="D160">
        <f>IF(AND(gamma!C37=1, VLOOKUP($A160,'40Trips'!$A$43:$I$46, 3,FALSE)=VLOOKUP(D$1,'40Trips'!$A$3:$I$42,3,FALSE)),1,0)</f>
        <v>0</v>
      </c>
      <c r="E160">
        <f>IF(AND(gamma!D37=1, VLOOKUP($A160,'40Trips'!$A$43:$I$46, 3,FALSE)=VLOOKUP(E$1,'40Trips'!$A$3:$I$42,3,FALSE)),1,0)</f>
        <v>0</v>
      </c>
      <c r="F160">
        <f>IF(AND(gamma!E37=1, VLOOKUP($A160,'40Trips'!$A$43:$I$46, 3,FALSE)=VLOOKUP(F$1,'40Trips'!$A$3:$I$42,3,FALSE)),1,0)</f>
        <v>0</v>
      </c>
      <c r="G160">
        <f>IF(AND(gamma!F37=1, VLOOKUP($A160,'40Trips'!$A$43:$I$46, 3,FALSE)=VLOOKUP(G$1,'40Trips'!$A$3:$I$42,3,FALSE)),1,0)</f>
        <v>0</v>
      </c>
      <c r="H160">
        <f>IF(AND(gamma!G37=1, VLOOKUP($A160,'40Trips'!$A$43:$I$46, 3,FALSE)=VLOOKUP(H$1,'40Trips'!$A$3:$I$42,3,FALSE)),1,0)</f>
        <v>0</v>
      </c>
      <c r="I160">
        <f>IF(AND(gamma!H37=1, VLOOKUP($A160,'40Trips'!$A$43:$I$46, 3,FALSE)=VLOOKUP(I$1,'40Trips'!$A$3:$I$42,3,FALSE)),1,0)</f>
        <v>0</v>
      </c>
      <c r="J160">
        <f>IF(AND(gamma!I37=1, VLOOKUP($A160,'40Trips'!$A$43:$I$46, 3,FALSE)=VLOOKUP(J$1,'40Trips'!$A$3:$I$42,3,FALSE)),1,0)</f>
        <v>0</v>
      </c>
      <c r="K160">
        <f>IF(AND(gamma!J37=1, VLOOKUP($A160,'40Trips'!$A$43:$I$46, 3,FALSE)=VLOOKUP(K$1,'40Trips'!$A$3:$I$42,3,FALSE)),1,0)</f>
        <v>0</v>
      </c>
      <c r="L160">
        <f>IF(AND(gamma!K37=1, VLOOKUP($A160,'40Trips'!$A$43:$I$46, 3,FALSE)=VLOOKUP(L$1,'40Trips'!$A$3:$I$42,3,FALSE)),1,0)</f>
        <v>0</v>
      </c>
      <c r="M160">
        <f>IF(AND(gamma!L37=1, VLOOKUP($A160,'40Trips'!$A$43:$I$46, 3,FALSE)=VLOOKUP(M$1,'40Trips'!$A$3:$I$42,3,FALSE)),1,0)</f>
        <v>0</v>
      </c>
      <c r="N160">
        <f>IF(AND(gamma!M37=1, VLOOKUP($A160,'40Trips'!$A$43:$I$46, 3,FALSE)=VLOOKUP(N$1,'40Trips'!$A$3:$I$42,3,FALSE)),1,0)</f>
        <v>0</v>
      </c>
      <c r="O160">
        <f>IF(AND(gamma!N37=1, VLOOKUP($A160,'40Trips'!$A$43:$I$46, 3,FALSE)=VLOOKUP(O$1,'40Trips'!$A$3:$I$42,3,FALSE)),1,0)</f>
        <v>0</v>
      </c>
      <c r="P160">
        <f>IF(AND(gamma!O37=1, VLOOKUP($A160,'40Trips'!$A$43:$I$46, 3,FALSE)=VLOOKUP(P$1,'40Trips'!$A$3:$I$42,3,FALSE)),1,0)</f>
        <v>0</v>
      </c>
      <c r="Q160">
        <f>IF(AND(gamma!P37=1, VLOOKUP($A160,'40Trips'!$A$43:$I$46, 3,FALSE)=VLOOKUP(Q$1,'40Trips'!$A$3:$I$42,3,FALSE)),1,0)</f>
        <v>0</v>
      </c>
      <c r="R160">
        <f>IF(AND(gamma!Q37=1, VLOOKUP($A160,'40Trips'!$A$43:$I$46, 3,FALSE)=VLOOKUP(R$1,'40Trips'!$A$3:$I$42,3,FALSE)),1,0)</f>
        <v>0</v>
      </c>
      <c r="S160">
        <f>IF(AND(gamma!R37=1, VLOOKUP($A160,'40Trips'!$A$43:$I$46, 3,FALSE)=VLOOKUP(S$1,'40Trips'!$A$3:$I$42,3,FALSE)),1,0)</f>
        <v>0</v>
      </c>
      <c r="T160">
        <f>IF(AND(gamma!S37=1, VLOOKUP($A160,'40Trips'!$A$43:$I$46, 3,FALSE)=VLOOKUP(T$1,'40Trips'!$A$3:$I$42,3,FALSE)),1,0)</f>
        <v>0</v>
      </c>
      <c r="U160">
        <f>IF(AND(gamma!T37=1, VLOOKUP($A160,'40Trips'!$A$43:$I$46, 3,FALSE)=VLOOKUP(U$1,'40Trips'!$A$3:$I$42,3,FALSE)),1,0)</f>
        <v>0</v>
      </c>
      <c r="V160">
        <f>IF(AND(gamma!U37=1, VLOOKUP($A160,'40Trips'!$A$43:$I$46, 3,FALSE)=VLOOKUP(V$1,'40Trips'!$A$3:$I$42,3,FALSE)),1,0)</f>
        <v>0</v>
      </c>
      <c r="W160">
        <f>IF(AND(gamma!V37=1, VLOOKUP($A160,'40Trips'!$A$43:$I$46, 3,FALSE)=VLOOKUP(W$1,'40Trips'!$A$3:$I$42,3,FALSE)),1,0)</f>
        <v>0</v>
      </c>
      <c r="X160">
        <f>IF(AND(gamma!W37=1, VLOOKUP($A160,'40Trips'!$A$43:$I$46, 3,FALSE)=VLOOKUP(X$1,'40Trips'!$A$3:$I$42,3,FALSE)),1,0)</f>
        <v>0</v>
      </c>
      <c r="Y160">
        <f>IF(AND(gamma!X37=1, VLOOKUP($A160,'40Trips'!$A$43:$I$46, 3,FALSE)=VLOOKUP(Y$1,'40Trips'!$A$3:$I$42,3,FALSE)),1,0)</f>
        <v>0</v>
      </c>
      <c r="Z160">
        <f>IF(AND(gamma!Y37=1, VLOOKUP($A160,'40Trips'!$A$43:$I$46, 3,FALSE)=VLOOKUP(Z$1,'40Trips'!$A$3:$I$42,3,FALSE)),1,0)</f>
        <v>0</v>
      </c>
      <c r="AA160">
        <f>IF(AND(gamma!Z37=1, VLOOKUP($A160,'40Trips'!$A$43:$I$46, 3,FALSE)=VLOOKUP(AA$1,'40Trips'!$A$3:$I$42,3,FALSE)),1,0)</f>
        <v>0</v>
      </c>
      <c r="AB160">
        <f>IF(AND(gamma!AA37=1, VLOOKUP($A160,'40Trips'!$A$43:$I$46, 3,FALSE)=VLOOKUP(AB$1,'40Trips'!$A$3:$I$42,3,FALSE)),1,0)</f>
        <v>0</v>
      </c>
      <c r="AC160">
        <f>IF(AND(gamma!AB37=1, VLOOKUP($A160,'40Trips'!$A$43:$I$46, 3,FALSE)=VLOOKUP(AC$1,'40Trips'!$A$3:$I$42,3,FALSE)),1,0)</f>
        <v>0</v>
      </c>
      <c r="AD160">
        <f>IF(AND(gamma!AC37=1, VLOOKUP($A160,'40Trips'!$A$43:$I$46, 3,FALSE)=VLOOKUP(AD$1,'40Trips'!$A$3:$I$42,3,FALSE)),1,0)</f>
        <v>0</v>
      </c>
      <c r="AE160">
        <f>IF(AND(gamma!AD37=1, VLOOKUP($A160,'40Trips'!$A$43:$I$46, 3,FALSE)=VLOOKUP(AE$1,'40Trips'!$A$3:$I$42,3,FALSE)),1,0)</f>
        <v>0</v>
      </c>
      <c r="AF160">
        <f>IF(AND(gamma!AE37=1, VLOOKUP($A160,'40Trips'!$A$43:$I$46, 3,FALSE)=VLOOKUP(AF$1,'40Trips'!$A$3:$I$42,3,FALSE)),1,0)</f>
        <v>0</v>
      </c>
      <c r="AG160">
        <f>IF(AND(gamma!AF37=1, VLOOKUP($A160,'40Trips'!$A$43:$I$46, 3,FALSE)=VLOOKUP(AG$1,'40Trips'!$A$3:$I$42,3,FALSE)),1,0)</f>
        <v>0</v>
      </c>
      <c r="AH160">
        <f>IF(AND(gamma!AG37=1, VLOOKUP($A160,'40Trips'!$A$43:$I$46, 3,FALSE)=VLOOKUP(AH$1,'40Trips'!$A$3:$I$42,3,FALSE)),1,0)</f>
        <v>0</v>
      </c>
      <c r="AI160">
        <f>IF(AND(gamma!AH37=1, VLOOKUP($A160,'40Trips'!$A$43:$I$46, 3,FALSE)=VLOOKUP(AI$1,'40Trips'!$A$3:$I$42,3,FALSE)),1,0)</f>
        <v>0</v>
      </c>
      <c r="AJ160">
        <f>IF(AND(gamma!AI37=1, VLOOKUP($A160,'40Trips'!$A$43:$I$46, 3,FALSE)=VLOOKUP(AJ$1,'40Trips'!$A$3:$I$42,3,FALSE)),1,0)</f>
        <v>0</v>
      </c>
      <c r="AK160">
        <f>IF(AND(gamma!AJ37=1, VLOOKUP($A160,'40Trips'!$A$43:$I$46, 3,FALSE)=VLOOKUP(AK$1,'40Trips'!$A$3:$I$42,3,FALSE)),1,0)</f>
        <v>0</v>
      </c>
      <c r="AL160">
        <f>IF(AND(gamma!AK37=1, VLOOKUP($A160,'40Trips'!$A$43:$I$46, 3,FALSE)=VLOOKUP(AL$1,'40Trips'!$A$3:$I$42,3,FALSE)),1,0)</f>
        <v>0</v>
      </c>
      <c r="AM160">
        <f>IF(AND(gamma!AL37=1, VLOOKUP($A160,'40Trips'!$A$43:$I$46, 3,FALSE)=VLOOKUP(AM$1,'40Trips'!$A$3:$I$42,3,FALSE)),1,0)</f>
        <v>0</v>
      </c>
      <c r="AN160">
        <f>IF(AND(gamma!AM37=1, VLOOKUP($A160,'40Trips'!$A$43:$I$46, 3,FALSE)=VLOOKUP(AN$1,'40Trips'!$A$3:$I$42,3,FALSE)),1,0)</f>
        <v>0</v>
      </c>
      <c r="AO160">
        <f>IF(AND(gamma!AN37=1, VLOOKUP($A160,'40Trips'!$A$43:$I$46, 3,FALSE)=VLOOKUP(AO$1,'40Trips'!$A$3:$I$42,3,FALSE)),1,0)</f>
        <v>0</v>
      </c>
      <c r="AP160">
        <f>IF(AND(gamma!AO37=1, VLOOKUP($A160,'40Trips'!$A$43:$I$46, 3,FALSE)=VLOOKUP(AP$1,'40Trips'!$A$3:$I$42,3,FALSE)),1,0)</f>
        <v>0</v>
      </c>
      <c r="AQ160">
        <f>IF(AND(gamma!AP37=1, VLOOKUP($A160,'40Trips'!$A$43:$I$46, 3,FALSE)=VLOOKUP(AQ$1,'40Trips'!$A$3:$I$42,3,FALSE)),1,0)</f>
        <v>0</v>
      </c>
    </row>
    <row r="161" spans="1:43" x14ac:dyDescent="0.25">
      <c r="A161" t="s">
        <v>68</v>
      </c>
      <c r="B161" t="s">
        <v>88</v>
      </c>
      <c r="C161">
        <v>0</v>
      </c>
      <c r="D161">
        <f>IF(AND(gamma!C38=1, VLOOKUP($A161,'40Trips'!$A$43:$I$46, 3,FALSE)=VLOOKUP(D$1,'40Trips'!$A$3:$I$42,3,FALSE)),1,0)</f>
        <v>0</v>
      </c>
      <c r="E161">
        <f>IF(AND(gamma!D38=1, VLOOKUP($A161,'40Trips'!$A$43:$I$46, 3,FALSE)=VLOOKUP(E$1,'40Trips'!$A$3:$I$42,3,FALSE)),1,0)</f>
        <v>0</v>
      </c>
      <c r="F161">
        <f>IF(AND(gamma!E38=1, VLOOKUP($A161,'40Trips'!$A$43:$I$46, 3,FALSE)=VLOOKUP(F$1,'40Trips'!$A$3:$I$42,3,FALSE)),1,0)</f>
        <v>0</v>
      </c>
      <c r="G161">
        <f>IF(AND(gamma!F38=1, VLOOKUP($A161,'40Trips'!$A$43:$I$46, 3,FALSE)=VLOOKUP(G$1,'40Trips'!$A$3:$I$42,3,FALSE)),1,0)</f>
        <v>0</v>
      </c>
      <c r="H161">
        <f>IF(AND(gamma!G38=1, VLOOKUP($A161,'40Trips'!$A$43:$I$46, 3,FALSE)=VLOOKUP(H$1,'40Trips'!$A$3:$I$42,3,FALSE)),1,0)</f>
        <v>0</v>
      </c>
      <c r="I161">
        <f>IF(AND(gamma!H38=1, VLOOKUP($A161,'40Trips'!$A$43:$I$46, 3,FALSE)=VLOOKUP(I$1,'40Trips'!$A$3:$I$42,3,FALSE)),1,0)</f>
        <v>0</v>
      </c>
      <c r="J161">
        <f>IF(AND(gamma!I38=1, VLOOKUP($A161,'40Trips'!$A$43:$I$46, 3,FALSE)=VLOOKUP(J$1,'40Trips'!$A$3:$I$42,3,FALSE)),1,0)</f>
        <v>0</v>
      </c>
      <c r="K161">
        <f>IF(AND(gamma!J38=1, VLOOKUP($A161,'40Trips'!$A$43:$I$46, 3,FALSE)=VLOOKUP(K$1,'40Trips'!$A$3:$I$42,3,FALSE)),1,0)</f>
        <v>0</v>
      </c>
      <c r="L161">
        <f>IF(AND(gamma!K38=1, VLOOKUP($A161,'40Trips'!$A$43:$I$46, 3,FALSE)=VLOOKUP(L$1,'40Trips'!$A$3:$I$42,3,FALSE)),1,0)</f>
        <v>0</v>
      </c>
      <c r="M161">
        <f>IF(AND(gamma!L38=1, VLOOKUP($A161,'40Trips'!$A$43:$I$46, 3,FALSE)=VLOOKUP(M$1,'40Trips'!$A$3:$I$42,3,FALSE)),1,0)</f>
        <v>0</v>
      </c>
      <c r="N161">
        <f>IF(AND(gamma!M38=1, VLOOKUP($A161,'40Trips'!$A$43:$I$46, 3,FALSE)=VLOOKUP(N$1,'40Trips'!$A$3:$I$42,3,FALSE)),1,0)</f>
        <v>0</v>
      </c>
      <c r="O161">
        <f>IF(AND(gamma!N38=1, VLOOKUP($A161,'40Trips'!$A$43:$I$46, 3,FALSE)=VLOOKUP(O$1,'40Trips'!$A$3:$I$42,3,FALSE)),1,0)</f>
        <v>0</v>
      </c>
      <c r="P161">
        <f>IF(AND(gamma!O38=1, VLOOKUP($A161,'40Trips'!$A$43:$I$46, 3,FALSE)=VLOOKUP(P$1,'40Trips'!$A$3:$I$42,3,FALSE)),1,0)</f>
        <v>0</v>
      </c>
      <c r="Q161">
        <f>IF(AND(gamma!P38=1, VLOOKUP($A161,'40Trips'!$A$43:$I$46, 3,FALSE)=VLOOKUP(Q$1,'40Trips'!$A$3:$I$42,3,FALSE)),1,0)</f>
        <v>0</v>
      </c>
      <c r="R161">
        <f>IF(AND(gamma!Q38=1, VLOOKUP($A161,'40Trips'!$A$43:$I$46, 3,FALSE)=VLOOKUP(R$1,'40Trips'!$A$3:$I$42,3,FALSE)),1,0)</f>
        <v>0</v>
      </c>
      <c r="S161">
        <f>IF(AND(gamma!R38=1, VLOOKUP($A161,'40Trips'!$A$43:$I$46, 3,FALSE)=VLOOKUP(S$1,'40Trips'!$A$3:$I$42,3,FALSE)),1,0)</f>
        <v>0</v>
      </c>
      <c r="T161">
        <f>IF(AND(gamma!S38=1, VLOOKUP($A161,'40Trips'!$A$43:$I$46, 3,FALSE)=VLOOKUP(T$1,'40Trips'!$A$3:$I$42,3,FALSE)),1,0)</f>
        <v>0</v>
      </c>
      <c r="U161">
        <f>IF(AND(gamma!T38=1, VLOOKUP($A161,'40Trips'!$A$43:$I$46, 3,FALSE)=VLOOKUP(U$1,'40Trips'!$A$3:$I$42,3,FALSE)),1,0)</f>
        <v>0</v>
      </c>
      <c r="V161">
        <f>IF(AND(gamma!U38=1, VLOOKUP($A161,'40Trips'!$A$43:$I$46, 3,FALSE)=VLOOKUP(V$1,'40Trips'!$A$3:$I$42,3,FALSE)),1,0)</f>
        <v>0</v>
      </c>
      <c r="W161">
        <f>IF(AND(gamma!V38=1, VLOOKUP($A161,'40Trips'!$A$43:$I$46, 3,FALSE)=VLOOKUP(W$1,'40Trips'!$A$3:$I$42,3,FALSE)),1,0)</f>
        <v>0</v>
      </c>
      <c r="X161">
        <f>IF(AND(gamma!W38=1, VLOOKUP($A161,'40Trips'!$A$43:$I$46, 3,FALSE)=VLOOKUP(X$1,'40Trips'!$A$3:$I$42,3,FALSE)),1,0)</f>
        <v>0</v>
      </c>
      <c r="Y161">
        <f>IF(AND(gamma!X38=1, VLOOKUP($A161,'40Trips'!$A$43:$I$46, 3,FALSE)=VLOOKUP(Y$1,'40Trips'!$A$3:$I$42,3,FALSE)),1,0)</f>
        <v>0</v>
      </c>
      <c r="Z161">
        <f>IF(AND(gamma!Y38=1, VLOOKUP($A161,'40Trips'!$A$43:$I$46, 3,FALSE)=VLOOKUP(Z$1,'40Trips'!$A$3:$I$42,3,FALSE)),1,0)</f>
        <v>0</v>
      </c>
      <c r="AA161">
        <f>IF(AND(gamma!Z38=1, VLOOKUP($A161,'40Trips'!$A$43:$I$46, 3,FALSE)=VLOOKUP(AA$1,'40Trips'!$A$3:$I$42,3,FALSE)),1,0)</f>
        <v>0</v>
      </c>
      <c r="AB161">
        <f>IF(AND(gamma!AA38=1, VLOOKUP($A161,'40Trips'!$A$43:$I$46, 3,FALSE)=VLOOKUP(AB$1,'40Trips'!$A$3:$I$42,3,FALSE)),1,0)</f>
        <v>0</v>
      </c>
      <c r="AC161">
        <f>IF(AND(gamma!AB38=1, VLOOKUP($A161,'40Trips'!$A$43:$I$46, 3,FALSE)=VLOOKUP(AC$1,'40Trips'!$A$3:$I$42,3,FALSE)),1,0)</f>
        <v>0</v>
      </c>
      <c r="AD161">
        <f>IF(AND(gamma!AC38=1, VLOOKUP($A161,'40Trips'!$A$43:$I$46, 3,FALSE)=VLOOKUP(AD$1,'40Trips'!$A$3:$I$42,3,FALSE)),1,0)</f>
        <v>0</v>
      </c>
      <c r="AE161">
        <f>IF(AND(gamma!AD38=1, VLOOKUP($A161,'40Trips'!$A$43:$I$46, 3,FALSE)=VLOOKUP(AE$1,'40Trips'!$A$3:$I$42,3,FALSE)),1,0)</f>
        <v>0</v>
      </c>
      <c r="AF161">
        <f>IF(AND(gamma!AE38=1, VLOOKUP($A161,'40Trips'!$A$43:$I$46, 3,FALSE)=VLOOKUP(AF$1,'40Trips'!$A$3:$I$42,3,FALSE)),1,0)</f>
        <v>0</v>
      </c>
      <c r="AG161">
        <f>IF(AND(gamma!AF38=1, VLOOKUP($A161,'40Trips'!$A$43:$I$46, 3,FALSE)=VLOOKUP(AG$1,'40Trips'!$A$3:$I$42,3,FALSE)),1,0)</f>
        <v>0</v>
      </c>
      <c r="AH161">
        <f>IF(AND(gamma!AG38=1, VLOOKUP($A161,'40Trips'!$A$43:$I$46, 3,FALSE)=VLOOKUP(AH$1,'40Trips'!$A$3:$I$42,3,FALSE)),1,0)</f>
        <v>0</v>
      </c>
      <c r="AI161">
        <f>IF(AND(gamma!AH38=1, VLOOKUP($A161,'40Trips'!$A$43:$I$46, 3,FALSE)=VLOOKUP(AI$1,'40Trips'!$A$3:$I$42,3,FALSE)),1,0)</f>
        <v>0</v>
      </c>
      <c r="AJ161">
        <f>IF(AND(gamma!AI38=1, VLOOKUP($A161,'40Trips'!$A$43:$I$46, 3,FALSE)=VLOOKUP(AJ$1,'40Trips'!$A$3:$I$42,3,FALSE)),1,0)</f>
        <v>0</v>
      </c>
      <c r="AK161">
        <f>IF(AND(gamma!AJ38=1, VLOOKUP($A161,'40Trips'!$A$43:$I$46, 3,FALSE)=VLOOKUP(AK$1,'40Trips'!$A$3:$I$42,3,FALSE)),1,0)</f>
        <v>0</v>
      </c>
      <c r="AL161">
        <f>IF(AND(gamma!AK38=1, VLOOKUP($A161,'40Trips'!$A$43:$I$46, 3,FALSE)=VLOOKUP(AL$1,'40Trips'!$A$3:$I$42,3,FALSE)),1,0)</f>
        <v>0</v>
      </c>
      <c r="AM161">
        <f>IF(AND(gamma!AL38=1, VLOOKUP($A161,'40Trips'!$A$43:$I$46, 3,FALSE)=VLOOKUP(AM$1,'40Trips'!$A$3:$I$42,3,FALSE)),1,0)</f>
        <v>0</v>
      </c>
      <c r="AN161">
        <f>IF(AND(gamma!AM38=1, VLOOKUP($A161,'40Trips'!$A$43:$I$46, 3,FALSE)=VLOOKUP(AN$1,'40Trips'!$A$3:$I$42,3,FALSE)),1,0)</f>
        <v>0</v>
      </c>
      <c r="AO161">
        <f>IF(AND(gamma!AN38=1, VLOOKUP($A161,'40Trips'!$A$43:$I$46, 3,FALSE)=VLOOKUP(AO$1,'40Trips'!$A$3:$I$42,3,FALSE)),1,0)</f>
        <v>0</v>
      </c>
      <c r="AP161">
        <f>IF(AND(gamma!AO38=1, VLOOKUP($A161,'40Trips'!$A$43:$I$46, 3,FALSE)=VLOOKUP(AP$1,'40Trips'!$A$3:$I$42,3,FALSE)),1,0)</f>
        <v>0</v>
      </c>
      <c r="AQ161">
        <f>IF(AND(gamma!AP38=1, VLOOKUP($A161,'40Trips'!$A$43:$I$46, 3,FALSE)=VLOOKUP(AQ$1,'40Trips'!$A$3:$I$42,3,FALSE)),1,0)</f>
        <v>0</v>
      </c>
    </row>
    <row r="162" spans="1:43" x14ac:dyDescent="0.25">
      <c r="A162" t="s">
        <v>68</v>
      </c>
      <c r="B162" t="s">
        <v>41</v>
      </c>
      <c r="C162">
        <v>0</v>
      </c>
      <c r="D162">
        <f>IF(AND(gamma!C39=1, VLOOKUP($A162,'40Trips'!$A$43:$I$46, 3,FALSE)=VLOOKUP(D$1,'40Trips'!$A$3:$I$42,3,FALSE)),1,0)</f>
        <v>0</v>
      </c>
      <c r="E162">
        <f>IF(AND(gamma!D39=1, VLOOKUP($A162,'40Trips'!$A$43:$I$46, 3,FALSE)=VLOOKUP(E$1,'40Trips'!$A$3:$I$42,3,FALSE)),1,0)</f>
        <v>0</v>
      </c>
      <c r="F162">
        <f>IF(AND(gamma!E39=1, VLOOKUP($A162,'40Trips'!$A$43:$I$46, 3,FALSE)=VLOOKUP(F$1,'40Trips'!$A$3:$I$42,3,FALSE)),1,0)</f>
        <v>0</v>
      </c>
      <c r="G162">
        <f>IF(AND(gamma!F39=1, VLOOKUP($A162,'40Trips'!$A$43:$I$46, 3,FALSE)=VLOOKUP(G$1,'40Trips'!$A$3:$I$42,3,FALSE)),1,0)</f>
        <v>0</v>
      </c>
      <c r="H162">
        <f>IF(AND(gamma!G39=1, VLOOKUP($A162,'40Trips'!$A$43:$I$46, 3,FALSE)=VLOOKUP(H$1,'40Trips'!$A$3:$I$42,3,FALSE)),1,0)</f>
        <v>0</v>
      </c>
      <c r="I162">
        <f>IF(AND(gamma!H39=1, VLOOKUP($A162,'40Trips'!$A$43:$I$46, 3,FALSE)=VLOOKUP(I$1,'40Trips'!$A$3:$I$42,3,FALSE)),1,0)</f>
        <v>0</v>
      </c>
      <c r="J162">
        <f>IF(AND(gamma!I39=1, VLOOKUP($A162,'40Trips'!$A$43:$I$46, 3,FALSE)=VLOOKUP(J$1,'40Trips'!$A$3:$I$42,3,FALSE)),1,0)</f>
        <v>0</v>
      </c>
      <c r="K162">
        <f>IF(AND(gamma!J39=1, VLOOKUP($A162,'40Trips'!$A$43:$I$46, 3,FALSE)=VLOOKUP(K$1,'40Trips'!$A$3:$I$42,3,FALSE)),1,0)</f>
        <v>0</v>
      </c>
      <c r="L162">
        <f>IF(AND(gamma!K39=1, VLOOKUP($A162,'40Trips'!$A$43:$I$46, 3,FALSE)=VLOOKUP(L$1,'40Trips'!$A$3:$I$42,3,FALSE)),1,0)</f>
        <v>0</v>
      </c>
      <c r="M162">
        <f>IF(AND(gamma!L39=1, VLOOKUP($A162,'40Trips'!$A$43:$I$46, 3,FALSE)=VLOOKUP(M$1,'40Trips'!$A$3:$I$42,3,FALSE)),1,0)</f>
        <v>0</v>
      </c>
      <c r="N162">
        <f>IF(AND(gamma!M39=1, VLOOKUP($A162,'40Trips'!$A$43:$I$46, 3,FALSE)=VLOOKUP(N$1,'40Trips'!$A$3:$I$42,3,FALSE)),1,0)</f>
        <v>0</v>
      </c>
      <c r="O162">
        <f>IF(AND(gamma!N39=1, VLOOKUP($A162,'40Trips'!$A$43:$I$46, 3,FALSE)=VLOOKUP(O$1,'40Trips'!$A$3:$I$42,3,FALSE)),1,0)</f>
        <v>0</v>
      </c>
      <c r="P162">
        <f>IF(AND(gamma!O39=1, VLOOKUP($A162,'40Trips'!$A$43:$I$46, 3,FALSE)=VLOOKUP(P$1,'40Trips'!$A$3:$I$42,3,FALSE)),1,0)</f>
        <v>0</v>
      </c>
      <c r="Q162">
        <f>IF(AND(gamma!P39=1, VLOOKUP($A162,'40Trips'!$A$43:$I$46, 3,FALSE)=VLOOKUP(Q$1,'40Trips'!$A$3:$I$42,3,FALSE)),1,0)</f>
        <v>0</v>
      </c>
      <c r="R162">
        <f>IF(AND(gamma!Q39=1, VLOOKUP($A162,'40Trips'!$A$43:$I$46, 3,FALSE)=VLOOKUP(R$1,'40Trips'!$A$3:$I$42,3,FALSE)),1,0)</f>
        <v>0</v>
      </c>
      <c r="S162">
        <f>IF(AND(gamma!R39=1, VLOOKUP($A162,'40Trips'!$A$43:$I$46, 3,FALSE)=VLOOKUP(S$1,'40Trips'!$A$3:$I$42,3,FALSE)),1,0)</f>
        <v>0</v>
      </c>
      <c r="T162">
        <f>IF(AND(gamma!S39=1, VLOOKUP($A162,'40Trips'!$A$43:$I$46, 3,FALSE)=VLOOKUP(T$1,'40Trips'!$A$3:$I$42,3,FALSE)),1,0)</f>
        <v>0</v>
      </c>
      <c r="U162">
        <f>IF(AND(gamma!T39=1, VLOOKUP($A162,'40Trips'!$A$43:$I$46, 3,FALSE)=VLOOKUP(U$1,'40Trips'!$A$3:$I$42,3,FALSE)),1,0)</f>
        <v>0</v>
      </c>
      <c r="V162">
        <f>IF(AND(gamma!U39=1, VLOOKUP($A162,'40Trips'!$A$43:$I$46, 3,FALSE)=VLOOKUP(V$1,'40Trips'!$A$3:$I$42,3,FALSE)),1,0)</f>
        <v>0</v>
      </c>
      <c r="W162">
        <f>IF(AND(gamma!V39=1, VLOOKUP($A162,'40Trips'!$A$43:$I$46, 3,FALSE)=VLOOKUP(W$1,'40Trips'!$A$3:$I$42,3,FALSE)),1,0)</f>
        <v>0</v>
      </c>
      <c r="X162">
        <f>IF(AND(gamma!W39=1, VLOOKUP($A162,'40Trips'!$A$43:$I$46, 3,FALSE)=VLOOKUP(X$1,'40Trips'!$A$3:$I$42,3,FALSE)),1,0)</f>
        <v>0</v>
      </c>
      <c r="Y162">
        <f>IF(AND(gamma!X39=1, VLOOKUP($A162,'40Trips'!$A$43:$I$46, 3,FALSE)=VLOOKUP(Y$1,'40Trips'!$A$3:$I$42,3,FALSE)),1,0)</f>
        <v>0</v>
      </c>
      <c r="Z162">
        <f>IF(AND(gamma!Y39=1, VLOOKUP($A162,'40Trips'!$A$43:$I$46, 3,FALSE)=VLOOKUP(Z$1,'40Trips'!$A$3:$I$42,3,FALSE)),1,0)</f>
        <v>1</v>
      </c>
      <c r="AA162">
        <f>IF(AND(gamma!Z39=1, VLOOKUP($A162,'40Trips'!$A$43:$I$46, 3,FALSE)=VLOOKUP(AA$1,'40Trips'!$A$3:$I$42,3,FALSE)),1,0)</f>
        <v>1</v>
      </c>
      <c r="AB162">
        <f>IF(AND(gamma!AA39=1, VLOOKUP($A162,'40Trips'!$A$43:$I$46, 3,FALSE)=VLOOKUP(AB$1,'40Trips'!$A$3:$I$42,3,FALSE)),1,0)</f>
        <v>0</v>
      </c>
      <c r="AC162">
        <f>IF(AND(gamma!AB39=1, VLOOKUP($A162,'40Trips'!$A$43:$I$46, 3,FALSE)=VLOOKUP(AC$1,'40Trips'!$A$3:$I$42,3,FALSE)),1,0)</f>
        <v>0</v>
      </c>
      <c r="AD162">
        <f>IF(AND(gamma!AC39=1, VLOOKUP($A162,'40Trips'!$A$43:$I$46, 3,FALSE)=VLOOKUP(AD$1,'40Trips'!$A$3:$I$42,3,FALSE)),1,0)</f>
        <v>1</v>
      </c>
      <c r="AE162">
        <f>IF(AND(gamma!AD39=1, VLOOKUP($A162,'40Trips'!$A$43:$I$46, 3,FALSE)=VLOOKUP(AE$1,'40Trips'!$A$3:$I$42,3,FALSE)),1,0)</f>
        <v>1</v>
      </c>
      <c r="AF162">
        <f>IF(AND(gamma!AE39=1, VLOOKUP($A162,'40Trips'!$A$43:$I$46, 3,FALSE)=VLOOKUP(AF$1,'40Trips'!$A$3:$I$42,3,FALSE)),1,0)</f>
        <v>0</v>
      </c>
      <c r="AG162">
        <f>IF(AND(gamma!AF39=1, VLOOKUP($A162,'40Trips'!$A$43:$I$46, 3,FALSE)=VLOOKUP(AG$1,'40Trips'!$A$3:$I$42,3,FALSE)),1,0)</f>
        <v>0</v>
      </c>
      <c r="AH162">
        <f>IF(AND(gamma!AG39=1, VLOOKUP($A162,'40Trips'!$A$43:$I$46, 3,FALSE)=VLOOKUP(AH$1,'40Trips'!$A$3:$I$42,3,FALSE)),1,0)</f>
        <v>0</v>
      </c>
      <c r="AI162">
        <f>IF(AND(gamma!AH39=1, VLOOKUP($A162,'40Trips'!$A$43:$I$46, 3,FALSE)=VLOOKUP(AI$1,'40Trips'!$A$3:$I$42,3,FALSE)),1,0)</f>
        <v>1</v>
      </c>
      <c r="AJ162">
        <f>IF(AND(gamma!AI39=1, VLOOKUP($A162,'40Trips'!$A$43:$I$46, 3,FALSE)=VLOOKUP(AJ$1,'40Trips'!$A$3:$I$42,3,FALSE)),1,0)</f>
        <v>0</v>
      </c>
      <c r="AK162">
        <f>IF(AND(gamma!AJ39=1, VLOOKUP($A162,'40Trips'!$A$43:$I$46, 3,FALSE)=VLOOKUP(AK$1,'40Trips'!$A$3:$I$42,3,FALSE)),1,0)</f>
        <v>0</v>
      </c>
      <c r="AL162">
        <f>IF(AND(gamma!AK39=1, VLOOKUP($A162,'40Trips'!$A$43:$I$46, 3,FALSE)=VLOOKUP(AL$1,'40Trips'!$A$3:$I$42,3,FALSE)),1,0)</f>
        <v>0</v>
      </c>
      <c r="AM162">
        <f>IF(AND(gamma!AL39=1, VLOOKUP($A162,'40Trips'!$A$43:$I$46, 3,FALSE)=VLOOKUP(AM$1,'40Trips'!$A$3:$I$42,3,FALSE)),1,0)</f>
        <v>0</v>
      </c>
      <c r="AN162">
        <f>IF(AND(gamma!AM39=1, VLOOKUP($A162,'40Trips'!$A$43:$I$46, 3,FALSE)=VLOOKUP(AN$1,'40Trips'!$A$3:$I$42,3,FALSE)),1,0)</f>
        <v>0</v>
      </c>
      <c r="AO162">
        <f>IF(AND(gamma!AN39=1, VLOOKUP($A162,'40Trips'!$A$43:$I$46, 3,FALSE)=VLOOKUP(AO$1,'40Trips'!$A$3:$I$42,3,FALSE)),1,0)</f>
        <v>0</v>
      </c>
      <c r="AP162">
        <f>IF(AND(gamma!AO39=1, VLOOKUP($A162,'40Trips'!$A$43:$I$46, 3,FALSE)=VLOOKUP(AP$1,'40Trips'!$A$3:$I$42,3,FALSE)),1,0)</f>
        <v>0</v>
      </c>
      <c r="AQ162">
        <f>IF(AND(gamma!AP39=1, VLOOKUP($A162,'40Trips'!$A$43:$I$46, 3,FALSE)=VLOOKUP(AQ$1,'40Trips'!$A$3:$I$42,3,FALSE)),1,0)</f>
        <v>0</v>
      </c>
    </row>
    <row r="163" spans="1:43" x14ac:dyDescent="0.25">
      <c r="A163" t="s">
        <v>68</v>
      </c>
      <c r="B163" t="s">
        <v>89</v>
      </c>
      <c r="C163">
        <v>0</v>
      </c>
      <c r="D163">
        <f>IF(AND(gamma!C40=1, VLOOKUP($A163,'40Trips'!$A$43:$I$46, 3,FALSE)=VLOOKUP(D$1,'40Trips'!$A$3:$I$42,3,FALSE)),1,0)</f>
        <v>0</v>
      </c>
      <c r="E163">
        <f>IF(AND(gamma!D40=1, VLOOKUP($A163,'40Trips'!$A$43:$I$46, 3,FALSE)=VLOOKUP(E$1,'40Trips'!$A$3:$I$42,3,FALSE)),1,0)</f>
        <v>0</v>
      </c>
      <c r="F163">
        <f>IF(AND(gamma!E40=1, VLOOKUP($A163,'40Trips'!$A$43:$I$46, 3,FALSE)=VLOOKUP(F$1,'40Trips'!$A$3:$I$42,3,FALSE)),1,0)</f>
        <v>0</v>
      </c>
      <c r="G163">
        <f>IF(AND(gamma!F40=1, VLOOKUP($A163,'40Trips'!$A$43:$I$46, 3,FALSE)=VLOOKUP(G$1,'40Trips'!$A$3:$I$42,3,FALSE)),1,0)</f>
        <v>0</v>
      </c>
      <c r="H163">
        <f>IF(AND(gamma!G40=1, VLOOKUP($A163,'40Trips'!$A$43:$I$46, 3,FALSE)=VLOOKUP(H$1,'40Trips'!$A$3:$I$42,3,FALSE)),1,0)</f>
        <v>0</v>
      </c>
      <c r="I163">
        <f>IF(AND(gamma!H40=1, VLOOKUP($A163,'40Trips'!$A$43:$I$46, 3,FALSE)=VLOOKUP(I$1,'40Trips'!$A$3:$I$42,3,FALSE)),1,0)</f>
        <v>0</v>
      </c>
      <c r="J163">
        <f>IF(AND(gamma!I40=1, VLOOKUP($A163,'40Trips'!$A$43:$I$46, 3,FALSE)=VLOOKUP(J$1,'40Trips'!$A$3:$I$42,3,FALSE)),1,0)</f>
        <v>0</v>
      </c>
      <c r="K163">
        <f>IF(AND(gamma!J40=1, VLOOKUP($A163,'40Trips'!$A$43:$I$46, 3,FALSE)=VLOOKUP(K$1,'40Trips'!$A$3:$I$42,3,FALSE)),1,0)</f>
        <v>0</v>
      </c>
      <c r="L163">
        <f>IF(AND(gamma!K40=1, VLOOKUP($A163,'40Trips'!$A$43:$I$46, 3,FALSE)=VLOOKUP(L$1,'40Trips'!$A$3:$I$42,3,FALSE)),1,0)</f>
        <v>0</v>
      </c>
      <c r="M163">
        <f>IF(AND(gamma!L40=1, VLOOKUP($A163,'40Trips'!$A$43:$I$46, 3,FALSE)=VLOOKUP(M$1,'40Trips'!$A$3:$I$42,3,FALSE)),1,0)</f>
        <v>0</v>
      </c>
      <c r="N163">
        <f>IF(AND(gamma!M40=1, VLOOKUP($A163,'40Trips'!$A$43:$I$46, 3,FALSE)=VLOOKUP(N$1,'40Trips'!$A$3:$I$42,3,FALSE)),1,0)</f>
        <v>0</v>
      </c>
      <c r="O163">
        <f>IF(AND(gamma!N40=1, VLOOKUP($A163,'40Trips'!$A$43:$I$46, 3,FALSE)=VLOOKUP(O$1,'40Trips'!$A$3:$I$42,3,FALSE)),1,0)</f>
        <v>0</v>
      </c>
      <c r="P163">
        <f>IF(AND(gamma!O40=1, VLOOKUP($A163,'40Trips'!$A$43:$I$46, 3,FALSE)=VLOOKUP(P$1,'40Trips'!$A$3:$I$42,3,FALSE)),1,0)</f>
        <v>0</v>
      </c>
      <c r="Q163">
        <f>IF(AND(gamma!P40=1, VLOOKUP($A163,'40Trips'!$A$43:$I$46, 3,FALSE)=VLOOKUP(Q$1,'40Trips'!$A$3:$I$42,3,FALSE)),1,0)</f>
        <v>0</v>
      </c>
      <c r="R163">
        <f>IF(AND(gamma!Q40=1, VLOOKUP($A163,'40Trips'!$A$43:$I$46, 3,FALSE)=VLOOKUP(R$1,'40Trips'!$A$3:$I$42,3,FALSE)),1,0)</f>
        <v>0</v>
      </c>
      <c r="S163">
        <f>IF(AND(gamma!R40=1, VLOOKUP($A163,'40Trips'!$A$43:$I$46, 3,FALSE)=VLOOKUP(S$1,'40Trips'!$A$3:$I$42,3,FALSE)),1,0)</f>
        <v>0</v>
      </c>
      <c r="T163">
        <f>IF(AND(gamma!S40=1, VLOOKUP($A163,'40Trips'!$A$43:$I$46, 3,FALSE)=VLOOKUP(T$1,'40Trips'!$A$3:$I$42,3,FALSE)),1,0)</f>
        <v>0</v>
      </c>
      <c r="U163">
        <f>IF(AND(gamma!T40=1, VLOOKUP($A163,'40Trips'!$A$43:$I$46, 3,FALSE)=VLOOKUP(U$1,'40Trips'!$A$3:$I$42,3,FALSE)),1,0)</f>
        <v>0</v>
      </c>
      <c r="V163">
        <f>IF(AND(gamma!U40=1, VLOOKUP($A163,'40Trips'!$A$43:$I$46, 3,FALSE)=VLOOKUP(V$1,'40Trips'!$A$3:$I$42,3,FALSE)),1,0)</f>
        <v>0</v>
      </c>
      <c r="W163">
        <f>IF(AND(gamma!V40=1, VLOOKUP($A163,'40Trips'!$A$43:$I$46, 3,FALSE)=VLOOKUP(W$1,'40Trips'!$A$3:$I$42,3,FALSE)),1,0)</f>
        <v>0</v>
      </c>
      <c r="X163">
        <f>IF(AND(gamma!W40=1, VLOOKUP($A163,'40Trips'!$A$43:$I$46, 3,FALSE)=VLOOKUP(X$1,'40Trips'!$A$3:$I$42,3,FALSE)),1,0)</f>
        <v>0</v>
      </c>
      <c r="Y163">
        <f>IF(AND(gamma!X40=1, VLOOKUP($A163,'40Trips'!$A$43:$I$46, 3,FALSE)=VLOOKUP(Y$1,'40Trips'!$A$3:$I$42,3,FALSE)),1,0)</f>
        <v>0</v>
      </c>
      <c r="Z163">
        <f>IF(AND(gamma!Y40=1, VLOOKUP($A163,'40Trips'!$A$43:$I$46, 3,FALSE)=VLOOKUP(Z$1,'40Trips'!$A$3:$I$42,3,FALSE)),1,0)</f>
        <v>0</v>
      </c>
      <c r="AA163">
        <f>IF(AND(gamma!Z40=1, VLOOKUP($A163,'40Trips'!$A$43:$I$46, 3,FALSE)=VLOOKUP(AA$1,'40Trips'!$A$3:$I$42,3,FALSE)),1,0)</f>
        <v>1</v>
      </c>
      <c r="AB163">
        <f>IF(AND(gamma!AA40=1, VLOOKUP($A163,'40Trips'!$A$43:$I$46, 3,FALSE)=VLOOKUP(AB$1,'40Trips'!$A$3:$I$42,3,FALSE)),1,0)</f>
        <v>0</v>
      </c>
      <c r="AC163">
        <f>IF(AND(gamma!AB40=1, VLOOKUP($A163,'40Trips'!$A$43:$I$46, 3,FALSE)=VLOOKUP(AC$1,'40Trips'!$A$3:$I$42,3,FALSE)),1,0)</f>
        <v>0</v>
      </c>
      <c r="AD163">
        <f>IF(AND(gamma!AC40=1, VLOOKUP($A163,'40Trips'!$A$43:$I$46, 3,FALSE)=VLOOKUP(AD$1,'40Trips'!$A$3:$I$42,3,FALSE)),1,0)</f>
        <v>1</v>
      </c>
      <c r="AE163">
        <f>IF(AND(gamma!AD40=1, VLOOKUP($A163,'40Trips'!$A$43:$I$46, 3,FALSE)=VLOOKUP(AE$1,'40Trips'!$A$3:$I$42,3,FALSE)),1,0)</f>
        <v>1</v>
      </c>
      <c r="AF163">
        <f>IF(AND(gamma!AE40=1, VLOOKUP($A163,'40Trips'!$A$43:$I$46, 3,FALSE)=VLOOKUP(AF$1,'40Trips'!$A$3:$I$42,3,FALSE)),1,0)</f>
        <v>0</v>
      </c>
      <c r="AG163">
        <f>IF(AND(gamma!AF40=1, VLOOKUP($A163,'40Trips'!$A$43:$I$46, 3,FALSE)=VLOOKUP(AG$1,'40Trips'!$A$3:$I$42,3,FALSE)),1,0)</f>
        <v>0</v>
      </c>
      <c r="AH163">
        <f>IF(AND(gamma!AG40=1, VLOOKUP($A163,'40Trips'!$A$43:$I$46, 3,FALSE)=VLOOKUP(AH$1,'40Trips'!$A$3:$I$42,3,FALSE)),1,0)</f>
        <v>0</v>
      </c>
      <c r="AI163">
        <f>IF(AND(gamma!AH40=1, VLOOKUP($A163,'40Trips'!$A$43:$I$46, 3,FALSE)=VLOOKUP(AI$1,'40Trips'!$A$3:$I$42,3,FALSE)),1,0)</f>
        <v>0</v>
      </c>
      <c r="AJ163">
        <f>IF(AND(gamma!AI40=1, VLOOKUP($A163,'40Trips'!$A$43:$I$46, 3,FALSE)=VLOOKUP(AJ$1,'40Trips'!$A$3:$I$42,3,FALSE)),1,0)</f>
        <v>0</v>
      </c>
      <c r="AK163">
        <f>IF(AND(gamma!AJ40=1, VLOOKUP($A163,'40Trips'!$A$43:$I$46, 3,FALSE)=VLOOKUP(AK$1,'40Trips'!$A$3:$I$42,3,FALSE)),1,0)</f>
        <v>0</v>
      </c>
      <c r="AL163">
        <f>IF(AND(gamma!AK40=1, VLOOKUP($A163,'40Trips'!$A$43:$I$46, 3,FALSE)=VLOOKUP(AL$1,'40Trips'!$A$3:$I$42,3,FALSE)),1,0)</f>
        <v>0</v>
      </c>
      <c r="AM163">
        <f>IF(AND(gamma!AL40=1, VLOOKUP($A163,'40Trips'!$A$43:$I$46, 3,FALSE)=VLOOKUP(AM$1,'40Trips'!$A$3:$I$42,3,FALSE)),1,0)</f>
        <v>0</v>
      </c>
      <c r="AN163">
        <f>IF(AND(gamma!AM40=1, VLOOKUP($A163,'40Trips'!$A$43:$I$46, 3,FALSE)=VLOOKUP(AN$1,'40Trips'!$A$3:$I$42,3,FALSE)),1,0)</f>
        <v>0</v>
      </c>
      <c r="AO163">
        <f>IF(AND(gamma!AN40=1, VLOOKUP($A163,'40Trips'!$A$43:$I$46, 3,FALSE)=VLOOKUP(AO$1,'40Trips'!$A$3:$I$42,3,FALSE)),1,0)</f>
        <v>0</v>
      </c>
      <c r="AP163">
        <f>IF(AND(gamma!AO40=1, VLOOKUP($A163,'40Trips'!$A$43:$I$46, 3,FALSE)=VLOOKUP(AP$1,'40Trips'!$A$3:$I$42,3,FALSE)),1,0)</f>
        <v>0</v>
      </c>
      <c r="AQ163">
        <f>IF(AND(gamma!AP40=1, VLOOKUP($A163,'40Trips'!$A$43:$I$46, 3,FALSE)=VLOOKUP(AQ$1,'40Trips'!$A$3:$I$42,3,FALSE)),1,0)</f>
        <v>0</v>
      </c>
    </row>
    <row r="164" spans="1:43" x14ac:dyDescent="0.25">
      <c r="A164" t="s">
        <v>68</v>
      </c>
      <c r="B164" t="s">
        <v>90</v>
      </c>
      <c r="C164">
        <v>0</v>
      </c>
      <c r="D164">
        <f>IF(AND(gamma!C41=1, VLOOKUP($A164,'40Trips'!$A$43:$I$46, 3,FALSE)=VLOOKUP(D$1,'40Trips'!$A$3:$I$42,3,FALSE)),1,0)</f>
        <v>0</v>
      </c>
      <c r="E164">
        <f>IF(AND(gamma!D41=1, VLOOKUP($A164,'40Trips'!$A$43:$I$46, 3,FALSE)=VLOOKUP(E$1,'40Trips'!$A$3:$I$42,3,FALSE)),1,0)</f>
        <v>0</v>
      </c>
      <c r="F164">
        <f>IF(AND(gamma!E41=1, VLOOKUP($A164,'40Trips'!$A$43:$I$46, 3,FALSE)=VLOOKUP(F$1,'40Trips'!$A$3:$I$42,3,FALSE)),1,0)</f>
        <v>0</v>
      </c>
      <c r="G164">
        <f>IF(AND(gamma!F41=1, VLOOKUP($A164,'40Trips'!$A$43:$I$46, 3,FALSE)=VLOOKUP(G$1,'40Trips'!$A$3:$I$42,3,FALSE)),1,0)</f>
        <v>0</v>
      </c>
      <c r="H164">
        <f>IF(AND(gamma!G41=1, VLOOKUP($A164,'40Trips'!$A$43:$I$46, 3,FALSE)=VLOOKUP(H$1,'40Trips'!$A$3:$I$42,3,FALSE)),1,0)</f>
        <v>0</v>
      </c>
      <c r="I164">
        <f>IF(AND(gamma!H41=1, VLOOKUP($A164,'40Trips'!$A$43:$I$46, 3,FALSE)=VLOOKUP(I$1,'40Trips'!$A$3:$I$42,3,FALSE)),1,0)</f>
        <v>0</v>
      </c>
      <c r="J164">
        <f>IF(AND(gamma!I41=1, VLOOKUP($A164,'40Trips'!$A$43:$I$46, 3,FALSE)=VLOOKUP(J$1,'40Trips'!$A$3:$I$42,3,FALSE)),1,0)</f>
        <v>0</v>
      </c>
      <c r="K164">
        <f>IF(AND(gamma!J41=1, VLOOKUP($A164,'40Trips'!$A$43:$I$46, 3,FALSE)=VLOOKUP(K$1,'40Trips'!$A$3:$I$42,3,FALSE)),1,0)</f>
        <v>0</v>
      </c>
      <c r="L164">
        <f>IF(AND(gamma!K41=1, VLOOKUP($A164,'40Trips'!$A$43:$I$46, 3,FALSE)=VLOOKUP(L$1,'40Trips'!$A$3:$I$42,3,FALSE)),1,0)</f>
        <v>0</v>
      </c>
      <c r="M164">
        <f>IF(AND(gamma!L41=1, VLOOKUP($A164,'40Trips'!$A$43:$I$46, 3,FALSE)=VLOOKUP(M$1,'40Trips'!$A$3:$I$42,3,FALSE)),1,0)</f>
        <v>0</v>
      </c>
      <c r="N164">
        <f>IF(AND(gamma!M41=1, VLOOKUP($A164,'40Trips'!$A$43:$I$46, 3,FALSE)=VLOOKUP(N$1,'40Trips'!$A$3:$I$42,3,FALSE)),1,0)</f>
        <v>0</v>
      </c>
      <c r="O164">
        <f>IF(AND(gamma!N41=1, VLOOKUP($A164,'40Trips'!$A$43:$I$46, 3,FALSE)=VLOOKUP(O$1,'40Trips'!$A$3:$I$42,3,FALSE)),1,0)</f>
        <v>0</v>
      </c>
      <c r="P164">
        <f>IF(AND(gamma!O41=1, VLOOKUP($A164,'40Trips'!$A$43:$I$46, 3,FALSE)=VLOOKUP(P$1,'40Trips'!$A$3:$I$42,3,FALSE)),1,0)</f>
        <v>0</v>
      </c>
      <c r="Q164">
        <f>IF(AND(gamma!P41=1, VLOOKUP($A164,'40Trips'!$A$43:$I$46, 3,FALSE)=VLOOKUP(Q$1,'40Trips'!$A$3:$I$42,3,FALSE)),1,0)</f>
        <v>0</v>
      </c>
      <c r="R164">
        <f>IF(AND(gamma!Q41=1, VLOOKUP($A164,'40Trips'!$A$43:$I$46, 3,FALSE)=VLOOKUP(R$1,'40Trips'!$A$3:$I$42,3,FALSE)),1,0)</f>
        <v>0</v>
      </c>
      <c r="S164">
        <f>IF(AND(gamma!R41=1, VLOOKUP($A164,'40Trips'!$A$43:$I$46, 3,FALSE)=VLOOKUP(S$1,'40Trips'!$A$3:$I$42,3,FALSE)),1,0)</f>
        <v>0</v>
      </c>
      <c r="T164">
        <f>IF(AND(gamma!S41=1, VLOOKUP($A164,'40Trips'!$A$43:$I$46, 3,FALSE)=VLOOKUP(T$1,'40Trips'!$A$3:$I$42,3,FALSE)),1,0)</f>
        <v>0</v>
      </c>
      <c r="U164">
        <f>IF(AND(gamma!T41=1, VLOOKUP($A164,'40Trips'!$A$43:$I$46, 3,FALSE)=VLOOKUP(U$1,'40Trips'!$A$3:$I$42,3,FALSE)),1,0)</f>
        <v>0</v>
      </c>
      <c r="V164">
        <f>IF(AND(gamma!U41=1, VLOOKUP($A164,'40Trips'!$A$43:$I$46, 3,FALSE)=VLOOKUP(V$1,'40Trips'!$A$3:$I$42,3,FALSE)),1,0)</f>
        <v>0</v>
      </c>
      <c r="W164">
        <f>IF(AND(gamma!V41=1, VLOOKUP($A164,'40Trips'!$A$43:$I$46, 3,FALSE)=VLOOKUP(W$1,'40Trips'!$A$3:$I$42,3,FALSE)),1,0)</f>
        <v>0</v>
      </c>
      <c r="X164">
        <f>IF(AND(gamma!W41=1, VLOOKUP($A164,'40Trips'!$A$43:$I$46, 3,FALSE)=VLOOKUP(X$1,'40Trips'!$A$3:$I$42,3,FALSE)),1,0)</f>
        <v>0</v>
      </c>
      <c r="Y164">
        <f>IF(AND(gamma!X41=1, VLOOKUP($A164,'40Trips'!$A$43:$I$46, 3,FALSE)=VLOOKUP(Y$1,'40Trips'!$A$3:$I$42,3,FALSE)),1,0)</f>
        <v>0</v>
      </c>
      <c r="Z164">
        <f>IF(AND(gamma!Y41=1, VLOOKUP($A164,'40Trips'!$A$43:$I$46, 3,FALSE)=VLOOKUP(Z$1,'40Trips'!$A$3:$I$42,3,FALSE)),1,0)</f>
        <v>0</v>
      </c>
      <c r="AA164">
        <f>IF(AND(gamma!Z41=1, VLOOKUP($A164,'40Trips'!$A$43:$I$46, 3,FALSE)=VLOOKUP(AA$1,'40Trips'!$A$3:$I$42,3,FALSE)),1,0)</f>
        <v>1</v>
      </c>
      <c r="AB164">
        <f>IF(AND(gamma!AA41=1, VLOOKUP($A164,'40Trips'!$A$43:$I$46, 3,FALSE)=VLOOKUP(AB$1,'40Trips'!$A$3:$I$42,3,FALSE)),1,0)</f>
        <v>0</v>
      </c>
      <c r="AC164">
        <f>IF(AND(gamma!AB41=1, VLOOKUP($A164,'40Trips'!$A$43:$I$46, 3,FALSE)=VLOOKUP(AC$1,'40Trips'!$A$3:$I$42,3,FALSE)),1,0)</f>
        <v>0</v>
      </c>
      <c r="AD164">
        <f>IF(AND(gamma!AC41=1, VLOOKUP($A164,'40Trips'!$A$43:$I$46, 3,FALSE)=VLOOKUP(AD$1,'40Trips'!$A$3:$I$42,3,FALSE)),1,0)</f>
        <v>0</v>
      </c>
      <c r="AE164">
        <f>IF(AND(gamma!AD41=1, VLOOKUP($A164,'40Trips'!$A$43:$I$46, 3,FALSE)=VLOOKUP(AE$1,'40Trips'!$A$3:$I$42,3,FALSE)),1,0)</f>
        <v>1</v>
      </c>
      <c r="AF164">
        <f>IF(AND(gamma!AE41=1, VLOOKUP($A164,'40Trips'!$A$43:$I$46, 3,FALSE)=VLOOKUP(AF$1,'40Trips'!$A$3:$I$42,3,FALSE)),1,0)</f>
        <v>0</v>
      </c>
      <c r="AG164">
        <f>IF(AND(gamma!AF41=1, VLOOKUP($A164,'40Trips'!$A$43:$I$46, 3,FALSE)=VLOOKUP(AG$1,'40Trips'!$A$3:$I$42,3,FALSE)),1,0)</f>
        <v>0</v>
      </c>
      <c r="AH164">
        <f>IF(AND(gamma!AG41=1, VLOOKUP($A164,'40Trips'!$A$43:$I$46, 3,FALSE)=VLOOKUP(AH$1,'40Trips'!$A$3:$I$42,3,FALSE)),1,0)</f>
        <v>0</v>
      </c>
      <c r="AI164">
        <f>IF(AND(gamma!AH41=1, VLOOKUP($A164,'40Trips'!$A$43:$I$46, 3,FALSE)=VLOOKUP(AI$1,'40Trips'!$A$3:$I$42,3,FALSE)),1,0)</f>
        <v>0</v>
      </c>
      <c r="AJ164">
        <f>IF(AND(gamma!AI41=1, VLOOKUP($A164,'40Trips'!$A$43:$I$46, 3,FALSE)=VLOOKUP(AJ$1,'40Trips'!$A$3:$I$42,3,FALSE)),1,0)</f>
        <v>0</v>
      </c>
      <c r="AK164">
        <f>IF(AND(gamma!AJ41=1, VLOOKUP($A164,'40Trips'!$A$43:$I$46, 3,FALSE)=VLOOKUP(AK$1,'40Trips'!$A$3:$I$42,3,FALSE)),1,0)</f>
        <v>0</v>
      </c>
      <c r="AL164">
        <f>IF(AND(gamma!AK41=1, VLOOKUP($A164,'40Trips'!$A$43:$I$46, 3,FALSE)=VLOOKUP(AL$1,'40Trips'!$A$3:$I$42,3,FALSE)),1,0)</f>
        <v>0</v>
      </c>
      <c r="AM164">
        <f>IF(AND(gamma!AL41=1, VLOOKUP($A164,'40Trips'!$A$43:$I$46, 3,FALSE)=VLOOKUP(AM$1,'40Trips'!$A$3:$I$42,3,FALSE)),1,0)</f>
        <v>0</v>
      </c>
      <c r="AN164">
        <f>IF(AND(gamma!AM41=1, VLOOKUP($A164,'40Trips'!$A$43:$I$46, 3,FALSE)=VLOOKUP(AN$1,'40Trips'!$A$3:$I$42,3,FALSE)),1,0)</f>
        <v>0</v>
      </c>
      <c r="AO164">
        <f>IF(AND(gamma!AN41=1, VLOOKUP($A164,'40Trips'!$A$43:$I$46, 3,FALSE)=VLOOKUP(AO$1,'40Trips'!$A$3:$I$42,3,FALSE)),1,0)</f>
        <v>0</v>
      </c>
      <c r="AP164">
        <f>IF(AND(gamma!AO41=1, VLOOKUP($A164,'40Trips'!$A$43:$I$46, 3,FALSE)=VLOOKUP(AP$1,'40Trips'!$A$3:$I$42,3,FALSE)),1,0)</f>
        <v>0</v>
      </c>
      <c r="AQ164">
        <f>IF(AND(gamma!AP41=1, VLOOKUP($A164,'40Trips'!$A$43:$I$46, 3,FALSE)=VLOOKUP(AQ$1,'40Trips'!$A$3:$I$42,3,FALSE)),1,0)</f>
        <v>0</v>
      </c>
    </row>
    <row r="165" spans="1:43" x14ac:dyDescent="0.25">
      <c r="A165" t="s">
        <v>68</v>
      </c>
      <c r="B165" t="s">
        <v>91</v>
      </c>
      <c r="C165">
        <v>0</v>
      </c>
      <c r="D165">
        <f>IF(AND(gamma!C42=1, VLOOKUP($A165,'40Trips'!$A$43:$I$46, 3,FALSE)=VLOOKUP(D$1,'40Trips'!$A$3:$I$42,3,FALSE)),1,0)</f>
        <v>0</v>
      </c>
      <c r="E165">
        <f>IF(AND(gamma!D42=1, VLOOKUP($A165,'40Trips'!$A$43:$I$46, 3,FALSE)=VLOOKUP(E$1,'40Trips'!$A$3:$I$42,3,FALSE)),1,0)</f>
        <v>0</v>
      </c>
      <c r="F165">
        <f>IF(AND(gamma!E42=1, VLOOKUP($A165,'40Trips'!$A$43:$I$46, 3,FALSE)=VLOOKUP(F$1,'40Trips'!$A$3:$I$42,3,FALSE)),1,0)</f>
        <v>0</v>
      </c>
      <c r="G165">
        <f>IF(AND(gamma!F42=1, VLOOKUP($A165,'40Trips'!$A$43:$I$46, 3,FALSE)=VLOOKUP(G$1,'40Trips'!$A$3:$I$42,3,FALSE)),1,0)</f>
        <v>0</v>
      </c>
      <c r="H165">
        <f>IF(AND(gamma!G42=1, VLOOKUP($A165,'40Trips'!$A$43:$I$46, 3,FALSE)=VLOOKUP(H$1,'40Trips'!$A$3:$I$42,3,FALSE)),1,0)</f>
        <v>0</v>
      </c>
      <c r="I165">
        <f>IF(AND(gamma!H42=1, VLOOKUP($A165,'40Trips'!$A$43:$I$46, 3,FALSE)=VLOOKUP(I$1,'40Trips'!$A$3:$I$42,3,FALSE)),1,0)</f>
        <v>0</v>
      </c>
      <c r="J165">
        <f>IF(AND(gamma!I42=1, VLOOKUP($A165,'40Trips'!$A$43:$I$46, 3,FALSE)=VLOOKUP(J$1,'40Trips'!$A$3:$I$42,3,FALSE)),1,0)</f>
        <v>0</v>
      </c>
      <c r="K165">
        <f>IF(AND(gamma!J42=1, VLOOKUP($A165,'40Trips'!$A$43:$I$46, 3,FALSE)=VLOOKUP(K$1,'40Trips'!$A$3:$I$42,3,FALSE)),1,0)</f>
        <v>0</v>
      </c>
      <c r="L165">
        <f>IF(AND(gamma!K42=1, VLOOKUP($A165,'40Trips'!$A$43:$I$46, 3,FALSE)=VLOOKUP(L$1,'40Trips'!$A$3:$I$42,3,FALSE)),1,0)</f>
        <v>0</v>
      </c>
      <c r="M165">
        <f>IF(AND(gamma!L42=1, VLOOKUP($A165,'40Trips'!$A$43:$I$46, 3,FALSE)=VLOOKUP(M$1,'40Trips'!$A$3:$I$42,3,FALSE)),1,0)</f>
        <v>0</v>
      </c>
      <c r="N165">
        <f>IF(AND(gamma!M42=1, VLOOKUP($A165,'40Trips'!$A$43:$I$46, 3,FALSE)=VLOOKUP(N$1,'40Trips'!$A$3:$I$42,3,FALSE)),1,0)</f>
        <v>0</v>
      </c>
      <c r="O165">
        <f>IF(AND(gamma!N42=1, VLOOKUP($A165,'40Trips'!$A$43:$I$46, 3,FALSE)=VLOOKUP(O$1,'40Trips'!$A$3:$I$42,3,FALSE)),1,0)</f>
        <v>0</v>
      </c>
      <c r="P165">
        <f>IF(AND(gamma!O42=1, VLOOKUP($A165,'40Trips'!$A$43:$I$46, 3,FALSE)=VLOOKUP(P$1,'40Trips'!$A$3:$I$42,3,FALSE)),1,0)</f>
        <v>0</v>
      </c>
      <c r="Q165">
        <f>IF(AND(gamma!P42=1, VLOOKUP($A165,'40Trips'!$A$43:$I$46, 3,FALSE)=VLOOKUP(Q$1,'40Trips'!$A$3:$I$42,3,FALSE)),1,0)</f>
        <v>0</v>
      </c>
      <c r="R165">
        <f>IF(AND(gamma!Q42=1, VLOOKUP($A165,'40Trips'!$A$43:$I$46, 3,FALSE)=VLOOKUP(R$1,'40Trips'!$A$3:$I$42,3,FALSE)),1,0)</f>
        <v>0</v>
      </c>
      <c r="S165">
        <f>IF(AND(gamma!R42=1, VLOOKUP($A165,'40Trips'!$A$43:$I$46, 3,FALSE)=VLOOKUP(S$1,'40Trips'!$A$3:$I$42,3,FALSE)),1,0)</f>
        <v>0</v>
      </c>
      <c r="T165">
        <f>IF(AND(gamma!S42=1, VLOOKUP($A165,'40Trips'!$A$43:$I$46, 3,FALSE)=VLOOKUP(T$1,'40Trips'!$A$3:$I$42,3,FALSE)),1,0)</f>
        <v>0</v>
      </c>
      <c r="U165">
        <f>IF(AND(gamma!T42=1, VLOOKUP($A165,'40Trips'!$A$43:$I$46, 3,FALSE)=VLOOKUP(U$1,'40Trips'!$A$3:$I$42,3,FALSE)),1,0)</f>
        <v>0</v>
      </c>
      <c r="V165">
        <f>IF(AND(gamma!U42=1, VLOOKUP($A165,'40Trips'!$A$43:$I$46, 3,FALSE)=VLOOKUP(V$1,'40Trips'!$A$3:$I$42,3,FALSE)),1,0)</f>
        <v>0</v>
      </c>
      <c r="W165">
        <f>IF(AND(gamma!V42=1, VLOOKUP($A165,'40Trips'!$A$43:$I$46, 3,FALSE)=VLOOKUP(W$1,'40Trips'!$A$3:$I$42,3,FALSE)),1,0)</f>
        <v>0</v>
      </c>
      <c r="X165">
        <f>IF(AND(gamma!W42=1, VLOOKUP($A165,'40Trips'!$A$43:$I$46, 3,FALSE)=VLOOKUP(X$1,'40Trips'!$A$3:$I$42,3,FALSE)),1,0)</f>
        <v>0</v>
      </c>
      <c r="Y165">
        <f>IF(AND(gamma!X42=1, VLOOKUP($A165,'40Trips'!$A$43:$I$46, 3,FALSE)=VLOOKUP(Y$1,'40Trips'!$A$3:$I$42,3,FALSE)),1,0)</f>
        <v>0</v>
      </c>
      <c r="Z165">
        <f>IF(AND(gamma!Y42=1, VLOOKUP($A165,'40Trips'!$A$43:$I$46, 3,FALSE)=VLOOKUP(Z$1,'40Trips'!$A$3:$I$42,3,FALSE)),1,0)</f>
        <v>0</v>
      </c>
      <c r="AA165">
        <f>IF(AND(gamma!Z42=1, VLOOKUP($A165,'40Trips'!$A$43:$I$46, 3,FALSE)=VLOOKUP(AA$1,'40Trips'!$A$3:$I$42,3,FALSE)),1,0)</f>
        <v>0</v>
      </c>
      <c r="AB165">
        <f>IF(AND(gamma!AA42=1, VLOOKUP($A165,'40Trips'!$A$43:$I$46, 3,FALSE)=VLOOKUP(AB$1,'40Trips'!$A$3:$I$42,3,FALSE)),1,0)</f>
        <v>0</v>
      </c>
      <c r="AC165">
        <f>IF(AND(gamma!AB42=1, VLOOKUP($A165,'40Trips'!$A$43:$I$46, 3,FALSE)=VLOOKUP(AC$1,'40Trips'!$A$3:$I$42,3,FALSE)),1,0)</f>
        <v>0</v>
      </c>
      <c r="AD165">
        <f>IF(AND(gamma!AC42=1, VLOOKUP($A165,'40Trips'!$A$43:$I$46, 3,FALSE)=VLOOKUP(AD$1,'40Trips'!$A$3:$I$42,3,FALSE)),1,0)</f>
        <v>0</v>
      </c>
      <c r="AE165">
        <f>IF(AND(gamma!AD42=1, VLOOKUP($A165,'40Trips'!$A$43:$I$46, 3,FALSE)=VLOOKUP(AE$1,'40Trips'!$A$3:$I$42,3,FALSE)),1,0)</f>
        <v>0</v>
      </c>
      <c r="AF165">
        <f>IF(AND(gamma!AE42=1, VLOOKUP($A165,'40Trips'!$A$43:$I$46, 3,FALSE)=VLOOKUP(AF$1,'40Trips'!$A$3:$I$42,3,FALSE)),1,0)</f>
        <v>0</v>
      </c>
      <c r="AG165">
        <f>IF(AND(gamma!AF42=1, VLOOKUP($A165,'40Trips'!$A$43:$I$46, 3,FALSE)=VLOOKUP(AG$1,'40Trips'!$A$3:$I$42,3,FALSE)),1,0)</f>
        <v>0</v>
      </c>
      <c r="AH165">
        <f>IF(AND(gamma!AG42=1, VLOOKUP($A165,'40Trips'!$A$43:$I$46, 3,FALSE)=VLOOKUP(AH$1,'40Trips'!$A$3:$I$42,3,FALSE)),1,0)</f>
        <v>0</v>
      </c>
      <c r="AI165">
        <f>IF(AND(gamma!AH42=1, VLOOKUP($A165,'40Trips'!$A$43:$I$46, 3,FALSE)=VLOOKUP(AI$1,'40Trips'!$A$3:$I$42,3,FALSE)),1,0)</f>
        <v>0</v>
      </c>
      <c r="AJ165">
        <f>IF(AND(gamma!AI42=1, VLOOKUP($A165,'40Trips'!$A$43:$I$46, 3,FALSE)=VLOOKUP(AJ$1,'40Trips'!$A$3:$I$42,3,FALSE)),1,0)</f>
        <v>0</v>
      </c>
      <c r="AK165">
        <f>IF(AND(gamma!AJ42=1, VLOOKUP($A165,'40Trips'!$A$43:$I$46, 3,FALSE)=VLOOKUP(AK$1,'40Trips'!$A$3:$I$42,3,FALSE)),1,0)</f>
        <v>0</v>
      </c>
      <c r="AL165">
        <f>IF(AND(gamma!AK42=1, VLOOKUP($A165,'40Trips'!$A$43:$I$46, 3,FALSE)=VLOOKUP(AL$1,'40Trips'!$A$3:$I$42,3,FALSE)),1,0)</f>
        <v>0</v>
      </c>
      <c r="AM165">
        <f>IF(AND(gamma!AL42=1, VLOOKUP($A165,'40Trips'!$A$43:$I$46, 3,FALSE)=VLOOKUP(AM$1,'40Trips'!$A$3:$I$42,3,FALSE)),1,0)</f>
        <v>0</v>
      </c>
      <c r="AN165">
        <f>IF(AND(gamma!AM42=1, VLOOKUP($A165,'40Trips'!$A$43:$I$46, 3,FALSE)=VLOOKUP(AN$1,'40Trips'!$A$3:$I$42,3,FALSE)),1,0)</f>
        <v>0</v>
      </c>
      <c r="AO165">
        <f>IF(AND(gamma!AN42=1, VLOOKUP($A165,'40Trips'!$A$43:$I$46, 3,FALSE)=VLOOKUP(AO$1,'40Trips'!$A$3:$I$42,3,FALSE)),1,0)</f>
        <v>0</v>
      </c>
      <c r="AP165">
        <f>IF(AND(gamma!AO42=1, VLOOKUP($A165,'40Trips'!$A$43:$I$46, 3,FALSE)=VLOOKUP(AP$1,'40Trips'!$A$3:$I$42,3,FALSE)),1,0)</f>
        <v>0</v>
      </c>
      <c r="AQ165">
        <f>IF(AND(gamma!AP42=1, VLOOKUP($A165,'40Trips'!$A$43:$I$46, 3,FALSE)=VLOOKUP(AQ$1,'40Trips'!$A$3:$I$42,3,FALSE)),1,0)</f>
        <v>0</v>
      </c>
    </row>
    <row r="166" spans="1:43" x14ac:dyDescent="0.25">
      <c r="A166" t="s">
        <v>69</v>
      </c>
      <c r="B166" t="s">
        <v>46</v>
      </c>
      <c r="C166">
        <v>0</v>
      </c>
      <c r="D166">
        <v>0</v>
      </c>
    </row>
    <row r="167" spans="1:43" x14ac:dyDescent="0.25">
      <c r="A167" t="s">
        <v>69</v>
      </c>
      <c r="B167" t="s">
        <v>6</v>
      </c>
      <c r="C167">
        <v>0</v>
      </c>
      <c r="D167" t="e">
        <f>IF(AND(gamma!C3=1, VLOOKUP($A167,'40Trips'!$A$43:$I$46, 3,FALSE)=VLOOKUP(D$1,'40Trips'!$A$3:$I$42,3,FALSE)),1,0)</f>
        <v>#N/A</v>
      </c>
    </row>
    <row r="168" spans="1:43" x14ac:dyDescent="0.25">
      <c r="A168" t="s">
        <v>69</v>
      </c>
      <c r="B168" t="s">
        <v>9</v>
      </c>
      <c r="C168">
        <v>0</v>
      </c>
      <c r="D168" t="e">
        <f>IF(AND(gamma!C45=1, VLOOKUP($A168,'40Trips'!$A$43:$I$46, 3,FALSE)=VLOOKUP(D$1,'40Trips'!$A$3:$I$42,3,FALSE)),1,0)</f>
        <v>#N/A</v>
      </c>
    </row>
    <row r="169" spans="1:43" x14ac:dyDescent="0.25">
      <c r="A169" t="s">
        <v>69</v>
      </c>
      <c r="B169" t="s">
        <v>10</v>
      </c>
      <c r="C169">
        <v>0</v>
      </c>
      <c r="D169" t="e">
        <f>IF(AND(gamma!C46=1, VLOOKUP($A169,'40Trips'!$A$43:$I$46, 3,FALSE)=VLOOKUP(D$1,'40Trips'!$A$3:$I$42,3,FALSE)),1,0)</f>
        <v>#N/A</v>
      </c>
    </row>
    <row r="170" spans="1:43" x14ac:dyDescent="0.25">
      <c r="A170" t="s">
        <v>69</v>
      </c>
      <c r="B170" t="s">
        <v>11</v>
      </c>
      <c r="C170">
        <v>0</v>
      </c>
      <c r="D170" t="e">
        <f>IF(AND(gamma!C47=1, VLOOKUP($A170,'40Trips'!$A$43:$I$46, 3,FALSE)=VLOOKUP(D$1,'40Trips'!$A$3:$I$42,3,FALSE)),1,0)</f>
        <v>#N/A</v>
      </c>
    </row>
    <row r="171" spans="1:43" x14ac:dyDescent="0.25">
      <c r="A171" t="s">
        <v>69</v>
      </c>
      <c r="B171" t="s">
        <v>18</v>
      </c>
      <c r="C171">
        <v>0</v>
      </c>
      <c r="D171" t="e">
        <f>IF(AND(gamma!C48=1, VLOOKUP($A171,'40Trips'!$A$43:$I$46, 3,FALSE)=VLOOKUP(D$1,'40Trips'!$A$3:$I$42,3,FALSE)),1,0)</f>
        <v>#N/A</v>
      </c>
    </row>
    <row r="172" spans="1:43" x14ac:dyDescent="0.25">
      <c r="A172" t="s">
        <v>69</v>
      </c>
      <c r="B172" t="s">
        <v>20</v>
      </c>
      <c r="C172">
        <v>0</v>
      </c>
      <c r="D172" t="e">
        <f>IF(AND(gamma!C49=1, VLOOKUP($A172,'40Trips'!$A$43:$I$46, 3,FALSE)=VLOOKUP(D$1,'40Trips'!$A$3:$I$42,3,FALSE)),1,0)</f>
        <v>#N/A</v>
      </c>
    </row>
    <row r="173" spans="1:43" x14ac:dyDescent="0.25">
      <c r="A173" t="s">
        <v>69</v>
      </c>
      <c r="B173" t="s">
        <v>21</v>
      </c>
      <c r="C173">
        <v>0</v>
      </c>
      <c r="D173" t="e">
        <f>IF(AND(gamma!C50=1, VLOOKUP($A173,'40Trips'!$A$43:$I$46, 3,FALSE)=VLOOKUP(D$1,'40Trips'!$A$3:$I$42,3,FALSE)),1,0)</f>
        <v>#N/A</v>
      </c>
    </row>
    <row r="174" spans="1:43" x14ac:dyDescent="0.25">
      <c r="A174" t="s">
        <v>69</v>
      </c>
      <c r="B174" t="s">
        <v>22</v>
      </c>
      <c r="C174">
        <v>0</v>
      </c>
      <c r="D174" t="e">
        <f>IF(AND(gamma!C51=1, VLOOKUP($A174,'40Trips'!$A$43:$I$46, 3,FALSE)=VLOOKUP(D$1,'40Trips'!$A$3:$I$42,3,FALSE)),1,0)</f>
        <v>#N/A</v>
      </c>
    </row>
    <row r="175" spans="1:43" x14ac:dyDescent="0.25">
      <c r="A175" t="s">
        <v>69</v>
      </c>
      <c r="B175" t="s">
        <v>24</v>
      </c>
      <c r="C175">
        <v>0</v>
      </c>
      <c r="D175" t="e">
        <f>IF(AND(gamma!C52=1, VLOOKUP($A175,'40Trips'!$A$43:$I$46, 3,FALSE)=VLOOKUP(D$1,'40Trips'!$A$3:$I$42,3,FALSE)),1,0)</f>
        <v>#N/A</v>
      </c>
    </row>
    <row r="176" spans="1:43" x14ac:dyDescent="0.25">
      <c r="A176" t="s">
        <v>69</v>
      </c>
      <c r="B176" t="s">
        <v>73</v>
      </c>
      <c r="C176">
        <v>0</v>
      </c>
      <c r="D176" t="e">
        <f>IF(AND(gamma!C53=1, VLOOKUP($A176,'40Trips'!$A$43:$I$46, 3,FALSE)=VLOOKUP(D$1,'40Trips'!$A$3:$I$42,3,FALSE)),1,0)</f>
        <v>#N/A</v>
      </c>
    </row>
    <row r="177" spans="1:4" x14ac:dyDescent="0.25">
      <c r="A177" t="s">
        <v>69</v>
      </c>
      <c r="B177" t="s">
        <v>74</v>
      </c>
      <c r="C177">
        <v>0</v>
      </c>
      <c r="D177" t="e">
        <f>IF(AND(gamma!C54=1, VLOOKUP($A177,'40Trips'!$A$43:$I$46, 3,FALSE)=VLOOKUP(D$1,'40Trips'!$A$3:$I$42,3,FALSE)),1,0)</f>
        <v>#N/A</v>
      </c>
    </row>
    <row r="178" spans="1:4" x14ac:dyDescent="0.25">
      <c r="A178" t="s">
        <v>69</v>
      </c>
      <c r="B178" t="s">
        <v>26</v>
      </c>
      <c r="C178">
        <v>0</v>
      </c>
      <c r="D178" t="e">
        <f>IF(AND(gamma!C55=1, VLOOKUP($A178,'40Trips'!$A$43:$I$46, 3,FALSE)=VLOOKUP(D$1,'40Trips'!$A$3:$I$42,3,FALSE)),1,0)</f>
        <v>#N/A</v>
      </c>
    </row>
    <row r="179" spans="1:4" x14ac:dyDescent="0.25">
      <c r="A179" t="s">
        <v>69</v>
      </c>
      <c r="B179" t="s">
        <v>27</v>
      </c>
      <c r="C179">
        <v>0</v>
      </c>
      <c r="D179" t="e">
        <f>IF(AND(gamma!C56=1, VLOOKUP($A179,'40Trips'!$A$43:$I$46, 3,FALSE)=VLOOKUP(D$1,'40Trips'!$A$3:$I$42,3,FALSE)),1,0)</f>
        <v>#N/A</v>
      </c>
    </row>
    <row r="180" spans="1:4" x14ac:dyDescent="0.25">
      <c r="A180" t="s">
        <v>69</v>
      </c>
      <c r="B180" t="s">
        <v>28</v>
      </c>
      <c r="C180">
        <v>0</v>
      </c>
      <c r="D180" t="e">
        <f>IF(AND(gamma!C57=1, VLOOKUP($A180,'40Trips'!$A$43:$I$46, 3,FALSE)=VLOOKUP(D$1,'40Trips'!$A$3:$I$42,3,FALSE)),1,0)</f>
        <v>#N/A</v>
      </c>
    </row>
    <row r="181" spans="1:4" x14ac:dyDescent="0.25">
      <c r="A181" t="s">
        <v>69</v>
      </c>
      <c r="B181" t="s">
        <v>29</v>
      </c>
      <c r="C181">
        <v>0</v>
      </c>
      <c r="D181" t="e">
        <f>IF(AND(gamma!C58=1, VLOOKUP($A181,'40Trips'!$A$43:$I$46, 3,FALSE)=VLOOKUP(D$1,'40Trips'!$A$3:$I$42,3,FALSE)),1,0)</f>
        <v>#N/A</v>
      </c>
    </row>
    <row r="182" spans="1:4" x14ac:dyDescent="0.25">
      <c r="A182" t="s">
        <v>69</v>
      </c>
      <c r="B182" t="s">
        <v>30</v>
      </c>
      <c r="C182">
        <v>0</v>
      </c>
      <c r="D182" t="e">
        <f>IF(AND(gamma!C59=1, VLOOKUP($A182,'40Trips'!$A$43:$I$46, 3,FALSE)=VLOOKUP(D$1,'40Trips'!$A$3:$I$42,3,FALSE)),1,0)</f>
        <v>#N/A</v>
      </c>
    </row>
    <row r="183" spans="1:4" x14ac:dyDescent="0.25">
      <c r="A183" t="s">
        <v>69</v>
      </c>
      <c r="B183" t="s">
        <v>75</v>
      </c>
      <c r="C183">
        <v>0</v>
      </c>
      <c r="D183" t="e">
        <f>IF(AND(gamma!C60=1, VLOOKUP($A183,'40Trips'!$A$43:$I$46, 3,FALSE)=VLOOKUP(D$1,'40Trips'!$A$3:$I$42,3,FALSE)),1,0)</f>
        <v>#N/A</v>
      </c>
    </row>
    <row r="184" spans="1:4" x14ac:dyDescent="0.25">
      <c r="A184" t="s">
        <v>69</v>
      </c>
      <c r="B184" t="s">
        <v>76</v>
      </c>
      <c r="C184">
        <v>0</v>
      </c>
      <c r="D184" t="e">
        <f>IF(AND(gamma!C61=1, VLOOKUP($A184,'40Trips'!$A$43:$I$46, 3,FALSE)=VLOOKUP(D$1,'40Trips'!$A$3:$I$42,3,FALSE)),1,0)</f>
        <v>#N/A</v>
      </c>
    </row>
    <row r="185" spans="1:4" x14ac:dyDescent="0.25">
      <c r="A185" t="s">
        <v>69</v>
      </c>
      <c r="B185" t="s">
        <v>77</v>
      </c>
      <c r="C185">
        <v>0</v>
      </c>
      <c r="D185" t="e">
        <f>IF(AND(gamma!C62=1, VLOOKUP($A185,'40Trips'!$A$43:$I$46, 3,FALSE)=VLOOKUP(D$1,'40Trips'!$A$3:$I$42,3,FALSE)),1,0)</f>
        <v>#N/A</v>
      </c>
    </row>
    <row r="186" spans="1:4" x14ac:dyDescent="0.25">
      <c r="A186" t="s">
        <v>69</v>
      </c>
      <c r="B186" t="s">
        <v>78</v>
      </c>
      <c r="C186">
        <v>0</v>
      </c>
      <c r="D186" t="e">
        <f>IF(AND(gamma!C63=1, VLOOKUP($A186,'40Trips'!$A$43:$I$46, 3,FALSE)=VLOOKUP(D$1,'40Trips'!$A$3:$I$42,3,FALSE)),1,0)</f>
        <v>#N/A</v>
      </c>
    </row>
    <row r="187" spans="1:4" x14ac:dyDescent="0.25">
      <c r="A187" t="s">
        <v>69</v>
      </c>
      <c r="B187" t="s">
        <v>34</v>
      </c>
      <c r="C187">
        <v>0</v>
      </c>
      <c r="D187" t="e">
        <f>IF(AND(gamma!C64=1, VLOOKUP($A187,'40Trips'!$A$43:$I$46, 3,FALSE)=VLOOKUP(D$1,'40Trips'!$A$3:$I$42,3,FALSE)),1,0)</f>
        <v>#N/A</v>
      </c>
    </row>
    <row r="188" spans="1:4" x14ac:dyDescent="0.25">
      <c r="A188" t="s">
        <v>69</v>
      </c>
      <c r="B188" t="s">
        <v>35</v>
      </c>
      <c r="C188">
        <v>0</v>
      </c>
      <c r="D188" t="e">
        <f>IF(AND(gamma!C65=1, VLOOKUP($A188,'40Trips'!$A$43:$I$46, 3,FALSE)=VLOOKUP(D$1,'40Trips'!$A$3:$I$42,3,FALSE)),1,0)</f>
        <v>#N/A</v>
      </c>
    </row>
    <row r="189" spans="1:4" x14ac:dyDescent="0.25">
      <c r="A189" t="s">
        <v>69</v>
      </c>
      <c r="B189" t="s">
        <v>36</v>
      </c>
      <c r="C189">
        <v>0</v>
      </c>
      <c r="D189" t="e">
        <f>IF(AND(gamma!C66=1, VLOOKUP($A189,'40Trips'!$A$43:$I$46, 3,FALSE)=VLOOKUP(D$1,'40Trips'!$A$3:$I$42,3,FALSE)),1,0)</f>
        <v>#N/A</v>
      </c>
    </row>
    <row r="190" spans="1:4" x14ac:dyDescent="0.25">
      <c r="A190" t="s">
        <v>69</v>
      </c>
      <c r="B190" t="s">
        <v>37</v>
      </c>
      <c r="C190">
        <v>0</v>
      </c>
      <c r="D190" t="e">
        <f>IF(AND(gamma!C67=1, VLOOKUP($A190,'40Trips'!$A$43:$I$46, 3,FALSE)=VLOOKUP(D$1,'40Trips'!$A$3:$I$42,3,FALSE)),1,0)</f>
        <v>#N/A</v>
      </c>
    </row>
    <row r="191" spans="1:4" x14ac:dyDescent="0.25">
      <c r="A191" t="s">
        <v>69</v>
      </c>
      <c r="B191" t="s">
        <v>79</v>
      </c>
      <c r="C191">
        <v>0</v>
      </c>
      <c r="D191" t="e">
        <f>IF(AND(gamma!C68=1, VLOOKUP($A191,'40Trips'!$A$43:$I$46, 3,FALSE)=VLOOKUP(D$1,'40Trips'!$A$3:$I$42,3,FALSE)),1,0)</f>
        <v>#N/A</v>
      </c>
    </row>
    <row r="192" spans="1:4" x14ac:dyDescent="0.25">
      <c r="A192" t="s">
        <v>69</v>
      </c>
      <c r="B192" t="s">
        <v>80</v>
      </c>
      <c r="C192">
        <v>0</v>
      </c>
      <c r="D192" t="e">
        <f>IF(AND(gamma!C69=1, VLOOKUP($A192,'40Trips'!$A$43:$I$46, 3,FALSE)=VLOOKUP(D$1,'40Trips'!$A$3:$I$42,3,FALSE)),1,0)</f>
        <v>#N/A</v>
      </c>
    </row>
    <row r="193" spans="1:4" x14ac:dyDescent="0.25">
      <c r="A193" t="s">
        <v>69</v>
      </c>
      <c r="B193" t="s">
        <v>81</v>
      </c>
      <c r="C193">
        <v>0</v>
      </c>
      <c r="D193" t="e">
        <f>IF(AND(gamma!C70=1, VLOOKUP($A193,'40Trips'!$A$43:$I$46, 3,FALSE)=VLOOKUP(D$1,'40Trips'!$A$3:$I$42,3,FALSE)),1,0)</f>
        <v>#N/A</v>
      </c>
    </row>
    <row r="194" spans="1:4" x14ac:dyDescent="0.25">
      <c r="A194" t="s">
        <v>69</v>
      </c>
      <c r="B194" t="s">
        <v>82</v>
      </c>
      <c r="C194">
        <v>0</v>
      </c>
      <c r="D194" t="e">
        <f>IF(AND(gamma!C71=1, VLOOKUP($A194,'40Trips'!$A$43:$I$46, 3,FALSE)=VLOOKUP(D$1,'40Trips'!$A$3:$I$42,3,FALSE)),1,0)</f>
        <v>#N/A</v>
      </c>
    </row>
    <row r="195" spans="1:4" x14ac:dyDescent="0.25">
      <c r="A195" t="s">
        <v>69</v>
      </c>
      <c r="B195" t="s">
        <v>39</v>
      </c>
      <c r="C195">
        <v>0</v>
      </c>
      <c r="D195" t="e">
        <f>IF(AND(gamma!C72=1, VLOOKUP($A195,'40Trips'!$A$43:$I$46, 3,FALSE)=VLOOKUP(D$1,'40Trips'!$A$3:$I$42,3,FALSE)),1,0)</f>
        <v>#N/A</v>
      </c>
    </row>
    <row r="196" spans="1:4" x14ac:dyDescent="0.25">
      <c r="A196" t="s">
        <v>69</v>
      </c>
      <c r="B196" t="s">
        <v>83</v>
      </c>
      <c r="C196">
        <v>0</v>
      </c>
      <c r="D196" t="e">
        <f>IF(AND(gamma!C73=1, VLOOKUP($A196,'40Trips'!$A$43:$I$46, 3,FALSE)=VLOOKUP(D$1,'40Trips'!$A$3:$I$42,3,FALSE)),1,0)</f>
        <v>#N/A</v>
      </c>
    </row>
    <row r="197" spans="1:4" x14ac:dyDescent="0.25">
      <c r="A197" t="s">
        <v>69</v>
      </c>
      <c r="B197" t="s">
        <v>84</v>
      </c>
      <c r="C197">
        <v>0</v>
      </c>
      <c r="D197" t="e">
        <f>IF(AND(gamma!C74=1, VLOOKUP($A197,'40Trips'!$A$43:$I$46, 3,FALSE)=VLOOKUP(D$1,'40Trips'!$A$3:$I$42,3,FALSE)),1,0)</f>
        <v>#N/A</v>
      </c>
    </row>
    <row r="198" spans="1:4" x14ac:dyDescent="0.25">
      <c r="A198" t="s">
        <v>69</v>
      </c>
      <c r="B198" t="s">
        <v>85</v>
      </c>
      <c r="C198">
        <v>0</v>
      </c>
      <c r="D198" t="e">
        <f>IF(AND(gamma!C75=1, VLOOKUP($A198,'40Trips'!$A$43:$I$46, 3,FALSE)=VLOOKUP(D$1,'40Trips'!$A$3:$I$42,3,FALSE)),1,0)</f>
        <v>#N/A</v>
      </c>
    </row>
    <row r="199" spans="1:4" x14ac:dyDescent="0.25">
      <c r="A199" t="s">
        <v>69</v>
      </c>
      <c r="B199" t="s">
        <v>40</v>
      </c>
      <c r="C199">
        <v>0</v>
      </c>
      <c r="D199" t="e">
        <f>IF(AND(gamma!C76=1, VLOOKUP($A199,'40Trips'!$A$43:$I$46, 3,FALSE)=VLOOKUP(D$1,'40Trips'!$A$3:$I$42,3,FALSE)),1,0)</f>
        <v>#N/A</v>
      </c>
    </row>
    <row r="200" spans="1:4" x14ac:dyDescent="0.25">
      <c r="A200" t="s">
        <v>69</v>
      </c>
      <c r="B200" t="s">
        <v>86</v>
      </c>
      <c r="C200">
        <v>0</v>
      </c>
      <c r="D200" t="e">
        <f>IF(AND(gamma!C77=1, VLOOKUP($A200,'40Trips'!$A$43:$I$46, 3,FALSE)=VLOOKUP(D$1,'40Trips'!$A$3:$I$42,3,FALSE)),1,0)</f>
        <v>#N/A</v>
      </c>
    </row>
    <row r="201" spans="1:4" x14ac:dyDescent="0.25">
      <c r="A201" t="s">
        <v>69</v>
      </c>
      <c r="B201" t="s">
        <v>87</v>
      </c>
      <c r="C201">
        <v>0</v>
      </c>
      <c r="D201" t="e">
        <f>IF(AND(gamma!C78=1, VLOOKUP($A201,'40Trips'!$A$43:$I$46, 3,FALSE)=VLOOKUP(D$1,'40Trips'!$A$3:$I$42,3,FALSE)),1,0)</f>
        <v>#N/A</v>
      </c>
    </row>
    <row r="202" spans="1:4" x14ac:dyDescent="0.25">
      <c r="A202" t="s">
        <v>69</v>
      </c>
      <c r="B202" t="s">
        <v>88</v>
      </c>
      <c r="C202">
        <v>0</v>
      </c>
      <c r="D202" t="e">
        <f>IF(AND(gamma!C79=1, VLOOKUP($A202,'40Trips'!$A$43:$I$46, 3,FALSE)=VLOOKUP(D$1,'40Trips'!$A$3:$I$42,3,FALSE)),1,0)</f>
        <v>#N/A</v>
      </c>
    </row>
    <row r="203" spans="1:4" x14ac:dyDescent="0.25">
      <c r="A203" t="s">
        <v>69</v>
      </c>
      <c r="B203" t="s">
        <v>41</v>
      </c>
      <c r="C203">
        <v>0</v>
      </c>
      <c r="D203" t="e">
        <f>IF(AND(gamma!C80=1, VLOOKUP($A203,'40Trips'!$A$43:$I$46, 3,FALSE)=VLOOKUP(D$1,'40Trips'!$A$3:$I$42,3,FALSE)),1,0)</f>
        <v>#N/A</v>
      </c>
    </row>
    <row r="204" spans="1:4" x14ac:dyDescent="0.25">
      <c r="A204" t="s">
        <v>69</v>
      </c>
      <c r="B204" t="s">
        <v>89</v>
      </c>
      <c r="C204">
        <v>0</v>
      </c>
      <c r="D204" t="e">
        <f>IF(AND(gamma!C81=1, VLOOKUP($A204,'40Trips'!$A$43:$I$46, 3,FALSE)=VLOOKUP(D$1,'40Trips'!$A$3:$I$42,3,FALSE)),1,0)</f>
        <v>#N/A</v>
      </c>
    </row>
    <row r="205" spans="1:4" x14ac:dyDescent="0.25">
      <c r="A205" t="s">
        <v>69</v>
      </c>
      <c r="B205" t="s">
        <v>90</v>
      </c>
      <c r="C205">
        <v>0</v>
      </c>
      <c r="D205" t="e">
        <f>IF(AND(gamma!C82=1, VLOOKUP($A205,'40Trips'!$A$43:$I$46, 3,FALSE)=VLOOKUP(D$1,'40Trips'!$A$3:$I$42,3,FALSE)),1,0)</f>
        <v>#N/A</v>
      </c>
    </row>
    <row r="206" spans="1:4" x14ac:dyDescent="0.25">
      <c r="A206" t="s">
        <v>69</v>
      </c>
      <c r="B206" t="s">
        <v>91</v>
      </c>
      <c r="C206">
        <v>0</v>
      </c>
      <c r="D206" t="e">
        <f>IF(AND(gamma!C83=1, VLOOKUP($A206,'40Trips'!$A$43:$I$46, 3,FALSE)=VLOOKUP(D$1,'40Trips'!$A$3:$I$42,3,FALSE)),1,0)</f>
        <v>#N/A</v>
      </c>
    </row>
  </sheetData>
  <phoneticPr fontId="18" type="noConversion"/>
  <conditionalFormatting sqref="D3:AQ42 E44:AQ83 E85:AQ124 D43:D206 E126:AQ16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FC9F-5FF4-492B-AF79-E5E6F4700E6E}">
  <dimension ref="A1:AP42"/>
  <sheetViews>
    <sheetView topLeftCell="A25" workbookViewId="0">
      <selection activeCell="N48" sqref="N48"/>
    </sheetView>
  </sheetViews>
  <sheetFormatPr defaultRowHeight="15" x14ac:dyDescent="0.25"/>
  <sheetData>
    <row r="1" spans="1:42" x14ac:dyDescent="0.25">
      <c r="B1" t="s">
        <v>46</v>
      </c>
      <c r="C1" t="s">
        <v>6</v>
      </c>
      <c r="D1" t="s">
        <v>9</v>
      </c>
      <c r="E1" t="s">
        <v>10</v>
      </c>
      <c r="F1" t="s">
        <v>11</v>
      </c>
      <c r="G1" t="s">
        <v>18</v>
      </c>
      <c r="H1" t="s">
        <v>20</v>
      </c>
      <c r="I1" t="s">
        <v>21</v>
      </c>
      <c r="J1" t="s">
        <v>22</v>
      </c>
      <c r="K1" t="s">
        <v>24</v>
      </c>
      <c r="L1" t="s">
        <v>73</v>
      </c>
      <c r="M1" t="s">
        <v>74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75</v>
      </c>
      <c r="T1" t="s">
        <v>76</v>
      </c>
      <c r="U1" t="s">
        <v>77</v>
      </c>
      <c r="V1" t="s">
        <v>78</v>
      </c>
      <c r="W1" t="s">
        <v>34</v>
      </c>
      <c r="X1" t="s">
        <v>35</v>
      </c>
      <c r="Y1" t="s">
        <v>36</v>
      </c>
      <c r="Z1" t="s">
        <v>37</v>
      </c>
      <c r="AA1" t="s">
        <v>79</v>
      </c>
      <c r="AB1" t="s">
        <v>80</v>
      </c>
      <c r="AC1" t="s">
        <v>81</v>
      </c>
      <c r="AD1" t="s">
        <v>82</v>
      </c>
      <c r="AE1" t="s">
        <v>39</v>
      </c>
      <c r="AF1" t="s">
        <v>83</v>
      </c>
      <c r="AG1" t="s">
        <v>84</v>
      </c>
      <c r="AH1" t="s">
        <v>85</v>
      </c>
      <c r="AI1" t="s">
        <v>40</v>
      </c>
      <c r="AJ1" t="s">
        <v>86</v>
      </c>
      <c r="AK1" t="s">
        <v>87</v>
      </c>
      <c r="AL1" t="s">
        <v>88</v>
      </c>
      <c r="AM1" t="s">
        <v>41</v>
      </c>
      <c r="AN1" t="s">
        <v>89</v>
      </c>
      <c r="AO1" t="s">
        <v>90</v>
      </c>
      <c r="AP1" t="s">
        <v>91</v>
      </c>
    </row>
    <row r="2" spans="1:42" x14ac:dyDescent="0.2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6</v>
      </c>
      <c r="B3">
        <v>0</v>
      </c>
      <c r="C3">
        <f>IF(AND(SUM(VLOOKUP($A3,'40Trips'!$A$3:$I$42,2,FALSE),VLOOKUP(C$1,'40Trips'!$A$3:$I$42,2,FALSE))&lt;='40Trips'!$K$16,$A3&lt;&gt;C$1,gamma!C3=1),(VLOOKUP(C$1,'40Trips'!$A$3:$I$42,8,FALSE))-(VLOOKUP($A3,'40Trips'!$A$3:$I$42,9,FALSE)),0)</f>
        <v>0</v>
      </c>
      <c r="D3">
        <f>IF(AND(SUM(VLOOKUP($A3,'40Trips'!$A$3:$I$42,2,FALSE),VLOOKUP(D$1,'40Trips'!$A$3:$I$42,2,FALSE))&lt;='40Trips'!$K$16,$A3&lt;&gt;D$1,gamma!D3=1),(VLOOKUP(D$1,'40Trips'!$A$3:$I$42,8,FALSE))-(VLOOKUP($A3,'40Trips'!$A$3:$I$42,9,FALSE)),0)</f>
        <v>45</v>
      </c>
      <c r="E3">
        <f>IF(AND(SUM(VLOOKUP($A3,'40Trips'!$A$3:$I$42,2,FALSE),VLOOKUP(E$1,'40Trips'!$A$3:$I$42,2,FALSE))&lt;='40Trips'!$K$16,$A3&lt;&gt;E$1,gamma!E3=1),(VLOOKUP(E$1,'40Trips'!$A$3:$I$42,8,FALSE))-(VLOOKUP($A3,'40Trips'!$A$3:$I$42,9,FALSE)),0)</f>
        <v>135</v>
      </c>
      <c r="F3">
        <f>IF(AND(SUM(VLOOKUP($A3,'40Trips'!$A$3:$I$42,2,FALSE),VLOOKUP(F$1,'40Trips'!$A$3:$I$42,2,FALSE))&lt;='40Trips'!$K$16,$A3&lt;&gt;F$1,gamma!F3=1),(VLOOKUP(F$1,'40Trips'!$A$3:$I$42,8,FALSE))-(VLOOKUP($A3,'40Trips'!$A$3:$I$42,9,FALSE)),0)</f>
        <v>225</v>
      </c>
      <c r="G3">
        <f>IF(AND(SUM(VLOOKUP($A3,'40Trips'!$A$3:$I$42,2,FALSE),VLOOKUP(G$1,'40Trips'!$A$3:$I$42,2,FALSE))&lt;='40Trips'!$K$16,$A3&lt;&gt;G$1,gamma!G3=1),(VLOOKUP(G$1,'40Trips'!$A$3:$I$42,8,FALSE))-(VLOOKUP($A3,'40Trips'!$A$3:$I$42,9,FALSE)),0)</f>
        <v>0</v>
      </c>
      <c r="H3">
        <f>IF(AND(SUM(VLOOKUP($A3,'40Trips'!$A$3:$I$42,2,FALSE),VLOOKUP(H$1,'40Trips'!$A$3:$I$42,2,FALSE))&lt;='40Trips'!$K$16,$A3&lt;&gt;H$1,gamma!H3=1),(VLOOKUP(H$1,'40Trips'!$A$3:$I$42,8,FALSE))-(VLOOKUP($A3,'40Trips'!$A$3:$I$42,9,FALSE)),0)</f>
        <v>0</v>
      </c>
      <c r="I3">
        <f>IF(AND(SUM(VLOOKUP($A3,'40Trips'!$A$3:$I$42,2,FALSE),VLOOKUP(I$1,'40Trips'!$A$3:$I$42,2,FALSE))&lt;='40Trips'!$K$16,$A3&lt;&gt;I$1,gamma!I3=1),(VLOOKUP(I$1,'40Trips'!$A$3:$I$42,8,FALSE))-(VLOOKUP($A3,'40Trips'!$A$3:$I$42,9,FALSE)),0)</f>
        <v>100</v>
      </c>
      <c r="J3">
        <f>IF(AND(SUM(VLOOKUP($A3,'40Trips'!$A$3:$I$42,2,FALSE),VLOOKUP(J$1,'40Trips'!$A$3:$I$42,2,FALSE))&lt;='40Trips'!$K$16,$A3&lt;&gt;J$1,gamma!J3=1),(VLOOKUP(J$1,'40Trips'!$A$3:$I$42,8,FALSE))-(VLOOKUP($A3,'40Trips'!$A$3:$I$42,9,FALSE)),0)</f>
        <v>460</v>
      </c>
      <c r="K3">
        <f>IF(AND(SUM(VLOOKUP($A3,'40Trips'!$A$3:$I$42,2,FALSE),VLOOKUP(K$1,'40Trips'!$A$3:$I$42,2,FALSE))&lt;='40Trips'!$K$16,$A3&lt;&gt;K$1,gamma!K3=1),(VLOOKUP(K$1,'40Trips'!$A$3:$I$42,8,FALSE))-(VLOOKUP($A3,'40Trips'!$A$3:$I$42,9,FALSE)),0)</f>
        <v>0</v>
      </c>
      <c r="L3">
        <f>IF(AND(SUM(VLOOKUP($A3,'40Trips'!$A$3:$I$42,2,FALSE),VLOOKUP(L$1,'40Trips'!$A$3:$I$42,2,FALSE))&lt;='40Trips'!$K$16,$A3&lt;&gt;L$1,gamma!L3=1),(VLOOKUP(L$1,'40Trips'!$A$3:$I$42,8,FALSE))-(VLOOKUP($A3,'40Trips'!$A$3:$I$42,9,FALSE)),0)</f>
        <v>0</v>
      </c>
      <c r="M3">
        <f>IF(AND(SUM(VLOOKUP($A3,'40Trips'!$A$3:$I$42,2,FALSE),VLOOKUP(M$1,'40Trips'!$A$3:$I$42,2,FALSE))&lt;='40Trips'!$K$16,$A3&lt;&gt;M$1,gamma!M3=1),(VLOOKUP(M$1,'40Trips'!$A$3:$I$42,8,FALSE))-(VLOOKUP($A3,'40Trips'!$A$3:$I$42,9,FALSE)),0)</f>
        <v>95</v>
      </c>
      <c r="N3">
        <f>IF(AND(SUM(VLOOKUP($A3,'40Trips'!$A$3:$I$42,2,FALSE),VLOOKUP(N$1,'40Trips'!$A$3:$I$42,2,FALSE))&lt;='40Trips'!$K$16,$A3&lt;&gt;N$1,gamma!N3=1),(VLOOKUP(N$1,'40Trips'!$A$3:$I$42,8,FALSE))-(VLOOKUP($A3,'40Trips'!$A$3:$I$42,9,FALSE)),0)</f>
        <v>0</v>
      </c>
      <c r="O3">
        <f>IF(AND(SUM(VLOOKUP($A3,'40Trips'!$A$3:$I$42,2,FALSE),VLOOKUP(O$1,'40Trips'!$A$3:$I$42,2,FALSE))&lt;='40Trips'!$K$16,$A3&lt;&gt;O$1,gamma!O3=1),(VLOOKUP(O$1,'40Trips'!$A$3:$I$42,8,FALSE))-(VLOOKUP($A3,'40Trips'!$A$3:$I$42,9,FALSE)),0)</f>
        <v>0</v>
      </c>
      <c r="P3">
        <f>IF(AND(SUM(VLOOKUP($A3,'40Trips'!$A$3:$I$42,2,FALSE),VLOOKUP(P$1,'40Trips'!$A$3:$I$42,2,FALSE))&lt;='40Trips'!$K$16,$A3&lt;&gt;P$1,gamma!P3=1),(VLOOKUP(P$1,'40Trips'!$A$3:$I$42,8,FALSE))-(VLOOKUP($A3,'40Trips'!$A$3:$I$42,9,FALSE)),0)</f>
        <v>25</v>
      </c>
      <c r="Q3">
        <f>IF(AND(SUM(VLOOKUP($A3,'40Trips'!$A$3:$I$42,2,FALSE),VLOOKUP(Q$1,'40Trips'!$A$3:$I$42,2,FALSE))&lt;='40Trips'!$K$16,$A3&lt;&gt;Q$1,gamma!Q3=1),(VLOOKUP(Q$1,'40Trips'!$A$3:$I$42,8,FALSE))-(VLOOKUP($A3,'40Trips'!$A$3:$I$42,9,FALSE)),0)</f>
        <v>115</v>
      </c>
      <c r="R3">
        <f>IF(AND(SUM(VLOOKUP($A3,'40Trips'!$A$3:$I$42,2,FALSE),VLOOKUP(R$1,'40Trips'!$A$3:$I$42,2,FALSE))&lt;='40Trips'!$K$16,$A3&lt;&gt;R$1,gamma!R3=1),(VLOOKUP(R$1,'40Trips'!$A$3:$I$42,8,FALSE))-(VLOOKUP($A3,'40Trips'!$A$3:$I$42,9,FALSE)),0)</f>
        <v>205</v>
      </c>
      <c r="S3">
        <f>IF(AND(SUM(VLOOKUP($A3,'40Trips'!$A$3:$I$42,2,FALSE),VLOOKUP(S$1,'40Trips'!$A$3:$I$42,2,FALSE))&lt;='40Trips'!$K$16,$A3&lt;&gt;S$1,gamma!S3=1),(VLOOKUP(S$1,'40Trips'!$A$3:$I$42,8,FALSE))-(VLOOKUP($A3,'40Trips'!$A$3:$I$42,9,FALSE)),0)</f>
        <v>0</v>
      </c>
      <c r="T3">
        <f>IF(AND(SUM(VLOOKUP($A3,'40Trips'!$A$3:$I$42,2,FALSE),VLOOKUP(T$1,'40Trips'!$A$3:$I$42,2,FALSE))&lt;='40Trips'!$K$16,$A3&lt;&gt;T$1,gamma!T3=1),(VLOOKUP(T$1,'40Trips'!$A$3:$I$42,8,FALSE))-(VLOOKUP($A3,'40Trips'!$A$3:$I$42,9,FALSE)),0)</f>
        <v>0</v>
      </c>
      <c r="U3">
        <f>IF(AND(SUM(VLOOKUP($A3,'40Trips'!$A$3:$I$42,2,FALSE),VLOOKUP(U$1,'40Trips'!$A$3:$I$42,2,FALSE))&lt;='40Trips'!$K$16,$A3&lt;&gt;U$1,gamma!U3=1),(VLOOKUP(U$1,'40Trips'!$A$3:$I$42,8,FALSE))-(VLOOKUP($A3,'40Trips'!$A$3:$I$42,9,FALSE)),0)</f>
        <v>105</v>
      </c>
      <c r="V3">
        <f>IF(AND(SUM(VLOOKUP($A3,'40Trips'!$A$3:$I$42,2,FALSE),VLOOKUP(V$1,'40Trips'!$A$3:$I$42,2,FALSE))&lt;='40Trips'!$K$16,$A3&lt;&gt;V$1,gamma!V3=1),(VLOOKUP(V$1,'40Trips'!$A$3:$I$42,8,FALSE))-(VLOOKUP($A3,'40Trips'!$A$3:$I$42,9,FALSE)),0)</f>
        <v>255</v>
      </c>
      <c r="W3">
        <f>IF(AND(SUM(VLOOKUP($A3,'40Trips'!$A$3:$I$42,2,FALSE),VLOOKUP(W$1,'40Trips'!$A$3:$I$42,2,FALSE))&lt;='40Trips'!$K$16,$A3&lt;&gt;W$1,gamma!W3=1),(VLOOKUP(W$1,'40Trips'!$A$3:$I$42,8,FALSE))-(VLOOKUP($A3,'40Trips'!$A$3:$I$42,9,FALSE)),0)</f>
        <v>0</v>
      </c>
      <c r="X3">
        <f>IF(AND(SUM(VLOOKUP($A3,'40Trips'!$A$3:$I$42,2,FALSE),VLOOKUP(X$1,'40Trips'!$A$3:$I$42,2,FALSE))&lt;='40Trips'!$K$16,$A3&lt;&gt;X$1,gamma!X3=1),(VLOOKUP(X$1,'40Trips'!$A$3:$I$42,8,FALSE))-(VLOOKUP($A3,'40Trips'!$A$3:$I$42,9,FALSE)),0)</f>
        <v>45</v>
      </c>
      <c r="Y3">
        <f>IF(AND(SUM(VLOOKUP($A3,'40Trips'!$A$3:$I$42,2,FALSE),VLOOKUP(Y$1,'40Trips'!$A$3:$I$42,2,FALSE))&lt;='40Trips'!$K$16,$A3&lt;&gt;Y$1,gamma!Y3=1),(VLOOKUP(Y$1,'40Trips'!$A$3:$I$42,8,FALSE))-(VLOOKUP($A3,'40Trips'!$A$3:$I$42,9,FALSE)),0)</f>
        <v>165</v>
      </c>
      <c r="Z3">
        <f>IF(AND(SUM(VLOOKUP($A3,'40Trips'!$A$3:$I$42,2,FALSE),VLOOKUP(Z$1,'40Trips'!$A$3:$I$42,2,FALSE))&lt;='40Trips'!$K$16,$A3&lt;&gt;Z$1,gamma!Z3=1),(VLOOKUP(Z$1,'40Trips'!$A$3:$I$42,8,FALSE))-(VLOOKUP($A3,'40Trips'!$A$3:$I$42,9,FALSE)),0)</f>
        <v>225</v>
      </c>
      <c r="AA3">
        <f>IF(AND(SUM(VLOOKUP($A3,'40Trips'!$A$3:$I$42,2,FALSE),VLOOKUP(AA$1,'40Trips'!$A$3:$I$42,2,FALSE))&lt;='40Trips'!$K$16,$A3&lt;&gt;AA$1,gamma!AA3=1),(VLOOKUP(AA$1,'40Trips'!$A$3:$I$42,8,FALSE))-(VLOOKUP($A3,'40Trips'!$A$3:$I$42,9,FALSE)),0)</f>
        <v>0</v>
      </c>
      <c r="AB3">
        <f>IF(AND(SUM(VLOOKUP($A3,'40Trips'!$A$3:$I$42,2,FALSE),VLOOKUP(AB$1,'40Trips'!$A$3:$I$42,2,FALSE))&lt;='40Trips'!$K$16,$A3&lt;&gt;AB$1,gamma!AB3=1),(VLOOKUP(AB$1,'40Trips'!$A$3:$I$42,8,FALSE))-(VLOOKUP($A3,'40Trips'!$A$3:$I$42,9,FALSE)),0)</f>
        <v>0</v>
      </c>
      <c r="AC3">
        <f>IF(AND(SUM(VLOOKUP($A3,'40Trips'!$A$3:$I$42,2,FALSE),VLOOKUP(AC$1,'40Trips'!$A$3:$I$42,2,FALSE))&lt;='40Trips'!$K$16,$A3&lt;&gt;AC$1,gamma!AC3=1),(VLOOKUP(AC$1,'40Trips'!$A$3:$I$42,8,FALSE))-(VLOOKUP($A3,'40Trips'!$A$3:$I$42,9,FALSE)),0)</f>
        <v>205</v>
      </c>
      <c r="AD3">
        <f>IF(AND(SUM(VLOOKUP($A3,'40Trips'!$A$3:$I$42,2,FALSE),VLOOKUP(AD$1,'40Trips'!$A$3:$I$42,2,FALSE))&lt;='40Trips'!$K$16,$A3&lt;&gt;AD$1,gamma!AD3=1),(VLOOKUP(AD$1,'40Trips'!$A$3:$I$42,8,FALSE))-(VLOOKUP($A3,'40Trips'!$A$3:$I$42,9,FALSE)),0)</f>
        <v>255</v>
      </c>
      <c r="AE3">
        <f>IF(AND(SUM(VLOOKUP($A3,'40Trips'!$A$3:$I$42,2,FALSE),VLOOKUP(AE$1,'40Trips'!$A$3:$I$42,2,FALSE))&lt;='40Trips'!$K$16,$A3&lt;&gt;AE$1,gamma!AE3=1),(VLOOKUP(AE$1,'40Trips'!$A$3:$I$42,8,FALSE))-(VLOOKUP($A3,'40Trips'!$A$3:$I$42,9,FALSE)),0)</f>
        <v>0</v>
      </c>
      <c r="AF3">
        <f>IF(AND(SUM(VLOOKUP($A3,'40Trips'!$A$3:$I$42,2,FALSE),VLOOKUP(AF$1,'40Trips'!$A$3:$I$42,2,FALSE))&lt;='40Trips'!$K$16,$A3&lt;&gt;AF$1,gamma!AF3=1),(VLOOKUP(AF$1,'40Trips'!$A$3:$I$42,8,FALSE))-(VLOOKUP($A3,'40Trips'!$A$3:$I$42,9,FALSE)),0)</f>
        <v>0</v>
      </c>
      <c r="AG3">
        <f>IF(AND(SUM(VLOOKUP($A3,'40Trips'!$A$3:$I$42,2,FALSE),VLOOKUP(AG$1,'40Trips'!$A$3:$I$42,2,FALSE))&lt;='40Trips'!$K$16,$A3&lt;&gt;AG$1,gamma!AG3=1),(VLOOKUP(AG$1,'40Trips'!$A$3:$I$42,8,FALSE))-(VLOOKUP($A3,'40Trips'!$A$3:$I$42,9,FALSE)),0)</f>
        <v>0</v>
      </c>
      <c r="AH3">
        <f>IF(AND(SUM(VLOOKUP($A3,'40Trips'!$A$3:$I$42,2,FALSE),VLOOKUP(AH$1,'40Trips'!$A$3:$I$42,2,FALSE))&lt;='40Trips'!$K$16,$A3&lt;&gt;AH$1,gamma!AH3=1),(VLOOKUP(AH$1,'40Trips'!$A$3:$I$42,8,FALSE))-(VLOOKUP($A3,'40Trips'!$A$3:$I$42,9,FALSE)),0)</f>
        <v>70</v>
      </c>
      <c r="AI3">
        <f>IF(AND(SUM(VLOOKUP($A3,'40Trips'!$A$3:$I$42,2,FALSE),VLOOKUP(AI$1,'40Trips'!$A$3:$I$42,2,FALSE))&lt;='40Trips'!$K$16,$A3&lt;&gt;AI$1,gamma!AI3=1),(VLOOKUP(AI$1,'40Trips'!$A$3:$I$42,8,FALSE))-(VLOOKUP($A3,'40Trips'!$A$3:$I$42,9,FALSE)),0)</f>
        <v>25</v>
      </c>
      <c r="AJ3">
        <f>IF(AND(SUM(VLOOKUP($A3,'40Trips'!$A$3:$I$42,2,FALSE),VLOOKUP(AJ$1,'40Trips'!$A$3:$I$42,2,FALSE))&lt;='40Trips'!$K$16,$A3&lt;&gt;AJ$1,gamma!AJ3=1),(VLOOKUP(AJ$1,'40Trips'!$A$3:$I$42,8,FALSE))-(VLOOKUP($A3,'40Trips'!$A$3:$I$42,9,FALSE)),0)</f>
        <v>55</v>
      </c>
      <c r="AK3">
        <f>IF(AND(SUM(VLOOKUP($A3,'40Trips'!$A$3:$I$42,2,FALSE),VLOOKUP(AK$1,'40Trips'!$A$3:$I$42,2,FALSE))&lt;='40Trips'!$K$16,$A3&lt;&gt;AK$1,gamma!AK3=1),(VLOOKUP(AK$1,'40Trips'!$A$3:$I$42,8,FALSE))-(VLOOKUP($A3,'40Trips'!$A$3:$I$42,9,FALSE)),0)</f>
        <v>105</v>
      </c>
      <c r="AL3">
        <f>IF(AND(SUM(VLOOKUP($A3,'40Trips'!$A$3:$I$42,2,FALSE),VLOOKUP(AL$1,'40Trips'!$A$3:$I$42,2,FALSE))&lt;='40Trips'!$K$16,$A3&lt;&gt;AL$1,gamma!AL3=1),(VLOOKUP(AL$1,'40Trips'!$A$3:$I$42,8,FALSE))-(VLOOKUP($A3,'40Trips'!$A$3:$I$42,9,FALSE)),0)</f>
        <v>305</v>
      </c>
      <c r="AM3">
        <f>IF(AND(SUM(VLOOKUP($A3,'40Trips'!$A$3:$I$42,2,FALSE),VLOOKUP(AM$1,'40Trips'!$A$3:$I$42,2,FALSE))&lt;='40Trips'!$K$16,$A3&lt;&gt;AM$1,gamma!AM3=1),(VLOOKUP(AM$1,'40Trips'!$A$3:$I$42,8,FALSE))-(VLOOKUP($A3,'40Trips'!$A$3:$I$42,9,FALSE)),0)</f>
        <v>0</v>
      </c>
      <c r="AN3">
        <f>IF(AND(SUM(VLOOKUP($A3,'40Trips'!$A$3:$I$42,2,FALSE),VLOOKUP(AN$1,'40Trips'!$A$3:$I$42,2,FALSE))&lt;='40Trips'!$K$16,$A3&lt;&gt;AN$1,gamma!AN3=1),(VLOOKUP(AN$1,'40Trips'!$A$3:$I$42,8,FALSE))-(VLOOKUP($A3,'40Trips'!$A$3:$I$42,9,FALSE)),0)</f>
        <v>70</v>
      </c>
      <c r="AO3">
        <f>IF(AND(SUM(VLOOKUP($A3,'40Trips'!$A$3:$I$42,2,FALSE),VLOOKUP(AO$1,'40Trips'!$A$3:$I$42,2,FALSE))&lt;='40Trips'!$K$16,$A3&lt;&gt;AO$1,gamma!AO3=1),(VLOOKUP(AO$1,'40Trips'!$A$3:$I$42,8,FALSE))-(VLOOKUP($A3,'40Trips'!$A$3:$I$42,9,FALSE)),0)</f>
        <v>85</v>
      </c>
      <c r="AP3">
        <f>IF(AND(SUM(VLOOKUP($A3,'40Trips'!$A$3:$I$42,2,FALSE),VLOOKUP(AP$1,'40Trips'!$A$3:$I$42,2,FALSE))&lt;='40Trips'!$K$16,$A3&lt;&gt;AP$1,gamma!AP3=1),(VLOOKUP(AP$1,'40Trips'!$A$3:$I$42,8,FALSE))-(VLOOKUP($A3,'40Trips'!$A$3:$I$42,9,FALSE)),0)</f>
        <v>270</v>
      </c>
    </row>
    <row r="4" spans="1:42" x14ac:dyDescent="0.25">
      <c r="A4" t="s">
        <v>9</v>
      </c>
      <c r="B4">
        <v>0</v>
      </c>
      <c r="C4">
        <f>IF(AND(SUM(VLOOKUP($A4,'40Trips'!$A$3:$I$42,2,FALSE),VLOOKUP(C$1,'40Trips'!$A$3:$I$42,2,FALSE))&lt;='40Trips'!$K$16,$A4&lt;&gt;C$1,gamma!C4=1),(VLOOKUP(C$1,'40Trips'!$A$3:$I$42,8,FALSE))-(VLOOKUP($A4,'40Trips'!$A$3:$I$42,9,FALSE)),0)</f>
        <v>0</v>
      </c>
      <c r="D4">
        <f>IF(AND(SUM(VLOOKUP($A4,'40Trips'!$A$3:$I$42,2,FALSE),VLOOKUP(D$1,'40Trips'!$A$3:$I$42,2,FALSE))&lt;='40Trips'!$K$16,$A4&lt;&gt;D$1,gamma!D4=1),(VLOOKUP(D$1,'40Trips'!$A$3:$I$42,8,FALSE))-(VLOOKUP($A4,'40Trips'!$A$3:$I$42,9,FALSE)),0)</f>
        <v>0</v>
      </c>
      <c r="E4">
        <f>IF(AND(SUM(VLOOKUP($A4,'40Trips'!$A$3:$I$42,2,FALSE),VLOOKUP(E$1,'40Trips'!$A$3:$I$42,2,FALSE))&lt;='40Trips'!$K$16,$A4&lt;&gt;E$1,gamma!E4=1),(VLOOKUP(E$1,'40Trips'!$A$3:$I$42,8,FALSE))-(VLOOKUP($A4,'40Trips'!$A$3:$I$42,9,FALSE)),0)</f>
        <v>0</v>
      </c>
      <c r="F4">
        <f>IF(AND(SUM(VLOOKUP($A4,'40Trips'!$A$3:$I$42,2,FALSE),VLOOKUP(F$1,'40Trips'!$A$3:$I$42,2,FALSE))&lt;='40Trips'!$K$16,$A4&lt;&gt;F$1,gamma!F4=1),(VLOOKUP(F$1,'40Trips'!$A$3:$I$42,8,FALSE))-(VLOOKUP($A4,'40Trips'!$A$3:$I$42,9,FALSE)),0)</f>
        <v>45</v>
      </c>
      <c r="G4">
        <f>IF(AND(SUM(VLOOKUP($A4,'40Trips'!$A$3:$I$42,2,FALSE),VLOOKUP(G$1,'40Trips'!$A$3:$I$42,2,FALSE))&lt;='40Trips'!$K$16,$A4&lt;&gt;G$1,gamma!G4=1),(VLOOKUP(G$1,'40Trips'!$A$3:$I$42,8,FALSE))-(VLOOKUP($A4,'40Trips'!$A$3:$I$42,9,FALSE)),0)</f>
        <v>0</v>
      </c>
      <c r="H4">
        <f>IF(AND(SUM(VLOOKUP($A4,'40Trips'!$A$3:$I$42,2,FALSE),VLOOKUP(H$1,'40Trips'!$A$3:$I$42,2,FALSE))&lt;='40Trips'!$K$16,$A4&lt;&gt;H$1,gamma!H4=1),(VLOOKUP(H$1,'40Trips'!$A$3:$I$42,8,FALSE))-(VLOOKUP($A4,'40Trips'!$A$3:$I$42,9,FALSE)),0)</f>
        <v>0</v>
      </c>
      <c r="I4">
        <f>IF(AND(SUM(VLOOKUP($A4,'40Trips'!$A$3:$I$42,2,FALSE),VLOOKUP(I$1,'40Trips'!$A$3:$I$42,2,FALSE))&lt;='40Trips'!$K$16,$A4&lt;&gt;I$1,gamma!I4=1),(VLOOKUP(I$1,'40Trips'!$A$3:$I$42,8,FALSE))-(VLOOKUP($A4,'40Trips'!$A$3:$I$42,9,FALSE)),0)</f>
        <v>0</v>
      </c>
      <c r="J4">
        <f>IF(AND(SUM(VLOOKUP($A4,'40Trips'!$A$3:$I$42,2,FALSE),VLOOKUP(J$1,'40Trips'!$A$3:$I$42,2,FALSE))&lt;='40Trips'!$K$16,$A4&lt;&gt;J$1,gamma!J4=1),(VLOOKUP(J$1,'40Trips'!$A$3:$I$42,8,FALSE))-(VLOOKUP($A4,'40Trips'!$A$3:$I$42,9,FALSE)),0)</f>
        <v>280</v>
      </c>
      <c r="K4">
        <f>IF(AND(SUM(VLOOKUP($A4,'40Trips'!$A$3:$I$42,2,FALSE),VLOOKUP(K$1,'40Trips'!$A$3:$I$42,2,FALSE))&lt;='40Trips'!$K$16,$A4&lt;&gt;K$1,gamma!K4=1),(VLOOKUP(K$1,'40Trips'!$A$3:$I$42,8,FALSE))-(VLOOKUP($A4,'40Trips'!$A$3:$I$42,9,FALSE)),0)</f>
        <v>0</v>
      </c>
      <c r="L4">
        <f>IF(AND(SUM(VLOOKUP($A4,'40Trips'!$A$3:$I$42,2,FALSE),VLOOKUP(L$1,'40Trips'!$A$3:$I$42,2,FALSE))&lt;='40Trips'!$K$16,$A4&lt;&gt;L$1,gamma!L4=1),(VLOOKUP(L$1,'40Trips'!$A$3:$I$42,8,FALSE))-(VLOOKUP($A4,'40Trips'!$A$3:$I$42,9,FALSE)),0)</f>
        <v>0</v>
      </c>
      <c r="M4">
        <f>IF(AND(SUM(VLOOKUP($A4,'40Trips'!$A$3:$I$42,2,FALSE),VLOOKUP(M$1,'40Trips'!$A$3:$I$42,2,FALSE))&lt;='40Trips'!$K$16,$A4&lt;&gt;M$1,gamma!M4=1),(VLOOKUP(M$1,'40Trips'!$A$3:$I$42,8,FALSE))-(VLOOKUP($A4,'40Trips'!$A$3:$I$42,9,FALSE)),0)</f>
        <v>0</v>
      </c>
      <c r="N4">
        <f>IF(AND(SUM(VLOOKUP($A4,'40Trips'!$A$3:$I$42,2,FALSE),VLOOKUP(N$1,'40Trips'!$A$3:$I$42,2,FALSE))&lt;='40Trips'!$K$16,$A4&lt;&gt;N$1,gamma!N4=1),(VLOOKUP(N$1,'40Trips'!$A$3:$I$42,8,FALSE))-(VLOOKUP($A4,'40Trips'!$A$3:$I$42,9,FALSE)),0)</f>
        <v>0</v>
      </c>
      <c r="O4">
        <f>IF(AND(SUM(VLOOKUP($A4,'40Trips'!$A$3:$I$42,2,FALSE),VLOOKUP(O$1,'40Trips'!$A$3:$I$42,2,FALSE))&lt;='40Trips'!$K$16,$A4&lt;&gt;O$1,gamma!O4=1),(VLOOKUP(O$1,'40Trips'!$A$3:$I$42,8,FALSE))-(VLOOKUP($A4,'40Trips'!$A$3:$I$42,9,FALSE)),0)</f>
        <v>0</v>
      </c>
      <c r="P4">
        <f>IF(AND(SUM(VLOOKUP($A4,'40Trips'!$A$3:$I$42,2,FALSE),VLOOKUP(P$1,'40Trips'!$A$3:$I$42,2,FALSE))&lt;='40Trips'!$K$16,$A4&lt;&gt;P$1,gamma!P4=1),(VLOOKUP(P$1,'40Trips'!$A$3:$I$42,8,FALSE))-(VLOOKUP($A4,'40Trips'!$A$3:$I$42,9,FALSE)),0)</f>
        <v>0</v>
      </c>
      <c r="Q4">
        <f>IF(AND(SUM(VLOOKUP($A4,'40Trips'!$A$3:$I$42,2,FALSE),VLOOKUP(Q$1,'40Trips'!$A$3:$I$42,2,FALSE))&lt;='40Trips'!$K$16,$A4&lt;&gt;Q$1,gamma!Q4=1),(VLOOKUP(Q$1,'40Trips'!$A$3:$I$42,8,FALSE))-(VLOOKUP($A4,'40Trips'!$A$3:$I$42,9,FALSE)),0)</f>
        <v>0</v>
      </c>
      <c r="R4">
        <f>IF(AND(SUM(VLOOKUP($A4,'40Trips'!$A$3:$I$42,2,FALSE),VLOOKUP(R$1,'40Trips'!$A$3:$I$42,2,FALSE))&lt;='40Trips'!$K$16,$A4&lt;&gt;R$1,gamma!R4=1),(VLOOKUP(R$1,'40Trips'!$A$3:$I$42,8,FALSE))-(VLOOKUP($A4,'40Trips'!$A$3:$I$42,9,FALSE)),0)</f>
        <v>25</v>
      </c>
      <c r="S4">
        <f>IF(AND(SUM(VLOOKUP($A4,'40Trips'!$A$3:$I$42,2,FALSE),VLOOKUP(S$1,'40Trips'!$A$3:$I$42,2,FALSE))&lt;='40Trips'!$K$16,$A4&lt;&gt;S$1,gamma!S4=1),(VLOOKUP(S$1,'40Trips'!$A$3:$I$42,8,FALSE))-(VLOOKUP($A4,'40Trips'!$A$3:$I$42,9,FALSE)),0)</f>
        <v>0</v>
      </c>
      <c r="T4">
        <f>IF(AND(SUM(VLOOKUP($A4,'40Trips'!$A$3:$I$42,2,FALSE),VLOOKUP(T$1,'40Trips'!$A$3:$I$42,2,FALSE))&lt;='40Trips'!$K$16,$A4&lt;&gt;T$1,gamma!T4=1),(VLOOKUP(T$1,'40Trips'!$A$3:$I$42,8,FALSE))-(VLOOKUP($A4,'40Trips'!$A$3:$I$42,9,FALSE)),0)</f>
        <v>0</v>
      </c>
      <c r="U4">
        <f>IF(AND(SUM(VLOOKUP($A4,'40Trips'!$A$3:$I$42,2,FALSE),VLOOKUP(U$1,'40Trips'!$A$3:$I$42,2,FALSE))&lt;='40Trips'!$K$16,$A4&lt;&gt;U$1,gamma!U4=1),(VLOOKUP(U$1,'40Trips'!$A$3:$I$42,8,FALSE))-(VLOOKUP($A4,'40Trips'!$A$3:$I$42,9,FALSE)),0)</f>
        <v>0</v>
      </c>
      <c r="V4">
        <f>IF(AND(SUM(VLOOKUP($A4,'40Trips'!$A$3:$I$42,2,FALSE),VLOOKUP(V$1,'40Trips'!$A$3:$I$42,2,FALSE))&lt;='40Trips'!$K$16,$A4&lt;&gt;V$1,gamma!V4=1),(VLOOKUP(V$1,'40Trips'!$A$3:$I$42,8,FALSE))-(VLOOKUP($A4,'40Trips'!$A$3:$I$42,9,FALSE)),0)</f>
        <v>75</v>
      </c>
      <c r="W4">
        <f>IF(AND(SUM(VLOOKUP($A4,'40Trips'!$A$3:$I$42,2,FALSE),VLOOKUP(W$1,'40Trips'!$A$3:$I$42,2,FALSE))&lt;='40Trips'!$K$16,$A4&lt;&gt;W$1,gamma!W4=1),(VLOOKUP(W$1,'40Trips'!$A$3:$I$42,8,FALSE))-(VLOOKUP($A4,'40Trips'!$A$3:$I$42,9,FALSE)),0)</f>
        <v>0</v>
      </c>
      <c r="X4">
        <f>IF(AND(SUM(VLOOKUP($A4,'40Trips'!$A$3:$I$42,2,FALSE),VLOOKUP(X$1,'40Trips'!$A$3:$I$42,2,FALSE))&lt;='40Trips'!$K$16,$A4&lt;&gt;X$1,gamma!X4=1),(VLOOKUP(X$1,'40Trips'!$A$3:$I$42,8,FALSE))-(VLOOKUP($A4,'40Trips'!$A$3:$I$42,9,FALSE)),0)</f>
        <v>0</v>
      </c>
      <c r="Y4">
        <f>IF(AND(SUM(VLOOKUP($A4,'40Trips'!$A$3:$I$42,2,FALSE),VLOOKUP(Y$1,'40Trips'!$A$3:$I$42,2,FALSE))&lt;='40Trips'!$K$16,$A4&lt;&gt;Y$1,gamma!Y4=1),(VLOOKUP(Y$1,'40Trips'!$A$3:$I$42,8,FALSE))-(VLOOKUP($A4,'40Trips'!$A$3:$I$42,9,FALSE)),0)</f>
        <v>0</v>
      </c>
      <c r="Z4">
        <f>IF(AND(SUM(VLOOKUP($A4,'40Trips'!$A$3:$I$42,2,FALSE),VLOOKUP(Z$1,'40Trips'!$A$3:$I$42,2,FALSE))&lt;='40Trips'!$K$16,$A4&lt;&gt;Z$1,gamma!Z4=1),(VLOOKUP(Z$1,'40Trips'!$A$3:$I$42,8,FALSE))-(VLOOKUP($A4,'40Trips'!$A$3:$I$42,9,FALSE)),0)</f>
        <v>45</v>
      </c>
      <c r="AA4">
        <f>IF(AND(SUM(VLOOKUP($A4,'40Trips'!$A$3:$I$42,2,FALSE),VLOOKUP(AA$1,'40Trips'!$A$3:$I$42,2,FALSE))&lt;='40Trips'!$K$16,$A4&lt;&gt;AA$1,gamma!AA4=1),(VLOOKUP(AA$1,'40Trips'!$A$3:$I$42,8,FALSE))-(VLOOKUP($A4,'40Trips'!$A$3:$I$42,9,FALSE)),0)</f>
        <v>0</v>
      </c>
      <c r="AB4">
        <f>IF(AND(SUM(VLOOKUP($A4,'40Trips'!$A$3:$I$42,2,FALSE),VLOOKUP(AB$1,'40Trips'!$A$3:$I$42,2,FALSE))&lt;='40Trips'!$K$16,$A4&lt;&gt;AB$1,gamma!AB4=1),(VLOOKUP(AB$1,'40Trips'!$A$3:$I$42,8,FALSE))-(VLOOKUP($A4,'40Trips'!$A$3:$I$42,9,FALSE)),0)</f>
        <v>0</v>
      </c>
      <c r="AC4">
        <f>IF(AND(SUM(VLOOKUP($A4,'40Trips'!$A$3:$I$42,2,FALSE),VLOOKUP(AC$1,'40Trips'!$A$3:$I$42,2,FALSE))&lt;='40Trips'!$K$16,$A4&lt;&gt;AC$1,gamma!AC4=1),(VLOOKUP(AC$1,'40Trips'!$A$3:$I$42,8,FALSE))-(VLOOKUP($A4,'40Trips'!$A$3:$I$42,9,FALSE)),0)</f>
        <v>25</v>
      </c>
      <c r="AD4">
        <f>IF(AND(SUM(VLOOKUP($A4,'40Trips'!$A$3:$I$42,2,FALSE),VLOOKUP(AD$1,'40Trips'!$A$3:$I$42,2,FALSE))&lt;='40Trips'!$K$16,$A4&lt;&gt;AD$1,gamma!AD4=1),(VLOOKUP(AD$1,'40Trips'!$A$3:$I$42,8,FALSE))-(VLOOKUP($A4,'40Trips'!$A$3:$I$42,9,FALSE)),0)</f>
        <v>75</v>
      </c>
      <c r="AE4">
        <f>IF(AND(SUM(VLOOKUP($A4,'40Trips'!$A$3:$I$42,2,FALSE),VLOOKUP(AE$1,'40Trips'!$A$3:$I$42,2,FALSE))&lt;='40Trips'!$K$16,$A4&lt;&gt;AE$1,gamma!AE4=1),(VLOOKUP(AE$1,'40Trips'!$A$3:$I$42,8,FALSE))-(VLOOKUP($A4,'40Trips'!$A$3:$I$42,9,FALSE)),0)</f>
        <v>0</v>
      </c>
      <c r="AF4">
        <f>IF(AND(SUM(VLOOKUP($A4,'40Trips'!$A$3:$I$42,2,FALSE),VLOOKUP(AF$1,'40Trips'!$A$3:$I$42,2,FALSE))&lt;='40Trips'!$K$16,$A4&lt;&gt;AF$1,gamma!AF4=1),(VLOOKUP(AF$1,'40Trips'!$A$3:$I$42,8,FALSE))-(VLOOKUP($A4,'40Trips'!$A$3:$I$42,9,FALSE)),0)</f>
        <v>0</v>
      </c>
      <c r="AG4">
        <f>IF(AND(SUM(VLOOKUP($A4,'40Trips'!$A$3:$I$42,2,FALSE),VLOOKUP(AG$1,'40Trips'!$A$3:$I$42,2,FALSE))&lt;='40Trips'!$K$16,$A4&lt;&gt;AG$1,gamma!AG4=1),(VLOOKUP(AG$1,'40Trips'!$A$3:$I$42,8,FALSE))-(VLOOKUP($A4,'40Trips'!$A$3:$I$42,9,FALSE)),0)</f>
        <v>0</v>
      </c>
      <c r="AH4">
        <f>IF(AND(SUM(VLOOKUP($A4,'40Trips'!$A$3:$I$42,2,FALSE),VLOOKUP(AH$1,'40Trips'!$A$3:$I$42,2,FALSE))&lt;='40Trips'!$K$16,$A4&lt;&gt;AH$1,gamma!AH4=1),(VLOOKUP(AH$1,'40Trips'!$A$3:$I$42,8,FALSE))-(VLOOKUP($A4,'40Trips'!$A$3:$I$42,9,FALSE)),0)</f>
        <v>0</v>
      </c>
      <c r="AI4">
        <f>IF(AND(SUM(VLOOKUP($A4,'40Trips'!$A$3:$I$42,2,FALSE),VLOOKUP(AI$1,'40Trips'!$A$3:$I$42,2,FALSE))&lt;='40Trips'!$K$16,$A4&lt;&gt;AI$1,gamma!AI4=1),(VLOOKUP(AI$1,'40Trips'!$A$3:$I$42,8,FALSE))-(VLOOKUP($A4,'40Trips'!$A$3:$I$42,9,FALSE)),0)</f>
        <v>0</v>
      </c>
      <c r="AJ4">
        <f>IF(AND(SUM(VLOOKUP($A4,'40Trips'!$A$3:$I$42,2,FALSE),VLOOKUP(AJ$1,'40Trips'!$A$3:$I$42,2,FALSE))&lt;='40Trips'!$K$16,$A4&lt;&gt;AJ$1,gamma!AJ4=1),(VLOOKUP(AJ$1,'40Trips'!$A$3:$I$42,8,FALSE))-(VLOOKUP($A4,'40Trips'!$A$3:$I$42,9,FALSE)),0)</f>
        <v>0</v>
      </c>
      <c r="AK4">
        <f>IF(AND(SUM(VLOOKUP($A4,'40Trips'!$A$3:$I$42,2,FALSE),VLOOKUP(AK$1,'40Trips'!$A$3:$I$42,2,FALSE))&lt;='40Trips'!$K$16,$A4&lt;&gt;AK$1,gamma!AK4=1),(VLOOKUP(AK$1,'40Trips'!$A$3:$I$42,8,FALSE))-(VLOOKUP($A4,'40Trips'!$A$3:$I$42,9,FALSE)),0)</f>
        <v>0</v>
      </c>
      <c r="AL4">
        <f>IF(AND(SUM(VLOOKUP($A4,'40Trips'!$A$3:$I$42,2,FALSE),VLOOKUP(AL$1,'40Trips'!$A$3:$I$42,2,FALSE))&lt;='40Trips'!$K$16,$A4&lt;&gt;AL$1,gamma!AL4=1),(VLOOKUP(AL$1,'40Trips'!$A$3:$I$42,8,FALSE))-(VLOOKUP($A4,'40Trips'!$A$3:$I$42,9,FALSE)),0)</f>
        <v>125</v>
      </c>
      <c r="AM4">
        <f>IF(AND(SUM(VLOOKUP($A4,'40Trips'!$A$3:$I$42,2,FALSE),VLOOKUP(AM$1,'40Trips'!$A$3:$I$42,2,FALSE))&lt;='40Trips'!$K$16,$A4&lt;&gt;AM$1,gamma!AM4=1),(VLOOKUP(AM$1,'40Trips'!$A$3:$I$42,8,FALSE))-(VLOOKUP($A4,'40Trips'!$A$3:$I$42,9,FALSE)),0)</f>
        <v>0</v>
      </c>
      <c r="AN4">
        <f>IF(AND(SUM(VLOOKUP($A4,'40Trips'!$A$3:$I$42,2,FALSE),VLOOKUP(AN$1,'40Trips'!$A$3:$I$42,2,FALSE))&lt;='40Trips'!$K$16,$A4&lt;&gt;AN$1,gamma!AN4=1),(VLOOKUP(AN$1,'40Trips'!$A$3:$I$42,8,FALSE))-(VLOOKUP($A4,'40Trips'!$A$3:$I$42,9,FALSE)),0)</f>
        <v>0</v>
      </c>
      <c r="AO4">
        <f>IF(AND(SUM(VLOOKUP($A4,'40Trips'!$A$3:$I$42,2,FALSE),VLOOKUP(AO$1,'40Trips'!$A$3:$I$42,2,FALSE))&lt;='40Trips'!$K$16,$A4&lt;&gt;AO$1,gamma!AO4=1),(VLOOKUP(AO$1,'40Trips'!$A$3:$I$42,8,FALSE))-(VLOOKUP($A4,'40Trips'!$A$3:$I$42,9,FALSE)),0)</f>
        <v>0</v>
      </c>
      <c r="AP4">
        <f>IF(AND(SUM(VLOOKUP($A4,'40Trips'!$A$3:$I$42,2,FALSE),VLOOKUP(AP$1,'40Trips'!$A$3:$I$42,2,FALSE))&lt;='40Trips'!$K$16,$A4&lt;&gt;AP$1,gamma!AP4=1),(VLOOKUP(AP$1,'40Trips'!$A$3:$I$42,8,FALSE))-(VLOOKUP($A4,'40Trips'!$A$3:$I$42,9,FALSE)),0)</f>
        <v>90</v>
      </c>
    </row>
    <row r="5" spans="1:42" x14ac:dyDescent="0.25">
      <c r="A5" t="s">
        <v>10</v>
      </c>
      <c r="B5">
        <v>0</v>
      </c>
      <c r="C5">
        <f>IF(AND(SUM(VLOOKUP($A5,'40Trips'!$A$3:$I$42,2,FALSE),VLOOKUP(C$1,'40Trips'!$A$3:$I$42,2,FALSE))&lt;='40Trips'!$K$16,$A5&lt;&gt;C$1,gamma!C5=1),(VLOOKUP(C$1,'40Trips'!$A$3:$I$42,8,FALSE))-(VLOOKUP($A5,'40Trips'!$A$3:$I$42,9,FALSE)),0)</f>
        <v>0</v>
      </c>
      <c r="D5">
        <f>IF(AND(SUM(VLOOKUP($A5,'40Trips'!$A$3:$I$42,2,FALSE),VLOOKUP(D$1,'40Trips'!$A$3:$I$42,2,FALSE))&lt;='40Trips'!$K$16,$A5&lt;&gt;D$1,gamma!D5=1),(VLOOKUP(D$1,'40Trips'!$A$3:$I$42,8,FALSE))-(VLOOKUP($A5,'40Trips'!$A$3:$I$42,9,FALSE)),0)</f>
        <v>0</v>
      </c>
      <c r="E5">
        <f>IF(AND(SUM(VLOOKUP($A5,'40Trips'!$A$3:$I$42,2,FALSE),VLOOKUP(E$1,'40Trips'!$A$3:$I$42,2,FALSE))&lt;='40Trips'!$K$16,$A5&lt;&gt;E$1,gamma!E5=1),(VLOOKUP(E$1,'40Trips'!$A$3:$I$42,8,FALSE))-(VLOOKUP($A5,'40Trips'!$A$3:$I$42,9,FALSE)),0)</f>
        <v>0</v>
      </c>
      <c r="F5">
        <f>IF(AND(SUM(VLOOKUP($A5,'40Trips'!$A$3:$I$42,2,FALSE),VLOOKUP(F$1,'40Trips'!$A$3:$I$42,2,FALSE))&lt;='40Trips'!$K$16,$A5&lt;&gt;F$1,gamma!F5=1),(VLOOKUP(F$1,'40Trips'!$A$3:$I$42,8,FALSE))-(VLOOKUP($A5,'40Trips'!$A$3:$I$42,9,FALSE)),0)</f>
        <v>0</v>
      </c>
      <c r="G5">
        <f>IF(AND(SUM(VLOOKUP($A5,'40Trips'!$A$3:$I$42,2,FALSE),VLOOKUP(G$1,'40Trips'!$A$3:$I$42,2,FALSE))&lt;='40Trips'!$K$16,$A5&lt;&gt;G$1,gamma!G5=1),(VLOOKUP(G$1,'40Trips'!$A$3:$I$42,8,FALSE))-(VLOOKUP($A5,'40Trips'!$A$3:$I$42,9,FALSE)),0)</f>
        <v>0</v>
      </c>
      <c r="H5">
        <f>IF(AND(SUM(VLOOKUP($A5,'40Trips'!$A$3:$I$42,2,FALSE),VLOOKUP(H$1,'40Trips'!$A$3:$I$42,2,FALSE))&lt;='40Trips'!$K$16,$A5&lt;&gt;H$1,gamma!H5=1),(VLOOKUP(H$1,'40Trips'!$A$3:$I$42,8,FALSE))-(VLOOKUP($A5,'40Trips'!$A$3:$I$42,9,FALSE)),0)</f>
        <v>0</v>
      </c>
      <c r="I5">
        <f>IF(AND(SUM(VLOOKUP($A5,'40Trips'!$A$3:$I$42,2,FALSE),VLOOKUP(I$1,'40Trips'!$A$3:$I$42,2,FALSE))&lt;='40Trips'!$K$16,$A5&lt;&gt;I$1,gamma!I5=1),(VLOOKUP(I$1,'40Trips'!$A$3:$I$42,8,FALSE))-(VLOOKUP($A5,'40Trips'!$A$3:$I$42,9,FALSE)),0)</f>
        <v>0</v>
      </c>
      <c r="J5">
        <f>IF(AND(SUM(VLOOKUP($A5,'40Trips'!$A$3:$I$42,2,FALSE),VLOOKUP(J$1,'40Trips'!$A$3:$I$42,2,FALSE))&lt;='40Trips'!$K$16,$A5&lt;&gt;J$1,gamma!J5=1),(VLOOKUP(J$1,'40Trips'!$A$3:$I$42,8,FALSE))-(VLOOKUP($A5,'40Trips'!$A$3:$I$42,9,FALSE)),0)</f>
        <v>190</v>
      </c>
      <c r="K5">
        <f>IF(AND(SUM(VLOOKUP($A5,'40Trips'!$A$3:$I$42,2,FALSE),VLOOKUP(K$1,'40Trips'!$A$3:$I$42,2,FALSE))&lt;='40Trips'!$K$16,$A5&lt;&gt;K$1,gamma!K5=1),(VLOOKUP(K$1,'40Trips'!$A$3:$I$42,8,FALSE))-(VLOOKUP($A5,'40Trips'!$A$3:$I$42,9,FALSE)),0)</f>
        <v>0</v>
      </c>
      <c r="L5">
        <f>IF(AND(SUM(VLOOKUP($A5,'40Trips'!$A$3:$I$42,2,FALSE),VLOOKUP(L$1,'40Trips'!$A$3:$I$42,2,FALSE))&lt;='40Trips'!$K$16,$A5&lt;&gt;L$1,gamma!L5=1),(VLOOKUP(L$1,'40Trips'!$A$3:$I$42,8,FALSE))-(VLOOKUP($A5,'40Trips'!$A$3:$I$42,9,FALSE)),0)</f>
        <v>0</v>
      </c>
      <c r="M5">
        <f>IF(AND(SUM(VLOOKUP($A5,'40Trips'!$A$3:$I$42,2,FALSE),VLOOKUP(M$1,'40Trips'!$A$3:$I$42,2,FALSE))&lt;='40Trips'!$K$16,$A5&lt;&gt;M$1,gamma!M5=1),(VLOOKUP(M$1,'40Trips'!$A$3:$I$42,8,FALSE))-(VLOOKUP($A5,'40Trips'!$A$3:$I$42,9,FALSE)),0)</f>
        <v>0</v>
      </c>
      <c r="N5">
        <f>IF(AND(SUM(VLOOKUP($A5,'40Trips'!$A$3:$I$42,2,FALSE),VLOOKUP(N$1,'40Trips'!$A$3:$I$42,2,FALSE))&lt;='40Trips'!$K$16,$A5&lt;&gt;N$1,gamma!N5=1),(VLOOKUP(N$1,'40Trips'!$A$3:$I$42,8,FALSE))-(VLOOKUP($A5,'40Trips'!$A$3:$I$42,9,FALSE)),0)</f>
        <v>0</v>
      </c>
      <c r="O5">
        <f>IF(AND(SUM(VLOOKUP($A5,'40Trips'!$A$3:$I$42,2,FALSE),VLOOKUP(O$1,'40Trips'!$A$3:$I$42,2,FALSE))&lt;='40Trips'!$K$16,$A5&lt;&gt;O$1,gamma!O5=1),(VLOOKUP(O$1,'40Trips'!$A$3:$I$42,8,FALSE))-(VLOOKUP($A5,'40Trips'!$A$3:$I$42,9,FALSE)),0)</f>
        <v>0</v>
      </c>
      <c r="P5">
        <f>IF(AND(SUM(VLOOKUP($A5,'40Trips'!$A$3:$I$42,2,FALSE),VLOOKUP(P$1,'40Trips'!$A$3:$I$42,2,FALSE))&lt;='40Trips'!$K$16,$A5&lt;&gt;P$1,gamma!P5=1),(VLOOKUP(P$1,'40Trips'!$A$3:$I$42,8,FALSE))-(VLOOKUP($A5,'40Trips'!$A$3:$I$42,9,FALSE)),0)</f>
        <v>0</v>
      </c>
      <c r="Q5">
        <f>IF(AND(SUM(VLOOKUP($A5,'40Trips'!$A$3:$I$42,2,FALSE),VLOOKUP(Q$1,'40Trips'!$A$3:$I$42,2,FALSE))&lt;='40Trips'!$K$16,$A5&lt;&gt;Q$1,gamma!Q5=1),(VLOOKUP(Q$1,'40Trips'!$A$3:$I$42,8,FALSE))-(VLOOKUP($A5,'40Trips'!$A$3:$I$42,9,FALSE)),0)</f>
        <v>0</v>
      </c>
      <c r="R5">
        <f>IF(AND(SUM(VLOOKUP($A5,'40Trips'!$A$3:$I$42,2,FALSE),VLOOKUP(R$1,'40Trips'!$A$3:$I$42,2,FALSE))&lt;='40Trips'!$K$16,$A5&lt;&gt;R$1,gamma!R5=1),(VLOOKUP(R$1,'40Trips'!$A$3:$I$42,8,FALSE))-(VLOOKUP($A5,'40Trips'!$A$3:$I$42,9,FALSE)),0)</f>
        <v>0</v>
      </c>
      <c r="S5">
        <f>IF(AND(SUM(VLOOKUP($A5,'40Trips'!$A$3:$I$42,2,FALSE),VLOOKUP(S$1,'40Trips'!$A$3:$I$42,2,FALSE))&lt;='40Trips'!$K$16,$A5&lt;&gt;S$1,gamma!S5=1),(VLOOKUP(S$1,'40Trips'!$A$3:$I$42,8,FALSE))-(VLOOKUP($A5,'40Trips'!$A$3:$I$42,9,FALSE)),0)</f>
        <v>0</v>
      </c>
      <c r="T5">
        <f>IF(AND(SUM(VLOOKUP($A5,'40Trips'!$A$3:$I$42,2,FALSE),VLOOKUP(T$1,'40Trips'!$A$3:$I$42,2,FALSE))&lt;='40Trips'!$K$16,$A5&lt;&gt;T$1,gamma!T5=1),(VLOOKUP(T$1,'40Trips'!$A$3:$I$42,8,FALSE))-(VLOOKUP($A5,'40Trips'!$A$3:$I$42,9,FALSE)),0)</f>
        <v>0</v>
      </c>
      <c r="U5">
        <f>IF(AND(SUM(VLOOKUP($A5,'40Trips'!$A$3:$I$42,2,FALSE),VLOOKUP(U$1,'40Trips'!$A$3:$I$42,2,FALSE))&lt;='40Trips'!$K$16,$A5&lt;&gt;U$1,gamma!U5=1),(VLOOKUP(U$1,'40Trips'!$A$3:$I$42,8,FALSE))-(VLOOKUP($A5,'40Trips'!$A$3:$I$42,9,FALSE)),0)</f>
        <v>0</v>
      </c>
      <c r="V5">
        <f>IF(AND(SUM(VLOOKUP($A5,'40Trips'!$A$3:$I$42,2,FALSE),VLOOKUP(V$1,'40Trips'!$A$3:$I$42,2,FALSE))&lt;='40Trips'!$K$16,$A5&lt;&gt;V$1,gamma!V5=1),(VLOOKUP(V$1,'40Trips'!$A$3:$I$42,8,FALSE))-(VLOOKUP($A5,'40Trips'!$A$3:$I$42,9,FALSE)),0)</f>
        <v>0</v>
      </c>
      <c r="W5">
        <f>IF(AND(SUM(VLOOKUP($A5,'40Trips'!$A$3:$I$42,2,FALSE),VLOOKUP(W$1,'40Trips'!$A$3:$I$42,2,FALSE))&lt;='40Trips'!$K$16,$A5&lt;&gt;W$1,gamma!W5=1),(VLOOKUP(W$1,'40Trips'!$A$3:$I$42,8,FALSE))-(VLOOKUP($A5,'40Trips'!$A$3:$I$42,9,FALSE)),0)</f>
        <v>0</v>
      </c>
      <c r="X5">
        <f>IF(AND(SUM(VLOOKUP($A5,'40Trips'!$A$3:$I$42,2,FALSE),VLOOKUP(X$1,'40Trips'!$A$3:$I$42,2,FALSE))&lt;='40Trips'!$K$16,$A5&lt;&gt;X$1,gamma!X5=1),(VLOOKUP(X$1,'40Trips'!$A$3:$I$42,8,FALSE))-(VLOOKUP($A5,'40Trips'!$A$3:$I$42,9,FALSE)),0)</f>
        <v>0</v>
      </c>
      <c r="Y5">
        <f>IF(AND(SUM(VLOOKUP($A5,'40Trips'!$A$3:$I$42,2,FALSE),VLOOKUP(Y$1,'40Trips'!$A$3:$I$42,2,FALSE))&lt;='40Trips'!$K$16,$A5&lt;&gt;Y$1,gamma!Y5=1),(VLOOKUP(Y$1,'40Trips'!$A$3:$I$42,8,FALSE))-(VLOOKUP($A5,'40Trips'!$A$3:$I$42,9,FALSE)),0)</f>
        <v>0</v>
      </c>
      <c r="Z5">
        <f>IF(AND(SUM(VLOOKUP($A5,'40Trips'!$A$3:$I$42,2,FALSE),VLOOKUP(Z$1,'40Trips'!$A$3:$I$42,2,FALSE))&lt;='40Trips'!$K$16,$A5&lt;&gt;Z$1,gamma!Z5=1),(VLOOKUP(Z$1,'40Trips'!$A$3:$I$42,8,FALSE))-(VLOOKUP($A5,'40Trips'!$A$3:$I$42,9,FALSE)),0)</f>
        <v>0</v>
      </c>
      <c r="AA5">
        <f>IF(AND(SUM(VLOOKUP($A5,'40Trips'!$A$3:$I$42,2,FALSE),VLOOKUP(AA$1,'40Trips'!$A$3:$I$42,2,FALSE))&lt;='40Trips'!$K$16,$A5&lt;&gt;AA$1,gamma!AA5=1),(VLOOKUP(AA$1,'40Trips'!$A$3:$I$42,8,FALSE))-(VLOOKUP($A5,'40Trips'!$A$3:$I$42,9,FALSE)),0)</f>
        <v>0</v>
      </c>
      <c r="AB5">
        <f>IF(AND(SUM(VLOOKUP($A5,'40Trips'!$A$3:$I$42,2,FALSE),VLOOKUP(AB$1,'40Trips'!$A$3:$I$42,2,FALSE))&lt;='40Trips'!$K$16,$A5&lt;&gt;AB$1,gamma!AB5=1),(VLOOKUP(AB$1,'40Trips'!$A$3:$I$42,8,FALSE))-(VLOOKUP($A5,'40Trips'!$A$3:$I$42,9,FALSE)),0)</f>
        <v>0</v>
      </c>
      <c r="AC5">
        <f>IF(AND(SUM(VLOOKUP($A5,'40Trips'!$A$3:$I$42,2,FALSE),VLOOKUP(AC$1,'40Trips'!$A$3:$I$42,2,FALSE))&lt;='40Trips'!$K$16,$A5&lt;&gt;AC$1,gamma!AC5=1),(VLOOKUP(AC$1,'40Trips'!$A$3:$I$42,8,FALSE))-(VLOOKUP($A5,'40Trips'!$A$3:$I$42,9,FALSE)),0)</f>
        <v>0</v>
      </c>
      <c r="AD5">
        <f>IF(AND(SUM(VLOOKUP($A5,'40Trips'!$A$3:$I$42,2,FALSE),VLOOKUP(AD$1,'40Trips'!$A$3:$I$42,2,FALSE))&lt;='40Trips'!$K$16,$A5&lt;&gt;AD$1,gamma!AD5=1),(VLOOKUP(AD$1,'40Trips'!$A$3:$I$42,8,FALSE))-(VLOOKUP($A5,'40Trips'!$A$3:$I$42,9,FALSE)),0)</f>
        <v>0</v>
      </c>
      <c r="AE5">
        <f>IF(AND(SUM(VLOOKUP($A5,'40Trips'!$A$3:$I$42,2,FALSE),VLOOKUP(AE$1,'40Trips'!$A$3:$I$42,2,FALSE))&lt;='40Trips'!$K$16,$A5&lt;&gt;AE$1,gamma!AE5=1),(VLOOKUP(AE$1,'40Trips'!$A$3:$I$42,8,FALSE))-(VLOOKUP($A5,'40Trips'!$A$3:$I$42,9,FALSE)),0)</f>
        <v>0</v>
      </c>
      <c r="AF5">
        <f>IF(AND(SUM(VLOOKUP($A5,'40Trips'!$A$3:$I$42,2,FALSE),VLOOKUP(AF$1,'40Trips'!$A$3:$I$42,2,FALSE))&lt;='40Trips'!$K$16,$A5&lt;&gt;AF$1,gamma!AF5=1),(VLOOKUP(AF$1,'40Trips'!$A$3:$I$42,8,FALSE))-(VLOOKUP($A5,'40Trips'!$A$3:$I$42,9,FALSE)),0)</f>
        <v>0</v>
      </c>
      <c r="AG5">
        <f>IF(AND(SUM(VLOOKUP($A5,'40Trips'!$A$3:$I$42,2,FALSE),VLOOKUP(AG$1,'40Trips'!$A$3:$I$42,2,FALSE))&lt;='40Trips'!$K$16,$A5&lt;&gt;AG$1,gamma!AG5=1),(VLOOKUP(AG$1,'40Trips'!$A$3:$I$42,8,FALSE))-(VLOOKUP($A5,'40Trips'!$A$3:$I$42,9,FALSE)),0)</f>
        <v>0</v>
      </c>
      <c r="AH5">
        <f>IF(AND(SUM(VLOOKUP($A5,'40Trips'!$A$3:$I$42,2,FALSE),VLOOKUP(AH$1,'40Trips'!$A$3:$I$42,2,FALSE))&lt;='40Trips'!$K$16,$A5&lt;&gt;AH$1,gamma!AH5=1),(VLOOKUP(AH$1,'40Trips'!$A$3:$I$42,8,FALSE))-(VLOOKUP($A5,'40Trips'!$A$3:$I$42,9,FALSE)),0)</f>
        <v>0</v>
      </c>
      <c r="AI5">
        <f>IF(AND(SUM(VLOOKUP($A5,'40Trips'!$A$3:$I$42,2,FALSE),VLOOKUP(AI$1,'40Trips'!$A$3:$I$42,2,FALSE))&lt;='40Trips'!$K$16,$A5&lt;&gt;AI$1,gamma!AI5=1),(VLOOKUP(AI$1,'40Trips'!$A$3:$I$42,8,FALSE))-(VLOOKUP($A5,'40Trips'!$A$3:$I$42,9,FALSE)),0)</f>
        <v>0</v>
      </c>
      <c r="AJ5">
        <f>IF(AND(SUM(VLOOKUP($A5,'40Trips'!$A$3:$I$42,2,FALSE),VLOOKUP(AJ$1,'40Trips'!$A$3:$I$42,2,FALSE))&lt;='40Trips'!$K$16,$A5&lt;&gt;AJ$1,gamma!AJ5=1),(VLOOKUP(AJ$1,'40Trips'!$A$3:$I$42,8,FALSE))-(VLOOKUP($A5,'40Trips'!$A$3:$I$42,9,FALSE)),0)</f>
        <v>0</v>
      </c>
      <c r="AK5">
        <f>IF(AND(SUM(VLOOKUP($A5,'40Trips'!$A$3:$I$42,2,FALSE),VLOOKUP(AK$1,'40Trips'!$A$3:$I$42,2,FALSE))&lt;='40Trips'!$K$16,$A5&lt;&gt;AK$1,gamma!AK5=1),(VLOOKUP(AK$1,'40Trips'!$A$3:$I$42,8,FALSE))-(VLOOKUP($A5,'40Trips'!$A$3:$I$42,9,FALSE)),0)</f>
        <v>0</v>
      </c>
      <c r="AL5">
        <f>IF(AND(SUM(VLOOKUP($A5,'40Trips'!$A$3:$I$42,2,FALSE),VLOOKUP(AL$1,'40Trips'!$A$3:$I$42,2,FALSE))&lt;='40Trips'!$K$16,$A5&lt;&gt;AL$1,gamma!AL5=1),(VLOOKUP(AL$1,'40Trips'!$A$3:$I$42,8,FALSE))-(VLOOKUP($A5,'40Trips'!$A$3:$I$42,9,FALSE)),0)</f>
        <v>35</v>
      </c>
      <c r="AM5">
        <f>IF(AND(SUM(VLOOKUP($A5,'40Trips'!$A$3:$I$42,2,FALSE),VLOOKUP(AM$1,'40Trips'!$A$3:$I$42,2,FALSE))&lt;='40Trips'!$K$16,$A5&lt;&gt;AM$1,gamma!AM5=1),(VLOOKUP(AM$1,'40Trips'!$A$3:$I$42,8,FALSE))-(VLOOKUP($A5,'40Trips'!$A$3:$I$42,9,FALSE)),0)</f>
        <v>0</v>
      </c>
      <c r="AN5">
        <f>IF(AND(SUM(VLOOKUP($A5,'40Trips'!$A$3:$I$42,2,FALSE),VLOOKUP(AN$1,'40Trips'!$A$3:$I$42,2,FALSE))&lt;='40Trips'!$K$16,$A5&lt;&gt;AN$1,gamma!AN5=1),(VLOOKUP(AN$1,'40Trips'!$A$3:$I$42,8,FALSE))-(VLOOKUP($A5,'40Trips'!$A$3:$I$42,9,FALSE)),0)</f>
        <v>0</v>
      </c>
      <c r="AO5">
        <f>IF(AND(SUM(VLOOKUP($A5,'40Trips'!$A$3:$I$42,2,FALSE),VLOOKUP(AO$1,'40Trips'!$A$3:$I$42,2,FALSE))&lt;='40Trips'!$K$16,$A5&lt;&gt;AO$1,gamma!AO5=1),(VLOOKUP(AO$1,'40Trips'!$A$3:$I$42,8,FALSE))-(VLOOKUP($A5,'40Trips'!$A$3:$I$42,9,FALSE)),0)</f>
        <v>0</v>
      </c>
      <c r="AP5">
        <f>IF(AND(SUM(VLOOKUP($A5,'40Trips'!$A$3:$I$42,2,FALSE),VLOOKUP(AP$1,'40Trips'!$A$3:$I$42,2,FALSE))&lt;='40Trips'!$K$16,$A5&lt;&gt;AP$1,gamma!AP5=1),(VLOOKUP(AP$1,'40Trips'!$A$3:$I$42,8,FALSE))-(VLOOKUP($A5,'40Trips'!$A$3:$I$42,9,FALSE)),0)</f>
        <v>0</v>
      </c>
    </row>
    <row r="6" spans="1:42" x14ac:dyDescent="0.25">
      <c r="A6" t="s">
        <v>11</v>
      </c>
      <c r="B6">
        <v>0</v>
      </c>
      <c r="C6">
        <f>IF(AND(SUM(VLOOKUP($A6,'40Trips'!$A$3:$I$42,2,FALSE),VLOOKUP(C$1,'40Trips'!$A$3:$I$42,2,FALSE))&lt;='40Trips'!$K$16,$A6&lt;&gt;C$1,gamma!C6=1),(VLOOKUP(C$1,'40Trips'!$A$3:$I$42,8,FALSE))-(VLOOKUP($A6,'40Trips'!$A$3:$I$42,9,FALSE)),0)</f>
        <v>0</v>
      </c>
      <c r="D6">
        <f>IF(AND(SUM(VLOOKUP($A6,'40Trips'!$A$3:$I$42,2,FALSE),VLOOKUP(D$1,'40Trips'!$A$3:$I$42,2,FALSE))&lt;='40Trips'!$K$16,$A6&lt;&gt;D$1,gamma!D6=1),(VLOOKUP(D$1,'40Trips'!$A$3:$I$42,8,FALSE))-(VLOOKUP($A6,'40Trips'!$A$3:$I$42,9,FALSE)),0)</f>
        <v>0</v>
      </c>
      <c r="E6">
        <f>IF(AND(SUM(VLOOKUP($A6,'40Trips'!$A$3:$I$42,2,FALSE),VLOOKUP(E$1,'40Trips'!$A$3:$I$42,2,FALSE))&lt;='40Trips'!$K$16,$A6&lt;&gt;E$1,gamma!E6=1),(VLOOKUP(E$1,'40Trips'!$A$3:$I$42,8,FALSE))-(VLOOKUP($A6,'40Trips'!$A$3:$I$42,9,FALSE)),0)</f>
        <v>0</v>
      </c>
      <c r="F6">
        <f>IF(AND(SUM(VLOOKUP($A6,'40Trips'!$A$3:$I$42,2,FALSE),VLOOKUP(F$1,'40Trips'!$A$3:$I$42,2,FALSE))&lt;='40Trips'!$K$16,$A6&lt;&gt;F$1,gamma!F6=1),(VLOOKUP(F$1,'40Trips'!$A$3:$I$42,8,FALSE))-(VLOOKUP($A6,'40Trips'!$A$3:$I$42,9,FALSE)),0)</f>
        <v>0</v>
      </c>
      <c r="G6">
        <f>IF(AND(SUM(VLOOKUP($A6,'40Trips'!$A$3:$I$42,2,FALSE),VLOOKUP(G$1,'40Trips'!$A$3:$I$42,2,FALSE))&lt;='40Trips'!$K$16,$A6&lt;&gt;G$1,gamma!G6=1),(VLOOKUP(G$1,'40Trips'!$A$3:$I$42,8,FALSE))-(VLOOKUP($A6,'40Trips'!$A$3:$I$42,9,FALSE)),0)</f>
        <v>0</v>
      </c>
      <c r="H6">
        <f>IF(AND(SUM(VLOOKUP($A6,'40Trips'!$A$3:$I$42,2,FALSE),VLOOKUP(H$1,'40Trips'!$A$3:$I$42,2,FALSE))&lt;='40Trips'!$K$16,$A6&lt;&gt;H$1,gamma!H6=1),(VLOOKUP(H$1,'40Trips'!$A$3:$I$42,8,FALSE))-(VLOOKUP($A6,'40Trips'!$A$3:$I$42,9,FALSE)),0)</f>
        <v>0</v>
      </c>
      <c r="I6">
        <f>IF(AND(SUM(VLOOKUP($A6,'40Trips'!$A$3:$I$42,2,FALSE),VLOOKUP(I$1,'40Trips'!$A$3:$I$42,2,FALSE))&lt;='40Trips'!$K$16,$A6&lt;&gt;I$1,gamma!I6=1),(VLOOKUP(I$1,'40Trips'!$A$3:$I$42,8,FALSE))-(VLOOKUP($A6,'40Trips'!$A$3:$I$42,9,FALSE)),0)</f>
        <v>0</v>
      </c>
      <c r="J6">
        <f>IF(AND(SUM(VLOOKUP($A6,'40Trips'!$A$3:$I$42,2,FALSE),VLOOKUP(J$1,'40Trips'!$A$3:$I$42,2,FALSE))&lt;='40Trips'!$K$16,$A6&lt;&gt;J$1,gamma!J6=1),(VLOOKUP(J$1,'40Trips'!$A$3:$I$42,8,FALSE))-(VLOOKUP($A6,'40Trips'!$A$3:$I$42,9,FALSE)),0)</f>
        <v>100</v>
      </c>
      <c r="K6">
        <f>IF(AND(SUM(VLOOKUP($A6,'40Trips'!$A$3:$I$42,2,FALSE),VLOOKUP(K$1,'40Trips'!$A$3:$I$42,2,FALSE))&lt;='40Trips'!$K$16,$A6&lt;&gt;K$1,gamma!K6=1),(VLOOKUP(K$1,'40Trips'!$A$3:$I$42,8,FALSE))-(VLOOKUP($A6,'40Trips'!$A$3:$I$42,9,FALSE)),0)</f>
        <v>0</v>
      </c>
      <c r="L6">
        <f>IF(AND(SUM(VLOOKUP($A6,'40Trips'!$A$3:$I$42,2,FALSE),VLOOKUP(L$1,'40Trips'!$A$3:$I$42,2,FALSE))&lt;='40Trips'!$K$16,$A6&lt;&gt;L$1,gamma!L6=1),(VLOOKUP(L$1,'40Trips'!$A$3:$I$42,8,FALSE))-(VLOOKUP($A6,'40Trips'!$A$3:$I$42,9,FALSE)),0)</f>
        <v>0</v>
      </c>
      <c r="M6">
        <f>IF(AND(SUM(VLOOKUP($A6,'40Trips'!$A$3:$I$42,2,FALSE),VLOOKUP(M$1,'40Trips'!$A$3:$I$42,2,FALSE))&lt;='40Trips'!$K$16,$A6&lt;&gt;M$1,gamma!M6=1),(VLOOKUP(M$1,'40Trips'!$A$3:$I$42,8,FALSE))-(VLOOKUP($A6,'40Trips'!$A$3:$I$42,9,FALSE)),0)</f>
        <v>0</v>
      </c>
      <c r="N6">
        <f>IF(AND(SUM(VLOOKUP($A6,'40Trips'!$A$3:$I$42,2,FALSE),VLOOKUP(N$1,'40Trips'!$A$3:$I$42,2,FALSE))&lt;='40Trips'!$K$16,$A6&lt;&gt;N$1,gamma!N6=1),(VLOOKUP(N$1,'40Trips'!$A$3:$I$42,8,FALSE))-(VLOOKUP($A6,'40Trips'!$A$3:$I$42,9,FALSE)),0)</f>
        <v>0</v>
      </c>
      <c r="O6">
        <f>IF(AND(SUM(VLOOKUP($A6,'40Trips'!$A$3:$I$42,2,FALSE),VLOOKUP(O$1,'40Trips'!$A$3:$I$42,2,FALSE))&lt;='40Trips'!$K$16,$A6&lt;&gt;O$1,gamma!O6=1),(VLOOKUP(O$1,'40Trips'!$A$3:$I$42,8,FALSE))-(VLOOKUP($A6,'40Trips'!$A$3:$I$42,9,FALSE)),0)</f>
        <v>0</v>
      </c>
      <c r="P6">
        <f>IF(AND(SUM(VLOOKUP($A6,'40Trips'!$A$3:$I$42,2,FALSE),VLOOKUP(P$1,'40Trips'!$A$3:$I$42,2,FALSE))&lt;='40Trips'!$K$16,$A6&lt;&gt;P$1,gamma!P6=1),(VLOOKUP(P$1,'40Trips'!$A$3:$I$42,8,FALSE))-(VLOOKUP($A6,'40Trips'!$A$3:$I$42,9,FALSE)),0)</f>
        <v>0</v>
      </c>
      <c r="Q6">
        <f>IF(AND(SUM(VLOOKUP($A6,'40Trips'!$A$3:$I$42,2,FALSE),VLOOKUP(Q$1,'40Trips'!$A$3:$I$42,2,FALSE))&lt;='40Trips'!$K$16,$A6&lt;&gt;Q$1,gamma!Q6=1),(VLOOKUP(Q$1,'40Trips'!$A$3:$I$42,8,FALSE))-(VLOOKUP($A6,'40Trips'!$A$3:$I$42,9,FALSE)),0)</f>
        <v>0</v>
      </c>
      <c r="R6">
        <f>IF(AND(SUM(VLOOKUP($A6,'40Trips'!$A$3:$I$42,2,FALSE),VLOOKUP(R$1,'40Trips'!$A$3:$I$42,2,FALSE))&lt;='40Trips'!$K$16,$A6&lt;&gt;R$1,gamma!R6=1),(VLOOKUP(R$1,'40Trips'!$A$3:$I$42,8,FALSE))-(VLOOKUP($A6,'40Trips'!$A$3:$I$42,9,FALSE)),0)</f>
        <v>0</v>
      </c>
      <c r="S6">
        <f>IF(AND(SUM(VLOOKUP($A6,'40Trips'!$A$3:$I$42,2,FALSE),VLOOKUP(S$1,'40Trips'!$A$3:$I$42,2,FALSE))&lt;='40Trips'!$K$16,$A6&lt;&gt;S$1,gamma!S6=1),(VLOOKUP(S$1,'40Trips'!$A$3:$I$42,8,FALSE))-(VLOOKUP($A6,'40Trips'!$A$3:$I$42,9,FALSE)),0)</f>
        <v>0</v>
      </c>
      <c r="T6">
        <f>IF(AND(SUM(VLOOKUP($A6,'40Trips'!$A$3:$I$42,2,FALSE),VLOOKUP(T$1,'40Trips'!$A$3:$I$42,2,FALSE))&lt;='40Trips'!$K$16,$A6&lt;&gt;T$1,gamma!T6=1),(VLOOKUP(T$1,'40Trips'!$A$3:$I$42,8,FALSE))-(VLOOKUP($A6,'40Trips'!$A$3:$I$42,9,FALSE)),0)</f>
        <v>0</v>
      </c>
      <c r="U6">
        <f>IF(AND(SUM(VLOOKUP($A6,'40Trips'!$A$3:$I$42,2,FALSE),VLOOKUP(U$1,'40Trips'!$A$3:$I$42,2,FALSE))&lt;='40Trips'!$K$16,$A6&lt;&gt;U$1,gamma!U6=1),(VLOOKUP(U$1,'40Trips'!$A$3:$I$42,8,FALSE))-(VLOOKUP($A6,'40Trips'!$A$3:$I$42,9,FALSE)),0)</f>
        <v>0</v>
      </c>
      <c r="V6">
        <f>IF(AND(SUM(VLOOKUP($A6,'40Trips'!$A$3:$I$42,2,FALSE),VLOOKUP(V$1,'40Trips'!$A$3:$I$42,2,FALSE))&lt;='40Trips'!$K$16,$A6&lt;&gt;V$1,gamma!V6=1),(VLOOKUP(V$1,'40Trips'!$A$3:$I$42,8,FALSE))-(VLOOKUP($A6,'40Trips'!$A$3:$I$42,9,FALSE)),0)</f>
        <v>0</v>
      </c>
      <c r="W6">
        <f>IF(AND(SUM(VLOOKUP($A6,'40Trips'!$A$3:$I$42,2,FALSE),VLOOKUP(W$1,'40Trips'!$A$3:$I$42,2,FALSE))&lt;='40Trips'!$K$16,$A6&lt;&gt;W$1,gamma!W6=1),(VLOOKUP(W$1,'40Trips'!$A$3:$I$42,8,FALSE))-(VLOOKUP($A6,'40Trips'!$A$3:$I$42,9,FALSE)),0)</f>
        <v>0</v>
      </c>
      <c r="X6">
        <f>IF(AND(SUM(VLOOKUP($A6,'40Trips'!$A$3:$I$42,2,FALSE),VLOOKUP(X$1,'40Trips'!$A$3:$I$42,2,FALSE))&lt;='40Trips'!$K$16,$A6&lt;&gt;X$1,gamma!X6=1),(VLOOKUP(X$1,'40Trips'!$A$3:$I$42,8,FALSE))-(VLOOKUP($A6,'40Trips'!$A$3:$I$42,9,FALSE)),0)</f>
        <v>0</v>
      </c>
      <c r="Y6">
        <f>IF(AND(SUM(VLOOKUP($A6,'40Trips'!$A$3:$I$42,2,FALSE),VLOOKUP(Y$1,'40Trips'!$A$3:$I$42,2,FALSE))&lt;='40Trips'!$K$16,$A6&lt;&gt;Y$1,gamma!Y6=1),(VLOOKUP(Y$1,'40Trips'!$A$3:$I$42,8,FALSE))-(VLOOKUP($A6,'40Trips'!$A$3:$I$42,9,FALSE)),0)</f>
        <v>0</v>
      </c>
      <c r="Z6">
        <f>IF(AND(SUM(VLOOKUP($A6,'40Trips'!$A$3:$I$42,2,FALSE),VLOOKUP(Z$1,'40Trips'!$A$3:$I$42,2,FALSE))&lt;='40Trips'!$K$16,$A6&lt;&gt;Z$1,gamma!Z6=1),(VLOOKUP(Z$1,'40Trips'!$A$3:$I$42,8,FALSE))-(VLOOKUP($A6,'40Trips'!$A$3:$I$42,9,FALSE)),0)</f>
        <v>0</v>
      </c>
      <c r="AA6">
        <f>IF(AND(SUM(VLOOKUP($A6,'40Trips'!$A$3:$I$42,2,FALSE),VLOOKUP(AA$1,'40Trips'!$A$3:$I$42,2,FALSE))&lt;='40Trips'!$K$16,$A6&lt;&gt;AA$1,gamma!AA6=1),(VLOOKUP(AA$1,'40Trips'!$A$3:$I$42,8,FALSE))-(VLOOKUP($A6,'40Trips'!$A$3:$I$42,9,FALSE)),0)</f>
        <v>0</v>
      </c>
      <c r="AB6">
        <f>IF(AND(SUM(VLOOKUP($A6,'40Trips'!$A$3:$I$42,2,FALSE),VLOOKUP(AB$1,'40Trips'!$A$3:$I$42,2,FALSE))&lt;='40Trips'!$K$16,$A6&lt;&gt;AB$1,gamma!AB6=1),(VLOOKUP(AB$1,'40Trips'!$A$3:$I$42,8,FALSE))-(VLOOKUP($A6,'40Trips'!$A$3:$I$42,9,FALSE)),0)</f>
        <v>0</v>
      </c>
      <c r="AC6">
        <f>IF(AND(SUM(VLOOKUP($A6,'40Trips'!$A$3:$I$42,2,FALSE),VLOOKUP(AC$1,'40Trips'!$A$3:$I$42,2,FALSE))&lt;='40Trips'!$K$16,$A6&lt;&gt;AC$1,gamma!AC6=1),(VLOOKUP(AC$1,'40Trips'!$A$3:$I$42,8,FALSE))-(VLOOKUP($A6,'40Trips'!$A$3:$I$42,9,FALSE)),0)</f>
        <v>0</v>
      </c>
      <c r="AD6">
        <f>IF(AND(SUM(VLOOKUP($A6,'40Trips'!$A$3:$I$42,2,FALSE),VLOOKUP(AD$1,'40Trips'!$A$3:$I$42,2,FALSE))&lt;='40Trips'!$K$16,$A6&lt;&gt;AD$1,gamma!AD6=1),(VLOOKUP(AD$1,'40Trips'!$A$3:$I$42,8,FALSE))-(VLOOKUP($A6,'40Trips'!$A$3:$I$42,9,FALSE)),0)</f>
        <v>0</v>
      </c>
      <c r="AE6">
        <f>IF(AND(SUM(VLOOKUP($A6,'40Trips'!$A$3:$I$42,2,FALSE),VLOOKUP(AE$1,'40Trips'!$A$3:$I$42,2,FALSE))&lt;='40Trips'!$K$16,$A6&lt;&gt;AE$1,gamma!AE6=1),(VLOOKUP(AE$1,'40Trips'!$A$3:$I$42,8,FALSE))-(VLOOKUP($A6,'40Trips'!$A$3:$I$42,9,FALSE)),0)</f>
        <v>0</v>
      </c>
      <c r="AF6">
        <f>IF(AND(SUM(VLOOKUP($A6,'40Trips'!$A$3:$I$42,2,FALSE),VLOOKUP(AF$1,'40Trips'!$A$3:$I$42,2,FALSE))&lt;='40Trips'!$K$16,$A6&lt;&gt;AF$1,gamma!AF6=1),(VLOOKUP(AF$1,'40Trips'!$A$3:$I$42,8,FALSE))-(VLOOKUP($A6,'40Trips'!$A$3:$I$42,9,FALSE)),0)</f>
        <v>0</v>
      </c>
      <c r="AG6">
        <f>IF(AND(SUM(VLOOKUP($A6,'40Trips'!$A$3:$I$42,2,FALSE),VLOOKUP(AG$1,'40Trips'!$A$3:$I$42,2,FALSE))&lt;='40Trips'!$K$16,$A6&lt;&gt;AG$1,gamma!AG6=1),(VLOOKUP(AG$1,'40Trips'!$A$3:$I$42,8,FALSE))-(VLOOKUP($A6,'40Trips'!$A$3:$I$42,9,FALSE)),0)</f>
        <v>0</v>
      </c>
      <c r="AH6">
        <f>IF(AND(SUM(VLOOKUP($A6,'40Trips'!$A$3:$I$42,2,FALSE),VLOOKUP(AH$1,'40Trips'!$A$3:$I$42,2,FALSE))&lt;='40Trips'!$K$16,$A6&lt;&gt;AH$1,gamma!AH6=1),(VLOOKUP(AH$1,'40Trips'!$A$3:$I$42,8,FALSE))-(VLOOKUP($A6,'40Trips'!$A$3:$I$42,9,FALSE)),0)</f>
        <v>0</v>
      </c>
      <c r="AI6">
        <f>IF(AND(SUM(VLOOKUP($A6,'40Trips'!$A$3:$I$42,2,FALSE),VLOOKUP(AI$1,'40Trips'!$A$3:$I$42,2,FALSE))&lt;='40Trips'!$K$16,$A6&lt;&gt;AI$1,gamma!AI6=1),(VLOOKUP(AI$1,'40Trips'!$A$3:$I$42,8,FALSE))-(VLOOKUP($A6,'40Trips'!$A$3:$I$42,9,FALSE)),0)</f>
        <v>0</v>
      </c>
      <c r="AJ6">
        <f>IF(AND(SUM(VLOOKUP($A6,'40Trips'!$A$3:$I$42,2,FALSE),VLOOKUP(AJ$1,'40Trips'!$A$3:$I$42,2,FALSE))&lt;='40Trips'!$K$16,$A6&lt;&gt;AJ$1,gamma!AJ6=1),(VLOOKUP(AJ$1,'40Trips'!$A$3:$I$42,8,FALSE))-(VLOOKUP($A6,'40Trips'!$A$3:$I$42,9,FALSE)),0)</f>
        <v>0</v>
      </c>
      <c r="AK6">
        <f>IF(AND(SUM(VLOOKUP($A6,'40Trips'!$A$3:$I$42,2,FALSE),VLOOKUP(AK$1,'40Trips'!$A$3:$I$42,2,FALSE))&lt;='40Trips'!$K$16,$A6&lt;&gt;AK$1,gamma!AK6=1),(VLOOKUP(AK$1,'40Trips'!$A$3:$I$42,8,FALSE))-(VLOOKUP($A6,'40Trips'!$A$3:$I$42,9,FALSE)),0)</f>
        <v>0</v>
      </c>
      <c r="AL6">
        <f>IF(AND(SUM(VLOOKUP($A6,'40Trips'!$A$3:$I$42,2,FALSE),VLOOKUP(AL$1,'40Trips'!$A$3:$I$42,2,FALSE))&lt;='40Trips'!$K$16,$A6&lt;&gt;AL$1,gamma!AL6=1),(VLOOKUP(AL$1,'40Trips'!$A$3:$I$42,8,FALSE))-(VLOOKUP($A6,'40Trips'!$A$3:$I$42,9,FALSE)),0)</f>
        <v>0</v>
      </c>
      <c r="AM6">
        <f>IF(AND(SUM(VLOOKUP($A6,'40Trips'!$A$3:$I$42,2,FALSE),VLOOKUP(AM$1,'40Trips'!$A$3:$I$42,2,FALSE))&lt;='40Trips'!$K$16,$A6&lt;&gt;AM$1,gamma!AM6=1),(VLOOKUP(AM$1,'40Trips'!$A$3:$I$42,8,FALSE))-(VLOOKUP($A6,'40Trips'!$A$3:$I$42,9,FALSE)),0)</f>
        <v>0</v>
      </c>
      <c r="AN6">
        <f>IF(AND(SUM(VLOOKUP($A6,'40Trips'!$A$3:$I$42,2,FALSE),VLOOKUP(AN$1,'40Trips'!$A$3:$I$42,2,FALSE))&lt;='40Trips'!$K$16,$A6&lt;&gt;AN$1,gamma!AN6=1),(VLOOKUP(AN$1,'40Trips'!$A$3:$I$42,8,FALSE))-(VLOOKUP($A6,'40Trips'!$A$3:$I$42,9,FALSE)),0)</f>
        <v>0</v>
      </c>
      <c r="AO6">
        <f>IF(AND(SUM(VLOOKUP($A6,'40Trips'!$A$3:$I$42,2,FALSE),VLOOKUP(AO$1,'40Trips'!$A$3:$I$42,2,FALSE))&lt;='40Trips'!$K$16,$A6&lt;&gt;AO$1,gamma!AO6=1),(VLOOKUP(AO$1,'40Trips'!$A$3:$I$42,8,FALSE))-(VLOOKUP($A6,'40Trips'!$A$3:$I$42,9,FALSE)),0)</f>
        <v>0</v>
      </c>
      <c r="AP6">
        <f>IF(AND(SUM(VLOOKUP($A6,'40Trips'!$A$3:$I$42,2,FALSE),VLOOKUP(AP$1,'40Trips'!$A$3:$I$42,2,FALSE))&lt;='40Trips'!$K$16,$A6&lt;&gt;AP$1,gamma!AP6=1),(VLOOKUP(AP$1,'40Trips'!$A$3:$I$42,8,FALSE))-(VLOOKUP($A6,'40Trips'!$A$3:$I$42,9,FALSE)),0)</f>
        <v>0</v>
      </c>
    </row>
    <row r="7" spans="1:42" x14ac:dyDescent="0.25">
      <c r="A7" t="s">
        <v>18</v>
      </c>
      <c r="B7">
        <v>0</v>
      </c>
      <c r="C7">
        <f>IF(AND(SUM(VLOOKUP($A7,'40Trips'!$A$3:$I$42,2,FALSE),VLOOKUP(C$1,'40Trips'!$A$3:$I$42,2,FALSE))&lt;='40Trips'!$K$16,$A7&lt;&gt;C$1,gamma!C7=1),(VLOOKUP(C$1,'40Trips'!$A$3:$I$42,8,FALSE))-(VLOOKUP($A7,'40Trips'!$A$3:$I$42,9,FALSE)),0)</f>
        <v>0</v>
      </c>
      <c r="D7">
        <f>IF(AND(SUM(VLOOKUP($A7,'40Trips'!$A$3:$I$42,2,FALSE),VLOOKUP(D$1,'40Trips'!$A$3:$I$42,2,FALSE))&lt;='40Trips'!$K$16,$A7&lt;&gt;D$1,gamma!D7=1),(VLOOKUP(D$1,'40Trips'!$A$3:$I$42,8,FALSE))-(VLOOKUP($A7,'40Trips'!$A$3:$I$42,9,FALSE)),0)</f>
        <v>45</v>
      </c>
      <c r="E7">
        <f>IF(AND(SUM(VLOOKUP($A7,'40Trips'!$A$3:$I$42,2,FALSE),VLOOKUP(E$1,'40Trips'!$A$3:$I$42,2,FALSE))&lt;='40Trips'!$K$16,$A7&lt;&gt;E$1,gamma!E7=1),(VLOOKUP(E$1,'40Trips'!$A$3:$I$42,8,FALSE))-(VLOOKUP($A7,'40Trips'!$A$3:$I$42,9,FALSE)),0)</f>
        <v>135</v>
      </c>
      <c r="F7">
        <f>IF(AND(SUM(VLOOKUP($A7,'40Trips'!$A$3:$I$42,2,FALSE),VLOOKUP(F$1,'40Trips'!$A$3:$I$42,2,FALSE))&lt;='40Trips'!$K$16,$A7&lt;&gt;F$1,gamma!F7=1),(VLOOKUP(F$1,'40Trips'!$A$3:$I$42,8,FALSE))-(VLOOKUP($A7,'40Trips'!$A$3:$I$42,9,FALSE)),0)</f>
        <v>225</v>
      </c>
      <c r="G7">
        <f>IF(AND(SUM(VLOOKUP($A7,'40Trips'!$A$3:$I$42,2,FALSE),VLOOKUP(G$1,'40Trips'!$A$3:$I$42,2,FALSE))&lt;='40Trips'!$K$16,$A7&lt;&gt;G$1,gamma!G7=1),(VLOOKUP(G$1,'40Trips'!$A$3:$I$42,8,FALSE))-(VLOOKUP($A7,'40Trips'!$A$3:$I$42,9,FALSE)),0)</f>
        <v>0</v>
      </c>
      <c r="H7">
        <f>IF(AND(SUM(VLOOKUP($A7,'40Trips'!$A$3:$I$42,2,FALSE),VLOOKUP(H$1,'40Trips'!$A$3:$I$42,2,FALSE))&lt;='40Trips'!$K$16,$A7&lt;&gt;H$1,gamma!H7=1),(VLOOKUP(H$1,'40Trips'!$A$3:$I$42,8,FALSE))-(VLOOKUP($A7,'40Trips'!$A$3:$I$42,9,FALSE)),0)</f>
        <v>0</v>
      </c>
      <c r="I7">
        <f>IF(AND(SUM(VLOOKUP($A7,'40Trips'!$A$3:$I$42,2,FALSE),VLOOKUP(I$1,'40Trips'!$A$3:$I$42,2,FALSE))&lt;='40Trips'!$K$16,$A7&lt;&gt;I$1,gamma!I7=1),(VLOOKUP(I$1,'40Trips'!$A$3:$I$42,8,FALSE))-(VLOOKUP($A7,'40Trips'!$A$3:$I$42,9,FALSE)),0)</f>
        <v>100</v>
      </c>
      <c r="J7">
        <f>IF(AND(SUM(VLOOKUP($A7,'40Trips'!$A$3:$I$42,2,FALSE),VLOOKUP(J$1,'40Trips'!$A$3:$I$42,2,FALSE))&lt;='40Trips'!$K$16,$A7&lt;&gt;J$1,gamma!J7=1),(VLOOKUP(J$1,'40Trips'!$A$3:$I$42,8,FALSE))-(VLOOKUP($A7,'40Trips'!$A$3:$I$42,9,FALSE)),0)</f>
        <v>460</v>
      </c>
      <c r="K7">
        <f>IF(AND(SUM(VLOOKUP($A7,'40Trips'!$A$3:$I$42,2,FALSE),VLOOKUP(K$1,'40Trips'!$A$3:$I$42,2,FALSE))&lt;='40Trips'!$K$16,$A7&lt;&gt;K$1,gamma!K7=1),(VLOOKUP(K$1,'40Trips'!$A$3:$I$42,8,FALSE))-(VLOOKUP($A7,'40Trips'!$A$3:$I$42,9,FALSE)),0)</f>
        <v>0</v>
      </c>
      <c r="L7">
        <f>IF(AND(SUM(VLOOKUP($A7,'40Trips'!$A$3:$I$42,2,FALSE),VLOOKUP(L$1,'40Trips'!$A$3:$I$42,2,FALSE))&lt;='40Trips'!$K$16,$A7&lt;&gt;L$1,gamma!L7=1),(VLOOKUP(L$1,'40Trips'!$A$3:$I$42,8,FALSE))-(VLOOKUP($A7,'40Trips'!$A$3:$I$42,9,FALSE)),0)</f>
        <v>0</v>
      </c>
      <c r="M7">
        <f>IF(AND(SUM(VLOOKUP($A7,'40Trips'!$A$3:$I$42,2,FALSE),VLOOKUP(M$1,'40Trips'!$A$3:$I$42,2,FALSE))&lt;='40Trips'!$K$16,$A7&lt;&gt;M$1,gamma!M7=1),(VLOOKUP(M$1,'40Trips'!$A$3:$I$42,8,FALSE))-(VLOOKUP($A7,'40Trips'!$A$3:$I$42,9,FALSE)),0)</f>
        <v>95</v>
      </c>
      <c r="N7">
        <f>IF(AND(SUM(VLOOKUP($A7,'40Trips'!$A$3:$I$42,2,FALSE),VLOOKUP(N$1,'40Trips'!$A$3:$I$42,2,FALSE))&lt;='40Trips'!$K$16,$A7&lt;&gt;N$1,gamma!N7=1),(VLOOKUP(N$1,'40Trips'!$A$3:$I$42,8,FALSE))-(VLOOKUP($A7,'40Trips'!$A$3:$I$42,9,FALSE)),0)</f>
        <v>0</v>
      </c>
      <c r="O7">
        <f>IF(AND(SUM(VLOOKUP($A7,'40Trips'!$A$3:$I$42,2,FALSE),VLOOKUP(O$1,'40Trips'!$A$3:$I$42,2,FALSE))&lt;='40Trips'!$K$16,$A7&lt;&gt;O$1,gamma!O7=1),(VLOOKUP(O$1,'40Trips'!$A$3:$I$42,8,FALSE))-(VLOOKUP($A7,'40Trips'!$A$3:$I$42,9,FALSE)),0)</f>
        <v>0</v>
      </c>
      <c r="P7">
        <f>IF(AND(SUM(VLOOKUP($A7,'40Trips'!$A$3:$I$42,2,FALSE),VLOOKUP(P$1,'40Trips'!$A$3:$I$42,2,FALSE))&lt;='40Trips'!$K$16,$A7&lt;&gt;P$1,gamma!P7=1),(VLOOKUP(P$1,'40Trips'!$A$3:$I$42,8,FALSE))-(VLOOKUP($A7,'40Trips'!$A$3:$I$42,9,FALSE)),0)</f>
        <v>25</v>
      </c>
      <c r="Q7">
        <f>IF(AND(SUM(VLOOKUP($A7,'40Trips'!$A$3:$I$42,2,FALSE),VLOOKUP(Q$1,'40Trips'!$A$3:$I$42,2,FALSE))&lt;='40Trips'!$K$16,$A7&lt;&gt;Q$1,gamma!Q7=1),(VLOOKUP(Q$1,'40Trips'!$A$3:$I$42,8,FALSE))-(VLOOKUP($A7,'40Trips'!$A$3:$I$42,9,FALSE)),0)</f>
        <v>115</v>
      </c>
      <c r="R7">
        <f>IF(AND(SUM(VLOOKUP($A7,'40Trips'!$A$3:$I$42,2,FALSE),VLOOKUP(R$1,'40Trips'!$A$3:$I$42,2,FALSE))&lt;='40Trips'!$K$16,$A7&lt;&gt;R$1,gamma!R7=1),(VLOOKUP(R$1,'40Trips'!$A$3:$I$42,8,FALSE))-(VLOOKUP($A7,'40Trips'!$A$3:$I$42,9,FALSE)),0)</f>
        <v>205</v>
      </c>
      <c r="S7">
        <f>IF(AND(SUM(VLOOKUP($A7,'40Trips'!$A$3:$I$42,2,FALSE),VLOOKUP(S$1,'40Trips'!$A$3:$I$42,2,FALSE))&lt;='40Trips'!$K$16,$A7&lt;&gt;S$1,gamma!S7=1),(VLOOKUP(S$1,'40Trips'!$A$3:$I$42,8,FALSE))-(VLOOKUP($A7,'40Trips'!$A$3:$I$42,9,FALSE)),0)</f>
        <v>0</v>
      </c>
      <c r="T7">
        <f>IF(AND(SUM(VLOOKUP($A7,'40Trips'!$A$3:$I$42,2,FALSE),VLOOKUP(T$1,'40Trips'!$A$3:$I$42,2,FALSE))&lt;='40Trips'!$K$16,$A7&lt;&gt;T$1,gamma!T7=1),(VLOOKUP(T$1,'40Trips'!$A$3:$I$42,8,FALSE))-(VLOOKUP($A7,'40Trips'!$A$3:$I$42,9,FALSE)),0)</f>
        <v>0</v>
      </c>
      <c r="U7">
        <f>IF(AND(SUM(VLOOKUP($A7,'40Trips'!$A$3:$I$42,2,FALSE),VLOOKUP(U$1,'40Trips'!$A$3:$I$42,2,FALSE))&lt;='40Trips'!$K$16,$A7&lt;&gt;U$1,gamma!U7=1),(VLOOKUP(U$1,'40Trips'!$A$3:$I$42,8,FALSE))-(VLOOKUP($A7,'40Trips'!$A$3:$I$42,9,FALSE)),0)</f>
        <v>105</v>
      </c>
      <c r="V7">
        <f>IF(AND(SUM(VLOOKUP($A7,'40Trips'!$A$3:$I$42,2,FALSE),VLOOKUP(V$1,'40Trips'!$A$3:$I$42,2,FALSE))&lt;='40Trips'!$K$16,$A7&lt;&gt;V$1,gamma!V7=1),(VLOOKUP(V$1,'40Trips'!$A$3:$I$42,8,FALSE))-(VLOOKUP($A7,'40Trips'!$A$3:$I$42,9,FALSE)),0)</f>
        <v>255</v>
      </c>
      <c r="W7">
        <f>IF(AND(SUM(VLOOKUP($A7,'40Trips'!$A$3:$I$42,2,FALSE),VLOOKUP(W$1,'40Trips'!$A$3:$I$42,2,FALSE))&lt;='40Trips'!$K$16,$A7&lt;&gt;W$1,gamma!W7=1),(VLOOKUP(W$1,'40Trips'!$A$3:$I$42,8,FALSE))-(VLOOKUP($A7,'40Trips'!$A$3:$I$42,9,FALSE)),0)</f>
        <v>0</v>
      </c>
      <c r="X7">
        <f>IF(AND(SUM(VLOOKUP($A7,'40Trips'!$A$3:$I$42,2,FALSE),VLOOKUP(X$1,'40Trips'!$A$3:$I$42,2,FALSE))&lt;='40Trips'!$K$16,$A7&lt;&gt;X$1,gamma!X7=1),(VLOOKUP(X$1,'40Trips'!$A$3:$I$42,8,FALSE))-(VLOOKUP($A7,'40Trips'!$A$3:$I$42,9,FALSE)),0)</f>
        <v>45</v>
      </c>
      <c r="Y7">
        <f>IF(AND(SUM(VLOOKUP($A7,'40Trips'!$A$3:$I$42,2,FALSE),VLOOKUP(Y$1,'40Trips'!$A$3:$I$42,2,FALSE))&lt;='40Trips'!$K$16,$A7&lt;&gt;Y$1,gamma!Y7=1),(VLOOKUP(Y$1,'40Trips'!$A$3:$I$42,8,FALSE))-(VLOOKUP($A7,'40Trips'!$A$3:$I$42,9,FALSE)),0)</f>
        <v>165</v>
      </c>
      <c r="Z7">
        <f>IF(AND(SUM(VLOOKUP($A7,'40Trips'!$A$3:$I$42,2,FALSE),VLOOKUP(Z$1,'40Trips'!$A$3:$I$42,2,FALSE))&lt;='40Trips'!$K$16,$A7&lt;&gt;Z$1,gamma!Z7=1),(VLOOKUP(Z$1,'40Trips'!$A$3:$I$42,8,FALSE))-(VLOOKUP($A7,'40Trips'!$A$3:$I$42,9,FALSE)),0)</f>
        <v>225</v>
      </c>
      <c r="AA7">
        <f>IF(AND(SUM(VLOOKUP($A7,'40Trips'!$A$3:$I$42,2,FALSE),VLOOKUP(AA$1,'40Trips'!$A$3:$I$42,2,FALSE))&lt;='40Trips'!$K$16,$A7&lt;&gt;AA$1,gamma!AA7=1),(VLOOKUP(AA$1,'40Trips'!$A$3:$I$42,8,FALSE))-(VLOOKUP($A7,'40Trips'!$A$3:$I$42,9,FALSE)),0)</f>
        <v>0</v>
      </c>
      <c r="AB7">
        <f>IF(AND(SUM(VLOOKUP($A7,'40Trips'!$A$3:$I$42,2,FALSE),VLOOKUP(AB$1,'40Trips'!$A$3:$I$42,2,FALSE))&lt;='40Trips'!$K$16,$A7&lt;&gt;AB$1,gamma!AB7=1),(VLOOKUP(AB$1,'40Trips'!$A$3:$I$42,8,FALSE))-(VLOOKUP($A7,'40Trips'!$A$3:$I$42,9,FALSE)),0)</f>
        <v>0</v>
      </c>
      <c r="AC7">
        <f>IF(AND(SUM(VLOOKUP($A7,'40Trips'!$A$3:$I$42,2,FALSE),VLOOKUP(AC$1,'40Trips'!$A$3:$I$42,2,FALSE))&lt;='40Trips'!$K$16,$A7&lt;&gt;AC$1,gamma!AC7=1),(VLOOKUP(AC$1,'40Trips'!$A$3:$I$42,8,FALSE))-(VLOOKUP($A7,'40Trips'!$A$3:$I$42,9,FALSE)),0)</f>
        <v>205</v>
      </c>
      <c r="AD7">
        <f>IF(AND(SUM(VLOOKUP($A7,'40Trips'!$A$3:$I$42,2,FALSE),VLOOKUP(AD$1,'40Trips'!$A$3:$I$42,2,FALSE))&lt;='40Trips'!$K$16,$A7&lt;&gt;AD$1,gamma!AD7=1),(VLOOKUP(AD$1,'40Trips'!$A$3:$I$42,8,FALSE))-(VLOOKUP($A7,'40Trips'!$A$3:$I$42,9,FALSE)),0)</f>
        <v>255</v>
      </c>
      <c r="AE7">
        <f>IF(AND(SUM(VLOOKUP($A7,'40Trips'!$A$3:$I$42,2,FALSE),VLOOKUP(AE$1,'40Trips'!$A$3:$I$42,2,FALSE))&lt;='40Trips'!$K$16,$A7&lt;&gt;AE$1,gamma!AE7=1),(VLOOKUP(AE$1,'40Trips'!$A$3:$I$42,8,FALSE))-(VLOOKUP($A7,'40Trips'!$A$3:$I$42,9,FALSE)),0)</f>
        <v>0</v>
      </c>
      <c r="AF7">
        <f>IF(AND(SUM(VLOOKUP($A7,'40Trips'!$A$3:$I$42,2,FALSE),VLOOKUP(AF$1,'40Trips'!$A$3:$I$42,2,FALSE))&lt;='40Trips'!$K$16,$A7&lt;&gt;AF$1,gamma!AF7=1),(VLOOKUP(AF$1,'40Trips'!$A$3:$I$42,8,FALSE))-(VLOOKUP($A7,'40Trips'!$A$3:$I$42,9,FALSE)),0)</f>
        <v>0</v>
      </c>
      <c r="AG7">
        <f>IF(AND(SUM(VLOOKUP($A7,'40Trips'!$A$3:$I$42,2,FALSE),VLOOKUP(AG$1,'40Trips'!$A$3:$I$42,2,FALSE))&lt;='40Trips'!$K$16,$A7&lt;&gt;AG$1,gamma!AG7=1),(VLOOKUP(AG$1,'40Trips'!$A$3:$I$42,8,FALSE))-(VLOOKUP($A7,'40Trips'!$A$3:$I$42,9,FALSE)),0)</f>
        <v>0</v>
      </c>
      <c r="AH7">
        <f>IF(AND(SUM(VLOOKUP($A7,'40Trips'!$A$3:$I$42,2,FALSE),VLOOKUP(AH$1,'40Trips'!$A$3:$I$42,2,FALSE))&lt;='40Trips'!$K$16,$A7&lt;&gt;AH$1,gamma!AH7=1),(VLOOKUP(AH$1,'40Trips'!$A$3:$I$42,8,FALSE))-(VLOOKUP($A7,'40Trips'!$A$3:$I$42,9,FALSE)),0)</f>
        <v>70</v>
      </c>
      <c r="AI7">
        <f>IF(AND(SUM(VLOOKUP($A7,'40Trips'!$A$3:$I$42,2,FALSE),VLOOKUP(AI$1,'40Trips'!$A$3:$I$42,2,FALSE))&lt;='40Trips'!$K$16,$A7&lt;&gt;AI$1,gamma!AI7=1),(VLOOKUP(AI$1,'40Trips'!$A$3:$I$42,8,FALSE))-(VLOOKUP($A7,'40Trips'!$A$3:$I$42,9,FALSE)),0)</f>
        <v>25</v>
      </c>
      <c r="AJ7">
        <f>IF(AND(SUM(VLOOKUP($A7,'40Trips'!$A$3:$I$42,2,FALSE),VLOOKUP(AJ$1,'40Trips'!$A$3:$I$42,2,FALSE))&lt;='40Trips'!$K$16,$A7&lt;&gt;AJ$1,gamma!AJ7=1),(VLOOKUP(AJ$1,'40Trips'!$A$3:$I$42,8,FALSE))-(VLOOKUP($A7,'40Trips'!$A$3:$I$42,9,FALSE)),0)</f>
        <v>55</v>
      </c>
      <c r="AK7">
        <f>IF(AND(SUM(VLOOKUP($A7,'40Trips'!$A$3:$I$42,2,FALSE),VLOOKUP(AK$1,'40Trips'!$A$3:$I$42,2,FALSE))&lt;='40Trips'!$K$16,$A7&lt;&gt;AK$1,gamma!AK7=1),(VLOOKUP(AK$1,'40Trips'!$A$3:$I$42,8,FALSE))-(VLOOKUP($A7,'40Trips'!$A$3:$I$42,9,FALSE)),0)</f>
        <v>105</v>
      </c>
      <c r="AL7">
        <f>IF(AND(SUM(VLOOKUP($A7,'40Trips'!$A$3:$I$42,2,FALSE),VLOOKUP(AL$1,'40Trips'!$A$3:$I$42,2,FALSE))&lt;='40Trips'!$K$16,$A7&lt;&gt;AL$1,gamma!AL7=1),(VLOOKUP(AL$1,'40Trips'!$A$3:$I$42,8,FALSE))-(VLOOKUP($A7,'40Trips'!$A$3:$I$42,9,FALSE)),0)</f>
        <v>305</v>
      </c>
      <c r="AM7">
        <f>IF(AND(SUM(VLOOKUP($A7,'40Trips'!$A$3:$I$42,2,FALSE),VLOOKUP(AM$1,'40Trips'!$A$3:$I$42,2,FALSE))&lt;='40Trips'!$K$16,$A7&lt;&gt;AM$1,gamma!AM7=1),(VLOOKUP(AM$1,'40Trips'!$A$3:$I$42,8,FALSE))-(VLOOKUP($A7,'40Trips'!$A$3:$I$42,9,FALSE)),0)</f>
        <v>0</v>
      </c>
      <c r="AN7">
        <f>IF(AND(SUM(VLOOKUP($A7,'40Trips'!$A$3:$I$42,2,FALSE),VLOOKUP(AN$1,'40Trips'!$A$3:$I$42,2,FALSE))&lt;='40Trips'!$K$16,$A7&lt;&gt;AN$1,gamma!AN7=1),(VLOOKUP(AN$1,'40Trips'!$A$3:$I$42,8,FALSE))-(VLOOKUP($A7,'40Trips'!$A$3:$I$42,9,FALSE)),0)</f>
        <v>70</v>
      </c>
      <c r="AO7">
        <f>IF(AND(SUM(VLOOKUP($A7,'40Trips'!$A$3:$I$42,2,FALSE),VLOOKUP(AO$1,'40Trips'!$A$3:$I$42,2,FALSE))&lt;='40Trips'!$K$16,$A7&lt;&gt;AO$1,gamma!AO7=1),(VLOOKUP(AO$1,'40Trips'!$A$3:$I$42,8,FALSE))-(VLOOKUP($A7,'40Trips'!$A$3:$I$42,9,FALSE)),0)</f>
        <v>85</v>
      </c>
      <c r="AP7">
        <f>IF(AND(SUM(VLOOKUP($A7,'40Trips'!$A$3:$I$42,2,FALSE),VLOOKUP(AP$1,'40Trips'!$A$3:$I$42,2,FALSE))&lt;='40Trips'!$K$16,$A7&lt;&gt;AP$1,gamma!AP7=1),(VLOOKUP(AP$1,'40Trips'!$A$3:$I$42,8,FALSE))-(VLOOKUP($A7,'40Trips'!$A$3:$I$42,9,FALSE)),0)</f>
        <v>270</v>
      </c>
    </row>
    <row r="8" spans="1:42" x14ac:dyDescent="0.25">
      <c r="A8" t="s">
        <v>20</v>
      </c>
      <c r="B8">
        <v>0</v>
      </c>
      <c r="C8">
        <f>IF(AND(SUM(VLOOKUP($A8,'40Trips'!$A$3:$I$42,2,FALSE),VLOOKUP(C$1,'40Trips'!$A$3:$I$42,2,FALSE))&lt;='40Trips'!$K$16,$A8&lt;&gt;C$1,gamma!C8=1),(VLOOKUP(C$1,'40Trips'!$A$3:$I$42,8,FALSE))-(VLOOKUP($A8,'40Trips'!$A$3:$I$42,9,FALSE)),0)</f>
        <v>0</v>
      </c>
      <c r="D8">
        <f>IF(AND(SUM(VLOOKUP($A8,'40Trips'!$A$3:$I$42,2,FALSE),VLOOKUP(D$1,'40Trips'!$A$3:$I$42,2,FALSE))&lt;='40Trips'!$K$16,$A8&lt;&gt;D$1,gamma!D8=1),(VLOOKUP(D$1,'40Trips'!$A$3:$I$42,8,FALSE))-(VLOOKUP($A8,'40Trips'!$A$3:$I$42,9,FALSE)),0)</f>
        <v>0</v>
      </c>
      <c r="E8">
        <f>IF(AND(SUM(VLOOKUP($A8,'40Trips'!$A$3:$I$42,2,FALSE),VLOOKUP(E$1,'40Trips'!$A$3:$I$42,2,FALSE))&lt;='40Trips'!$K$16,$A8&lt;&gt;E$1,gamma!E8=1),(VLOOKUP(E$1,'40Trips'!$A$3:$I$42,8,FALSE))-(VLOOKUP($A8,'40Trips'!$A$3:$I$42,9,FALSE)),0)</f>
        <v>15</v>
      </c>
      <c r="F8">
        <f>IF(AND(SUM(VLOOKUP($A8,'40Trips'!$A$3:$I$42,2,FALSE),VLOOKUP(F$1,'40Trips'!$A$3:$I$42,2,FALSE))&lt;='40Trips'!$K$16,$A8&lt;&gt;F$1,gamma!F8=1),(VLOOKUP(F$1,'40Trips'!$A$3:$I$42,8,FALSE))-(VLOOKUP($A8,'40Trips'!$A$3:$I$42,9,FALSE)),0)</f>
        <v>105</v>
      </c>
      <c r="G8">
        <f>IF(AND(SUM(VLOOKUP($A8,'40Trips'!$A$3:$I$42,2,FALSE),VLOOKUP(G$1,'40Trips'!$A$3:$I$42,2,FALSE))&lt;='40Trips'!$K$16,$A8&lt;&gt;G$1,gamma!G8=1),(VLOOKUP(G$1,'40Trips'!$A$3:$I$42,8,FALSE))-(VLOOKUP($A8,'40Trips'!$A$3:$I$42,9,FALSE)),0)</f>
        <v>0</v>
      </c>
      <c r="H8">
        <f>IF(AND(SUM(VLOOKUP($A8,'40Trips'!$A$3:$I$42,2,FALSE),VLOOKUP(H$1,'40Trips'!$A$3:$I$42,2,FALSE))&lt;='40Trips'!$K$16,$A8&lt;&gt;H$1,gamma!H8=1),(VLOOKUP(H$1,'40Trips'!$A$3:$I$42,8,FALSE))-(VLOOKUP($A8,'40Trips'!$A$3:$I$42,9,FALSE)),0)</f>
        <v>0</v>
      </c>
      <c r="I8">
        <f>IF(AND(SUM(VLOOKUP($A8,'40Trips'!$A$3:$I$42,2,FALSE),VLOOKUP(I$1,'40Trips'!$A$3:$I$42,2,FALSE))&lt;='40Trips'!$K$16,$A8&lt;&gt;I$1,gamma!I8=1),(VLOOKUP(I$1,'40Trips'!$A$3:$I$42,8,FALSE))-(VLOOKUP($A8,'40Trips'!$A$3:$I$42,9,FALSE)),0)</f>
        <v>0</v>
      </c>
      <c r="J8">
        <f>IF(AND(SUM(VLOOKUP($A8,'40Trips'!$A$3:$I$42,2,FALSE),VLOOKUP(J$1,'40Trips'!$A$3:$I$42,2,FALSE))&lt;='40Trips'!$K$16,$A8&lt;&gt;J$1,gamma!J8=1),(VLOOKUP(J$1,'40Trips'!$A$3:$I$42,8,FALSE))-(VLOOKUP($A8,'40Trips'!$A$3:$I$42,9,FALSE)),0)</f>
        <v>340</v>
      </c>
      <c r="K8">
        <f>IF(AND(SUM(VLOOKUP($A8,'40Trips'!$A$3:$I$42,2,FALSE),VLOOKUP(K$1,'40Trips'!$A$3:$I$42,2,FALSE))&lt;='40Trips'!$K$16,$A8&lt;&gt;K$1,gamma!K8=1),(VLOOKUP(K$1,'40Trips'!$A$3:$I$42,8,FALSE))-(VLOOKUP($A8,'40Trips'!$A$3:$I$42,9,FALSE)),0)</f>
        <v>0</v>
      </c>
      <c r="L8">
        <f>IF(AND(SUM(VLOOKUP($A8,'40Trips'!$A$3:$I$42,2,FALSE),VLOOKUP(L$1,'40Trips'!$A$3:$I$42,2,FALSE))&lt;='40Trips'!$K$16,$A8&lt;&gt;L$1,gamma!L8=1),(VLOOKUP(L$1,'40Trips'!$A$3:$I$42,8,FALSE))-(VLOOKUP($A8,'40Trips'!$A$3:$I$42,9,FALSE)),0)</f>
        <v>0</v>
      </c>
      <c r="M8">
        <f>IF(AND(SUM(VLOOKUP($A8,'40Trips'!$A$3:$I$42,2,FALSE),VLOOKUP(M$1,'40Trips'!$A$3:$I$42,2,FALSE))&lt;='40Trips'!$K$16,$A8&lt;&gt;M$1,gamma!M8=1),(VLOOKUP(M$1,'40Trips'!$A$3:$I$42,8,FALSE))-(VLOOKUP($A8,'40Trips'!$A$3:$I$42,9,FALSE)),0)</f>
        <v>0</v>
      </c>
      <c r="N8">
        <f>IF(AND(SUM(VLOOKUP($A8,'40Trips'!$A$3:$I$42,2,FALSE),VLOOKUP(N$1,'40Trips'!$A$3:$I$42,2,FALSE))&lt;='40Trips'!$K$16,$A8&lt;&gt;N$1,gamma!N8=1),(VLOOKUP(N$1,'40Trips'!$A$3:$I$42,8,FALSE))-(VLOOKUP($A8,'40Trips'!$A$3:$I$42,9,FALSE)),0)</f>
        <v>0</v>
      </c>
      <c r="O8">
        <f>IF(AND(SUM(VLOOKUP($A8,'40Trips'!$A$3:$I$42,2,FALSE),VLOOKUP(O$1,'40Trips'!$A$3:$I$42,2,FALSE))&lt;='40Trips'!$K$16,$A8&lt;&gt;O$1,gamma!O8=1),(VLOOKUP(O$1,'40Trips'!$A$3:$I$42,8,FALSE))-(VLOOKUP($A8,'40Trips'!$A$3:$I$42,9,FALSE)),0)</f>
        <v>0</v>
      </c>
      <c r="P8">
        <f>IF(AND(SUM(VLOOKUP($A8,'40Trips'!$A$3:$I$42,2,FALSE),VLOOKUP(P$1,'40Trips'!$A$3:$I$42,2,FALSE))&lt;='40Trips'!$K$16,$A8&lt;&gt;P$1,gamma!P8=1),(VLOOKUP(P$1,'40Trips'!$A$3:$I$42,8,FALSE))-(VLOOKUP($A8,'40Trips'!$A$3:$I$42,9,FALSE)),0)</f>
        <v>0</v>
      </c>
      <c r="Q8">
        <f>IF(AND(SUM(VLOOKUP($A8,'40Trips'!$A$3:$I$42,2,FALSE),VLOOKUP(Q$1,'40Trips'!$A$3:$I$42,2,FALSE))&lt;='40Trips'!$K$16,$A8&lt;&gt;Q$1,gamma!Q8=1),(VLOOKUP(Q$1,'40Trips'!$A$3:$I$42,8,FALSE))-(VLOOKUP($A8,'40Trips'!$A$3:$I$42,9,FALSE)),0)</f>
        <v>0</v>
      </c>
      <c r="R8">
        <f>IF(AND(SUM(VLOOKUP($A8,'40Trips'!$A$3:$I$42,2,FALSE),VLOOKUP(R$1,'40Trips'!$A$3:$I$42,2,FALSE))&lt;='40Trips'!$K$16,$A8&lt;&gt;R$1,gamma!R8=1),(VLOOKUP(R$1,'40Trips'!$A$3:$I$42,8,FALSE))-(VLOOKUP($A8,'40Trips'!$A$3:$I$42,9,FALSE)),0)</f>
        <v>85</v>
      </c>
      <c r="S8">
        <f>IF(AND(SUM(VLOOKUP($A8,'40Trips'!$A$3:$I$42,2,FALSE),VLOOKUP(S$1,'40Trips'!$A$3:$I$42,2,FALSE))&lt;='40Trips'!$K$16,$A8&lt;&gt;S$1,gamma!S8=1),(VLOOKUP(S$1,'40Trips'!$A$3:$I$42,8,FALSE))-(VLOOKUP($A8,'40Trips'!$A$3:$I$42,9,FALSE)),0)</f>
        <v>0</v>
      </c>
      <c r="T8">
        <f>IF(AND(SUM(VLOOKUP($A8,'40Trips'!$A$3:$I$42,2,FALSE),VLOOKUP(T$1,'40Trips'!$A$3:$I$42,2,FALSE))&lt;='40Trips'!$K$16,$A8&lt;&gt;T$1,gamma!T8=1),(VLOOKUP(T$1,'40Trips'!$A$3:$I$42,8,FALSE))-(VLOOKUP($A8,'40Trips'!$A$3:$I$42,9,FALSE)),0)</f>
        <v>0</v>
      </c>
      <c r="U8">
        <f>IF(AND(SUM(VLOOKUP($A8,'40Trips'!$A$3:$I$42,2,FALSE),VLOOKUP(U$1,'40Trips'!$A$3:$I$42,2,FALSE))&lt;='40Trips'!$K$16,$A8&lt;&gt;U$1,gamma!U8=1),(VLOOKUP(U$1,'40Trips'!$A$3:$I$42,8,FALSE))-(VLOOKUP($A8,'40Trips'!$A$3:$I$42,9,FALSE)),0)</f>
        <v>0</v>
      </c>
      <c r="V8">
        <f>IF(AND(SUM(VLOOKUP($A8,'40Trips'!$A$3:$I$42,2,FALSE),VLOOKUP(V$1,'40Trips'!$A$3:$I$42,2,FALSE))&lt;='40Trips'!$K$16,$A8&lt;&gt;V$1,gamma!V8=1),(VLOOKUP(V$1,'40Trips'!$A$3:$I$42,8,FALSE))-(VLOOKUP($A8,'40Trips'!$A$3:$I$42,9,FALSE)),0)</f>
        <v>135</v>
      </c>
      <c r="W8">
        <f>IF(AND(SUM(VLOOKUP($A8,'40Trips'!$A$3:$I$42,2,FALSE),VLOOKUP(W$1,'40Trips'!$A$3:$I$42,2,FALSE))&lt;='40Trips'!$K$16,$A8&lt;&gt;W$1,gamma!W8=1),(VLOOKUP(W$1,'40Trips'!$A$3:$I$42,8,FALSE))-(VLOOKUP($A8,'40Trips'!$A$3:$I$42,9,FALSE)),0)</f>
        <v>0</v>
      </c>
      <c r="X8">
        <f>IF(AND(SUM(VLOOKUP($A8,'40Trips'!$A$3:$I$42,2,FALSE),VLOOKUP(X$1,'40Trips'!$A$3:$I$42,2,FALSE))&lt;='40Trips'!$K$16,$A8&lt;&gt;X$1,gamma!X8=1),(VLOOKUP(X$1,'40Trips'!$A$3:$I$42,8,FALSE))-(VLOOKUP($A8,'40Trips'!$A$3:$I$42,9,FALSE)),0)</f>
        <v>0</v>
      </c>
      <c r="Y8">
        <f>IF(AND(SUM(VLOOKUP($A8,'40Trips'!$A$3:$I$42,2,FALSE),VLOOKUP(Y$1,'40Trips'!$A$3:$I$42,2,FALSE))&lt;='40Trips'!$K$16,$A8&lt;&gt;Y$1,gamma!Y8=1),(VLOOKUP(Y$1,'40Trips'!$A$3:$I$42,8,FALSE))-(VLOOKUP($A8,'40Trips'!$A$3:$I$42,9,FALSE)),0)</f>
        <v>45</v>
      </c>
      <c r="Z8">
        <f>IF(AND(SUM(VLOOKUP($A8,'40Trips'!$A$3:$I$42,2,FALSE),VLOOKUP(Z$1,'40Trips'!$A$3:$I$42,2,FALSE))&lt;='40Trips'!$K$16,$A8&lt;&gt;Z$1,gamma!Z8=1),(VLOOKUP(Z$1,'40Trips'!$A$3:$I$42,8,FALSE))-(VLOOKUP($A8,'40Trips'!$A$3:$I$42,9,FALSE)),0)</f>
        <v>105</v>
      </c>
      <c r="AA8">
        <f>IF(AND(SUM(VLOOKUP($A8,'40Trips'!$A$3:$I$42,2,FALSE),VLOOKUP(AA$1,'40Trips'!$A$3:$I$42,2,FALSE))&lt;='40Trips'!$K$16,$A8&lt;&gt;AA$1,gamma!AA8=1),(VLOOKUP(AA$1,'40Trips'!$A$3:$I$42,8,FALSE))-(VLOOKUP($A8,'40Trips'!$A$3:$I$42,9,FALSE)),0)</f>
        <v>0</v>
      </c>
      <c r="AB8">
        <f>IF(AND(SUM(VLOOKUP($A8,'40Trips'!$A$3:$I$42,2,FALSE),VLOOKUP(AB$1,'40Trips'!$A$3:$I$42,2,FALSE))&lt;='40Trips'!$K$16,$A8&lt;&gt;AB$1,gamma!AB8=1),(VLOOKUP(AB$1,'40Trips'!$A$3:$I$42,8,FALSE))-(VLOOKUP($A8,'40Trips'!$A$3:$I$42,9,FALSE)),0)</f>
        <v>0</v>
      </c>
      <c r="AC8">
        <f>IF(AND(SUM(VLOOKUP($A8,'40Trips'!$A$3:$I$42,2,FALSE),VLOOKUP(AC$1,'40Trips'!$A$3:$I$42,2,FALSE))&lt;='40Trips'!$K$16,$A8&lt;&gt;AC$1,gamma!AC8=1),(VLOOKUP(AC$1,'40Trips'!$A$3:$I$42,8,FALSE))-(VLOOKUP($A8,'40Trips'!$A$3:$I$42,9,FALSE)),0)</f>
        <v>85</v>
      </c>
      <c r="AD8">
        <f>IF(AND(SUM(VLOOKUP($A8,'40Trips'!$A$3:$I$42,2,FALSE),VLOOKUP(AD$1,'40Trips'!$A$3:$I$42,2,FALSE))&lt;='40Trips'!$K$16,$A8&lt;&gt;AD$1,gamma!AD8=1),(VLOOKUP(AD$1,'40Trips'!$A$3:$I$42,8,FALSE))-(VLOOKUP($A8,'40Trips'!$A$3:$I$42,9,FALSE)),0)</f>
        <v>135</v>
      </c>
      <c r="AE8">
        <f>IF(AND(SUM(VLOOKUP($A8,'40Trips'!$A$3:$I$42,2,FALSE),VLOOKUP(AE$1,'40Trips'!$A$3:$I$42,2,FALSE))&lt;='40Trips'!$K$16,$A8&lt;&gt;AE$1,gamma!AE8=1),(VLOOKUP(AE$1,'40Trips'!$A$3:$I$42,8,FALSE))-(VLOOKUP($A8,'40Trips'!$A$3:$I$42,9,FALSE)),0)</f>
        <v>0</v>
      </c>
      <c r="AF8">
        <f>IF(AND(SUM(VLOOKUP($A8,'40Trips'!$A$3:$I$42,2,FALSE),VLOOKUP(AF$1,'40Trips'!$A$3:$I$42,2,FALSE))&lt;='40Trips'!$K$16,$A8&lt;&gt;AF$1,gamma!AF8=1),(VLOOKUP(AF$1,'40Trips'!$A$3:$I$42,8,FALSE))-(VLOOKUP($A8,'40Trips'!$A$3:$I$42,9,FALSE)),0)</f>
        <v>0</v>
      </c>
      <c r="AG8">
        <f>IF(AND(SUM(VLOOKUP($A8,'40Trips'!$A$3:$I$42,2,FALSE),VLOOKUP(AG$1,'40Trips'!$A$3:$I$42,2,FALSE))&lt;='40Trips'!$K$16,$A8&lt;&gt;AG$1,gamma!AG8=1),(VLOOKUP(AG$1,'40Trips'!$A$3:$I$42,8,FALSE))-(VLOOKUP($A8,'40Trips'!$A$3:$I$42,9,FALSE)),0)</f>
        <v>0</v>
      </c>
      <c r="AH8">
        <f>IF(AND(SUM(VLOOKUP($A8,'40Trips'!$A$3:$I$42,2,FALSE),VLOOKUP(AH$1,'40Trips'!$A$3:$I$42,2,FALSE))&lt;='40Trips'!$K$16,$A8&lt;&gt;AH$1,gamma!AH8=1),(VLOOKUP(AH$1,'40Trips'!$A$3:$I$42,8,FALSE))-(VLOOKUP($A8,'40Trips'!$A$3:$I$42,9,FALSE)),0)</f>
        <v>0</v>
      </c>
      <c r="AI8">
        <f>IF(AND(SUM(VLOOKUP($A8,'40Trips'!$A$3:$I$42,2,FALSE),VLOOKUP(AI$1,'40Trips'!$A$3:$I$42,2,FALSE))&lt;='40Trips'!$K$16,$A8&lt;&gt;AI$1,gamma!AI8=1),(VLOOKUP(AI$1,'40Trips'!$A$3:$I$42,8,FALSE))-(VLOOKUP($A8,'40Trips'!$A$3:$I$42,9,FALSE)),0)</f>
        <v>0</v>
      </c>
      <c r="AJ8">
        <f>IF(AND(SUM(VLOOKUP($A8,'40Trips'!$A$3:$I$42,2,FALSE),VLOOKUP(AJ$1,'40Trips'!$A$3:$I$42,2,FALSE))&lt;='40Trips'!$K$16,$A8&lt;&gt;AJ$1,gamma!AJ8=1),(VLOOKUP(AJ$1,'40Trips'!$A$3:$I$42,8,FALSE))-(VLOOKUP($A8,'40Trips'!$A$3:$I$42,9,FALSE)),0)</f>
        <v>0</v>
      </c>
      <c r="AK8">
        <f>IF(AND(SUM(VLOOKUP($A8,'40Trips'!$A$3:$I$42,2,FALSE),VLOOKUP(AK$1,'40Trips'!$A$3:$I$42,2,FALSE))&lt;='40Trips'!$K$16,$A8&lt;&gt;AK$1,gamma!AK8=1),(VLOOKUP(AK$1,'40Trips'!$A$3:$I$42,8,FALSE))-(VLOOKUP($A8,'40Trips'!$A$3:$I$42,9,FALSE)),0)</f>
        <v>0</v>
      </c>
      <c r="AL8">
        <f>IF(AND(SUM(VLOOKUP($A8,'40Trips'!$A$3:$I$42,2,FALSE),VLOOKUP(AL$1,'40Trips'!$A$3:$I$42,2,FALSE))&lt;='40Trips'!$K$16,$A8&lt;&gt;AL$1,gamma!AL8=1),(VLOOKUP(AL$1,'40Trips'!$A$3:$I$42,8,FALSE))-(VLOOKUP($A8,'40Trips'!$A$3:$I$42,9,FALSE)),0)</f>
        <v>185</v>
      </c>
      <c r="AM8">
        <f>IF(AND(SUM(VLOOKUP($A8,'40Trips'!$A$3:$I$42,2,FALSE),VLOOKUP(AM$1,'40Trips'!$A$3:$I$42,2,FALSE))&lt;='40Trips'!$K$16,$A8&lt;&gt;AM$1,gamma!AM8=1),(VLOOKUP(AM$1,'40Trips'!$A$3:$I$42,8,FALSE))-(VLOOKUP($A8,'40Trips'!$A$3:$I$42,9,FALSE)),0)</f>
        <v>0</v>
      </c>
      <c r="AN8">
        <f>IF(AND(SUM(VLOOKUP($A8,'40Trips'!$A$3:$I$42,2,FALSE),VLOOKUP(AN$1,'40Trips'!$A$3:$I$42,2,FALSE))&lt;='40Trips'!$K$16,$A8&lt;&gt;AN$1,gamma!AN8=1),(VLOOKUP(AN$1,'40Trips'!$A$3:$I$42,8,FALSE))-(VLOOKUP($A8,'40Trips'!$A$3:$I$42,9,FALSE)),0)</f>
        <v>0</v>
      </c>
      <c r="AO8">
        <f>IF(AND(SUM(VLOOKUP($A8,'40Trips'!$A$3:$I$42,2,FALSE),VLOOKUP(AO$1,'40Trips'!$A$3:$I$42,2,FALSE))&lt;='40Trips'!$K$16,$A8&lt;&gt;AO$1,gamma!AO8=1),(VLOOKUP(AO$1,'40Trips'!$A$3:$I$42,8,FALSE))-(VLOOKUP($A8,'40Trips'!$A$3:$I$42,9,FALSE)),0)</f>
        <v>0</v>
      </c>
      <c r="AP8">
        <f>IF(AND(SUM(VLOOKUP($A8,'40Trips'!$A$3:$I$42,2,FALSE),VLOOKUP(AP$1,'40Trips'!$A$3:$I$42,2,FALSE))&lt;='40Trips'!$K$16,$A8&lt;&gt;AP$1,gamma!AP8=1),(VLOOKUP(AP$1,'40Trips'!$A$3:$I$42,8,FALSE))-(VLOOKUP($A8,'40Trips'!$A$3:$I$42,9,FALSE)),0)</f>
        <v>150</v>
      </c>
    </row>
    <row r="9" spans="1:42" x14ac:dyDescent="0.25">
      <c r="A9" t="s">
        <v>21</v>
      </c>
      <c r="B9">
        <v>0</v>
      </c>
      <c r="C9">
        <f>IF(AND(SUM(VLOOKUP($A9,'40Trips'!$A$3:$I$42,2,FALSE),VLOOKUP(C$1,'40Trips'!$A$3:$I$42,2,FALSE))&lt;='40Trips'!$K$16,$A9&lt;&gt;C$1,gamma!C9=1),(VLOOKUP(C$1,'40Trips'!$A$3:$I$42,8,FALSE))-(VLOOKUP($A9,'40Trips'!$A$3:$I$42,9,FALSE)),0)</f>
        <v>0</v>
      </c>
      <c r="D9">
        <f>IF(AND(SUM(VLOOKUP($A9,'40Trips'!$A$3:$I$42,2,FALSE),VLOOKUP(D$1,'40Trips'!$A$3:$I$42,2,FALSE))&lt;='40Trips'!$K$16,$A9&lt;&gt;D$1,gamma!D9=1),(VLOOKUP(D$1,'40Trips'!$A$3:$I$42,8,FALSE))-(VLOOKUP($A9,'40Trips'!$A$3:$I$42,9,FALSE)),0)</f>
        <v>0</v>
      </c>
      <c r="E9">
        <f>IF(AND(SUM(VLOOKUP($A9,'40Trips'!$A$3:$I$42,2,FALSE),VLOOKUP(E$1,'40Trips'!$A$3:$I$42,2,FALSE))&lt;='40Trips'!$K$16,$A9&lt;&gt;E$1,gamma!E9=1),(VLOOKUP(E$1,'40Trips'!$A$3:$I$42,8,FALSE))-(VLOOKUP($A9,'40Trips'!$A$3:$I$42,9,FALSE)),0)</f>
        <v>0</v>
      </c>
      <c r="F9">
        <f>IF(AND(SUM(VLOOKUP($A9,'40Trips'!$A$3:$I$42,2,FALSE),VLOOKUP(F$1,'40Trips'!$A$3:$I$42,2,FALSE))&lt;='40Trips'!$K$16,$A9&lt;&gt;F$1,gamma!F9=1),(VLOOKUP(F$1,'40Trips'!$A$3:$I$42,8,FALSE))-(VLOOKUP($A9,'40Trips'!$A$3:$I$42,9,FALSE)),0)</f>
        <v>0</v>
      </c>
      <c r="G9">
        <f>IF(AND(SUM(VLOOKUP($A9,'40Trips'!$A$3:$I$42,2,FALSE),VLOOKUP(G$1,'40Trips'!$A$3:$I$42,2,FALSE))&lt;='40Trips'!$K$16,$A9&lt;&gt;G$1,gamma!G9=1),(VLOOKUP(G$1,'40Trips'!$A$3:$I$42,8,FALSE))-(VLOOKUP($A9,'40Trips'!$A$3:$I$42,9,FALSE)),0)</f>
        <v>0</v>
      </c>
      <c r="H9">
        <f>IF(AND(SUM(VLOOKUP($A9,'40Trips'!$A$3:$I$42,2,FALSE),VLOOKUP(H$1,'40Trips'!$A$3:$I$42,2,FALSE))&lt;='40Trips'!$K$16,$A9&lt;&gt;H$1,gamma!H9=1),(VLOOKUP(H$1,'40Trips'!$A$3:$I$42,8,FALSE))-(VLOOKUP($A9,'40Trips'!$A$3:$I$42,9,FALSE)),0)</f>
        <v>0</v>
      </c>
      <c r="I9">
        <f>IF(AND(SUM(VLOOKUP($A9,'40Trips'!$A$3:$I$42,2,FALSE),VLOOKUP(I$1,'40Trips'!$A$3:$I$42,2,FALSE))&lt;='40Trips'!$K$16,$A9&lt;&gt;I$1,gamma!I9=1),(VLOOKUP(I$1,'40Trips'!$A$3:$I$42,8,FALSE))-(VLOOKUP($A9,'40Trips'!$A$3:$I$42,9,FALSE)),0)</f>
        <v>0</v>
      </c>
      <c r="J9">
        <f>IF(AND(SUM(VLOOKUP($A9,'40Trips'!$A$3:$I$42,2,FALSE),VLOOKUP(J$1,'40Trips'!$A$3:$I$42,2,FALSE))&lt;='40Trips'!$K$16,$A9&lt;&gt;J$1,gamma!J9=1),(VLOOKUP(J$1,'40Trips'!$A$3:$I$42,8,FALSE))-(VLOOKUP($A9,'40Trips'!$A$3:$I$42,9,FALSE)),0)</f>
        <v>220</v>
      </c>
      <c r="K9">
        <f>IF(AND(SUM(VLOOKUP($A9,'40Trips'!$A$3:$I$42,2,FALSE),VLOOKUP(K$1,'40Trips'!$A$3:$I$42,2,FALSE))&lt;='40Trips'!$K$16,$A9&lt;&gt;K$1,gamma!K9=1),(VLOOKUP(K$1,'40Trips'!$A$3:$I$42,8,FALSE))-(VLOOKUP($A9,'40Trips'!$A$3:$I$42,9,FALSE)),0)</f>
        <v>0</v>
      </c>
      <c r="L9">
        <f>IF(AND(SUM(VLOOKUP($A9,'40Trips'!$A$3:$I$42,2,FALSE),VLOOKUP(L$1,'40Trips'!$A$3:$I$42,2,FALSE))&lt;='40Trips'!$K$16,$A9&lt;&gt;L$1,gamma!L9=1),(VLOOKUP(L$1,'40Trips'!$A$3:$I$42,8,FALSE))-(VLOOKUP($A9,'40Trips'!$A$3:$I$42,9,FALSE)),0)</f>
        <v>0</v>
      </c>
      <c r="M9">
        <f>IF(AND(SUM(VLOOKUP($A9,'40Trips'!$A$3:$I$42,2,FALSE),VLOOKUP(M$1,'40Trips'!$A$3:$I$42,2,FALSE))&lt;='40Trips'!$K$16,$A9&lt;&gt;M$1,gamma!M9=1),(VLOOKUP(M$1,'40Trips'!$A$3:$I$42,8,FALSE))-(VLOOKUP($A9,'40Trips'!$A$3:$I$42,9,FALSE)),0)</f>
        <v>0</v>
      </c>
      <c r="N9">
        <f>IF(AND(SUM(VLOOKUP($A9,'40Trips'!$A$3:$I$42,2,FALSE),VLOOKUP(N$1,'40Trips'!$A$3:$I$42,2,FALSE))&lt;='40Trips'!$K$16,$A9&lt;&gt;N$1,gamma!N9=1),(VLOOKUP(N$1,'40Trips'!$A$3:$I$42,8,FALSE))-(VLOOKUP($A9,'40Trips'!$A$3:$I$42,9,FALSE)),0)</f>
        <v>0</v>
      </c>
      <c r="O9">
        <f>IF(AND(SUM(VLOOKUP($A9,'40Trips'!$A$3:$I$42,2,FALSE),VLOOKUP(O$1,'40Trips'!$A$3:$I$42,2,FALSE))&lt;='40Trips'!$K$16,$A9&lt;&gt;O$1,gamma!O9=1),(VLOOKUP(O$1,'40Trips'!$A$3:$I$42,8,FALSE))-(VLOOKUP($A9,'40Trips'!$A$3:$I$42,9,FALSE)),0)</f>
        <v>0</v>
      </c>
      <c r="P9">
        <f>IF(AND(SUM(VLOOKUP($A9,'40Trips'!$A$3:$I$42,2,FALSE),VLOOKUP(P$1,'40Trips'!$A$3:$I$42,2,FALSE))&lt;='40Trips'!$K$16,$A9&lt;&gt;P$1,gamma!P9=1),(VLOOKUP(P$1,'40Trips'!$A$3:$I$42,8,FALSE))-(VLOOKUP($A9,'40Trips'!$A$3:$I$42,9,FALSE)),0)</f>
        <v>0</v>
      </c>
      <c r="Q9">
        <f>IF(AND(SUM(VLOOKUP($A9,'40Trips'!$A$3:$I$42,2,FALSE),VLOOKUP(Q$1,'40Trips'!$A$3:$I$42,2,FALSE))&lt;='40Trips'!$K$16,$A9&lt;&gt;Q$1,gamma!Q9=1),(VLOOKUP(Q$1,'40Trips'!$A$3:$I$42,8,FALSE))-(VLOOKUP($A9,'40Trips'!$A$3:$I$42,9,FALSE)),0)</f>
        <v>0</v>
      </c>
      <c r="R9">
        <f>IF(AND(SUM(VLOOKUP($A9,'40Trips'!$A$3:$I$42,2,FALSE),VLOOKUP(R$1,'40Trips'!$A$3:$I$42,2,FALSE))&lt;='40Trips'!$K$16,$A9&lt;&gt;R$1,gamma!R9=1),(VLOOKUP(R$1,'40Trips'!$A$3:$I$42,8,FALSE))-(VLOOKUP($A9,'40Trips'!$A$3:$I$42,9,FALSE)),0)</f>
        <v>0</v>
      </c>
      <c r="S9">
        <f>IF(AND(SUM(VLOOKUP($A9,'40Trips'!$A$3:$I$42,2,FALSE),VLOOKUP(S$1,'40Trips'!$A$3:$I$42,2,FALSE))&lt;='40Trips'!$K$16,$A9&lt;&gt;S$1,gamma!S9=1),(VLOOKUP(S$1,'40Trips'!$A$3:$I$42,8,FALSE))-(VLOOKUP($A9,'40Trips'!$A$3:$I$42,9,FALSE)),0)</f>
        <v>0</v>
      </c>
      <c r="T9">
        <f>IF(AND(SUM(VLOOKUP($A9,'40Trips'!$A$3:$I$42,2,FALSE),VLOOKUP(T$1,'40Trips'!$A$3:$I$42,2,FALSE))&lt;='40Trips'!$K$16,$A9&lt;&gt;T$1,gamma!T9=1),(VLOOKUP(T$1,'40Trips'!$A$3:$I$42,8,FALSE))-(VLOOKUP($A9,'40Trips'!$A$3:$I$42,9,FALSE)),0)</f>
        <v>0</v>
      </c>
      <c r="U9">
        <f>IF(AND(SUM(VLOOKUP($A9,'40Trips'!$A$3:$I$42,2,FALSE),VLOOKUP(U$1,'40Trips'!$A$3:$I$42,2,FALSE))&lt;='40Trips'!$K$16,$A9&lt;&gt;U$1,gamma!U9=1),(VLOOKUP(U$1,'40Trips'!$A$3:$I$42,8,FALSE))-(VLOOKUP($A9,'40Trips'!$A$3:$I$42,9,FALSE)),0)</f>
        <v>0</v>
      </c>
      <c r="V9">
        <f>IF(AND(SUM(VLOOKUP($A9,'40Trips'!$A$3:$I$42,2,FALSE),VLOOKUP(V$1,'40Trips'!$A$3:$I$42,2,FALSE))&lt;='40Trips'!$K$16,$A9&lt;&gt;V$1,gamma!V9=1),(VLOOKUP(V$1,'40Trips'!$A$3:$I$42,8,FALSE))-(VLOOKUP($A9,'40Trips'!$A$3:$I$42,9,FALSE)),0)</f>
        <v>15</v>
      </c>
      <c r="W9">
        <f>IF(AND(SUM(VLOOKUP($A9,'40Trips'!$A$3:$I$42,2,FALSE),VLOOKUP(W$1,'40Trips'!$A$3:$I$42,2,FALSE))&lt;='40Trips'!$K$16,$A9&lt;&gt;W$1,gamma!W9=1),(VLOOKUP(W$1,'40Trips'!$A$3:$I$42,8,FALSE))-(VLOOKUP($A9,'40Trips'!$A$3:$I$42,9,FALSE)),0)</f>
        <v>0</v>
      </c>
      <c r="X9">
        <f>IF(AND(SUM(VLOOKUP($A9,'40Trips'!$A$3:$I$42,2,FALSE),VLOOKUP(X$1,'40Trips'!$A$3:$I$42,2,FALSE))&lt;='40Trips'!$K$16,$A9&lt;&gt;X$1,gamma!X9=1),(VLOOKUP(X$1,'40Trips'!$A$3:$I$42,8,FALSE))-(VLOOKUP($A9,'40Trips'!$A$3:$I$42,9,FALSE)),0)</f>
        <v>0</v>
      </c>
      <c r="Y9">
        <f>IF(AND(SUM(VLOOKUP($A9,'40Trips'!$A$3:$I$42,2,FALSE),VLOOKUP(Y$1,'40Trips'!$A$3:$I$42,2,FALSE))&lt;='40Trips'!$K$16,$A9&lt;&gt;Y$1,gamma!Y9=1),(VLOOKUP(Y$1,'40Trips'!$A$3:$I$42,8,FALSE))-(VLOOKUP($A9,'40Trips'!$A$3:$I$42,9,FALSE)),0)</f>
        <v>0</v>
      </c>
      <c r="Z9">
        <f>IF(AND(SUM(VLOOKUP($A9,'40Trips'!$A$3:$I$42,2,FALSE),VLOOKUP(Z$1,'40Trips'!$A$3:$I$42,2,FALSE))&lt;='40Trips'!$K$16,$A9&lt;&gt;Z$1,gamma!Z9=1),(VLOOKUP(Z$1,'40Trips'!$A$3:$I$42,8,FALSE))-(VLOOKUP($A9,'40Trips'!$A$3:$I$42,9,FALSE)),0)</f>
        <v>0</v>
      </c>
      <c r="AA9">
        <f>IF(AND(SUM(VLOOKUP($A9,'40Trips'!$A$3:$I$42,2,FALSE),VLOOKUP(AA$1,'40Trips'!$A$3:$I$42,2,FALSE))&lt;='40Trips'!$K$16,$A9&lt;&gt;AA$1,gamma!AA9=1),(VLOOKUP(AA$1,'40Trips'!$A$3:$I$42,8,FALSE))-(VLOOKUP($A9,'40Trips'!$A$3:$I$42,9,FALSE)),0)</f>
        <v>0</v>
      </c>
      <c r="AB9">
        <f>IF(AND(SUM(VLOOKUP($A9,'40Trips'!$A$3:$I$42,2,FALSE),VLOOKUP(AB$1,'40Trips'!$A$3:$I$42,2,FALSE))&lt;='40Trips'!$K$16,$A9&lt;&gt;AB$1,gamma!AB9=1),(VLOOKUP(AB$1,'40Trips'!$A$3:$I$42,8,FALSE))-(VLOOKUP($A9,'40Trips'!$A$3:$I$42,9,FALSE)),0)</f>
        <v>0</v>
      </c>
      <c r="AC9">
        <f>IF(AND(SUM(VLOOKUP($A9,'40Trips'!$A$3:$I$42,2,FALSE),VLOOKUP(AC$1,'40Trips'!$A$3:$I$42,2,FALSE))&lt;='40Trips'!$K$16,$A9&lt;&gt;AC$1,gamma!AC9=1),(VLOOKUP(AC$1,'40Trips'!$A$3:$I$42,8,FALSE))-(VLOOKUP($A9,'40Trips'!$A$3:$I$42,9,FALSE)),0)</f>
        <v>0</v>
      </c>
      <c r="AD9">
        <f>IF(AND(SUM(VLOOKUP($A9,'40Trips'!$A$3:$I$42,2,FALSE),VLOOKUP(AD$1,'40Trips'!$A$3:$I$42,2,FALSE))&lt;='40Trips'!$K$16,$A9&lt;&gt;AD$1,gamma!AD9=1),(VLOOKUP(AD$1,'40Trips'!$A$3:$I$42,8,FALSE))-(VLOOKUP($A9,'40Trips'!$A$3:$I$42,9,FALSE)),0)</f>
        <v>15</v>
      </c>
      <c r="AE9">
        <f>IF(AND(SUM(VLOOKUP($A9,'40Trips'!$A$3:$I$42,2,FALSE),VLOOKUP(AE$1,'40Trips'!$A$3:$I$42,2,FALSE))&lt;='40Trips'!$K$16,$A9&lt;&gt;AE$1,gamma!AE9=1),(VLOOKUP(AE$1,'40Trips'!$A$3:$I$42,8,FALSE))-(VLOOKUP($A9,'40Trips'!$A$3:$I$42,9,FALSE)),0)</f>
        <v>0</v>
      </c>
      <c r="AF9">
        <f>IF(AND(SUM(VLOOKUP($A9,'40Trips'!$A$3:$I$42,2,FALSE),VLOOKUP(AF$1,'40Trips'!$A$3:$I$42,2,FALSE))&lt;='40Trips'!$K$16,$A9&lt;&gt;AF$1,gamma!AF9=1),(VLOOKUP(AF$1,'40Trips'!$A$3:$I$42,8,FALSE))-(VLOOKUP($A9,'40Trips'!$A$3:$I$42,9,FALSE)),0)</f>
        <v>0</v>
      </c>
      <c r="AG9">
        <f>IF(AND(SUM(VLOOKUP($A9,'40Trips'!$A$3:$I$42,2,FALSE),VLOOKUP(AG$1,'40Trips'!$A$3:$I$42,2,FALSE))&lt;='40Trips'!$K$16,$A9&lt;&gt;AG$1,gamma!AG9=1),(VLOOKUP(AG$1,'40Trips'!$A$3:$I$42,8,FALSE))-(VLOOKUP($A9,'40Trips'!$A$3:$I$42,9,FALSE)),0)</f>
        <v>0</v>
      </c>
      <c r="AH9">
        <f>IF(AND(SUM(VLOOKUP($A9,'40Trips'!$A$3:$I$42,2,FALSE),VLOOKUP(AH$1,'40Trips'!$A$3:$I$42,2,FALSE))&lt;='40Trips'!$K$16,$A9&lt;&gt;AH$1,gamma!AH9=1),(VLOOKUP(AH$1,'40Trips'!$A$3:$I$42,8,FALSE))-(VLOOKUP($A9,'40Trips'!$A$3:$I$42,9,FALSE)),0)</f>
        <v>0</v>
      </c>
      <c r="AI9">
        <f>IF(AND(SUM(VLOOKUP($A9,'40Trips'!$A$3:$I$42,2,FALSE),VLOOKUP(AI$1,'40Trips'!$A$3:$I$42,2,FALSE))&lt;='40Trips'!$K$16,$A9&lt;&gt;AI$1,gamma!AI9=1),(VLOOKUP(AI$1,'40Trips'!$A$3:$I$42,8,FALSE))-(VLOOKUP($A9,'40Trips'!$A$3:$I$42,9,FALSE)),0)</f>
        <v>0</v>
      </c>
      <c r="AJ9">
        <f>IF(AND(SUM(VLOOKUP($A9,'40Trips'!$A$3:$I$42,2,FALSE),VLOOKUP(AJ$1,'40Trips'!$A$3:$I$42,2,FALSE))&lt;='40Trips'!$K$16,$A9&lt;&gt;AJ$1,gamma!AJ9=1),(VLOOKUP(AJ$1,'40Trips'!$A$3:$I$42,8,FALSE))-(VLOOKUP($A9,'40Trips'!$A$3:$I$42,9,FALSE)),0)</f>
        <v>0</v>
      </c>
      <c r="AK9">
        <f>IF(AND(SUM(VLOOKUP($A9,'40Trips'!$A$3:$I$42,2,FALSE),VLOOKUP(AK$1,'40Trips'!$A$3:$I$42,2,FALSE))&lt;='40Trips'!$K$16,$A9&lt;&gt;AK$1,gamma!AK9=1),(VLOOKUP(AK$1,'40Trips'!$A$3:$I$42,8,FALSE))-(VLOOKUP($A9,'40Trips'!$A$3:$I$42,9,FALSE)),0)</f>
        <v>0</v>
      </c>
      <c r="AL9">
        <f>IF(AND(SUM(VLOOKUP($A9,'40Trips'!$A$3:$I$42,2,FALSE),VLOOKUP(AL$1,'40Trips'!$A$3:$I$42,2,FALSE))&lt;='40Trips'!$K$16,$A9&lt;&gt;AL$1,gamma!AL9=1),(VLOOKUP(AL$1,'40Trips'!$A$3:$I$42,8,FALSE))-(VLOOKUP($A9,'40Trips'!$A$3:$I$42,9,FALSE)),0)</f>
        <v>65</v>
      </c>
      <c r="AM9">
        <f>IF(AND(SUM(VLOOKUP($A9,'40Trips'!$A$3:$I$42,2,FALSE),VLOOKUP(AM$1,'40Trips'!$A$3:$I$42,2,FALSE))&lt;='40Trips'!$K$16,$A9&lt;&gt;AM$1,gamma!AM9=1),(VLOOKUP(AM$1,'40Trips'!$A$3:$I$42,8,FALSE))-(VLOOKUP($A9,'40Trips'!$A$3:$I$42,9,FALSE)),0)</f>
        <v>0</v>
      </c>
      <c r="AN9">
        <f>IF(AND(SUM(VLOOKUP($A9,'40Trips'!$A$3:$I$42,2,FALSE),VLOOKUP(AN$1,'40Trips'!$A$3:$I$42,2,FALSE))&lt;='40Trips'!$K$16,$A9&lt;&gt;AN$1,gamma!AN9=1),(VLOOKUP(AN$1,'40Trips'!$A$3:$I$42,8,FALSE))-(VLOOKUP($A9,'40Trips'!$A$3:$I$42,9,FALSE)),0)</f>
        <v>0</v>
      </c>
      <c r="AO9">
        <f>IF(AND(SUM(VLOOKUP($A9,'40Trips'!$A$3:$I$42,2,FALSE),VLOOKUP(AO$1,'40Trips'!$A$3:$I$42,2,FALSE))&lt;='40Trips'!$K$16,$A9&lt;&gt;AO$1,gamma!AO9=1),(VLOOKUP(AO$1,'40Trips'!$A$3:$I$42,8,FALSE))-(VLOOKUP($A9,'40Trips'!$A$3:$I$42,9,FALSE)),0)</f>
        <v>0</v>
      </c>
      <c r="AP9">
        <f>IF(AND(SUM(VLOOKUP($A9,'40Trips'!$A$3:$I$42,2,FALSE),VLOOKUP(AP$1,'40Trips'!$A$3:$I$42,2,FALSE))&lt;='40Trips'!$K$16,$A9&lt;&gt;AP$1,gamma!AP9=1),(VLOOKUP(AP$1,'40Trips'!$A$3:$I$42,8,FALSE))-(VLOOKUP($A9,'40Trips'!$A$3:$I$42,9,FALSE)),0)</f>
        <v>30</v>
      </c>
    </row>
    <row r="10" spans="1:42" x14ac:dyDescent="0.25">
      <c r="A10" t="s">
        <v>22</v>
      </c>
      <c r="B10">
        <v>0</v>
      </c>
      <c r="C10">
        <f>IF(AND(SUM(VLOOKUP($A10,'40Trips'!$A$3:$I$42,2,FALSE),VLOOKUP(C$1,'40Trips'!$A$3:$I$42,2,FALSE))&lt;='40Trips'!$K$16,$A10&lt;&gt;C$1,gamma!C10=1),(VLOOKUP(C$1,'40Trips'!$A$3:$I$42,8,FALSE))-(VLOOKUP($A10,'40Trips'!$A$3:$I$42,9,FALSE)),0)</f>
        <v>0</v>
      </c>
      <c r="D10">
        <f>IF(AND(SUM(VLOOKUP($A10,'40Trips'!$A$3:$I$42,2,FALSE),VLOOKUP(D$1,'40Trips'!$A$3:$I$42,2,FALSE))&lt;='40Trips'!$K$16,$A10&lt;&gt;D$1,gamma!D10=1),(VLOOKUP(D$1,'40Trips'!$A$3:$I$42,8,FALSE))-(VLOOKUP($A10,'40Trips'!$A$3:$I$42,9,FALSE)),0)</f>
        <v>0</v>
      </c>
      <c r="E10">
        <f>IF(AND(SUM(VLOOKUP($A10,'40Trips'!$A$3:$I$42,2,FALSE),VLOOKUP(E$1,'40Trips'!$A$3:$I$42,2,FALSE))&lt;='40Trips'!$K$16,$A10&lt;&gt;E$1,gamma!E10=1),(VLOOKUP(E$1,'40Trips'!$A$3:$I$42,8,FALSE))-(VLOOKUP($A10,'40Trips'!$A$3:$I$42,9,FALSE)),0)</f>
        <v>0</v>
      </c>
      <c r="F10">
        <f>IF(AND(SUM(VLOOKUP($A10,'40Trips'!$A$3:$I$42,2,FALSE),VLOOKUP(F$1,'40Trips'!$A$3:$I$42,2,FALSE))&lt;='40Trips'!$K$16,$A10&lt;&gt;F$1,gamma!F10=1),(VLOOKUP(F$1,'40Trips'!$A$3:$I$42,8,FALSE))-(VLOOKUP($A10,'40Trips'!$A$3:$I$42,9,FALSE)),0)</f>
        <v>0</v>
      </c>
      <c r="G10">
        <f>IF(AND(SUM(VLOOKUP($A10,'40Trips'!$A$3:$I$42,2,FALSE),VLOOKUP(G$1,'40Trips'!$A$3:$I$42,2,FALSE))&lt;='40Trips'!$K$16,$A10&lt;&gt;G$1,gamma!G10=1),(VLOOKUP(G$1,'40Trips'!$A$3:$I$42,8,FALSE))-(VLOOKUP($A10,'40Trips'!$A$3:$I$42,9,FALSE)),0)</f>
        <v>0</v>
      </c>
      <c r="H10">
        <f>IF(AND(SUM(VLOOKUP($A10,'40Trips'!$A$3:$I$42,2,FALSE),VLOOKUP(H$1,'40Trips'!$A$3:$I$42,2,FALSE))&lt;='40Trips'!$K$16,$A10&lt;&gt;H$1,gamma!H10=1),(VLOOKUP(H$1,'40Trips'!$A$3:$I$42,8,FALSE))-(VLOOKUP($A10,'40Trips'!$A$3:$I$42,9,FALSE)),0)</f>
        <v>0</v>
      </c>
      <c r="I10">
        <f>IF(AND(SUM(VLOOKUP($A10,'40Trips'!$A$3:$I$42,2,FALSE),VLOOKUP(I$1,'40Trips'!$A$3:$I$42,2,FALSE))&lt;='40Trips'!$K$16,$A10&lt;&gt;I$1,gamma!I10=1),(VLOOKUP(I$1,'40Trips'!$A$3:$I$42,8,FALSE))-(VLOOKUP($A10,'40Trips'!$A$3:$I$42,9,FALSE)),0)</f>
        <v>0</v>
      </c>
      <c r="J10">
        <f>IF(AND(SUM(VLOOKUP($A10,'40Trips'!$A$3:$I$42,2,FALSE),VLOOKUP(J$1,'40Trips'!$A$3:$I$42,2,FALSE))&lt;='40Trips'!$K$16,$A10&lt;&gt;J$1,gamma!J10=1),(VLOOKUP(J$1,'40Trips'!$A$3:$I$42,8,FALSE))-(VLOOKUP($A10,'40Trips'!$A$3:$I$42,9,FALSE)),0)</f>
        <v>0</v>
      </c>
      <c r="K10">
        <f>IF(AND(SUM(VLOOKUP($A10,'40Trips'!$A$3:$I$42,2,FALSE),VLOOKUP(K$1,'40Trips'!$A$3:$I$42,2,FALSE))&lt;='40Trips'!$K$16,$A10&lt;&gt;K$1,gamma!K10=1),(VLOOKUP(K$1,'40Trips'!$A$3:$I$42,8,FALSE))-(VLOOKUP($A10,'40Trips'!$A$3:$I$42,9,FALSE)),0)</f>
        <v>0</v>
      </c>
      <c r="L10">
        <f>IF(AND(SUM(VLOOKUP($A10,'40Trips'!$A$3:$I$42,2,FALSE),VLOOKUP(L$1,'40Trips'!$A$3:$I$42,2,FALSE))&lt;='40Trips'!$K$16,$A10&lt;&gt;L$1,gamma!L10=1),(VLOOKUP(L$1,'40Trips'!$A$3:$I$42,8,FALSE))-(VLOOKUP($A10,'40Trips'!$A$3:$I$42,9,FALSE)),0)</f>
        <v>0</v>
      </c>
      <c r="M10">
        <f>IF(AND(SUM(VLOOKUP($A10,'40Trips'!$A$3:$I$42,2,FALSE),VLOOKUP(M$1,'40Trips'!$A$3:$I$42,2,FALSE))&lt;='40Trips'!$K$16,$A10&lt;&gt;M$1,gamma!M10=1),(VLOOKUP(M$1,'40Trips'!$A$3:$I$42,8,FALSE))-(VLOOKUP($A10,'40Trips'!$A$3:$I$42,9,FALSE)),0)</f>
        <v>0</v>
      </c>
      <c r="N10">
        <f>IF(AND(SUM(VLOOKUP($A10,'40Trips'!$A$3:$I$42,2,FALSE),VLOOKUP(N$1,'40Trips'!$A$3:$I$42,2,FALSE))&lt;='40Trips'!$K$16,$A10&lt;&gt;N$1,gamma!N10=1),(VLOOKUP(N$1,'40Trips'!$A$3:$I$42,8,FALSE))-(VLOOKUP($A10,'40Trips'!$A$3:$I$42,9,FALSE)),0)</f>
        <v>0</v>
      </c>
      <c r="O10">
        <f>IF(AND(SUM(VLOOKUP($A10,'40Trips'!$A$3:$I$42,2,FALSE),VLOOKUP(O$1,'40Trips'!$A$3:$I$42,2,FALSE))&lt;='40Trips'!$K$16,$A10&lt;&gt;O$1,gamma!O10=1),(VLOOKUP(O$1,'40Trips'!$A$3:$I$42,8,FALSE))-(VLOOKUP($A10,'40Trips'!$A$3:$I$42,9,FALSE)),0)</f>
        <v>0</v>
      </c>
      <c r="P10">
        <f>IF(AND(SUM(VLOOKUP($A10,'40Trips'!$A$3:$I$42,2,FALSE),VLOOKUP(P$1,'40Trips'!$A$3:$I$42,2,FALSE))&lt;='40Trips'!$K$16,$A10&lt;&gt;P$1,gamma!P10=1),(VLOOKUP(P$1,'40Trips'!$A$3:$I$42,8,FALSE))-(VLOOKUP($A10,'40Trips'!$A$3:$I$42,9,FALSE)),0)</f>
        <v>0</v>
      </c>
      <c r="Q10">
        <f>IF(AND(SUM(VLOOKUP($A10,'40Trips'!$A$3:$I$42,2,FALSE),VLOOKUP(Q$1,'40Trips'!$A$3:$I$42,2,FALSE))&lt;='40Trips'!$K$16,$A10&lt;&gt;Q$1,gamma!Q10=1),(VLOOKUP(Q$1,'40Trips'!$A$3:$I$42,8,FALSE))-(VLOOKUP($A10,'40Trips'!$A$3:$I$42,9,FALSE)),0)</f>
        <v>0</v>
      </c>
      <c r="R10">
        <f>IF(AND(SUM(VLOOKUP($A10,'40Trips'!$A$3:$I$42,2,FALSE),VLOOKUP(R$1,'40Trips'!$A$3:$I$42,2,FALSE))&lt;='40Trips'!$K$16,$A10&lt;&gt;R$1,gamma!R10=1),(VLOOKUP(R$1,'40Trips'!$A$3:$I$42,8,FALSE))-(VLOOKUP($A10,'40Trips'!$A$3:$I$42,9,FALSE)),0)</f>
        <v>0</v>
      </c>
      <c r="S10">
        <f>IF(AND(SUM(VLOOKUP($A10,'40Trips'!$A$3:$I$42,2,FALSE),VLOOKUP(S$1,'40Trips'!$A$3:$I$42,2,FALSE))&lt;='40Trips'!$K$16,$A10&lt;&gt;S$1,gamma!S10=1),(VLOOKUP(S$1,'40Trips'!$A$3:$I$42,8,FALSE))-(VLOOKUP($A10,'40Trips'!$A$3:$I$42,9,FALSE)),0)</f>
        <v>0</v>
      </c>
      <c r="T10">
        <f>IF(AND(SUM(VLOOKUP($A10,'40Trips'!$A$3:$I$42,2,FALSE),VLOOKUP(T$1,'40Trips'!$A$3:$I$42,2,FALSE))&lt;='40Trips'!$K$16,$A10&lt;&gt;T$1,gamma!T10=1),(VLOOKUP(T$1,'40Trips'!$A$3:$I$42,8,FALSE))-(VLOOKUP($A10,'40Trips'!$A$3:$I$42,9,FALSE)),0)</f>
        <v>0</v>
      </c>
      <c r="U10">
        <f>IF(AND(SUM(VLOOKUP($A10,'40Trips'!$A$3:$I$42,2,FALSE),VLOOKUP(U$1,'40Trips'!$A$3:$I$42,2,FALSE))&lt;='40Trips'!$K$16,$A10&lt;&gt;U$1,gamma!U10=1),(VLOOKUP(U$1,'40Trips'!$A$3:$I$42,8,FALSE))-(VLOOKUP($A10,'40Trips'!$A$3:$I$42,9,FALSE)),0)</f>
        <v>0</v>
      </c>
      <c r="V10">
        <f>IF(AND(SUM(VLOOKUP($A10,'40Trips'!$A$3:$I$42,2,FALSE),VLOOKUP(V$1,'40Trips'!$A$3:$I$42,2,FALSE))&lt;='40Trips'!$K$16,$A10&lt;&gt;V$1,gamma!V10=1),(VLOOKUP(V$1,'40Trips'!$A$3:$I$42,8,FALSE))-(VLOOKUP($A10,'40Trips'!$A$3:$I$42,9,FALSE)),0)</f>
        <v>0</v>
      </c>
      <c r="W10">
        <f>IF(AND(SUM(VLOOKUP($A10,'40Trips'!$A$3:$I$42,2,FALSE),VLOOKUP(W$1,'40Trips'!$A$3:$I$42,2,FALSE))&lt;='40Trips'!$K$16,$A10&lt;&gt;W$1,gamma!W10=1),(VLOOKUP(W$1,'40Trips'!$A$3:$I$42,8,FALSE))-(VLOOKUP($A10,'40Trips'!$A$3:$I$42,9,FALSE)),0)</f>
        <v>0</v>
      </c>
      <c r="X10">
        <f>IF(AND(SUM(VLOOKUP($A10,'40Trips'!$A$3:$I$42,2,FALSE),VLOOKUP(X$1,'40Trips'!$A$3:$I$42,2,FALSE))&lt;='40Trips'!$K$16,$A10&lt;&gt;X$1,gamma!X10=1),(VLOOKUP(X$1,'40Trips'!$A$3:$I$42,8,FALSE))-(VLOOKUP($A10,'40Trips'!$A$3:$I$42,9,FALSE)),0)</f>
        <v>0</v>
      </c>
      <c r="Y10">
        <f>IF(AND(SUM(VLOOKUP($A10,'40Trips'!$A$3:$I$42,2,FALSE),VLOOKUP(Y$1,'40Trips'!$A$3:$I$42,2,FALSE))&lt;='40Trips'!$K$16,$A10&lt;&gt;Y$1,gamma!Y10=1),(VLOOKUP(Y$1,'40Trips'!$A$3:$I$42,8,FALSE))-(VLOOKUP($A10,'40Trips'!$A$3:$I$42,9,FALSE)),0)</f>
        <v>0</v>
      </c>
      <c r="Z10">
        <f>IF(AND(SUM(VLOOKUP($A10,'40Trips'!$A$3:$I$42,2,FALSE),VLOOKUP(Z$1,'40Trips'!$A$3:$I$42,2,FALSE))&lt;='40Trips'!$K$16,$A10&lt;&gt;Z$1,gamma!Z10=1),(VLOOKUP(Z$1,'40Trips'!$A$3:$I$42,8,FALSE))-(VLOOKUP($A10,'40Trips'!$A$3:$I$42,9,FALSE)),0)</f>
        <v>0</v>
      </c>
      <c r="AA10">
        <f>IF(AND(SUM(VLOOKUP($A10,'40Trips'!$A$3:$I$42,2,FALSE),VLOOKUP(AA$1,'40Trips'!$A$3:$I$42,2,FALSE))&lt;='40Trips'!$K$16,$A10&lt;&gt;AA$1,gamma!AA10=1),(VLOOKUP(AA$1,'40Trips'!$A$3:$I$42,8,FALSE))-(VLOOKUP($A10,'40Trips'!$A$3:$I$42,9,FALSE)),0)</f>
        <v>0</v>
      </c>
      <c r="AB10">
        <f>IF(AND(SUM(VLOOKUP($A10,'40Trips'!$A$3:$I$42,2,FALSE),VLOOKUP(AB$1,'40Trips'!$A$3:$I$42,2,FALSE))&lt;='40Trips'!$K$16,$A10&lt;&gt;AB$1,gamma!AB10=1),(VLOOKUP(AB$1,'40Trips'!$A$3:$I$42,8,FALSE))-(VLOOKUP($A10,'40Trips'!$A$3:$I$42,9,FALSE)),0)</f>
        <v>0</v>
      </c>
      <c r="AC10">
        <f>IF(AND(SUM(VLOOKUP($A10,'40Trips'!$A$3:$I$42,2,FALSE),VLOOKUP(AC$1,'40Trips'!$A$3:$I$42,2,FALSE))&lt;='40Trips'!$K$16,$A10&lt;&gt;AC$1,gamma!AC10=1),(VLOOKUP(AC$1,'40Trips'!$A$3:$I$42,8,FALSE))-(VLOOKUP($A10,'40Trips'!$A$3:$I$42,9,FALSE)),0)</f>
        <v>0</v>
      </c>
      <c r="AD10">
        <f>IF(AND(SUM(VLOOKUP($A10,'40Trips'!$A$3:$I$42,2,FALSE),VLOOKUP(AD$1,'40Trips'!$A$3:$I$42,2,FALSE))&lt;='40Trips'!$K$16,$A10&lt;&gt;AD$1,gamma!AD10=1),(VLOOKUP(AD$1,'40Trips'!$A$3:$I$42,8,FALSE))-(VLOOKUP($A10,'40Trips'!$A$3:$I$42,9,FALSE)),0)</f>
        <v>0</v>
      </c>
      <c r="AE10">
        <f>IF(AND(SUM(VLOOKUP($A10,'40Trips'!$A$3:$I$42,2,FALSE),VLOOKUP(AE$1,'40Trips'!$A$3:$I$42,2,FALSE))&lt;='40Trips'!$K$16,$A10&lt;&gt;AE$1,gamma!AE10=1),(VLOOKUP(AE$1,'40Trips'!$A$3:$I$42,8,FALSE))-(VLOOKUP($A10,'40Trips'!$A$3:$I$42,9,FALSE)),0)</f>
        <v>0</v>
      </c>
      <c r="AF10">
        <f>IF(AND(SUM(VLOOKUP($A10,'40Trips'!$A$3:$I$42,2,FALSE),VLOOKUP(AF$1,'40Trips'!$A$3:$I$42,2,FALSE))&lt;='40Trips'!$K$16,$A10&lt;&gt;AF$1,gamma!AF10=1),(VLOOKUP(AF$1,'40Trips'!$A$3:$I$42,8,FALSE))-(VLOOKUP($A10,'40Trips'!$A$3:$I$42,9,FALSE)),0)</f>
        <v>0</v>
      </c>
      <c r="AG10">
        <f>IF(AND(SUM(VLOOKUP($A10,'40Trips'!$A$3:$I$42,2,FALSE),VLOOKUP(AG$1,'40Trips'!$A$3:$I$42,2,FALSE))&lt;='40Trips'!$K$16,$A10&lt;&gt;AG$1,gamma!AG10=1),(VLOOKUP(AG$1,'40Trips'!$A$3:$I$42,8,FALSE))-(VLOOKUP($A10,'40Trips'!$A$3:$I$42,9,FALSE)),0)</f>
        <v>0</v>
      </c>
      <c r="AH10">
        <f>IF(AND(SUM(VLOOKUP($A10,'40Trips'!$A$3:$I$42,2,FALSE),VLOOKUP(AH$1,'40Trips'!$A$3:$I$42,2,FALSE))&lt;='40Trips'!$K$16,$A10&lt;&gt;AH$1,gamma!AH10=1),(VLOOKUP(AH$1,'40Trips'!$A$3:$I$42,8,FALSE))-(VLOOKUP($A10,'40Trips'!$A$3:$I$42,9,FALSE)),0)</f>
        <v>0</v>
      </c>
      <c r="AI10">
        <f>IF(AND(SUM(VLOOKUP($A10,'40Trips'!$A$3:$I$42,2,FALSE),VLOOKUP(AI$1,'40Trips'!$A$3:$I$42,2,FALSE))&lt;='40Trips'!$K$16,$A10&lt;&gt;AI$1,gamma!AI10=1),(VLOOKUP(AI$1,'40Trips'!$A$3:$I$42,8,FALSE))-(VLOOKUP($A10,'40Trips'!$A$3:$I$42,9,FALSE)),0)</f>
        <v>0</v>
      </c>
      <c r="AJ10">
        <f>IF(AND(SUM(VLOOKUP($A10,'40Trips'!$A$3:$I$42,2,FALSE),VLOOKUP(AJ$1,'40Trips'!$A$3:$I$42,2,FALSE))&lt;='40Trips'!$K$16,$A10&lt;&gt;AJ$1,gamma!AJ10=1),(VLOOKUP(AJ$1,'40Trips'!$A$3:$I$42,8,FALSE))-(VLOOKUP($A10,'40Trips'!$A$3:$I$42,9,FALSE)),0)</f>
        <v>0</v>
      </c>
      <c r="AK10">
        <f>IF(AND(SUM(VLOOKUP($A10,'40Trips'!$A$3:$I$42,2,FALSE),VLOOKUP(AK$1,'40Trips'!$A$3:$I$42,2,FALSE))&lt;='40Trips'!$K$16,$A10&lt;&gt;AK$1,gamma!AK10=1),(VLOOKUP(AK$1,'40Trips'!$A$3:$I$42,8,FALSE))-(VLOOKUP($A10,'40Trips'!$A$3:$I$42,9,FALSE)),0)</f>
        <v>0</v>
      </c>
      <c r="AL10">
        <f>IF(AND(SUM(VLOOKUP($A10,'40Trips'!$A$3:$I$42,2,FALSE),VLOOKUP(AL$1,'40Trips'!$A$3:$I$42,2,FALSE))&lt;='40Trips'!$K$16,$A10&lt;&gt;AL$1,gamma!AL10=1),(VLOOKUP(AL$1,'40Trips'!$A$3:$I$42,8,FALSE))-(VLOOKUP($A10,'40Trips'!$A$3:$I$42,9,FALSE)),0)</f>
        <v>0</v>
      </c>
      <c r="AM10">
        <f>IF(AND(SUM(VLOOKUP($A10,'40Trips'!$A$3:$I$42,2,FALSE),VLOOKUP(AM$1,'40Trips'!$A$3:$I$42,2,FALSE))&lt;='40Trips'!$K$16,$A10&lt;&gt;AM$1,gamma!AM10=1),(VLOOKUP(AM$1,'40Trips'!$A$3:$I$42,8,FALSE))-(VLOOKUP($A10,'40Trips'!$A$3:$I$42,9,FALSE)),0)</f>
        <v>0</v>
      </c>
      <c r="AN10">
        <f>IF(AND(SUM(VLOOKUP($A10,'40Trips'!$A$3:$I$42,2,FALSE),VLOOKUP(AN$1,'40Trips'!$A$3:$I$42,2,FALSE))&lt;='40Trips'!$K$16,$A10&lt;&gt;AN$1,gamma!AN10=1),(VLOOKUP(AN$1,'40Trips'!$A$3:$I$42,8,FALSE))-(VLOOKUP($A10,'40Trips'!$A$3:$I$42,9,FALSE)),0)</f>
        <v>0</v>
      </c>
      <c r="AO10">
        <f>IF(AND(SUM(VLOOKUP($A10,'40Trips'!$A$3:$I$42,2,FALSE),VLOOKUP(AO$1,'40Trips'!$A$3:$I$42,2,FALSE))&lt;='40Trips'!$K$16,$A10&lt;&gt;AO$1,gamma!AO10=1),(VLOOKUP(AO$1,'40Trips'!$A$3:$I$42,8,FALSE))-(VLOOKUP($A10,'40Trips'!$A$3:$I$42,9,FALSE)),0)</f>
        <v>0</v>
      </c>
      <c r="AP10">
        <f>IF(AND(SUM(VLOOKUP($A10,'40Trips'!$A$3:$I$42,2,FALSE),VLOOKUP(AP$1,'40Trips'!$A$3:$I$42,2,FALSE))&lt;='40Trips'!$K$16,$A10&lt;&gt;AP$1,gamma!AP10=1),(VLOOKUP(AP$1,'40Trips'!$A$3:$I$42,8,FALSE))-(VLOOKUP($A10,'40Trips'!$A$3:$I$42,9,FALSE)),0)</f>
        <v>0</v>
      </c>
    </row>
    <row r="11" spans="1:42" x14ac:dyDescent="0.25">
      <c r="A11" t="s">
        <v>24</v>
      </c>
      <c r="B11">
        <v>0</v>
      </c>
      <c r="C11">
        <f>IF(AND(SUM(VLOOKUP($A11,'40Trips'!$A$3:$I$42,2,FALSE),VLOOKUP(C$1,'40Trips'!$A$3:$I$42,2,FALSE))&lt;='40Trips'!$K$16,$A11&lt;&gt;C$1,gamma!C11=1),(VLOOKUP(C$1,'40Trips'!$A$3:$I$42,8,FALSE))-(VLOOKUP($A11,'40Trips'!$A$3:$I$42,9,FALSE)),0)</f>
        <v>0</v>
      </c>
      <c r="D11">
        <f>IF(AND(SUM(VLOOKUP($A11,'40Trips'!$A$3:$I$42,2,FALSE),VLOOKUP(D$1,'40Trips'!$A$3:$I$42,2,FALSE))&lt;='40Trips'!$K$16,$A11&lt;&gt;D$1,gamma!D11=1),(VLOOKUP(D$1,'40Trips'!$A$3:$I$42,8,FALSE))-(VLOOKUP($A11,'40Trips'!$A$3:$I$42,9,FALSE)),0)</f>
        <v>40</v>
      </c>
      <c r="E11">
        <f>IF(AND(SUM(VLOOKUP($A11,'40Trips'!$A$3:$I$42,2,FALSE),VLOOKUP(E$1,'40Trips'!$A$3:$I$42,2,FALSE))&lt;='40Trips'!$K$16,$A11&lt;&gt;E$1,gamma!E11=1),(VLOOKUP(E$1,'40Trips'!$A$3:$I$42,8,FALSE))-(VLOOKUP($A11,'40Trips'!$A$3:$I$42,9,FALSE)),0)</f>
        <v>130</v>
      </c>
      <c r="F11">
        <f>IF(AND(SUM(VLOOKUP($A11,'40Trips'!$A$3:$I$42,2,FALSE),VLOOKUP(F$1,'40Trips'!$A$3:$I$42,2,FALSE))&lt;='40Trips'!$K$16,$A11&lt;&gt;F$1,gamma!F11=1),(VLOOKUP(F$1,'40Trips'!$A$3:$I$42,8,FALSE))-(VLOOKUP($A11,'40Trips'!$A$3:$I$42,9,FALSE)),0)</f>
        <v>220</v>
      </c>
      <c r="G11">
        <f>IF(AND(SUM(VLOOKUP($A11,'40Trips'!$A$3:$I$42,2,FALSE),VLOOKUP(G$1,'40Trips'!$A$3:$I$42,2,FALSE))&lt;='40Trips'!$K$16,$A11&lt;&gt;G$1,gamma!G11=1),(VLOOKUP(G$1,'40Trips'!$A$3:$I$42,8,FALSE))-(VLOOKUP($A11,'40Trips'!$A$3:$I$42,9,FALSE)),0)</f>
        <v>0</v>
      </c>
      <c r="H11">
        <f>IF(AND(SUM(VLOOKUP($A11,'40Trips'!$A$3:$I$42,2,FALSE),VLOOKUP(H$1,'40Trips'!$A$3:$I$42,2,FALSE))&lt;='40Trips'!$K$16,$A11&lt;&gt;H$1,gamma!H11=1),(VLOOKUP(H$1,'40Trips'!$A$3:$I$42,8,FALSE))-(VLOOKUP($A11,'40Trips'!$A$3:$I$42,9,FALSE)),0)</f>
        <v>0</v>
      </c>
      <c r="I11">
        <f>IF(AND(SUM(VLOOKUP($A11,'40Trips'!$A$3:$I$42,2,FALSE),VLOOKUP(I$1,'40Trips'!$A$3:$I$42,2,FALSE))&lt;='40Trips'!$K$16,$A11&lt;&gt;I$1,gamma!I11=1),(VLOOKUP(I$1,'40Trips'!$A$3:$I$42,8,FALSE))-(VLOOKUP($A11,'40Trips'!$A$3:$I$42,9,FALSE)),0)</f>
        <v>95</v>
      </c>
      <c r="J11">
        <f>IF(AND(SUM(VLOOKUP($A11,'40Trips'!$A$3:$I$42,2,FALSE),VLOOKUP(J$1,'40Trips'!$A$3:$I$42,2,FALSE))&lt;='40Trips'!$K$16,$A11&lt;&gt;J$1,gamma!J11=1),(VLOOKUP(J$1,'40Trips'!$A$3:$I$42,8,FALSE))-(VLOOKUP($A11,'40Trips'!$A$3:$I$42,9,FALSE)),0)</f>
        <v>455</v>
      </c>
      <c r="K11">
        <f>IF(AND(SUM(VLOOKUP($A11,'40Trips'!$A$3:$I$42,2,FALSE),VLOOKUP(K$1,'40Trips'!$A$3:$I$42,2,FALSE))&lt;='40Trips'!$K$16,$A11&lt;&gt;K$1,gamma!K11=1),(VLOOKUP(K$1,'40Trips'!$A$3:$I$42,8,FALSE))-(VLOOKUP($A11,'40Trips'!$A$3:$I$42,9,FALSE)),0)</f>
        <v>0</v>
      </c>
      <c r="L11">
        <f>IF(AND(SUM(VLOOKUP($A11,'40Trips'!$A$3:$I$42,2,FALSE),VLOOKUP(L$1,'40Trips'!$A$3:$I$42,2,FALSE))&lt;='40Trips'!$K$16,$A11&lt;&gt;L$1,gamma!L11=1),(VLOOKUP(L$1,'40Trips'!$A$3:$I$42,8,FALSE))-(VLOOKUP($A11,'40Trips'!$A$3:$I$42,9,FALSE)),0)</f>
        <v>0</v>
      </c>
      <c r="M11">
        <f>IF(AND(SUM(VLOOKUP($A11,'40Trips'!$A$3:$I$42,2,FALSE),VLOOKUP(M$1,'40Trips'!$A$3:$I$42,2,FALSE))&lt;='40Trips'!$K$16,$A11&lt;&gt;M$1,gamma!M11=1),(VLOOKUP(M$1,'40Trips'!$A$3:$I$42,8,FALSE))-(VLOOKUP($A11,'40Trips'!$A$3:$I$42,9,FALSE)),0)</f>
        <v>90</v>
      </c>
      <c r="N11">
        <f>IF(AND(SUM(VLOOKUP($A11,'40Trips'!$A$3:$I$42,2,FALSE),VLOOKUP(N$1,'40Trips'!$A$3:$I$42,2,FALSE))&lt;='40Trips'!$K$16,$A11&lt;&gt;N$1,gamma!N11=1),(VLOOKUP(N$1,'40Trips'!$A$3:$I$42,8,FALSE))-(VLOOKUP($A11,'40Trips'!$A$3:$I$42,9,FALSE)),0)</f>
        <v>0</v>
      </c>
      <c r="O11">
        <f>IF(AND(SUM(VLOOKUP($A11,'40Trips'!$A$3:$I$42,2,FALSE),VLOOKUP(O$1,'40Trips'!$A$3:$I$42,2,FALSE))&lt;='40Trips'!$K$16,$A11&lt;&gt;O$1,gamma!O11=1),(VLOOKUP(O$1,'40Trips'!$A$3:$I$42,8,FALSE))-(VLOOKUP($A11,'40Trips'!$A$3:$I$42,9,FALSE)),0)</f>
        <v>0</v>
      </c>
      <c r="P11">
        <f>IF(AND(SUM(VLOOKUP($A11,'40Trips'!$A$3:$I$42,2,FALSE),VLOOKUP(P$1,'40Trips'!$A$3:$I$42,2,FALSE))&lt;='40Trips'!$K$16,$A11&lt;&gt;P$1,gamma!P11=1),(VLOOKUP(P$1,'40Trips'!$A$3:$I$42,8,FALSE))-(VLOOKUP($A11,'40Trips'!$A$3:$I$42,9,FALSE)),0)</f>
        <v>20</v>
      </c>
      <c r="Q11">
        <f>IF(AND(SUM(VLOOKUP($A11,'40Trips'!$A$3:$I$42,2,FALSE),VLOOKUP(Q$1,'40Trips'!$A$3:$I$42,2,FALSE))&lt;='40Trips'!$K$16,$A11&lt;&gt;Q$1,gamma!Q11=1),(VLOOKUP(Q$1,'40Trips'!$A$3:$I$42,8,FALSE))-(VLOOKUP($A11,'40Trips'!$A$3:$I$42,9,FALSE)),0)</f>
        <v>110</v>
      </c>
      <c r="R11">
        <f>IF(AND(SUM(VLOOKUP($A11,'40Trips'!$A$3:$I$42,2,FALSE),VLOOKUP(R$1,'40Trips'!$A$3:$I$42,2,FALSE))&lt;='40Trips'!$K$16,$A11&lt;&gt;R$1,gamma!R11=1),(VLOOKUP(R$1,'40Trips'!$A$3:$I$42,8,FALSE))-(VLOOKUP($A11,'40Trips'!$A$3:$I$42,9,FALSE)),0)</f>
        <v>200</v>
      </c>
      <c r="S11">
        <f>IF(AND(SUM(VLOOKUP($A11,'40Trips'!$A$3:$I$42,2,FALSE),VLOOKUP(S$1,'40Trips'!$A$3:$I$42,2,FALSE))&lt;='40Trips'!$K$16,$A11&lt;&gt;S$1,gamma!S11=1),(VLOOKUP(S$1,'40Trips'!$A$3:$I$42,8,FALSE))-(VLOOKUP($A11,'40Trips'!$A$3:$I$42,9,FALSE)),0)</f>
        <v>0</v>
      </c>
      <c r="T11">
        <f>IF(AND(SUM(VLOOKUP($A11,'40Trips'!$A$3:$I$42,2,FALSE),VLOOKUP(T$1,'40Trips'!$A$3:$I$42,2,FALSE))&lt;='40Trips'!$K$16,$A11&lt;&gt;T$1,gamma!T11=1),(VLOOKUP(T$1,'40Trips'!$A$3:$I$42,8,FALSE))-(VLOOKUP($A11,'40Trips'!$A$3:$I$42,9,FALSE)),0)</f>
        <v>0</v>
      </c>
      <c r="U11">
        <f>IF(AND(SUM(VLOOKUP($A11,'40Trips'!$A$3:$I$42,2,FALSE),VLOOKUP(U$1,'40Trips'!$A$3:$I$42,2,FALSE))&lt;='40Trips'!$K$16,$A11&lt;&gt;U$1,gamma!U11=1),(VLOOKUP(U$1,'40Trips'!$A$3:$I$42,8,FALSE))-(VLOOKUP($A11,'40Trips'!$A$3:$I$42,9,FALSE)),0)</f>
        <v>100</v>
      </c>
      <c r="V11">
        <f>IF(AND(SUM(VLOOKUP($A11,'40Trips'!$A$3:$I$42,2,FALSE),VLOOKUP(V$1,'40Trips'!$A$3:$I$42,2,FALSE))&lt;='40Trips'!$K$16,$A11&lt;&gt;V$1,gamma!V11=1),(VLOOKUP(V$1,'40Trips'!$A$3:$I$42,8,FALSE))-(VLOOKUP($A11,'40Trips'!$A$3:$I$42,9,FALSE)),0)</f>
        <v>250</v>
      </c>
      <c r="W11">
        <f>IF(AND(SUM(VLOOKUP($A11,'40Trips'!$A$3:$I$42,2,FALSE),VLOOKUP(W$1,'40Trips'!$A$3:$I$42,2,FALSE))&lt;='40Trips'!$K$16,$A11&lt;&gt;W$1,gamma!W11=1),(VLOOKUP(W$1,'40Trips'!$A$3:$I$42,8,FALSE))-(VLOOKUP($A11,'40Trips'!$A$3:$I$42,9,FALSE)),0)</f>
        <v>0</v>
      </c>
      <c r="X11">
        <f>IF(AND(SUM(VLOOKUP($A11,'40Trips'!$A$3:$I$42,2,FALSE),VLOOKUP(X$1,'40Trips'!$A$3:$I$42,2,FALSE))&lt;='40Trips'!$K$16,$A11&lt;&gt;X$1,gamma!X11=1),(VLOOKUP(X$1,'40Trips'!$A$3:$I$42,8,FALSE))-(VLOOKUP($A11,'40Trips'!$A$3:$I$42,9,FALSE)),0)</f>
        <v>40</v>
      </c>
      <c r="Y11">
        <f>IF(AND(SUM(VLOOKUP($A11,'40Trips'!$A$3:$I$42,2,FALSE),VLOOKUP(Y$1,'40Trips'!$A$3:$I$42,2,FALSE))&lt;='40Trips'!$K$16,$A11&lt;&gt;Y$1,gamma!Y11=1),(VLOOKUP(Y$1,'40Trips'!$A$3:$I$42,8,FALSE))-(VLOOKUP($A11,'40Trips'!$A$3:$I$42,9,FALSE)),0)</f>
        <v>160</v>
      </c>
      <c r="Z11">
        <f>IF(AND(SUM(VLOOKUP($A11,'40Trips'!$A$3:$I$42,2,FALSE),VLOOKUP(Z$1,'40Trips'!$A$3:$I$42,2,FALSE))&lt;='40Trips'!$K$16,$A11&lt;&gt;Z$1,gamma!Z11=1),(VLOOKUP(Z$1,'40Trips'!$A$3:$I$42,8,FALSE))-(VLOOKUP($A11,'40Trips'!$A$3:$I$42,9,FALSE)),0)</f>
        <v>220</v>
      </c>
      <c r="AA11">
        <f>IF(AND(SUM(VLOOKUP($A11,'40Trips'!$A$3:$I$42,2,FALSE),VLOOKUP(AA$1,'40Trips'!$A$3:$I$42,2,FALSE))&lt;='40Trips'!$K$16,$A11&lt;&gt;AA$1,gamma!AA11=1),(VLOOKUP(AA$1,'40Trips'!$A$3:$I$42,8,FALSE))-(VLOOKUP($A11,'40Trips'!$A$3:$I$42,9,FALSE)),0)</f>
        <v>0</v>
      </c>
      <c r="AB11">
        <f>IF(AND(SUM(VLOOKUP($A11,'40Trips'!$A$3:$I$42,2,FALSE),VLOOKUP(AB$1,'40Trips'!$A$3:$I$42,2,FALSE))&lt;='40Trips'!$K$16,$A11&lt;&gt;AB$1,gamma!AB11=1),(VLOOKUP(AB$1,'40Trips'!$A$3:$I$42,8,FALSE))-(VLOOKUP($A11,'40Trips'!$A$3:$I$42,9,FALSE)),0)</f>
        <v>0</v>
      </c>
      <c r="AC11">
        <f>IF(AND(SUM(VLOOKUP($A11,'40Trips'!$A$3:$I$42,2,FALSE),VLOOKUP(AC$1,'40Trips'!$A$3:$I$42,2,FALSE))&lt;='40Trips'!$K$16,$A11&lt;&gt;AC$1,gamma!AC11=1),(VLOOKUP(AC$1,'40Trips'!$A$3:$I$42,8,FALSE))-(VLOOKUP($A11,'40Trips'!$A$3:$I$42,9,FALSE)),0)</f>
        <v>200</v>
      </c>
      <c r="AD11">
        <f>IF(AND(SUM(VLOOKUP($A11,'40Trips'!$A$3:$I$42,2,FALSE),VLOOKUP(AD$1,'40Trips'!$A$3:$I$42,2,FALSE))&lt;='40Trips'!$K$16,$A11&lt;&gt;AD$1,gamma!AD11=1),(VLOOKUP(AD$1,'40Trips'!$A$3:$I$42,8,FALSE))-(VLOOKUP($A11,'40Trips'!$A$3:$I$42,9,FALSE)),0)</f>
        <v>250</v>
      </c>
      <c r="AE11">
        <f>IF(AND(SUM(VLOOKUP($A11,'40Trips'!$A$3:$I$42,2,FALSE),VLOOKUP(AE$1,'40Trips'!$A$3:$I$42,2,FALSE))&lt;='40Trips'!$K$16,$A11&lt;&gt;AE$1,gamma!AE11=1),(VLOOKUP(AE$1,'40Trips'!$A$3:$I$42,8,FALSE))-(VLOOKUP($A11,'40Trips'!$A$3:$I$42,9,FALSE)),0)</f>
        <v>0</v>
      </c>
      <c r="AF11">
        <f>IF(AND(SUM(VLOOKUP($A11,'40Trips'!$A$3:$I$42,2,FALSE),VLOOKUP(AF$1,'40Trips'!$A$3:$I$42,2,FALSE))&lt;='40Trips'!$K$16,$A11&lt;&gt;AF$1,gamma!AF11=1),(VLOOKUP(AF$1,'40Trips'!$A$3:$I$42,8,FALSE))-(VLOOKUP($A11,'40Trips'!$A$3:$I$42,9,FALSE)),0)</f>
        <v>0</v>
      </c>
      <c r="AG11">
        <f>IF(AND(SUM(VLOOKUP($A11,'40Trips'!$A$3:$I$42,2,FALSE),VLOOKUP(AG$1,'40Trips'!$A$3:$I$42,2,FALSE))&lt;='40Trips'!$K$16,$A11&lt;&gt;AG$1,gamma!AG11=1),(VLOOKUP(AG$1,'40Trips'!$A$3:$I$42,8,FALSE))-(VLOOKUP($A11,'40Trips'!$A$3:$I$42,9,FALSE)),0)</f>
        <v>0</v>
      </c>
      <c r="AH11">
        <f>IF(AND(SUM(VLOOKUP($A11,'40Trips'!$A$3:$I$42,2,FALSE),VLOOKUP(AH$1,'40Trips'!$A$3:$I$42,2,FALSE))&lt;='40Trips'!$K$16,$A11&lt;&gt;AH$1,gamma!AH11=1),(VLOOKUP(AH$1,'40Trips'!$A$3:$I$42,8,FALSE))-(VLOOKUP($A11,'40Trips'!$A$3:$I$42,9,FALSE)),0)</f>
        <v>65</v>
      </c>
      <c r="AI11">
        <f>IF(AND(SUM(VLOOKUP($A11,'40Trips'!$A$3:$I$42,2,FALSE),VLOOKUP(AI$1,'40Trips'!$A$3:$I$42,2,FALSE))&lt;='40Trips'!$K$16,$A11&lt;&gt;AI$1,gamma!AI11=1),(VLOOKUP(AI$1,'40Trips'!$A$3:$I$42,8,FALSE))-(VLOOKUP($A11,'40Trips'!$A$3:$I$42,9,FALSE)),0)</f>
        <v>20</v>
      </c>
      <c r="AJ11">
        <f>IF(AND(SUM(VLOOKUP($A11,'40Trips'!$A$3:$I$42,2,FALSE),VLOOKUP(AJ$1,'40Trips'!$A$3:$I$42,2,FALSE))&lt;='40Trips'!$K$16,$A11&lt;&gt;AJ$1,gamma!AJ11=1),(VLOOKUP(AJ$1,'40Trips'!$A$3:$I$42,8,FALSE))-(VLOOKUP($A11,'40Trips'!$A$3:$I$42,9,FALSE)),0)</f>
        <v>50</v>
      </c>
      <c r="AK11">
        <f>IF(AND(SUM(VLOOKUP($A11,'40Trips'!$A$3:$I$42,2,FALSE),VLOOKUP(AK$1,'40Trips'!$A$3:$I$42,2,FALSE))&lt;='40Trips'!$K$16,$A11&lt;&gt;AK$1,gamma!AK11=1),(VLOOKUP(AK$1,'40Trips'!$A$3:$I$42,8,FALSE))-(VLOOKUP($A11,'40Trips'!$A$3:$I$42,9,FALSE)),0)</f>
        <v>100</v>
      </c>
      <c r="AL11">
        <f>IF(AND(SUM(VLOOKUP($A11,'40Trips'!$A$3:$I$42,2,FALSE),VLOOKUP(AL$1,'40Trips'!$A$3:$I$42,2,FALSE))&lt;='40Trips'!$K$16,$A11&lt;&gt;AL$1,gamma!AL11=1),(VLOOKUP(AL$1,'40Trips'!$A$3:$I$42,8,FALSE))-(VLOOKUP($A11,'40Trips'!$A$3:$I$42,9,FALSE)),0)</f>
        <v>300</v>
      </c>
      <c r="AM11">
        <f>IF(AND(SUM(VLOOKUP($A11,'40Trips'!$A$3:$I$42,2,FALSE),VLOOKUP(AM$1,'40Trips'!$A$3:$I$42,2,FALSE))&lt;='40Trips'!$K$16,$A11&lt;&gt;AM$1,gamma!AM11=1),(VLOOKUP(AM$1,'40Trips'!$A$3:$I$42,8,FALSE))-(VLOOKUP($A11,'40Trips'!$A$3:$I$42,9,FALSE)),0)</f>
        <v>0</v>
      </c>
      <c r="AN11">
        <f>IF(AND(SUM(VLOOKUP($A11,'40Trips'!$A$3:$I$42,2,FALSE),VLOOKUP(AN$1,'40Trips'!$A$3:$I$42,2,FALSE))&lt;='40Trips'!$K$16,$A11&lt;&gt;AN$1,gamma!AN11=1),(VLOOKUP(AN$1,'40Trips'!$A$3:$I$42,8,FALSE))-(VLOOKUP($A11,'40Trips'!$A$3:$I$42,9,FALSE)),0)</f>
        <v>65</v>
      </c>
      <c r="AO11">
        <f>IF(AND(SUM(VLOOKUP($A11,'40Trips'!$A$3:$I$42,2,FALSE),VLOOKUP(AO$1,'40Trips'!$A$3:$I$42,2,FALSE))&lt;='40Trips'!$K$16,$A11&lt;&gt;AO$1,gamma!AO11=1),(VLOOKUP(AO$1,'40Trips'!$A$3:$I$42,8,FALSE))-(VLOOKUP($A11,'40Trips'!$A$3:$I$42,9,FALSE)),0)</f>
        <v>80</v>
      </c>
      <c r="AP11">
        <f>IF(AND(SUM(VLOOKUP($A11,'40Trips'!$A$3:$I$42,2,FALSE),VLOOKUP(AP$1,'40Trips'!$A$3:$I$42,2,FALSE))&lt;='40Trips'!$K$16,$A11&lt;&gt;AP$1,gamma!AP11=1),(VLOOKUP(AP$1,'40Trips'!$A$3:$I$42,8,FALSE))-(VLOOKUP($A11,'40Trips'!$A$3:$I$42,9,FALSE)),0)</f>
        <v>265</v>
      </c>
    </row>
    <row r="12" spans="1:42" x14ac:dyDescent="0.25">
      <c r="A12" t="s">
        <v>73</v>
      </c>
      <c r="B12">
        <v>0</v>
      </c>
      <c r="C12">
        <f>IF(AND(SUM(VLOOKUP($A12,'40Trips'!$A$3:$I$42,2,FALSE),VLOOKUP(C$1,'40Trips'!$A$3:$I$42,2,FALSE))&lt;='40Trips'!$K$16,$A12&lt;&gt;C$1,gamma!C12=1),(VLOOKUP(C$1,'40Trips'!$A$3:$I$42,8,FALSE))-(VLOOKUP($A12,'40Trips'!$A$3:$I$42,9,FALSE)),0)</f>
        <v>0</v>
      </c>
      <c r="D12">
        <f>IF(AND(SUM(VLOOKUP($A12,'40Trips'!$A$3:$I$42,2,FALSE),VLOOKUP(D$1,'40Trips'!$A$3:$I$42,2,FALSE))&lt;='40Trips'!$K$16,$A12&lt;&gt;D$1,gamma!D12=1),(VLOOKUP(D$1,'40Trips'!$A$3:$I$42,8,FALSE))-(VLOOKUP($A12,'40Trips'!$A$3:$I$42,9,FALSE)),0)</f>
        <v>0</v>
      </c>
      <c r="E12">
        <f>IF(AND(SUM(VLOOKUP($A12,'40Trips'!$A$3:$I$42,2,FALSE),VLOOKUP(E$1,'40Trips'!$A$3:$I$42,2,FALSE))&lt;='40Trips'!$K$16,$A12&lt;&gt;E$1,gamma!E12=1),(VLOOKUP(E$1,'40Trips'!$A$3:$I$42,8,FALSE))-(VLOOKUP($A12,'40Trips'!$A$3:$I$42,9,FALSE)),0)</f>
        <v>60</v>
      </c>
      <c r="F12">
        <f>IF(AND(SUM(VLOOKUP($A12,'40Trips'!$A$3:$I$42,2,FALSE),VLOOKUP(F$1,'40Trips'!$A$3:$I$42,2,FALSE))&lt;='40Trips'!$K$16,$A12&lt;&gt;F$1,gamma!F12=1),(VLOOKUP(F$1,'40Trips'!$A$3:$I$42,8,FALSE))-(VLOOKUP($A12,'40Trips'!$A$3:$I$42,9,FALSE)),0)</f>
        <v>150</v>
      </c>
      <c r="G12">
        <f>IF(AND(SUM(VLOOKUP($A12,'40Trips'!$A$3:$I$42,2,FALSE),VLOOKUP(G$1,'40Trips'!$A$3:$I$42,2,FALSE))&lt;='40Trips'!$K$16,$A12&lt;&gt;G$1,gamma!G12=1),(VLOOKUP(G$1,'40Trips'!$A$3:$I$42,8,FALSE))-(VLOOKUP($A12,'40Trips'!$A$3:$I$42,9,FALSE)),0)</f>
        <v>0</v>
      </c>
      <c r="H12">
        <f>IF(AND(SUM(VLOOKUP($A12,'40Trips'!$A$3:$I$42,2,FALSE),VLOOKUP(H$1,'40Trips'!$A$3:$I$42,2,FALSE))&lt;='40Trips'!$K$16,$A12&lt;&gt;H$1,gamma!H12=1),(VLOOKUP(H$1,'40Trips'!$A$3:$I$42,8,FALSE))-(VLOOKUP($A12,'40Trips'!$A$3:$I$42,9,FALSE)),0)</f>
        <v>0</v>
      </c>
      <c r="I12">
        <f>IF(AND(SUM(VLOOKUP($A12,'40Trips'!$A$3:$I$42,2,FALSE),VLOOKUP(I$1,'40Trips'!$A$3:$I$42,2,FALSE))&lt;='40Trips'!$K$16,$A12&lt;&gt;I$1,gamma!I12=1),(VLOOKUP(I$1,'40Trips'!$A$3:$I$42,8,FALSE))-(VLOOKUP($A12,'40Trips'!$A$3:$I$42,9,FALSE)),0)</f>
        <v>25</v>
      </c>
      <c r="J12">
        <f>IF(AND(SUM(VLOOKUP($A12,'40Trips'!$A$3:$I$42,2,FALSE),VLOOKUP(J$1,'40Trips'!$A$3:$I$42,2,FALSE))&lt;='40Trips'!$K$16,$A12&lt;&gt;J$1,gamma!J12=1),(VLOOKUP(J$1,'40Trips'!$A$3:$I$42,8,FALSE))-(VLOOKUP($A12,'40Trips'!$A$3:$I$42,9,FALSE)),0)</f>
        <v>385</v>
      </c>
      <c r="K12">
        <f>IF(AND(SUM(VLOOKUP($A12,'40Trips'!$A$3:$I$42,2,FALSE),VLOOKUP(K$1,'40Trips'!$A$3:$I$42,2,FALSE))&lt;='40Trips'!$K$16,$A12&lt;&gt;K$1,gamma!K12=1),(VLOOKUP(K$1,'40Trips'!$A$3:$I$42,8,FALSE))-(VLOOKUP($A12,'40Trips'!$A$3:$I$42,9,FALSE)),0)</f>
        <v>0</v>
      </c>
      <c r="L12">
        <f>IF(AND(SUM(VLOOKUP($A12,'40Trips'!$A$3:$I$42,2,FALSE),VLOOKUP(L$1,'40Trips'!$A$3:$I$42,2,FALSE))&lt;='40Trips'!$K$16,$A12&lt;&gt;L$1,gamma!L12=1),(VLOOKUP(L$1,'40Trips'!$A$3:$I$42,8,FALSE))-(VLOOKUP($A12,'40Trips'!$A$3:$I$42,9,FALSE)),0)</f>
        <v>0</v>
      </c>
      <c r="M12">
        <f>IF(AND(SUM(VLOOKUP($A12,'40Trips'!$A$3:$I$42,2,FALSE),VLOOKUP(M$1,'40Trips'!$A$3:$I$42,2,FALSE))&lt;='40Trips'!$K$16,$A12&lt;&gt;M$1,gamma!M12=1),(VLOOKUP(M$1,'40Trips'!$A$3:$I$42,8,FALSE))-(VLOOKUP($A12,'40Trips'!$A$3:$I$42,9,FALSE)),0)</f>
        <v>20</v>
      </c>
      <c r="N12">
        <f>IF(AND(SUM(VLOOKUP($A12,'40Trips'!$A$3:$I$42,2,FALSE),VLOOKUP(N$1,'40Trips'!$A$3:$I$42,2,FALSE))&lt;='40Trips'!$K$16,$A12&lt;&gt;N$1,gamma!N12=1),(VLOOKUP(N$1,'40Trips'!$A$3:$I$42,8,FALSE))-(VLOOKUP($A12,'40Trips'!$A$3:$I$42,9,FALSE)),0)</f>
        <v>0</v>
      </c>
      <c r="O12">
        <f>IF(AND(SUM(VLOOKUP($A12,'40Trips'!$A$3:$I$42,2,FALSE),VLOOKUP(O$1,'40Trips'!$A$3:$I$42,2,FALSE))&lt;='40Trips'!$K$16,$A12&lt;&gt;O$1,gamma!O12=1),(VLOOKUP(O$1,'40Trips'!$A$3:$I$42,8,FALSE))-(VLOOKUP($A12,'40Trips'!$A$3:$I$42,9,FALSE)),0)</f>
        <v>0</v>
      </c>
      <c r="P12">
        <f>IF(AND(SUM(VLOOKUP($A12,'40Trips'!$A$3:$I$42,2,FALSE),VLOOKUP(P$1,'40Trips'!$A$3:$I$42,2,FALSE))&lt;='40Trips'!$K$16,$A12&lt;&gt;P$1,gamma!P12=1),(VLOOKUP(P$1,'40Trips'!$A$3:$I$42,8,FALSE))-(VLOOKUP($A12,'40Trips'!$A$3:$I$42,9,FALSE)),0)</f>
        <v>0</v>
      </c>
      <c r="Q12">
        <f>IF(AND(SUM(VLOOKUP($A12,'40Trips'!$A$3:$I$42,2,FALSE),VLOOKUP(Q$1,'40Trips'!$A$3:$I$42,2,FALSE))&lt;='40Trips'!$K$16,$A12&lt;&gt;Q$1,gamma!Q12=1),(VLOOKUP(Q$1,'40Trips'!$A$3:$I$42,8,FALSE))-(VLOOKUP($A12,'40Trips'!$A$3:$I$42,9,FALSE)),0)</f>
        <v>40</v>
      </c>
      <c r="R12">
        <f>IF(AND(SUM(VLOOKUP($A12,'40Trips'!$A$3:$I$42,2,FALSE),VLOOKUP(R$1,'40Trips'!$A$3:$I$42,2,FALSE))&lt;='40Trips'!$K$16,$A12&lt;&gt;R$1,gamma!R12=1),(VLOOKUP(R$1,'40Trips'!$A$3:$I$42,8,FALSE))-(VLOOKUP($A12,'40Trips'!$A$3:$I$42,9,FALSE)),0)</f>
        <v>130</v>
      </c>
      <c r="S12">
        <f>IF(AND(SUM(VLOOKUP($A12,'40Trips'!$A$3:$I$42,2,FALSE),VLOOKUP(S$1,'40Trips'!$A$3:$I$42,2,FALSE))&lt;='40Trips'!$K$16,$A12&lt;&gt;S$1,gamma!S12=1),(VLOOKUP(S$1,'40Trips'!$A$3:$I$42,8,FALSE))-(VLOOKUP($A12,'40Trips'!$A$3:$I$42,9,FALSE)),0)</f>
        <v>0</v>
      </c>
      <c r="T12">
        <f>IF(AND(SUM(VLOOKUP($A12,'40Trips'!$A$3:$I$42,2,FALSE),VLOOKUP(T$1,'40Trips'!$A$3:$I$42,2,FALSE))&lt;='40Trips'!$K$16,$A12&lt;&gt;T$1,gamma!T12=1),(VLOOKUP(T$1,'40Trips'!$A$3:$I$42,8,FALSE))-(VLOOKUP($A12,'40Trips'!$A$3:$I$42,9,FALSE)),0)</f>
        <v>0</v>
      </c>
      <c r="U12">
        <f>IF(AND(SUM(VLOOKUP($A12,'40Trips'!$A$3:$I$42,2,FALSE),VLOOKUP(U$1,'40Trips'!$A$3:$I$42,2,FALSE))&lt;='40Trips'!$K$16,$A12&lt;&gt;U$1,gamma!U12=1),(VLOOKUP(U$1,'40Trips'!$A$3:$I$42,8,FALSE))-(VLOOKUP($A12,'40Trips'!$A$3:$I$42,9,FALSE)),0)</f>
        <v>30</v>
      </c>
      <c r="V12">
        <f>IF(AND(SUM(VLOOKUP($A12,'40Trips'!$A$3:$I$42,2,FALSE),VLOOKUP(V$1,'40Trips'!$A$3:$I$42,2,FALSE))&lt;='40Trips'!$K$16,$A12&lt;&gt;V$1,gamma!V12=1),(VLOOKUP(V$1,'40Trips'!$A$3:$I$42,8,FALSE))-(VLOOKUP($A12,'40Trips'!$A$3:$I$42,9,FALSE)),0)</f>
        <v>180</v>
      </c>
      <c r="W12">
        <f>IF(AND(SUM(VLOOKUP($A12,'40Trips'!$A$3:$I$42,2,FALSE),VLOOKUP(W$1,'40Trips'!$A$3:$I$42,2,FALSE))&lt;='40Trips'!$K$16,$A12&lt;&gt;W$1,gamma!W12=1),(VLOOKUP(W$1,'40Trips'!$A$3:$I$42,8,FALSE))-(VLOOKUP($A12,'40Trips'!$A$3:$I$42,9,FALSE)),0)</f>
        <v>0</v>
      </c>
      <c r="X12">
        <f>IF(AND(SUM(VLOOKUP($A12,'40Trips'!$A$3:$I$42,2,FALSE),VLOOKUP(X$1,'40Trips'!$A$3:$I$42,2,FALSE))&lt;='40Trips'!$K$16,$A12&lt;&gt;X$1,gamma!X12=1),(VLOOKUP(X$1,'40Trips'!$A$3:$I$42,8,FALSE))-(VLOOKUP($A12,'40Trips'!$A$3:$I$42,9,FALSE)),0)</f>
        <v>0</v>
      </c>
      <c r="Y12">
        <f>IF(AND(SUM(VLOOKUP($A12,'40Trips'!$A$3:$I$42,2,FALSE),VLOOKUP(Y$1,'40Trips'!$A$3:$I$42,2,FALSE))&lt;='40Trips'!$K$16,$A12&lt;&gt;Y$1,gamma!Y12=1),(VLOOKUP(Y$1,'40Trips'!$A$3:$I$42,8,FALSE))-(VLOOKUP($A12,'40Trips'!$A$3:$I$42,9,FALSE)),0)</f>
        <v>90</v>
      </c>
      <c r="Z12">
        <f>IF(AND(SUM(VLOOKUP($A12,'40Trips'!$A$3:$I$42,2,FALSE),VLOOKUP(Z$1,'40Trips'!$A$3:$I$42,2,FALSE))&lt;='40Trips'!$K$16,$A12&lt;&gt;Z$1,gamma!Z12=1),(VLOOKUP(Z$1,'40Trips'!$A$3:$I$42,8,FALSE))-(VLOOKUP($A12,'40Trips'!$A$3:$I$42,9,FALSE)),0)</f>
        <v>150</v>
      </c>
      <c r="AA12">
        <f>IF(AND(SUM(VLOOKUP($A12,'40Trips'!$A$3:$I$42,2,FALSE),VLOOKUP(AA$1,'40Trips'!$A$3:$I$42,2,FALSE))&lt;='40Trips'!$K$16,$A12&lt;&gt;AA$1,gamma!AA12=1),(VLOOKUP(AA$1,'40Trips'!$A$3:$I$42,8,FALSE))-(VLOOKUP($A12,'40Trips'!$A$3:$I$42,9,FALSE)),0)</f>
        <v>0</v>
      </c>
      <c r="AB12">
        <f>IF(AND(SUM(VLOOKUP($A12,'40Trips'!$A$3:$I$42,2,FALSE),VLOOKUP(AB$1,'40Trips'!$A$3:$I$42,2,FALSE))&lt;='40Trips'!$K$16,$A12&lt;&gt;AB$1,gamma!AB12=1),(VLOOKUP(AB$1,'40Trips'!$A$3:$I$42,8,FALSE))-(VLOOKUP($A12,'40Trips'!$A$3:$I$42,9,FALSE)),0)</f>
        <v>0</v>
      </c>
      <c r="AC12">
        <f>IF(AND(SUM(VLOOKUP($A12,'40Trips'!$A$3:$I$42,2,FALSE),VLOOKUP(AC$1,'40Trips'!$A$3:$I$42,2,FALSE))&lt;='40Trips'!$K$16,$A12&lt;&gt;AC$1,gamma!AC12=1),(VLOOKUP(AC$1,'40Trips'!$A$3:$I$42,8,FALSE))-(VLOOKUP($A12,'40Trips'!$A$3:$I$42,9,FALSE)),0)</f>
        <v>130</v>
      </c>
      <c r="AD12">
        <f>IF(AND(SUM(VLOOKUP($A12,'40Trips'!$A$3:$I$42,2,FALSE),VLOOKUP(AD$1,'40Trips'!$A$3:$I$42,2,FALSE))&lt;='40Trips'!$K$16,$A12&lt;&gt;AD$1,gamma!AD12=1),(VLOOKUP(AD$1,'40Trips'!$A$3:$I$42,8,FALSE))-(VLOOKUP($A12,'40Trips'!$A$3:$I$42,9,FALSE)),0)</f>
        <v>180</v>
      </c>
      <c r="AE12">
        <f>IF(AND(SUM(VLOOKUP($A12,'40Trips'!$A$3:$I$42,2,FALSE),VLOOKUP(AE$1,'40Trips'!$A$3:$I$42,2,FALSE))&lt;='40Trips'!$K$16,$A12&lt;&gt;AE$1,gamma!AE12=1),(VLOOKUP(AE$1,'40Trips'!$A$3:$I$42,8,FALSE))-(VLOOKUP($A12,'40Trips'!$A$3:$I$42,9,FALSE)),0)</f>
        <v>0</v>
      </c>
      <c r="AF12">
        <f>IF(AND(SUM(VLOOKUP($A12,'40Trips'!$A$3:$I$42,2,FALSE),VLOOKUP(AF$1,'40Trips'!$A$3:$I$42,2,FALSE))&lt;='40Trips'!$K$16,$A12&lt;&gt;AF$1,gamma!AF12=1),(VLOOKUP(AF$1,'40Trips'!$A$3:$I$42,8,FALSE))-(VLOOKUP($A12,'40Trips'!$A$3:$I$42,9,FALSE)),0)</f>
        <v>0</v>
      </c>
      <c r="AG12">
        <f>IF(AND(SUM(VLOOKUP($A12,'40Trips'!$A$3:$I$42,2,FALSE),VLOOKUP(AG$1,'40Trips'!$A$3:$I$42,2,FALSE))&lt;='40Trips'!$K$16,$A12&lt;&gt;AG$1,gamma!AG12=1),(VLOOKUP(AG$1,'40Trips'!$A$3:$I$42,8,FALSE))-(VLOOKUP($A12,'40Trips'!$A$3:$I$42,9,FALSE)),0)</f>
        <v>0</v>
      </c>
      <c r="AH12">
        <f>IF(AND(SUM(VLOOKUP($A12,'40Trips'!$A$3:$I$42,2,FALSE),VLOOKUP(AH$1,'40Trips'!$A$3:$I$42,2,FALSE))&lt;='40Trips'!$K$16,$A12&lt;&gt;AH$1,gamma!AH12=1),(VLOOKUP(AH$1,'40Trips'!$A$3:$I$42,8,FALSE))-(VLOOKUP($A12,'40Trips'!$A$3:$I$42,9,FALSE)),0)</f>
        <v>0</v>
      </c>
      <c r="AI12">
        <f>IF(AND(SUM(VLOOKUP($A12,'40Trips'!$A$3:$I$42,2,FALSE),VLOOKUP(AI$1,'40Trips'!$A$3:$I$42,2,FALSE))&lt;='40Trips'!$K$16,$A12&lt;&gt;AI$1,gamma!AI12=1),(VLOOKUP(AI$1,'40Trips'!$A$3:$I$42,8,FALSE))-(VLOOKUP($A12,'40Trips'!$A$3:$I$42,9,FALSE)),0)</f>
        <v>0</v>
      </c>
      <c r="AJ12">
        <f>IF(AND(SUM(VLOOKUP($A12,'40Trips'!$A$3:$I$42,2,FALSE),VLOOKUP(AJ$1,'40Trips'!$A$3:$I$42,2,FALSE))&lt;='40Trips'!$K$16,$A12&lt;&gt;AJ$1,gamma!AJ12=1),(VLOOKUP(AJ$1,'40Trips'!$A$3:$I$42,8,FALSE))-(VLOOKUP($A12,'40Trips'!$A$3:$I$42,9,FALSE)),0)</f>
        <v>0</v>
      </c>
      <c r="AK12">
        <f>IF(AND(SUM(VLOOKUP($A12,'40Trips'!$A$3:$I$42,2,FALSE),VLOOKUP(AK$1,'40Trips'!$A$3:$I$42,2,FALSE))&lt;='40Trips'!$K$16,$A12&lt;&gt;AK$1,gamma!AK12=1),(VLOOKUP(AK$1,'40Trips'!$A$3:$I$42,8,FALSE))-(VLOOKUP($A12,'40Trips'!$A$3:$I$42,9,FALSE)),0)</f>
        <v>30</v>
      </c>
      <c r="AL12">
        <f>IF(AND(SUM(VLOOKUP($A12,'40Trips'!$A$3:$I$42,2,FALSE),VLOOKUP(AL$1,'40Trips'!$A$3:$I$42,2,FALSE))&lt;='40Trips'!$K$16,$A12&lt;&gt;AL$1,gamma!AL12=1),(VLOOKUP(AL$1,'40Trips'!$A$3:$I$42,8,FALSE))-(VLOOKUP($A12,'40Trips'!$A$3:$I$42,9,FALSE)),0)</f>
        <v>230</v>
      </c>
      <c r="AM12">
        <f>IF(AND(SUM(VLOOKUP($A12,'40Trips'!$A$3:$I$42,2,FALSE),VLOOKUP(AM$1,'40Trips'!$A$3:$I$42,2,FALSE))&lt;='40Trips'!$K$16,$A12&lt;&gt;AM$1,gamma!AM12=1),(VLOOKUP(AM$1,'40Trips'!$A$3:$I$42,8,FALSE))-(VLOOKUP($A12,'40Trips'!$A$3:$I$42,9,FALSE)),0)</f>
        <v>0</v>
      </c>
      <c r="AN12">
        <f>IF(AND(SUM(VLOOKUP($A12,'40Trips'!$A$3:$I$42,2,FALSE),VLOOKUP(AN$1,'40Trips'!$A$3:$I$42,2,FALSE))&lt;='40Trips'!$K$16,$A12&lt;&gt;AN$1,gamma!AN12=1),(VLOOKUP(AN$1,'40Trips'!$A$3:$I$42,8,FALSE))-(VLOOKUP($A12,'40Trips'!$A$3:$I$42,9,FALSE)),0)</f>
        <v>0</v>
      </c>
      <c r="AO12">
        <f>IF(AND(SUM(VLOOKUP($A12,'40Trips'!$A$3:$I$42,2,FALSE),VLOOKUP(AO$1,'40Trips'!$A$3:$I$42,2,FALSE))&lt;='40Trips'!$K$16,$A12&lt;&gt;AO$1,gamma!AO12=1),(VLOOKUP(AO$1,'40Trips'!$A$3:$I$42,8,FALSE))-(VLOOKUP($A12,'40Trips'!$A$3:$I$42,9,FALSE)),0)</f>
        <v>0</v>
      </c>
      <c r="AP12">
        <f>IF(AND(SUM(VLOOKUP($A12,'40Trips'!$A$3:$I$42,2,FALSE),VLOOKUP(AP$1,'40Trips'!$A$3:$I$42,2,FALSE))&lt;='40Trips'!$K$16,$A12&lt;&gt;AP$1,gamma!AP12=1),(VLOOKUP(AP$1,'40Trips'!$A$3:$I$42,8,FALSE))-(VLOOKUP($A12,'40Trips'!$A$3:$I$42,9,FALSE)),0)</f>
        <v>195</v>
      </c>
    </row>
    <row r="13" spans="1:42" x14ac:dyDescent="0.25">
      <c r="A13" t="s">
        <v>74</v>
      </c>
      <c r="B13">
        <v>0</v>
      </c>
      <c r="C13">
        <f>IF(AND(SUM(VLOOKUP($A13,'40Trips'!$A$3:$I$42,2,FALSE),VLOOKUP(C$1,'40Trips'!$A$3:$I$42,2,FALSE))&lt;='40Trips'!$K$16,$A13&lt;&gt;C$1,gamma!C13=1),(VLOOKUP(C$1,'40Trips'!$A$3:$I$42,8,FALSE))-(VLOOKUP($A13,'40Trips'!$A$3:$I$42,9,FALSE)),0)</f>
        <v>0</v>
      </c>
      <c r="D13">
        <f>IF(AND(SUM(VLOOKUP($A13,'40Trips'!$A$3:$I$42,2,FALSE),VLOOKUP(D$1,'40Trips'!$A$3:$I$42,2,FALSE))&lt;='40Trips'!$K$16,$A13&lt;&gt;D$1,gamma!D13=1),(VLOOKUP(D$1,'40Trips'!$A$3:$I$42,8,FALSE))-(VLOOKUP($A13,'40Trips'!$A$3:$I$42,9,FALSE)),0)</f>
        <v>0</v>
      </c>
      <c r="E13">
        <f>IF(AND(SUM(VLOOKUP($A13,'40Trips'!$A$3:$I$42,2,FALSE),VLOOKUP(E$1,'40Trips'!$A$3:$I$42,2,FALSE))&lt;='40Trips'!$K$16,$A13&lt;&gt;E$1,gamma!E13=1),(VLOOKUP(E$1,'40Trips'!$A$3:$I$42,8,FALSE))-(VLOOKUP($A13,'40Trips'!$A$3:$I$42,9,FALSE)),0)</f>
        <v>0</v>
      </c>
      <c r="F13">
        <f>IF(AND(SUM(VLOOKUP($A13,'40Trips'!$A$3:$I$42,2,FALSE),VLOOKUP(F$1,'40Trips'!$A$3:$I$42,2,FALSE))&lt;='40Trips'!$K$16,$A13&lt;&gt;F$1,gamma!F13=1),(VLOOKUP(F$1,'40Trips'!$A$3:$I$42,8,FALSE))-(VLOOKUP($A13,'40Trips'!$A$3:$I$42,9,FALSE)),0)</f>
        <v>0</v>
      </c>
      <c r="G13">
        <f>IF(AND(SUM(VLOOKUP($A13,'40Trips'!$A$3:$I$42,2,FALSE),VLOOKUP(G$1,'40Trips'!$A$3:$I$42,2,FALSE))&lt;='40Trips'!$K$16,$A13&lt;&gt;G$1,gamma!G13=1),(VLOOKUP(G$1,'40Trips'!$A$3:$I$42,8,FALSE))-(VLOOKUP($A13,'40Trips'!$A$3:$I$42,9,FALSE)),0)</f>
        <v>0</v>
      </c>
      <c r="H13">
        <f>IF(AND(SUM(VLOOKUP($A13,'40Trips'!$A$3:$I$42,2,FALSE),VLOOKUP(H$1,'40Trips'!$A$3:$I$42,2,FALSE))&lt;='40Trips'!$K$16,$A13&lt;&gt;H$1,gamma!H13=1),(VLOOKUP(H$1,'40Trips'!$A$3:$I$42,8,FALSE))-(VLOOKUP($A13,'40Trips'!$A$3:$I$42,9,FALSE)),0)</f>
        <v>0</v>
      </c>
      <c r="I13">
        <f>IF(AND(SUM(VLOOKUP($A13,'40Trips'!$A$3:$I$42,2,FALSE),VLOOKUP(I$1,'40Trips'!$A$3:$I$42,2,FALSE))&lt;='40Trips'!$K$16,$A13&lt;&gt;I$1,gamma!I13=1),(VLOOKUP(I$1,'40Trips'!$A$3:$I$42,8,FALSE))-(VLOOKUP($A13,'40Trips'!$A$3:$I$42,9,FALSE)),0)</f>
        <v>0</v>
      </c>
      <c r="J13">
        <f>IF(AND(SUM(VLOOKUP($A13,'40Trips'!$A$3:$I$42,2,FALSE),VLOOKUP(J$1,'40Trips'!$A$3:$I$42,2,FALSE))&lt;='40Trips'!$K$16,$A13&lt;&gt;J$1,gamma!J13=1),(VLOOKUP(J$1,'40Trips'!$A$3:$I$42,8,FALSE))-(VLOOKUP($A13,'40Trips'!$A$3:$I$42,9,FALSE)),0)</f>
        <v>230</v>
      </c>
      <c r="K13">
        <f>IF(AND(SUM(VLOOKUP($A13,'40Trips'!$A$3:$I$42,2,FALSE),VLOOKUP(K$1,'40Trips'!$A$3:$I$42,2,FALSE))&lt;='40Trips'!$K$16,$A13&lt;&gt;K$1,gamma!K13=1),(VLOOKUP(K$1,'40Trips'!$A$3:$I$42,8,FALSE))-(VLOOKUP($A13,'40Trips'!$A$3:$I$42,9,FALSE)),0)</f>
        <v>0</v>
      </c>
      <c r="L13">
        <f>IF(AND(SUM(VLOOKUP($A13,'40Trips'!$A$3:$I$42,2,FALSE),VLOOKUP(L$1,'40Trips'!$A$3:$I$42,2,FALSE))&lt;='40Trips'!$K$16,$A13&lt;&gt;L$1,gamma!L13=1),(VLOOKUP(L$1,'40Trips'!$A$3:$I$42,8,FALSE))-(VLOOKUP($A13,'40Trips'!$A$3:$I$42,9,FALSE)),0)</f>
        <v>0</v>
      </c>
      <c r="M13">
        <f>IF(AND(SUM(VLOOKUP($A13,'40Trips'!$A$3:$I$42,2,FALSE),VLOOKUP(M$1,'40Trips'!$A$3:$I$42,2,FALSE))&lt;='40Trips'!$K$16,$A13&lt;&gt;M$1,gamma!M13=1),(VLOOKUP(M$1,'40Trips'!$A$3:$I$42,8,FALSE))-(VLOOKUP($A13,'40Trips'!$A$3:$I$42,9,FALSE)),0)</f>
        <v>0</v>
      </c>
      <c r="N13">
        <f>IF(AND(SUM(VLOOKUP($A13,'40Trips'!$A$3:$I$42,2,FALSE),VLOOKUP(N$1,'40Trips'!$A$3:$I$42,2,FALSE))&lt;='40Trips'!$K$16,$A13&lt;&gt;N$1,gamma!N13=1),(VLOOKUP(N$1,'40Trips'!$A$3:$I$42,8,FALSE))-(VLOOKUP($A13,'40Trips'!$A$3:$I$42,9,FALSE)),0)</f>
        <v>0</v>
      </c>
      <c r="O13">
        <f>IF(AND(SUM(VLOOKUP($A13,'40Trips'!$A$3:$I$42,2,FALSE),VLOOKUP(O$1,'40Trips'!$A$3:$I$42,2,FALSE))&lt;='40Trips'!$K$16,$A13&lt;&gt;O$1,gamma!O13=1),(VLOOKUP(O$1,'40Trips'!$A$3:$I$42,8,FALSE))-(VLOOKUP($A13,'40Trips'!$A$3:$I$42,9,FALSE)),0)</f>
        <v>0</v>
      </c>
      <c r="P13">
        <f>IF(AND(SUM(VLOOKUP($A13,'40Trips'!$A$3:$I$42,2,FALSE),VLOOKUP(P$1,'40Trips'!$A$3:$I$42,2,FALSE))&lt;='40Trips'!$K$16,$A13&lt;&gt;P$1,gamma!P13=1),(VLOOKUP(P$1,'40Trips'!$A$3:$I$42,8,FALSE))-(VLOOKUP($A13,'40Trips'!$A$3:$I$42,9,FALSE)),0)</f>
        <v>0</v>
      </c>
      <c r="Q13">
        <f>IF(AND(SUM(VLOOKUP($A13,'40Trips'!$A$3:$I$42,2,FALSE),VLOOKUP(Q$1,'40Trips'!$A$3:$I$42,2,FALSE))&lt;='40Trips'!$K$16,$A13&lt;&gt;Q$1,gamma!Q13=1),(VLOOKUP(Q$1,'40Trips'!$A$3:$I$42,8,FALSE))-(VLOOKUP($A13,'40Trips'!$A$3:$I$42,9,FALSE)),0)</f>
        <v>0</v>
      </c>
      <c r="R13">
        <f>IF(AND(SUM(VLOOKUP($A13,'40Trips'!$A$3:$I$42,2,FALSE),VLOOKUP(R$1,'40Trips'!$A$3:$I$42,2,FALSE))&lt;='40Trips'!$K$16,$A13&lt;&gt;R$1,gamma!R13=1),(VLOOKUP(R$1,'40Trips'!$A$3:$I$42,8,FALSE))-(VLOOKUP($A13,'40Trips'!$A$3:$I$42,9,FALSE)),0)</f>
        <v>0</v>
      </c>
      <c r="S13">
        <f>IF(AND(SUM(VLOOKUP($A13,'40Trips'!$A$3:$I$42,2,FALSE),VLOOKUP(S$1,'40Trips'!$A$3:$I$42,2,FALSE))&lt;='40Trips'!$K$16,$A13&lt;&gt;S$1,gamma!S13=1),(VLOOKUP(S$1,'40Trips'!$A$3:$I$42,8,FALSE))-(VLOOKUP($A13,'40Trips'!$A$3:$I$42,9,FALSE)),0)</f>
        <v>0</v>
      </c>
      <c r="T13">
        <f>IF(AND(SUM(VLOOKUP($A13,'40Trips'!$A$3:$I$42,2,FALSE),VLOOKUP(T$1,'40Trips'!$A$3:$I$42,2,FALSE))&lt;='40Trips'!$K$16,$A13&lt;&gt;T$1,gamma!T13=1),(VLOOKUP(T$1,'40Trips'!$A$3:$I$42,8,FALSE))-(VLOOKUP($A13,'40Trips'!$A$3:$I$42,9,FALSE)),0)</f>
        <v>0</v>
      </c>
      <c r="U13">
        <f>IF(AND(SUM(VLOOKUP($A13,'40Trips'!$A$3:$I$42,2,FALSE),VLOOKUP(U$1,'40Trips'!$A$3:$I$42,2,FALSE))&lt;='40Trips'!$K$16,$A13&lt;&gt;U$1,gamma!U13=1),(VLOOKUP(U$1,'40Trips'!$A$3:$I$42,8,FALSE))-(VLOOKUP($A13,'40Trips'!$A$3:$I$42,9,FALSE)),0)</f>
        <v>0</v>
      </c>
      <c r="V13">
        <f>IF(AND(SUM(VLOOKUP($A13,'40Trips'!$A$3:$I$42,2,FALSE),VLOOKUP(V$1,'40Trips'!$A$3:$I$42,2,FALSE))&lt;='40Trips'!$K$16,$A13&lt;&gt;V$1,gamma!V13=1),(VLOOKUP(V$1,'40Trips'!$A$3:$I$42,8,FALSE))-(VLOOKUP($A13,'40Trips'!$A$3:$I$42,9,FALSE)),0)</f>
        <v>25</v>
      </c>
      <c r="W13">
        <f>IF(AND(SUM(VLOOKUP($A13,'40Trips'!$A$3:$I$42,2,FALSE),VLOOKUP(W$1,'40Trips'!$A$3:$I$42,2,FALSE))&lt;='40Trips'!$K$16,$A13&lt;&gt;W$1,gamma!W13=1),(VLOOKUP(W$1,'40Trips'!$A$3:$I$42,8,FALSE))-(VLOOKUP($A13,'40Trips'!$A$3:$I$42,9,FALSE)),0)</f>
        <v>0</v>
      </c>
      <c r="X13">
        <f>IF(AND(SUM(VLOOKUP($A13,'40Trips'!$A$3:$I$42,2,FALSE),VLOOKUP(X$1,'40Trips'!$A$3:$I$42,2,FALSE))&lt;='40Trips'!$K$16,$A13&lt;&gt;X$1,gamma!X13=1),(VLOOKUP(X$1,'40Trips'!$A$3:$I$42,8,FALSE))-(VLOOKUP($A13,'40Trips'!$A$3:$I$42,9,FALSE)),0)</f>
        <v>0</v>
      </c>
      <c r="Y13">
        <f>IF(AND(SUM(VLOOKUP($A13,'40Trips'!$A$3:$I$42,2,FALSE),VLOOKUP(Y$1,'40Trips'!$A$3:$I$42,2,FALSE))&lt;='40Trips'!$K$16,$A13&lt;&gt;Y$1,gamma!Y13=1),(VLOOKUP(Y$1,'40Trips'!$A$3:$I$42,8,FALSE))-(VLOOKUP($A13,'40Trips'!$A$3:$I$42,9,FALSE)),0)</f>
        <v>0</v>
      </c>
      <c r="Z13">
        <f>IF(AND(SUM(VLOOKUP($A13,'40Trips'!$A$3:$I$42,2,FALSE),VLOOKUP(Z$1,'40Trips'!$A$3:$I$42,2,FALSE))&lt;='40Trips'!$K$16,$A13&lt;&gt;Z$1,gamma!Z13=1),(VLOOKUP(Z$1,'40Trips'!$A$3:$I$42,8,FALSE))-(VLOOKUP($A13,'40Trips'!$A$3:$I$42,9,FALSE)),0)</f>
        <v>0</v>
      </c>
      <c r="AA13">
        <f>IF(AND(SUM(VLOOKUP($A13,'40Trips'!$A$3:$I$42,2,FALSE),VLOOKUP(AA$1,'40Trips'!$A$3:$I$42,2,FALSE))&lt;='40Trips'!$K$16,$A13&lt;&gt;AA$1,gamma!AA13=1),(VLOOKUP(AA$1,'40Trips'!$A$3:$I$42,8,FALSE))-(VLOOKUP($A13,'40Trips'!$A$3:$I$42,9,FALSE)),0)</f>
        <v>0</v>
      </c>
      <c r="AB13">
        <f>IF(AND(SUM(VLOOKUP($A13,'40Trips'!$A$3:$I$42,2,FALSE),VLOOKUP(AB$1,'40Trips'!$A$3:$I$42,2,FALSE))&lt;='40Trips'!$K$16,$A13&lt;&gt;AB$1,gamma!AB13=1),(VLOOKUP(AB$1,'40Trips'!$A$3:$I$42,8,FALSE))-(VLOOKUP($A13,'40Trips'!$A$3:$I$42,9,FALSE)),0)</f>
        <v>0</v>
      </c>
      <c r="AC13">
        <f>IF(AND(SUM(VLOOKUP($A13,'40Trips'!$A$3:$I$42,2,FALSE),VLOOKUP(AC$1,'40Trips'!$A$3:$I$42,2,FALSE))&lt;='40Trips'!$K$16,$A13&lt;&gt;AC$1,gamma!AC13=1),(VLOOKUP(AC$1,'40Trips'!$A$3:$I$42,8,FALSE))-(VLOOKUP($A13,'40Trips'!$A$3:$I$42,9,FALSE)),0)</f>
        <v>0</v>
      </c>
      <c r="AD13">
        <f>IF(AND(SUM(VLOOKUP($A13,'40Trips'!$A$3:$I$42,2,FALSE),VLOOKUP(AD$1,'40Trips'!$A$3:$I$42,2,FALSE))&lt;='40Trips'!$K$16,$A13&lt;&gt;AD$1,gamma!AD13=1),(VLOOKUP(AD$1,'40Trips'!$A$3:$I$42,8,FALSE))-(VLOOKUP($A13,'40Trips'!$A$3:$I$42,9,FALSE)),0)</f>
        <v>25</v>
      </c>
      <c r="AE13">
        <f>IF(AND(SUM(VLOOKUP($A13,'40Trips'!$A$3:$I$42,2,FALSE),VLOOKUP(AE$1,'40Trips'!$A$3:$I$42,2,FALSE))&lt;='40Trips'!$K$16,$A13&lt;&gt;AE$1,gamma!AE13=1),(VLOOKUP(AE$1,'40Trips'!$A$3:$I$42,8,FALSE))-(VLOOKUP($A13,'40Trips'!$A$3:$I$42,9,FALSE)),0)</f>
        <v>0</v>
      </c>
      <c r="AF13">
        <f>IF(AND(SUM(VLOOKUP($A13,'40Trips'!$A$3:$I$42,2,FALSE),VLOOKUP(AF$1,'40Trips'!$A$3:$I$42,2,FALSE))&lt;='40Trips'!$K$16,$A13&lt;&gt;AF$1,gamma!AF13=1),(VLOOKUP(AF$1,'40Trips'!$A$3:$I$42,8,FALSE))-(VLOOKUP($A13,'40Trips'!$A$3:$I$42,9,FALSE)),0)</f>
        <v>0</v>
      </c>
      <c r="AG13">
        <f>IF(AND(SUM(VLOOKUP($A13,'40Trips'!$A$3:$I$42,2,FALSE),VLOOKUP(AG$1,'40Trips'!$A$3:$I$42,2,FALSE))&lt;='40Trips'!$K$16,$A13&lt;&gt;AG$1,gamma!AG13=1),(VLOOKUP(AG$1,'40Trips'!$A$3:$I$42,8,FALSE))-(VLOOKUP($A13,'40Trips'!$A$3:$I$42,9,FALSE)),0)</f>
        <v>0</v>
      </c>
      <c r="AH13">
        <f>IF(AND(SUM(VLOOKUP($A13,'40Trips'!$A$3:$I$42,2,FALSE),VLOOKUP(AH$1,'40Trips'!$A$3:$I$42,2,FALSE))&lt;='40Trips'!$K$16,$A13&lt;&gt;AH$1,gamma!AH13=1),(VLOOKUP(AH$1,'40Trips'!$A$3:$I$42,8,FALSE))-(VLOOKUP($A13,'40Trips'!$A$3:$I$42,9,FALSE)),0)</f>
        <v>0</v>
      </c>
      <c r="AI13">
        <f>IF(AND(SUM(VLOOKUP($A13,'40Trips'!$A$3:$I$42,2,FALSE),VLOOKUP(AI$1,'40Trips'!$A$3:$I$42,2,FALSE))&lt;='40Trips'!$K$16,$A13&lt;&gt;AI$1,gamma!AI13=1),(VLOOKUP(AI$1,'40Trips'!$A$3:$I$42,8,FALSE))-(VLOOKUP($A13,'40Trips'!$A$3:$I$42,9,FALSE)),0)</f>
        <v>0</v>
      </c>
      <c r="AJ13">
        <f>IF(AND(SUM(VLOOKUP($A13,'40Trips'!$A$3:$I$42,2,FALSE),VLOOKUP(AJ$1,'40Trips'!$A$3:$I$42,2,FALSE))&lt;='40Trips'!$K$16,$A13&lt;&gt;AJ$1,gamma!AJ13=1),(VLOOKUP(AJ$1,'40Trips'!$A$3:$I$42,8,FALSE))-(VLOOKUP($A13,'40Trips'!$A$3:$I$42,9,FALSE)),0)</f>
        <v>0</v>
      </c>
      <c r="AK13">
        <f>IF(AND(SUM(VLOOKUP($A13,'40Trips'!$A$3:$I$42,2,FALSE),VLOOKUP(AK$1,'40Trips'!$A$3:$I$42,2,FALSE))&lt;='40Trips'!$K$16,$A13&lt;&gt;AK$1,gamma!AK13=1),(VLOOKUP(AK$1,'40Trips'!$A$3:$I$42,8,FALSE))-(VLOOKUP($A13,'40Trips'!$A$3:$I$42,9,FALSE)),0)</f>
        <v>0</v>
      </c>
      <c r="AL13">
        <f>IF(AND(SUM(VLOOKUP($A13,'40Trips'!$A$3:$I$42,2,FALSE),VLOOKUP(AL$1,'40Trips'!$A$3:$I$42,2,FALSE))&lt;='40Trips'!$K$16,$A13&lt;&gt;AL$1,gamma!AL13=1),(VLOOKUP(AL$1,'40Trips'!$A$3:$I$42,8,FALSE))-(VLOOKUP($A13,'40Trips'!$A$3:$I$42,9,FALSE)),0)</f>
        <v>75</v>
      </c>
      <c r="AM13">
        <f>IF(AND(SUM(VLOOKUP($A13,'40Trips'!$A$3:$I$42,2,FALSE),VLOOKUP(AM$1,'40Trips'!$A$3:$I$42,2,FALSE))&lt;='40Trips'!$K$16,$A13&lt;&gt;AM$1,gamma!AM13=1),(VLOOKUP(AM$1,'40Trips'!$A$3:$I$42,8,FALSE))-(VLOOKUP($A13,'40Trips'!$A$3:$I$42,9,FALSE)),0)</f>
        <v>0</v>
      </c>
      <c r="AN13">
        <f>IF(AND(SUM(VLOOKUP($A13,'40Trips'!$A$3:$I$42,2,FALSE),VLOOKUP(AN$1,'40Trips'!$A$3:$I$42,2,FALSE))&lt;='40Trips'!$K$16,$A13&lt;&gt;AN$1,gamma!AN13=1),(VLOOKUP(AN$1,'40Trips'!$A$3:$I$42,8,FALSE))-(VLOOKUP($A13,'40Trips'!$A$3:$I$42,9,FALSE)),0)</f>
        <v>0</v>
      </c>
      <c r="AO13">
        <f>IF(AND(SUM(VLOOKUP($A13,'40Trips'!$A$3:$I$42,2,FALSE),VLOOKUP(AO$1,'40Trips'!$A$3:$I$42,2,FALSE))&lt;='40Trips'!$K$16,$A13&lt;&gt;AO$1,gamma!AO13=1),(VLOOKUP(AO$1,'40Trips'!$A$3:$I$42,8,FALSE))-(VLOOKUP($A13,'40Trips'!$A$3:$I$42,9,FALSE)),0)</f>
        <v>0</v>
      </c>
      <c r="AP13">
        <f>IF(AND(SUM(VLOOKUP($A13,'40Trips'!$A$3:$I$42,2,FALSE),VLOOKUP(AP$1,'40Trips'!$A$3:$I$42,2,FALSE))&lt;='40Trips'!$K$16,$A13&lt;&gt;AP$1,gamma!AP13=1),(VLOOKUP(AP$1,'40Trips'!$A$3:$I$42,8,FALSE))-(VLOOKUP($A13,'40Trips'!$A$3:$I$42,9,FALSE)),0)</f>
        <v>40</v>
      </c>
    </row>
    <row r="14" spans="1:42" x14ac:dyDescent="0.25">
      <c r="A14" t="s">
        <v>26</v>
      </c>
      <c r="B14">
        <v>0</v>
      </c>
      <c r="C14">
        <f>IF(AND(SUM(VLOOKUP($A14,'40Trips'!$A$3:$I$42,2,FALSE),VLOOKUP(C$1,'40Trips'!$A$3:$I$42,2,FALSE))&lt;='40Trips'!$K$16,$A14&lt;&gt;C$1,gamma!C14=1),(VLOOKUP(C$1,'40Trips'!$A$3:$I$42,8,FALSE))-(VLOOKUP($A14,'40Trips'!$A$3:$I$42,9,FALSE)),0)</f>
        <v>0</v>
      </c>
      <c r="D14">
        <f>IF(AND(SUM(VLOOKUP($A14,'40Trips'!$A$3:$I$42,2,FALSE),VLOOKUP(D$1,'40Trips'!$A$3:$I$42,2,FALSE))&lt;='40Trips'!$K$16,$A14&lt;&gt;D$1,gamma!D14=1),(VLOOKUP(D$1,'40Trips'!$A$3:$I$42,8,FALSE))-(VLOOKUP($A14,'40Trips'!$A$3:$I$42,9,FALSE)),0)</f>
        <v>65</v>
      </c>
      <c r="E14">
        <f>IF(AND(SUM(VLOOKUP($A14,'40Trips'!$A$3:$I$42,2,FALSE),VLOOKUP(E$1,'40Trips'!$A$3:$I$42,2,FALSE))&lt;='40Trips'!$K$16,$A14&lt;&gt;E$1,gamma!E14=1),(VLOOKUP(E$1,'40Trips'!$A$3:$I$42,8,FALSE))-(VLOOKUP($A14,'40Trips'!$A$3:$I$42,9,FALSE)),0)</f>
        <v>155</v>
      </c>
      <c r="F14">
        <f>IF(AND(SUM(VLOOKUP($A14,'40Trips'!$A$3:$I$42,2,FALSE),VLOOKUP(F$1,'40Trips'!$A$3:$I$42,2,FALSE))&lt;='40Trips'!$K$16,$A14&lt;&gt;F$1,gamma!F14=1),(VLOOKUP(F$1,'40Trips'!$A$3:$I$42,8,FALSE))-(VLOOKUP($A14,'40Trips'!$A$3:$I$42,9,FALSE)),0)</f>
        <v>245</v>
      </c>
      <c r="G14">
        <f>IF(AND(SUM(VLOOKUP($A14,'40Trips'!$A$3:$I$42,2,FALSE),VLOOKUP(G$1,'40Trips'!$A$3:$I$42,2,FALSE))&lt;='40Trips'!$K$16,$A14&lt;&gt;G$1,gamma!G14=1),(VLOOKUP(G$1,'40Trips'!$A$3:$I$42,8,FALSE))-(VLOOKUP($A14,'40Trips'!$A$3:$I$42,9,FALSE)),0)</f>
        <v>0</v>
      </c>
      <c r="H14">
        <f>IF(AND(SUM(VLOOKUP($A14,'40Trips'!$A$3:$I$42,2,FALSE),VLOOKUP(H$1,'40Trips'!$A$3:$I$42,2,FALSE))&lt;='40Trips'!$K$16,$A14&lt;&gt;H$1,gamma!H14=1),(VLOOKUP(H$1,'40Trips'!$A$3:$I$42,8,FALSE))-(VLOOKUP($A14,'40Trips'!$A$3:$I$42,9,FALSE)),0)</f>
        <v>0</v>
      </c>
      <c r="I14">
        <f>IF(AND(SUM(VLOOKUP($A14,'40Trips'!$A$3:$I$42,2,FALSE),VLOOKUP(I$1,'40Trips'!$A$3:$I$42,2,FALSE))&lt;='40Trips'!$K$16,$A14&lt;&gt;I$1,gamma!I14=1),(VLOOKUP(I$1,'40Trips'!$A$3:$I$42,8,FALSE))-(VLOOKUP($A14,'40Trips'!$A$3:$I$42,9,FALSE)),0)</f>
        <v>120</v>
      </c>
      <c r="J14">
        <f>IF(AND(SUM(VLOOKUP($A14,'40Trips'!$A$3:$I$42,2,FALSE),VLOOKUP(J$1,'40Trips'!$A$3:$I$42,2,FALSE))&lt;='40Trips'!$K$16,$A14&lt;&gt;J$1,gamma!J14=1),(VLOOKUP(J$1,'40Trips'!$A$3:$I$42,8,FALSE))-(VLOOKUP($A14,'40Trips'!$A$3:$I$42,9,FALSE)),0)</f>
        <v>480</v>
      </c>
      <c r="K14">
        <f>IF(AND(SUM(VLOOKUP($A14,'40Trips'!$A$3:$I$42,2,FALSE),VLOOKUP(K$1,'40Trips'!$A$3:$I$42,2,FALSE))&lt;='40Trips'!$K$16,$A14&lt;&gt;K$1,gamma!K14=1),(VLOOKUP(K$1,'40Trips'!$A$3:$I$42,8,FALSE))-(VLOOKUP($A14,'40Trips'!$A$3:$I$42,9,FALSE)),0)</f>
        <v>0</v>
      </c>
      <c r="L14">
        <f>IF(AND(SUM(VLOOKUP($A14,'40Trips'!$A$3:$I$42,2,FALSE),VLOOKUP(L$1,'40Trips'!$A$3:$I$42,2,FALSE))&lt;='40Trips'!$K$16,$A14&lt;&gt;L$1,gamma!L14=1),(VLOOKUP(L$1,'40Trips'!$A$3:$I$42,8,FALSE))-(VLOOKUP($A14,'40Trips'!$A$3:$I$42,9,FALSE)),0)</f>
        <v>0</v>
      </c>
      <c r="M14">
        <f>IF(AND(SUM(VLOOKUP($A14,'40Trips'!$A$3:$I$42,2,FALSE),VLOOKUP(M$1,'40Trips'!$A$3:$I$42,2,FALSE))&lt;='40Trips'!$K$16,$A14&lt;&gt;M$1,gamma!M14=1),(VLOOKUP(M$1,'40Trips'!$A$3:$I$42,8,FALSE))-(VLOOKUP($A14,'40Trips'!$A$3:$I$42,9,FALSE)),0)</f>
        <v>115</v>
      </c>
      <c r="N14">
        <f>IF(AND(SUM(VLOOKUP($A14,'40Trips'!$A$3:$I$42,2,FALSE),VLOOKUP(N$1,'40Trips'!$A$3:$I$42,2,FALSE))&lt;='40Trips'!$K$16,$A14&lt;&gt;N$1,gamma!N14=1),(VLOOKUP(N$1,'40Trips'!$A$3:$I$42,8,FALSE))-(VLOOKUP($A14,'40Trips'!$A$3:$I$42,9,FALSE)),0)</f>
        <v>0</v>
      </c>
      <c r="O14">
        <f>IF(AND(SUM(VLOOKUP($A14,'40Trips'!$A$3:$I$42,2,FALSE),VLOOKUP(O$1,'40Trips'!$A$3:$I$42,2,FALSE))&lt;='40Trips'!$K$16,$A14&lt;&gt;O$1,gamma!O14=1),(VLOOKUP(O$1,'40Trips'!$A$3:$I$42,8,FALSE))-(VLOOKUP($A14,'40Trips'!$A$3:$I$42,9,FALSE)),0)</f>
        <v>0</v>
      </c>
      <c r="P14">
        <f>IF(AND(SUM(VLOOKUP($A14,'40Trips'!$A$3:$I$42,2,FALSE),VLOOKUP(P$1,'40Trips'!$A$3:$I$42,2,FALSE))&lt;='40Trips'!$K$16,$A14&lt;&gt;P$1,gamma!P14=1),(VLOOKUP(P$1,'40Trips'!$A$3:$I$42,8,FALSE))-(VLOOKUP($A14,'40Trips'!$A$3:$I$42,9,FALSE)),0)</f>
        <v>45</v>
      </c>
      <c r="Q14">
        <f>IF(AND(SUM(VLOOKUP($A14,'40Trips'!$A$3:$I$42,2,FALSE),VLOOKUP(Q$1,'40Trips'!$A$3:$I$42,2,FALSE))&lt;='40Trips'!$K$16,$A14&lt;&gt;Q$1,gamma!Q14=1),(VLOOKUP(Q$1,'40Trips'!$A$3:$I$42,8,FALSE))-(VLOOKUP($A14,'40Trips'!$A$3:$I$42,9,FALSE)),0)</f>
        <v>135</v>
      </c>
      <c r="R14">
        <f>IF(AND(SUM(VLOOKUP($A14,'40Trips'!$A$3:$I$42,2,FALSE),VLOOKUP(R$1,'40Trips'!$A$3:$I$42,2,FALSE))&lt;='40Trips'!$K$16,$A14&lt;&gt;R$1,gamma!R14=1),(VLOOKUP(R$1,'40Trips'!$A$3:$I$42,8,FALSE))-(VLOOKUP($A14,'40Trips'!$A$3:$I$42,9,FALSE)),0)</f>
        <v>225</v>
      </c>
      <c r="S14">
        <f>IF(AND(SUM(VLOOKUP($A14,'40Trips'!$A$3:$I$42,2,FALSE),VLOOKUP(S$1,'40Trips'!$A$3:$I$42,2,FALSE))&lt;='40Trips'!$K$16,$A14&lt;&gt;S$1,gamma!S14=1),(VLOOKUP(S$1,'40Trips'!$A$3:$I$42,8,FALSE))-(VLOOKUP($A14,'40Trips'!$A$3:$I$42,9,FALSE)),0)</f>
        <v>0</v>
      </c>
      <c r="T14">
        <f>IF(AND(SUM(VLOOKUP($A14,'40Trips'!$A$3:$I$42,2,FALSE),VLOOKUP(T$1,'40Trips'!$A$3:$I$42,2,FALSE))&lt;='40Trips'!$K$16,$A14&lt;&gt;T$1,gamma!T14=1),(VLOOKUP(T$1,'40Trips'!$A$3:$I$42,8,FALSE))-(VLOOKUP($A14,'40Trips'!$A$3:$I$42,9,FALSE)),0)</f>
        <v>0</v>
      </c>
      <c r="U14">
        <f>IF(AND(SUM(VLOOKUP($A14,'40Trips'!$A$3:$I$42,2,FALSE),VLOOKUP(U$1,'40Trips'!$A$3:$I$42,2,FALSE))&lt;='40Trips'!$K$16,$A14&lt;&gt;U$1,gamma!U14=1),(VLOOKUP(U$1,'40Trips'!$A$3:$I$42,8,FALSE))-(VLOOKUP($A14,'40Trips'!$A$3:$I$42,9,FALSE)),0)</f>
        <v>125</v>
      </c>
      <c r="V14">
        <f>IF(AND(SUM(VLOOKUP($A14,'40Trips'!$A$3:$I$42,2,FALSE),VLOOKUP(V$1,'40Trips'!$A$3:$I$42,2,FALSE))&lt;='40Trips'!$K$16,$A14&lt;&gt;V$1,gamma!V14=1),(VLOOKUP(V$1,'40Trips'!$A$3:$I$42,8,FALSE))-(VLOOKUP($A14,'40Trips'!$A$3:$I$42,9,FALSE)),0)</f>
        <v>275</v>
      </c>
      <c r="W14">
        <f>IF(AND(SUM(VLOOKUP($A14,'40Trips'!$A$3:$I$42,2,FALSE),VLOOKUP(W$1,'40Trips'!$A$3:$I$42,2,FALSE))&lt;='40Trips'!$K$16,$A14&lt;&gt;W$1,gamma!W14=1),(VLOOKUP(W$1,'40Trips'!$A$3:$I$42,8,FALSE))-(VLOOKUP($A14,'40Trips'!$A$3:$I$42,9,FALSE)),0)</f>
        <v>0</v>
      </c>
      <c r="X14">
        <f>IF(AND(SUM(VLOOKUP($A14,'40Trips'!$A$3:$I$42,2,FALSE),VLOOKUP(X$1,'40Trips'!$A$3:$I$42,2,FALSE))&lt;='40Trips'!$K$16,$A14&lt;&gt;X$1,gamma!X14=1),(VLOOKUP(X$1,'40Trips'!$A$3:$I$42,8,FALSE))-(VLOOKUP($A14,'40Trips'!$A$3:$I$42,9,FALSE)),0)</f>
        <v>65</v>
      </c>
      <c r="Y14">
        <f>IF(AND(SUM(VLOOKUP($A14,'40Trips'!$A$3:$I$42,2,FALSE),VLOOKUP(Y$1,'40Trips'!$A$3:$I$42,2,FALSE))&lt;='40Trips'!$K$16,$A14&lt;&gt;Y$1,gamma!Y14=1),(VLOOKUP(Y$1,'40Trips'!$A$3:$I$42,8,FALSE))-(VLOOKUP($A14,'40Trips'!$A$3:$I$42,9,FALSE)),0)</f>
        <v>185</v>
      </c>
      <c r="Z14">
        <f>IF(AND(SUM(VLOOKUP($A14,'40Trips'!$A$3:$I$42,2,FALSE),VLOOKUP(Z$1,'40Trips'!$A$3:$I$42,2,FALSE))&lt;='40Trips'!$K$16,$A14&lt;&gt;Z$1,gamma!Z14=1),(VLOOKUP(Z$1,'40Trips'!$A$3:$I$42,8,FALSE))-(VLOOKUP($A14,'40Trips'!$A$3:$I$42,9,FALSE)),0)</f>
        <v>245</v>
      </c>
      <c r="AA14">
        <f>IF(AND(SUM(VLOOKUP($A14,'40Trips'!$A$3:$I$42,2,FALSE),VLOOKUP(AA$1,'40Trips'!$A$3:$I$42,2,FALSE))&lt;='40Trips'!$K$16,$A14&lt;&gt;AA$1,gamma!AA14=1),(VLOOKUP(AA$1,'40Trips'!$A$3:$I$42,8,FALSE))-(VLOOKUP($A14,'40Trips'!$A$3:$I$42,9,FALSE)),0)</f>
        <v>0</v>
      </c>
      <c r="AB14">
        <f>IF(AND(SUM(VLOOKUP($A14,'40Trips'!$A$3:$I$42,2,FALSE),VLOOKUP(AB$1,'40Trips'!$A$3:$I$42,2,FALSE))&lt;='40Trips'!$K$16,$A14&lt;&gt;AB$1,gamma!AB14=1),(VLOOKUP(AB$1,'40Trips'!$A$3:$I$42,8,FALSE))-(VLOOKUP($A14,'40Trips'!$A$3:$I$42,9,FALSE)),0)</f>
        <v>0</v>
      </c>
      <c r="AC14">
        <f>IF(AND(SUM(VLOOKUP($A14,'40Trips'!$A$3:$I$42,2,FALSE),VLOOKUP(AC$1,'40Trips'!$A$3:$I$42,2,FALSE))&lt;='40Trips'!$K$16,$A14&lt;&gt;AC$1,gamma!AC14=1),(VLOOKUP(AC$1,'40Trips'!$A$3:$I$42,8,FALSE))-(VLOOKUP($A14,'40Trips'!$A$3:$I$42,9,FALSE)),0)</f>
        <v>225</v>
      </c>
      <c r="AD14">
        <f>IF(AND(SUM(VLOOKUP($A14,'40Trips'!$A$3:$I$42,2,FALSE),VLOOKUP(AD$1,'40Trips'!$A$3:$I$42,2,FALSE))&lt;='40Trips'!$K$16,$A14&lt;&gt;AD$1,gamma!AD14=1),(VLOOKUP(AD$1,'40Trips'!$A$3:$I$42,8,FALSE))-(VLOOKUP($A14,'40Trips'!$A$3:$I$42,9,FALSE)),0)</f>
        <v>275</v>
      </c>
      <c r="AE14">
        <f>IF(AND(SUM(VLOOKUP($A14,'40Trips'!$A$3:$I$42,2,FALSE),VLOOKUP(AE$1,'40Trips'!$A$3:$I$42,2,FALSE))&lt;='40Trips'!$K$16,$A14&lt;&gt;AE$1,gamma!AE14=1),(VLOOKUP(AE$1,'40Trips'!$A$3:$I$42,8,FALSE))-(VLOOKUP($A14,'40Trips'!$A$3:$I$42,9,FALSE)),0)</f>
        <v>0</v>
      </c>
      <c r="AF14">
        <f>IF(AND(SUM(VLOOKUP($A14,'40Trips'!$A$3:$I$42,2,FALSE),VLOOKUP(AF$1,'40Trips'!$A$3:$I$42,2,FALSE))&lt;='40Trips'!$K$16,$A14&lt;&gt;AF$1,gamma!AF14=1),(VLOOKUP(AF$1,'40Trips'!$A$3:$I$42,8,FALSE))-(VLOOKUP($A14,'40Trips'!$A$3:$I$42,9,FALSE)),0)</f>
        <v>0</v>
      </c>
      <c r="AG14">
        <f>IF(AND(SUM(VLOOKUP($A14,'40Trips'!$A$3:$I$42,2,FALSE),VLOOKUP(AG$1,'40Trips'!$A$3:$I$42,2,FALSE))&lt;='40Trips'!$K$16,$A14&lt;&gt;AG$1,gamma!AG14=1),(VLOOKUP(AG$1,'40Trips'!$A$3:$I$42,8,FALSE))-(VLOOKUP($A14,'40Trips'!$A$3:$I$42,9,FALSE)),0)</f>
        <v>0</v>
      </c>
      <c r="AH14">
        <f>IF(AND(SUM(VLOOKUP($A14,'40Trips'!$A$3:$I$42,2,FALSE),VLOOKUP(AH$1,'40Trips'!$A$3:$I$42,2,FALSE))&lt;='40Trips'!$K$16,$A14&lt;&gt;AH$1,gamma!AH14=1),(VLOOKUP(AH$1,'40Trips'!$A$3:$I$42,8,FALSE))-(VLOOKUP($A14,'40Trips'!$A$3:$I$42,9,FALSE)),0)</f>
        <v>90</v>
      </c>
      <c r="AI14">
        <f>IF(AND(SUM(VLOOKUP($A14,'40Trips'!$A$3:$I$42,2,FALSE),VLOOKUP(AI$1,'40Trips'!$A$3:$I$42,2,FALSE))&lt;='40Trips'!$K$16,$A14&lt;&gt;AI$1,gamma!AI14=1),(VLOOKUP(AI$1,'40Trips'!$A$3:$I$42,8,FALSE))-(VLOOKUP($A14,'40Trips'!$A$3:$I$42,9,FALSE)),0)</f>
        <v>45</v>
      </c>
      <c r="AJ14">
        <f>IF(AND(SUM(VLOOKUP($A14,'40Trips'!$A$3:$I$42,2,FALSE),VLOOKUP(AJ$1,'40Trips'!$A$3:$I$42,2,FALSE))&lt;='40Trips'!$K$16,$A14&lt;&gt;AJ$1,gamma!AJ14=1),(VLOOKUP(AJ$1,'40Trips'!$A$3:$I$42,8,FALSE))-(VLOOKUP($A14,'40Trips'!$A$3:$I$42,9,FALSE)),0)</f>
        <v>75</v>
      </c>
      <c r="AK14">
        <f>IF(AND(SUM(VLOOKUP($A14,'40Trips'!$A$3:$I$42,2,FALSE),VLOOKUP(AK$1,'40Trips'!$A$3:$I$42,2,FALSE))&lt;='40Trips'!$K$16,$A14&lt;&gt;AK$1,gamma!AK14=1),(VLOOKUP(AK$1,'40Trips'!$A$3:$I$42,8,FALSE))-(VLOOKUP($A14,'40Trips'!$A$3:$I$42,9,FALSE)),0)</f>
        <v>125</v>
      </c>
      <c r="AL14">
        <f>IF(AND(SUM(VLOOKUP($A14,'40Trips'!$A$3:$I$42,2,FALSE),VLOOKUP(AL$1,'40Trips'!$A$3:$I$42,2,FALSE))&lt;='40Trips'!$K$16,$A14&lt;&gt;AL$1,gamma!AL14=1),(VLOOKUP(AL$1,'40Trips'!$A$3:$I$42,8,FALSE))-(VLOOKUP($A14,'40Trips'!$A$3:$I$42,9,FALSE)),0)</f>
        <v>325</v>
      </c>
      <c r="AM14">
        <f>IF(AND(SUM(VLOOKUP($A14,'40Trips'!$A$3:$I$42,2,FALSE),VLOOKUP(AM$1,'40Trips'!$A$3:$I$42,2,FALSE))&lt;='40Trips'!$K$16,$A14&lt;&gt;AM$1,gamma!AM14=1),(VLOOKUP(AM$1,'40Trips'!$A$3:$I$42,8,FALSE))-(VLOOKUP($A14,'40Trips'!$A$3:$I$42,9,FALSE)),0)</f>
        <v>0</v>
      </c>
      <c r="AN14">
        <f>IF(AND(SUM(VLOOKUP($A14,'40Trips'!$A$3:$I$42,2,FALSE),VLOOKUP(AN$1,'40Trips'!$A$3:$I$42,2,FALSE))&lt;='40Trips'!$K$16,$A14&lt;&gt;AN$1,gamma!AN14=1),(VLOOKUP(AN$1,'40Trips'!$A$3:$I$42,8,FALSE))-(VLOOKUP($A14,'40Trips'!$A$3:$I$42,9,FALSE)),0)</f>
        <v>90</v>
      </c>
      <c r="AO14">
        <f>IF(AND(SUM(VLOOKUP($A14,'40Trips'!$A$3:$I$42,2,FALSE),VLOOKUP(AO$1,'40Trips'!$A$3:$I$42,2,FALSE))&lt;='40Trips'!$K$16,$A14&lt;&gt;AO$1,gamma!AO14=1),(VLOOKUP(AO$1,'40Trips'!$A$3:$I$42,8,FALSE))-(VLOOKUP($A14,'40Trips'!$A$3:$I$42,9,FALSE)),0)</f>
        <v>105</v>
      </c>
      <c r="AP14">
        <f>IF(AND(SUM(VLOOKUP($A14,'40Trips'!$A$3:$I$42,2,FALSE),VLOOKUP(AP$1,'40Trips'!$A$3:$I$42,2,FALSE))&lt;='40Trips'!$K$16,$A14&lt;&gt;AP$1,gamma!AP14=1),(VLOOKUP(AP$1,'40Trips'!$A$3:$I$42,8,FALSE))-(VLOOKUP($A14,'40Trips'!$A$3:$I$42,9,FALSE)),0)</f>
        <v>290</v>
      </c>
    </row>
    <row r="15" spans="1:42" x14ac:dyDescent="0.25">
      <c r="A15" t="s">
        <v>27</v>
      </c>
      <c r="B15">
        <v>0</v>
      </c>
      <c r="C15">
        <f>IF(AND(SUM(VLOOKUP($A15,'40Trips'!$A$3:$I$42,2,FALSE),VLOOKUP(C$1,'40Trips'!$A$3:$I$42,2,FALSE))&lt;='40Trips'!$K$16,$A15&lt;&gt;C$1,gamma!C15=1),(VLOOKUP(C$1,'40Trips'!$A$3:$I$42,8,FALSE))-(VLOOKUP($A15,'40Trips'!$A$3:$I$42,9,FALSE)),0)</f>
        <v>0</v>
      </c>
      <c r="D15">
        <f>IF(AND(SUM(VLOOKUP($A15,'40Trips'!$A$3:$I$42,2,FALSE),VLOOKUP(D$1,'40Trips'!$A$3:$I$42,2,FALSE))&lt;='40Trips'!$K$16,$A15&lt;&gt;D$1,gamma!D15=1),(VLOOKUP(D$1,'40Trips'!$A$3:$I$42,8,FALSE))-(VLOOKUP($A15,'40Trips'!$A$3:$I$42,9,FALSE)),0)</f>
        <v>0</v>
      </c>
      <c r="E15">
        <f>IF(AND(SUM(VLOOKUP($A15,'40Trips'!$A$3:$I$42,2,FALSE),VLOOKUP(E$1,'40Trips'!$A$3:$I$42,2,FALSE))&lt;='40Trips'!$K$16,$A15&lt;&gt;E$1,gamma!E15=1),(VLOOKUP(E$1,'40Trips'!$A$3:$I$42,8,FALSE))-(VLOOKUP($A15,'40Trips'!$A$3:$I$42,9,FALSE)),0)</f>
        <v>65</v>
      </c>
      <c r="F15">
        <f>IF(AND(SUM(VLOOKUP($A15,'40Trips'!$A$3:$I$42,2,FALSE),VLOOKUP(F$1,'40Trips'!$A$3:$I$42,2,FALSE))&lt;='40Trips'!$K$16,$A15&lt;&gt;F$1,gamma!F15=1),(VLOOKUP(F$1,'40Trips'!$A$3:$I$42,8,FALSE))-(VLOOKUP($A15,'40Trips'!$A$3:$I$42,9,FALSE)),0)</f>
        <v>155</v>
      </c>
      <c r="G15">
        <f>IF(AND(SUM(VLOOKUP($A15,'40Trips'!$A$3:$I$42,2,FALSE),VLOOKUP(G$1,'40Trips'!$A$3:$I$42,2,FALSE))&lt;='40Trips'!$K$16,$A15&lt;&gt;G$1,gamma!G15=1),(VLOOKUP(G$1,'40Trips'!$A$3:$I$42,8,FALSE))-(VLOOKUP($A15,'40Trips'!$A$3:$I$42,9,FALSE)),0)</f>
        <v>0</v>
      </c>
      <c r="H15">
        <f>IF(AND(SUM(VLOOKUP($A15,'40Trips'!$A$3:$I$42,2,FALSE),VLOOKUP(H$1,'40Trips'!$A$3:$I$42,2,FALSE))&lt;='40Trips'!$K$16,$A15&lt;&gt;H$1,gamma!H15=1),(VLOOKUP(H$1,'40Trips'!$A$3:$I$42,8,FALSE))-(VLOOKUP($A15,'40Trips'!$A$3:$I$42,9,FALSE)),0)</f>
        <v>0</v>
      </c>
      <c r="I15">
        <f>IF(AND(SUM(VLOOKUP($A15,'40Trips'!$A$3:$I$42,2,FALSE),VLOOKUP(I$1,'40Trips'!$A$3:$I$42,2,FALSE))&lt;='40Trips'!$K$16,$A15&lt;&gt;I$1,gamma!I15=1),(VLOOKUP(I$1,'40Trips'!$A$3:$I$42,8,FALSE))-(VLOOKUP($A15,'40Trips'!$A$3:$I$42,9,FALSE)),0)</f>
        <v>30</v>
      </c>
      <c r="J15">
        <f>IF(AND(SUM(VLOOKUP($A15,'40Trips'!$A$3:$I$42,2,FALSE),VLOOKUP(J$1,'40Trips'!$A$3:$I$42,2,FALSE))&lt;='40Trips'!$K$16,$A15&lt;&gt;J$1,gamma!J15=1),(VLOOKUP(J$1,'40Trips'!$A$3:$I$42,8,FALSE))-(VLOOKUP($A15,'40Trips'!$A$3:$I$42,9,FALSE)),0)</f>
        <v>390</v>
      </c>
      <c r="K15">
        <f>IF(AND(SUM(VLOOKUP($A15,'40Trips'!$A$3:$I$42,2,FALSE),VLOOKUP(K$1,'40Trips'!$A$3:$I$42,2,FALSE))&lt;='40Trips'!$K$16,$A15&lt;&gt;K$1,gamma!K15=1),(VLOOKUP(K$1,'40Trips'!$A$3:$I$42,8,FALSE))-(VLOOKUP($A15,'40Trips'!$A$3:$I$42,9,FALSE)),0)</f>
        <v>0</v>
      </c>
      <c r="L15">
        <f>IF(AND(SUM(VLOOKUP($A15,'40Trips'!$A$3:$I$42,2,FALSE),VLOOKUP(L$1,'40Trips'!$A$3:$I$42,2,FALSE))&lt;='40Trips'!$K$16,$A15&lt;&gt;L$1,gamma!L15=1),(VLOOKUP(L$1,'40Trips'!$A$3:$I$42,8,FALSE))-(VLOOKUP($A15,'40Trips'!$A$3:$I$42,9,FALSE)),0)</f>
        <v>0</v>
      </c>
      <c r="M15">
        <f>IF(AND(SUM(VLOOKUP($A15,'40Trips'!$A$3:$I$42,2,FALSE),VLOOKUP(M$1,'40Trips'!$A$3:$I$42,2,FALSE))&lt;='40Trips'!$K$16,$A15&lt;&gt;M$1,gamma!M15=1),(VLOOKUP(M$1,'40Trips'!$A$3:$I$42,8,FALSE))-(VLOOKUP($A15,'40Trips'!$A$3:$I$42,9,FALSE)),0)</f>
        <v>25</v>
      </c>
      <c r="N15">
        <f>IF(AND(SUM(VLOOKUP($A15,'40Trips'!$A$3:$I$42,2,FALSE),VLOOKUP(N$1,'40Trips'!$A$3:$I$42,2,FALSE))&lt;='40Trips'!$K$16,$A15&lt;&gt;N$1,gamma!N15=1),(VLOOKUP(N$1,'40Trips'!$A$3:$I$42,8,FALSE))-(VLOOKUP($A15,'40Trips'!$A$3:$I$42,9,FALSE)),0)</f>
        <v>0</v>
      </c>
      <c r="O15">
        <f>IF(AND(SUM(VLOOKUP($A15,'40Trips'!$A$3:$I$42,2,FALSE),VLOOKUP(O$1,'40Trips'!$A$3:$I$42,2,FALSE))&lt;='40Trips'!$K$16,$A15&lt;&gt;O$1,gamma!O15=1),(VLOOKUP(O$1,'40Trips'!$A$3:$I$42,8,FALSE))-(VLOOKUP($A15,'40Trips'!$A$3:$I$42,9,FALSE)),0)</f>
        <v>0</v>
      </c>
      <c r="P15">
        <f>IF(AND(SUM(VLOOKUP($A15,'40Trips'!$A$3:$I$42,2,FALSE),VLOOKUP(P$1,'40Trips'!$A$3:$I$42,2,FALSE))&lt;='40Trips'!$K$16,$A15&lt;&gt;P$1,gamma!P15=1),(VLOOKUP(P$1,'40Trips'!$A$3:$I$42,8,FALSE))-(VLOOKUP($A15,'40Trips'!$A$3:$I$42,9,FALSE)),0)</f>
        <v>0</v>
      </c>
      <c r="Q15">
        <f>IF(AND(SUM(VLOOKUP($A15,'40Trips'!$A$3:$I$42,2,FALSE),VLOOKUP(Q$1,'40Trips'!$A$3:$I$42,2,FALSE))&lt;='40Trips'!$K$16,$A15&lt;&gt;Q$1,gamma!Q15=1),(VLOOKUP(Q$1,'40Trips'!$A$3:$I$42,8,FALSE))-(VLOOKUP($A15,'40Trips'!$A$3:$I$42,9,FALSE)),0)</f>
        <v>45</v>
      </c>
      <c r="R15">
        <f>IF(AND(SUM(VLOOKUP($A15,'40Trips'!$A$3:$I$42,2,FALSE),VLOOKUP(R$1,'40Trips'!$A$3:$I$42,2,FALSE))&lt;='40Trips'!$K$16,$A15&lt;&gt;R$1,gamma!R15=1),(VLOOKUP(R$1,'40Trips'!$A$3:$I$42,8,FALSE))-(VLOOKUP($A15,'40Trips'!$A$3:$I$42,9,FALSE)),0)</f>
        <v>135</v>
      </c>
      <c r="S15">
        <f>IF(AND(SUM(VLOOKUP($A15,'40Trips'!$A$3:$I$42,2,FALSE),VLOOKUP(S$1,'40Trips'!$A$3:$I$42,2,FALSE))&lt;='40Trips'!$K$16,$A15&lt;&gt;S$1,gamma!S15=1),(VLOOKUP(S$1,'40Trips'!$A$3:$I$42,8,FALSE))-(VLOOKUP($A15,'40Trips'!$A$3:$I$42,9,FALSE)),0)</f>
        <v>0</v>
      </c>
      <c r="T15">
        <f>IF(AND(SUM(VLOOKUP($A15,'40Trips'!$A$3:$I$42,2,FALSE),VLOOKUP(T$1,'40Trips'!$A$3:$I$42,2,FALSE))&lt;='40Trips'!$K$16,$A15&lt;&gt;T$1,gamma!T15=1),(VLOOKUP(T$1,'40Trips'!$A$3:$I$42,8,FALSE))-(VLOOKUP($A15,'40Trips'!$A$3:$I$42,9,FALSE)),0)</f>
        <v>0</v>
      </c>
      <c r="U15">
        <f>IF(AND(SUM(VLOOKUP($A15,'40Trips'!$A$3:$I$42,2,FALSE),VLOOKUP(U$1,'40Trips'!$A$3:$I$42,2,FALSE))&lt;='40Trips'!$K$16,$A15&lt;&gt;U$1,gamma!U15=1),(VLOOKUP(U$1,'40Trips'!$A$3:$I$42,8,FALSE))-(VLOOKUP($A15,'40Trips'!$A$3:$I$42,9,FALSE)),0)</f>
        <v>35</v>
      </c>
      <c r="V15">
        <f>IF(AND(SUM(VLOOKUP($A15,'40Trips'!$A$3:$I$42,2,FALSE),VLOOKUP(V$1,'40Trips'!$A$3:$I$42,2,FALSE))&lt;='40Trips'!$K$16,$A15&lt;&gt;V$1,gamma!V15=1),(VLOOKUP(V$1,'40Trips'!$A$3:$I$42,8,FALSE))-(VLOOKUP($A15,'40Trips'!$A$3:$I$42,9,FALSE)),0)</f>
        <v>185</v>
      </c>
      <c r="W15">
        <f>IF(AND(SUM(VLOOKUP($A15,'40Trips'!$A$3:$I$42,2,FALSE),VLOOKUP(W$1,'40Trips'!$A$3:$I$42,2,FALSE))&lt;='40Trips'!$K$16,$A15&lt;&gt;W$1,gamma!W15=1),(VLOOKUP(W$1,'40Trips'!$A$3:$I$42,8,FALSE))-(VLOOKUP($A15,'40Trips'!$A$3:$I$42,9,FALSE)),0)</f>
        <v>0</v>
      </c>
      <c r="X15">
        <f>IF(AND(SUM(VLOOKUP($A15,'40Trips'!$A$3:$I$42,2,FALSE),VLOOKUP(X$1,'40Trips'!$A$3:$I$42,2,FALSE))&lt;='40Trips'!$K$16,$A15&lt;&gt;X$1,gamma!X15=1),(VLOOKUP(X$1,'40Trips'!$A$3:$I$42,8,FALSE))-(VLOOKUP($A15,'40Trips'!$A$3:$I$42,9,FALSE)),0)</f>
        <v>0</v>
      </c>
      <c r="Y15">
        <f>IF(AND(SUM(VLOOKUP($A15,'40Trips'!$A$3:$I$42,2,FALSE),VLOOKUP(Y$1,'40Trips'!$A$3:$I$42,2,FALSE))&lt;='40Trips'!$K$16,$A15&lt;&gt;Y$1,gamma!Y15=1),(VLOOKUP(Y$1,'40Trips'!$A$3:$I$42,8,FALSE))-(VLOOKUP($A15,'40Trips'!$A$3:$I$42,9,FALSE)),0)</f>
        <v>95</v>
      </c>
      <c r="Z15">
        <f>IF(AND(SUM(VLOOKUP($A15,'40Trips'!$A$3:$I$42,2,FALSE),VLOOKUP(Z$1,'40Trips'!$A$3:$I$42,2,FALSE))&lt;='40Trips'!$K$16,$A15&lt;&gt;Z$1,gamma!Z15=1),(VLOOKUP(Z$1,'40Trips'!$A$3:$I$42,8,FALSE))-(VLOOKUP($A15,'40Trips'!$A$3:$I$42,9,FALSE)),0)</f>
        <v>155</v>
      </c>
      <c r="AA15">
        <f>IF(AND(SUM(VLOOKUP($A15,'40Trips'!$A$3:$I$42,2,FALSE),VLOOKUP(AA$1,'40Trips'!$A$3:$I$42,2,FALSE))&lt;='40Trips'!$K$16,$A15&lt;&gt;AA$1,gamma!AA15=1),(VLOOKUP(AA$1,'40Trips'!$A$3:$I$42,8,FALSE))-(VLOOKUP($A15,'40Trips'!$A$3:$I$42,9,FALSE)),0)</f>
        <v>0</v>
      </c>
      <c r="AB15">
        <f>IF(AND(SUM(VLOOKUP($A15,'40Trips'!$A$3:$I$42,2,FALSE),VLOOKUP(AB$1,'40Trips'!$A$3:$I$42,2,FALSE))&lt;='40Trips'!$K$16,$A15&lt;&gt;AB$1,gamma!AB15=1),(VLOOKUP(AB$1,'40Trips'!$A$3:$I$42,8,FALSE))-(VLOOKUP($A15,'40Trips'!$A$3:$I$42,9,FALSE)),0)</f>
        <v>0</v>
      </c>
      <c r="AC15">
        <f>IF(AND(SUM(VLOOKUP($A15,'40Trips'!$A$3:$I$42,2,FALSE),VLOOKUP(AC$1,'40Trips'!$A$3:$I$42,2,FALSE))&lt;='40Trips'!$K$16,$A15&lt;&gt;AC$1,gamma!AC15=1),(VLOOKUP(AC$1,'40Trips'!$A$3:$I$42,8,FALSE))-(VLOOKUP($A15,'40Trips'!$A$3:$I$42,9,FALSE)),0)</f>
        <v>135</v>
      </c>
      <c r="AD15">
        <f>IF(AND(SUM(VLOOKUP($A15,'40Trips'!$A$3:$I$42,2,FALSE),VLOOKUP(AD$1,'40Trips'!$A$3:$I$42,2,FALSE))&lt;='40Trips'!$K$16,$A15&lt;&gt;AD$1,gamma!AD15=1),(VLOOKUP(AD$1,'40Trips'!$A$3:$I$42,8,FALSE))-(VLOOKUP($A15,'40Trips'!$A$3:$I$42,9,FALSE)),0)</f>
        <v>185</v>
      </c>
      <c r="AE15">
        <f>IF(AND(SUM(VLOOKUP($A15,'40Trips'!$A$3:$I$42,2,FALSE),VLOOKUP(AE$1,'40Trips'!$A$3:$I$42,2,FALSE))&lt;='40Trips'!$K$16,$A15&lt;&gt;AE$1,gamma!AE15=1),(VLOOKUP(AE$1,'40Trips'!$A$3:$I$42,8,FALSE))-(VLOOKUP($A15,'40Trips'!$A$3:$I$42,9,FALSE)),0)</f>
        <v>0</v>
      </c>
      <c r="AF15">
        <f>IF(AND(SUM(VLOOKUP($A15,'40Trips'!$A$3:$I$42,2,FALSE),VLOOKUP(AF$1,'40Trips'!$A$3:$I$42,2,FALSE))&lt;='40Trips'!$K$16,$A15&lt;&gt;AF$1,gamma!AF15=1),(VLOOKUP(AF$1,'40Trips'!$A$3:$I$42,8,FALSE))-(VLOOKUP($A15,'40Trips'!$A$3:$I$42,9,FALSE)),0)</f>
        <v>0</v>
      </c>
      <c r="AG15">
        <f>IF(AND(SUM(VLOOKUP($A15,'40Trips'!$A$3:$I$42,2,FALSE),VLOOKUP(AG$1,'40Trips'!$A$3:$I$42,2,FALSE))&lt;='40Trips'!$K$16,$A15&lt;&gt;AG$1,gamma!AG15=1),(VLOOKUP(AG$1,'40Trips'!$A$3:$I$42,8,FALSE))-(VLOOKUP($A15,'40Trips'!$A$3:$I$42,9,FALSE)),0)</f>
        <v>0</v>
      </c>
      <c r="AH15">
        <f>IF(AND(SUM(VLOOKUP($A15,'40Trips'!$A$3:$I$42,2,FALSE),VLOOKUP(AH$1,'40Trips'!$A$3:$I$42,2,FALSE))&lt;='40Trips'!$K$16,$A15&lt;&gt;AH$1,gamma!AH15=1),(VLOOKUP(AH$1,'40Trips'!$A$3:$I$42,8,FALSE))-(VLOOKUP($A15,'40Trips'!$A$3:$I$42,9,FALSE)),0)</f>
        <v>0</v>
      </c>
      <c r="AI15">
        <f>IF(AND(SUM(VLOOKUP($A15,'40Trips'!$A$3:$I$42,2,FALSE),VLOOKUP(AI$1,'40Trips'!$A$3:$I$42,2,FALSE))&lt;='40Trips'!$K$16,$A15&lt;&gt;AI$1,gamma!AI15=1),(VLOOKUP(AI$1,'40Trips'!$A$3:$I$42,8,FALSE))-(VLOOKUP($A15,'40Trips'!$A$3:$I$42,9,FALSE)),0)</f>
        <v>0</v>
      </c>
      <c r="AJ15">
        <f>IF(AND(SUM(VLOOKUP($A15,'40Trips'!$A$3:$I$42,2,FALSE),VLOOKUP(AJ$1,'40Trips'!$A$3:$I$42,2,FALSE))&lt;='40Trips'!$K$16,$A15&lt;&gt;AJ$1,gamma!AJ15=1),(VLOOKUP(AJ$1,'40Trips'!$A$3:$I$42,8,FALSE))-(VLOOKUP($A15,'40Trips'!$A$3:$I$42,9,FALSE)),0)</f>
        <v>0</v>
      </c>
      <c r="AK15">
        <f>IF(AND(SUM(VLOOKUP($A15,'40Trips'!$A$3:$I$42,2,FALSE),VLOOKUP(AK$1,'40Trips'!$A$3:$I$42,2,FALSE))&lt;='40Trips'!$K$16,$A15&lt;&gt;AK$1,gamma!AK15=1),(VLOOKUP(AK$1,'40Trips'!$A$3:$I$42,8,FALSE))-(VLOOKUP($A15,'40Trips'!$A$3:$I$42,9,FALSE)),0)</f>
        <v>35</v>
      </c>
      <c r="AL15">
        <f>IF(AND(SUM(VLOOKUP($A15,'40Trips'!$A$3:$I$42,2,FALSE),VLOOKUP(AL$1,'40Trips'!$A$3:$I$42,2,FALSE))&lt;='40Trips'!$K$16,$A15&lt;&gt;AL$1,gamma!AL15=1),(VLOOKUP(AL$1,'40Trips'!$A$3:$I$42,8,FALSE))-(VLOOKUP($A15,'40Trips'!$A$3:$I$42,9,FALSE)),0)</f>
        <v>235</v>
      </c>
      <c r="AM15">
        <f>IF(AND(SUM(VLOOKUP($A15,'40Trips'!$A$3:$I$42,2,FALSE),VLOOKUP(AM$1,'40Trips'!$A$3:$I$42,2,FALSE))&lt;='40Trips'!$K$16,$A15&lt;&gt;AM$1,gamma!AM15=1),(VLOOKUP(AM$1,'40Trips'!$A$3:$I$42,8,FALSE))-(VLOOKUP($A15,'40Trips'!$A$3:$I$42,9,FALSE)),0)</f>
        <v>0</v>
      </c>
      <c r="AN15">
        <f>IF(AND(SUM(VLOOKUP($A15,'40Trips'!$A$3:$I$42,2,FALSE),VLOOKUP(AN$1,'40Trips'!$A$3:$I$42,2,FALSE))&lt;='40Trips'!$K$16,$A15&lt;&gt;AN$1,gamma!AN15=1),(VLOOKUP(AN$1,'40Trips'!$A$3:$I$42,8,FALSE))-(VLOOKUP($A15,'40Trips'!$A$3:$I$42,9,FALSE)),0)</f>
        <v>0</v>
      </c>
      <c r="AO15">
        <f>IF(AND(SUM(VLOOKUP($A15,'40Trips'!$A$3:$I$42,2,FALSE),VLOOKUP(AO$1,'40Trips'!$A$3:$I$42,2,FALSE))&lt;='40Trips'!$K$16,$A15&lt;&gt;AO$1,gamma!AO15=1),(VLOOKUP(AO$1,'40Trips'!$A$3:$I$42,8,FALSE))-(VLOOKUP($A15,'40Trips'!$A$3:$I$42,9,FALSE)),0)</f>
        <v>15</v>
      </c>
      <c r="AP15">
        <f>IF(AND(SUM(VLOOKUP($A15,'40Trips'!$A$3:$I$42,2,FALSE),VLOOKUP(AP$1,'40Trips'!$A$3:$I$42,2,FALSE))&lt;='40Trips'!$K$16,$A15&lt;&gt;AP$1,gamma!AP15=1),(VLOOKUP(AP$1,'40Trips'!$A$3:$I$42,8,FALSE))-(VLOOKUP($A15,'40Trips'!$A$3:$I$42,9,FALSE)),0)</f>
        <v>200</v>
      </c>
    </row>
    <row r="16" spans="1:42" x14ac:dyDescent="0.25">
      <c r="A16" t="s">
        <v>28</v>
      </c>
      <c r="B16">
        <v>0</v>
      </c>
      <c r="C16">
        <f>IF(AND(SUM(VLOOKUP($A16,'40Trips'!$A$3:$I$42,2,FALSE),VLOOKUP(C$1,'40Trips'!$A$3:$I$42,2,FALSE))&lt;='40Trips'!$K$16,$A16&lt;&gt;C$1,gamma!C16=1),(VLOOKUP(C$1,'40Trips'!$A$3:$I$42,8,FALSE))-(VLOOKUP($A16,'40Trips'!$A$3:$I$42,9,FALSE)),0)</f>
        <v>0</v>
      </c>
      <c r="D16">
        <f>IF(AND(SUM(VLOOKUP($A16,'40Trips'!$A$3:$I$42,2,FALSE),VLOOKUP(D$1,'40Trips'!$A$3:$I$42,2,FALSE))&lt;='40Trips'!$K$16,$A16&lt;&gt;D$1,gamma!D16=1),(VLOOKUP(D$1,'40Trips'!$A$3:$I$42,8,FALSE))-(VLOOKUP($A16,'40Trips'!$A$3:$I$42,9,FALSE)),0)</f>
        <v>0</v>
      </c>
      <c r="E16">
        <f>IF(AND(SUM(VLOOKUP($A16,'40Trips'!$A$3:$I$42,2,FALSE),VLOOKUP(E$1,'40Trips'!$A$3:$I$42,2,FALSE))&lt;='40Trips'!$K$16,$A16&lt;&gt;E$1,gamma!E16=1),(VLOOKUP(E$1,'40Trips'!$A$3:$I$42,8,FALSE))-(VLOOKUP($A16,'40Trips'!$A$3:$I$42,9,FALSE)),0)</f>
        <v>0</v>
      </c>
      <c r="F16">
        <f>IF(AND(SUM(VLOOKUP($A16,'40Trips'!$A$3:$I$42,2,FALSE),VLOOKUP(F$1,'40Trips'!$A$3:$I$42,2,FALSE))&lt;='40Trips'!$K$16,$A16&lt;&gt;F$1,gamma!F16=1),(VLOOKUP(F$1,'40Trips'!$A$3:$I$42,8,FALSE))-(VLOOKUP($A16,'40Trips'!$A$3:$I$42,9,FALSE)),0)</f>
        <v>65</v>
      </c>
      <c r="G16">
        <f>IF(AND(SUM(VLOOKUP($A16,'40Trips'!$A$3:$I$42,2,FALSE),VLOOKUP(G$1,'40Trips'!$A$3:$I$42,2,FALSE))&lt;='40Trips'!$K$16,$A16&lt;&gt;G$1,gamma!G16=1),(VLOOKUP(G$1,'40Trips'!$A$3:$I$42,8,FALSE))-(VLOOKUP($A16,'40Trips'!$A$3:$I$42,9,FALSE)),0)</f>
        <v>0</v>
      </c>
      <c r="H16">
        <f>IF(AND(SUM(VLOOKUP($A16,'40Trips'!$A$3:$I$42,2,FALSE),VLOOKUP(H$1,'40Trips'!$A$3:$I$42,2,FALSE))&lt;='40Trips'!$K$16,$A16&lt;&gt;H$1,gamma!H16=1),(VLOOKUP(H$1,'40Trips'!$A$3:$I$42,8,FALSE))-(VLOOKUP($A16,'40Trips'!$A$3:$I$42,9,FALSE)),0)</f>
        <v>0</v>
      </c>
      <c r="I16">
        <f>IF(AND(SUM(VLOOKUP($A16,'40Trips'!$A$3:$I$42,2,FALSE),VLOOKUP(I$1,'40Trips'!$A$3:$I$42,2,FALSE))&lt;='40Trips'!$K$16,$A16&lt;&gt;I$1,gamma!I16=1),(VLOOKUP(I$1,'40Trips'!$A$3:$I$42,8,FALSE))-(VLOOKUP($A16,'40Trips'!$A$3:$I$42,9,FALSE)),0)</f>
        <v>0</v>
      </c>
      <c r="J16">
        <f>IF(AND(SUM(VLOOKUP($A16,'40Trips'!$A$3:$I$42,2,FALSE),VLOOKUP(J$1,'40Trips'!$A$3:$I$42,2,FALSE))&lt;='40Trips'!$K$16,$A16&lt;&gt;J$1,gamma!J16=1),(VLOOKUP(J$1,'40Trips'!$A$3:$I$42,8,FALSE))-(VLOOKUP($A16,'40Trips'!$A$3:$I$42,9,FALSE)),0)</f>
        <v>300</v>
      </c>
      <c r="K16">
        <f>IF(AND(SUM(VLOOKUP($A16,'40Trips'!$A$3:$I$42,2,FALSE),VLOOKUP(K$1,'40Trips'!$A$3:$I$42,2,FALSE))&lt;='40Trips'!$K$16,$A16&lt;&gt;K$1,gamma!K16=1),(VLOOKUP(K$1,'40Trips'!$A$3:$I$42,8,FALSE))-(VLOOKUP($A16,'40Trips'!$A$3:$I$42,9,FALSE)),0)</f>
        <v>0</v>
      </c>
      <c r="L16">
        <f>IF(AND(SUM(VLOOKUP($A16,'40Trips'!$A$3:$I$42,2,FALSE),VLOOKUP(L$1,'40Trips'!$A$3:$I$42,2,FALSE))&lt;='40Trips'!$K$16,$A16&lt;&gt;L$1,gamma!L16=1),(VLOOKUP(L$1,'40Trips'!$A$3:$I$42,8,FALSE))-(VLOOKUP($A16,'40Trips'!$A$3:$I$42,9,FALSE)),0)</f>
        <v>0</v>
      </c>
      <c r="M16">
        <f>IF(AND(SUM(VLOOKUP($A16,'40Trips'!$A$3:$I$42,2,FALSE),VLOOKUP(M$1,'40Trips'!$A$3:$I$42,2,FALSE))&lt;='40Trips'!$K$16,$A16&lt;&gt;M$1,gamma!M16=1),(VLOOKUP(M$1,'40Trips'!$A$3:$I$42,8,FALSE))-(VLOOKUP($A16,'40Trips'!$A$3:$I$42,9,FALSE)),0)</f>
        <v>0</v>
      </c>
      <c r="N16">
        <f>IF(AND(SUM(VLOOKUP($A16,'40Trips'!$A$3:$I$42,2,FALSE),VLOOKUP(N$1,'40Trips'!$A$3:$I$42,2,FALSE))&lt;='40Trips'!$K$16,$A16&lt;&gt;N$1,gamma!N16=1),(VLOOKUP(N$1,'40Trips'!$A$3:$I$42,8,FALSE))-(VLOOKUP($A16,'40Trips'!$A$3:$I$42,9,FALSE)),0)</f>
        <v>0</v>
      </c>
      <c r="O16">
        <f>IF(AND(SUM(VLOOKUP($A16,'40Trips'!$A$3:$I$42,2,FALSE),VLOOKUP(O$1,'40Trips'!$A$3:$I$42,2,FALSE))&lt;='40Trips'!$K$16,$A16&lt;&gt;O$1,gamma!O16=1),(VLOOKUP(O$1,'40Trips'!$A$3:$I$42,8,FALSE))-(VLOOKUP($A16,'40Trips'!$A$3:$I$42,9,FALSE)),0)</f>
        <v>0</v>
      </c>
      <c r="P16">
        <f>IF(AND(SUM(VLOOKUP($A16,'40Trips'!$A$3:$I$42,2,FALSE),VLOOKUP(P$1,'40Trips'!$A$3:$I$42,2,FALSE))&lt;='40Trips'!$K$16,$A16&lt;&gt;P$1,gamma!P16=1),(VLOOKUP(P$1,'40Trips'!$A$3:$I$42,8,FALSE))-(VLOOKUP($A16,'40Trips'!$A$3:$I$42,9,FALSE)),0)</f>
        <v>0</v>
      </c>
      <c r="Q16">
        <f>IF(AND(SUM(VLOOKUP($A16,'40Trips'!$A$3:$I$42,2,FALSE),VLOOKUP(Q$1,'40Trips'!$A$3:$I$42,2,FALSE))&lt;='40Trips'!$K$16,$A16&lt;&gt;Q$1,gamma!Q16=1),(VLOOKUP(Q$1,'40Trips'!$A$3:$I$42,8,FALSE))-(VLOOKUP($A16,'40Trips'!$A$3:$I$42,9,FALSE)),0)</f>
        <v>0</v>
      </c>
      <c r="R16">
        <f>IF(AND(SUM(VLOOKUP($A16,'40Trips'!$A$3:$I$42,2,FALSE),VLOOKUP(R$1,'40Trips'!$A$3:$I$42,2,FALSE))&lt;='40Trips'!$K$16,$A16&lt;&gt;R$1,gamma!R16=1),(VLOOKUP(R$1,'40Trips'!$A$3:$I$42,8,FALSE))-(VLOOKUP($A16,'40Trips'!$A$3:$I$42,9,FALSE)),0)</f>
        <v>45</v>
      </c>
      <c r="S16">
        <f>IF(AND(SUM(VLOOKUP($A16,'40Trips'!$A$3:$I$42,2,FALSE),VLOOKUP(S$1,'40Trips'!$A$3:$I$42,2,FALSE))&lt;='40Trips'!$K$16,$A16&lt;&gt;S$1,gamma!S16=1),(VLOOKUP(S$1,'40Trips'!$A$3:$I$42,8,FALSE))-(VLOOKUP($A16,'40Trips'!$A$3:$I$42,9,FALSE)),0)</f>
        <v>0</v>
      </c>
      <c r="T16">
        <f>IF(AND(SUM(VLOOKUP($A16,'40Trips'!$A$3:$I$42,2,FALSE),VLOOKUP(T$1,'40Trips'!$A$3:$I$42,2,FALSE))&lt;='40Trips'!$K$16,$A16&lt;&gt;T$1,gamma!T16=1),(VLOOKUP(T$1,'40Trips'!$A$3:$I$42,8,FALSE))-(VLOOKUP($A16,'40Trips'!$A$3:$I$42,9,FALSE)),0)</f>
        <v>0</v>
      </c>
      <c r="U16">
        <f>IF(AND(SUM(VLOOKUP($A16,'40Trips'!$A$3:$I$42,2,FALSE),VLOOKUP(U$1,'40Trips'!$A$3:$I$42,2,FALSE))&lt;='40Trips'!$K$16,$A16&lt;&gt;U$1,gamma!U16=1),(VLOOKUP(U$1,'40Trips'!$A$3:$I$42,8,FALSE))-(VLOOKUP($A16,'40Trips'!$A$3:$I$42,9,FALSE)),0)</f>
        <v>0</v>
      </c>
      <c r="V16">
        <f>IF(AND(SUM(VLOOKUP($A16,'40Trips'!$A$3:$I$42,2,FALSE),VLOOKUP(V$1,'40Trips'!$A$3:$I$42,2,FALSE))&lt;='40Trips'!$K$16,$A16&lt;&gt;V$1,gamma!V16=1),(VLOOKUP(V$1,'40Trips'!$A$3:$I$42,8,FALSE))-(VLOOKUP($A16,'40Trips'!$A$3:$I$42,9,FALSE)),0)</f>
        <v>95</v>
      </c>
      <c r="W16">
        <f>IF(AND(SUM(VLOOKUP($A16,'40Trips'!$A$3:$I$42,2,FALSE),VLOOKUP(W$1,'40Trips'!$A$3:$I$42,2,FALSE))&lt;='40Trips'!$K$16,$A16&lt;&gt;W$1,gamma!W16=1),(VLOOKUP(W$1,'40Trips'!$A$3:$I$42,8,FALSE))-(VLOOKUP($A16,'40Trips'!$A$3:$I$42,9,FALSE)),0)</f>
        <v>0</v>
      </c>
      <c r="X16">
        <f>IF(AND(SUM(VLOOKUP($A16,'40Trips'!$A$3:$I$42,2,FALSE),VLOOKUP(X$1,'40Trips'!$A$3:$I$42,2,FALSE))&lt;='40Trips'!$K$16,$A16&lt;&gt;X$1,gamma!X16=1),(VLOOKUP(X$1,'40Trips'!$A$3:$I$42,8,FALSE))-(VLOOKUP($A16,'40Trips'!$A$3:$I$42,9,FALSE)),0)</f>
        <v>0</v>
      </c>
      <c r="Y16">
        <f>IF(AND(SUM(VLOOKUP($A16,'40Trips'!$A$3:$I$42,2,FALSE),VLOOKUP(Y$1,'40Trips'!$A$3:$I$42,2,FALSE))&lt;='40Trips'!$K$16,$A16&lt;&gt;Y$1,gamma!Y16=1),(VLOOKUP(Y$1,'40Trips'!$A$3:$I$42,8,FALSE))-(VLOOKUP($A16,'40Trips'!$A$3:$I$42,9,FALSE)),0)</f>
        <v>0</v>
      </c>
      <c r="Z16">
        <f>IF(AND(SUM(VLOOKUP($A16,'40Trips'!$A$3:$I$42,2,FALSE),VLOOKUP(Z$1,'40Trips'!$A$3:$I$42,2,FALSE))&lt;='40Trips'!$K$16,$A16&lt;&gt;Z$1,gamma!Z16=1),(VLOOKUP(Z$1,'40Trips'!$A$3:$I$42,8,FALSE))-(VLOOKUP($A16,'40Trips'!$A$3:$I$42,9,FALSE)),0)</f>
        <v>65</v>
      </c>
      <c r="AA16">
        <f>IF(AND(SUM(VLOOKUP($A16,'40Trips'!$A$3:$I$42,2,FALSE),VLOOKUP(AA$1,'40Trips'!$A$3:$I$42,2,FALSE))&lt;='40Trips'!$K$16,$A16&lt;&gt;AA$1,gamma!AA16=1),(VLOOKUP(AA$1,'40Trips'!$A$3:$I$42,8,FALSE))-(VLOOKUP($A16,'40Trips'!$A$3:$I$42,9,FALSE)),0)</f>
        <v>0</v>
      </c>
      <c r="AB16">
        <f>IF(AND(SUM(VLOOKUP($A16,'40Trips'!$A$3:$I$42,2,FALSE),VLOOKUP(AB$1,'40Trips'!$A$3:$I$42,2,FALSE))&lt;='40Trips'!$K$16,$A16&lt;&gt;AB$1,gamma!AB16=1),(VLOOKUP(AB$1,'40Trips'!$A$3:$I$42,8,FALSE))-(VLOOKUP($A16,'40Trips'!$A$3:$I$42,9,FALSE)),0)</f>
        <v>0</v>
      </c>
      <c r="AC16">
        <f>IF(AND(SUM(VLOOKUP($A16,'40Trips'!$A$3:$I$42,2,FALSE),VLOOKUP(AC$1,'40Trips'!$A$3:$I$42,2,FALSE))&lt;='40Trips'!$K$16,$A16&lt;&gt;AC$1,gamma!AC16=1),(VLOOKUP(AC$1,'40Trips'!$A$3:$I$42,8,FALSE))-(VLOOKUP($A16,'40Trips'!$A$3:$I$42,9,FALSE)),0)</f>
        <v>45</v>
      </c>
      <c r="AD16">
        <f>IF(AND(SUM(VLOOKUP($A16,'40Trips'!$A$3:$I$42,2,FALSE),VLOOKUP(AD$1,'40Trips'!$A$3:$I$42,2,FALSE))&lt;='40Trips'!$K$16,$A16&lt;&gt;AD$1,gamma!AD16=1),(VLOOKUP(AD$1,'40Trips'!$A$3:$I$42,8,FALSE))-(VLOOKUP($A16,'40Trips'!$A$3:$I$42,9,FALSE)),0)</f>
        <v>95</v>
      </c>
      <c r="AE16">
        <f>IF(AND(SUM(VLOOKUP($A16,'40Trips'!$A$3:$I$42,2,FALSE),VLOOKUP(AE$1,'40Trips'!$A$3:$I$42,2,FALSE))&lt;='40Trips'!$K$16,$A16&lt;&gt;AE$1,gamma!AE16=1),(VLOOKUP(AE$1,'40Trips'!$A$3:$I$42,8,FALSE))-(VLOOKUP($A16,'40Trips'!$A$3:$I$42,9,FALSE)),0)</f>
        <v>0</v>
      </c>
      <c r="AF16">
        <f>IF(AND(SUM(VLOOKUP($A16,'40Trips'!$A$3:$I$42,2,FALSE),VLOOKUP(AF$1,'40Trips'!$A$3:$I$42,2,FALSE))&lt;='40Trips'!$K$16,$A16&lt;&gt;AF$1,gamma!AF16=1),(VLOOKUP(AF$1,'40Trips'!$A$3:$I$42,8,FALSE))-(VLOOKUP($A16,'40Trips'!$A$3:$I$42,9,FALSE)),0)</f>
        <v>0</v>
      </c>
      <c r="AG16">
        <f>IF(AND(SUM(VLOOKUP($A16,'40Trips'!$A$3:$I$42,2,FALSE),VLOOKUP(AG$1,'40Trips'!$A$3:$I$42,2,FALSE))&lt;='40Trips'!$K$16,$A16&lt;&gt;AG$1,gamma!AG16=1),(VLOOKUP(AG$1,'40Trips'!$A$3:$I$42,8,FALSE))-(VLOOKUP($A16,'40Trips'!$A$3:$I$42,9,FALSE)),0)</f>
        <v>0</v>
      </c>
      <c r="AH16">
        <f>IF(AND(SUM(VLOOKUP($A16,'40Trips'!$A$3:$I$42,2,FALSE),VLOOKUP(AH$1,'40Trips'!$A$3:$I$42,2,FALSE))&lt;='40Trips'!$K$16,$A16&lt;&gt;AH$1,gamma!AH16=1),(VLOOKUP(AH$1,'40Trips'!$A$3:$I$42,8,FALSE))-(VLOOKUP($A16,'40Trips'!$A$3:$I$42,9,FALSE)),0)</f>
        <v>0</v>
      </c>
      <c r="AI16">
        <f>IF(AND(SUM(VLOOKUP($A16,'40Trips'!$A$3:$I$42,2,FALSE),VLOOKUP(AI$1,'40Trips'!$A$3:$I$42,2,FALSE))&lt;='40Trips'!$K$16,$A16&lt;&gt;AI$1,gamma!AI16=1),(VLOOKUP(AI$1,'40Trips'!$A$3:$I$42,8,FALSE))-(VLOOKUP($A16,'40Trips'!$A$3:$I$42,9,FALSE)),0)</f>
        <v>0</v>
      </c>
      <c r="AJ16">
        <f>IF(AND(SUM(VLOOKUP($A16,'40Trips'!$A$3:$I$42,2,FALSE),VLOOKUP(AJ$1,'40Trips'!$A$3:$I$42,2,FALSE))&lt;='40Trips'!$K$16,$A16&lt;&gt;AJ$1,gamma!AJ16=1),(VLOOKUP(AJ$1,'40Trips'!$A$3:$I$42,8,FALSE))-(VLOOKUP($A16,'40Trips'!$A$3:$I$42,9,FALSE)),0)</f>
        <v>0</v>
      </c>
      <c r="AK16">
        <f>IF(AND(SUM(VLOOKUP($A16,'40Trips'!$A$3:$I$42,2,FALSE),VLOOKUP(AK$1,'40Trips'!$A$3:$I$42,2,FALSE))&lt;='40Trips'!$K$16,$A16&lt;&gt;AK$1,gamma!AK16=1),(VLOOKUP(AK$1,'40Trips'!$A$3:$I$42,8,FALSE))-(VLOOKUP($A16,'40Trips'!$A$3:$I$42,9,FALSE)),0)</f>
        <v>0</v>
      </c>
      <c r="AL16">
        <f>IF(AND(SUM(VLOOKUP($A16,'40Trips'!$A$3:$I$42,2,FALSE),VLOOKUP(AL$1,'40Trips'!$A$3:$I$42,2,FALSE))&lt;='40Trips'!$K$16,$A16&lt;&gt;AL$1,gamma!AL16=1),(VLOOKUP(AL$1,'40Trips'!$A$3:$I$42,8,FALSE))-(VLOOKUP($A16,'40Trips'!$A$3:$I$42,9,FALSE)),0)</f>
        <v>145</v>
      </c>
      <c r="AM16">
        <f>IF(AND(SUM(VLOOKUP($A16,'40Trips'!$A$3:$I$42,2,FALSE),VLOOKUP(AM$1,'40Trips'!$A$3:$I$42,2,FALSE))&lt;='40Trips'!$K$16,$A16&lt;&gt;AM$1,gamma!AM16=1),(VLOOKUP(AM$1,'40Trips'!$A$3:$I$42,8,FALSE))-(VLOOKUP($A16,'40Trips'!$A$3:$I$42,9,FALSE)),0)</f>
        <v>0</v>
      </c>
      <c r="AN16">
        <f>IF(AND(SUM(VLOOKUP($A16,'40Trips'!$A$3:$I$42,2,FALSE),VLOOKUP(AN$1,'40Trips'!$A$3:$I$42,2,FALSE))&lt;='40Trips'!$K$16,$A16&lt;&gt;AN$1,gamma!AN16=1),(VLOOKUP(AN$1,'40Trips'!$A$3:$I$42,8,FALSE))-(VLOOKUP($A16,'40Trips'!$A$3:$I$42,9,FALSE)),0)</f>
        <v>0</v>
      </c>
      <c r="AO16">
        <f>IF(AND(SUM(VLOOKUP($A16,'40Trips'!$A$3:$I$42,2,FALSE),VLOOKUP(AO$1,'40Trips'!$A$3:$I$42,2,FALSE))&lt;='40Trips'!$K$16,$A16&lt;&gt;AO$1,gamma!AO16=1),(VLOOKUP(AO$1,'40Trips'!$A$3:$I$42,8,FALSE))-(VLOOKUP($A16,'40Trips'!$A$3:$I$42,9,FALSE)),0)</f>
        <v>0</v>
      </c>
      <c r="AP16">
        <f>IF(AND(SUM(VLOOKUP($A16,'40Trips'!$A$3:$I$42,2,FALSE),VLOOKUP(AP$1,'40Trips'!$A$3:$I$42,2,FALSE))&lt;='40Trips'!$K$16,$A16&lt;&gt;AP$1,gamma!AP16=1),(VLOOKUP(AP$1,'40Trips'!$A$3:$I$42,8,FALSE))-(VLOOKUP($A16,'40Trips'!$A$3:$I$42,9,FALSE)),0)</f>
        <v>110</v>
      </c>
    </row>
    <row r="17" spans="1:42" x14ac:dyDescent="0.25">
      <c r="A17" t="s">
        <v>29</v>
      </c>
      <c r="B17">
        <v>0</v>
      </c>
      <c r="C17">
        <f>IF(AND(SUM(VLOOKUP($A17,'40Trips'!$A$3:$I$42,2,FALSE),VLOOKUP(C$1,'40Trips'!$A$3:$I$42,2,FALSE))&lt;='40Trips'!$K$16,$A17&lt;&gt;C$1,gamma!C17=1),(VLOOKUP(C$1,'40Trips'!$A$3:$I$42,8,FALSE))-(VLOOKUP($A17,'40Trips'!$A$3:$I$42,9,FALSE)),0)</f>
        <v>0</v>
      </c>
      <c r="D17">
        <f>IF(AND(SUM(VLOOKUP($A17,'40Trips'!$A$3:$I$42,2,FALSE),VLOOKUP(D$1,'40Trips'!$A$3:$I$42,2,FALSE))&lt;='40Trips'!$K$16,$A17&lt;&gt;D$1,gamma!D17=1),(VLOOKUP(D$1,'40Trips'!$A$3:$I$42,8,FALSE))-(VLOOKUP($A17,'40Trips'!$A$3:$I$42,9,FALSE)),0)</f>
        <v>0</v>
      </c>
      <c r="E17">
        <f>IF(AND(SUM(VLOOKUP($A17,'40Trips'!$A$3:$I$42,2,FALSE),VLOOKUP(E$1,'40Trips'!$A$3:$I$42,2,FALSE))&lt;='40Trips'!$K$16,$A17&lt;&gt;E$1,gamma!E17=1),(VLOOKUP(E$1,'40Trips'!$A$3:$I$42,8,FALSE))-(VLOOKUP($A17,'40Trips'!$A$3:$I$42,9,FALSE)),0)</f>
        <v>0</v>
      </c>
      <c r="F17">
        <f>IF(AND(SUM(VLOOKUP($A17,'40Trips'!$A$3:$I$42,2,FALSE),VLOOKUP(F$1,'40Trips'!$A$3:$I$42,2,FALSE))&lt;='40Trips'!$K$16,$A17&lt;&gt;F$1,gamma!F17=1),(VLOOKUP(F$1,'40Trips'!$A$3:$I$42,8,FALSE))-(VLOOKUP($A17,'40Trips'!$A$3:$I$42,9,FALSE)),0)</f>
        <v>0</v>
      </c>
      <c r="G17">
        <f>IF(AND(SUM(VLOOKUP($A17,'40Trips'!$A$3:$I$42,2,FALSE),VLOOKUP(G$1,'40Trips'!$A$3:$I$42,2,FALSE))&lt;='40Trips'!$K$16,$A17&lt;&gt;G$1,gamma!G17=1),(VLOOKUP(G$1,'40Trips'!$A$3:$I$42,8,FALSE))-(VLOOKUP($A17,'40Trips'!$A$3:$I$42,9,FALSE)),0)</f>
        <v>0</v>
      </c>
      <c r="H17">
        <f>IF(AND(SUM(VLOOKUP($A17,'40Trips'!$A$3:$I$42,2,FALSE),VLOOKUP(H$1,'40Trips'!$A$3:$I$42,2,FALSE))&lt;='40Trips'!$K$16,$A17&lt;&gt;H$1,gamma!H17=1),(VLOOKUP(H$1,'40Trips'!$A$3:$I$42,8,FALSE))-(VLOOKUP($A17,'40Trips'!$A$3:$I$42,9,FALSE)),0)</f>
        <v>0</v>
      </c>
      <c r="I17">
        <f>IF(AND(SUM(VLOOKUP($A17,'40Trips'!$A$3:$I$42,2,FALSE),VLOOKUP(I$1,'40Trips'!$A$3:$I$42,2,FALSE))&lt;='40Trips'!$K$16,$A17&lt;&gt;I$1,gamma!I17=1),(VLOOKUP(I$1,'40Trips'!$A$3:$I$42,8,FALSE))-(VLOOKUP($A17,'40Trips'!$A$3:$I$42,9,FALSE)),0)</f>
        <v>0</v>
      </c>
      <c r="J17">
        <f>IF(AND(SUM(VLOOKUP($A17,'40Trips'!$A$3:$I$42,2,FALSE),VLOOKUP(J$1,'40Trips'!$A$3:$I$42,2,FALSE))&lt;='40Trips'!$K$16,$A17&lt;&gt;J$1,gamma!J17=1),(VLOOKUP(J$1,'40Trips'!$A$3:$I$42,8,FALSE))-(VLOOKUP($A17,'40Trips'!$A$3:$I$42,9,FALSE)),0)</f>
        <v>210</v>
      </c>
      <c r="K17">
        <f>IF(AND(SUM(VLOOKUP($A17,'40Trips'!$A$3:$I$42,2,FALSE),VLOOKUP(K$1,'40Trips'!$A$3:$I$42,2,FALSE))&lt;='40Trips'!$K$16,$A17&lt;&gt;K$1,gamma!K17=1),(VLOOKUP(K$1,'40Trips'!$A$3:$I$42,8,FALSE))-(VLOOKUP($A17,'40Trips'!$A$3:$I$42,9,FALSE)),0)</f>
        <v>0</v>
      </c>
      <c r="L17">
        <f>IF(AND(SUM(VLOOKUP($A17,'40Trips'!$A$3:$I$42,2,FALSE),VLOOKUP(L$1,'40Trips'!$A$3:$I$42,2,FALSE))&lt;='40Trips'!$K$16,$A17&lt;&gt;L$1,gamma!L17=1),(VLOOKUP(L$1,'40Trips'!$A$3:$I$42,8,FALSE))-(VLOOKUP($A17,'40Trips'!$A$3:$I$42,9,FALSE)),0)</f>
        <v>0</v>
      </c>
      <c r="M17">
        <f>IF(AND(SUM(VLOOKUP($A17,'40Trips'!$A$3:$I$42,2,FALSE),VLOOKUP(M$1,'40Trips'!$A$3:$I$42,2,FALSE))&lt;='40Trips'!$K$16,$A17&lt;&gt;M$1,gamma!M17=1),(VLOOKUP(M$1,'40Trips'!$A$3:$I$42,8,FALSE))-(VLOOKUP($A17,'40Trips'!$A$3:$I$42,9,FALSE)),0)</f>
        <v>0</v>
      </c>
      <c r="N17">
        <f>IF(AND(SUM(VLOOKUP($A17,'40Trips'!$A$3:$I$42,2,FALSE),VLOOKUP(N$1,'40Trips'!$A$3:$I$42,2,FALSE))&lt;='40Trips'!$K$16,$A17&lt;&gt;N$1,gamma!N17=1),(VLOOKUP(N$1,'40Trips'!$A$3:$I$42,8,FALSE))-(VLOOKUP($A17,'40Trips'!$A$3:$I$42,9,FALSE)),0)</f>
        <v>0</v>
      </c>
      <c r="O17">
        <f>IF(AND(SUM(VLOOKUP($A17,'40Trips'!$A$3:$I$42,2,FALSE),VLOOKUP(O$1,'40Trips'!$A$3:$I$42,2,FALSE))&lt;='40Trips'!$K$16,$A17&lt;&gt;O$1,gamma!O17=1),(VLOOKUP(O$1,'40Trips'!$A$3:$I$42,8,FALSE))-(VLOOKUP($A17,'40Trips'!$A$3:$I$42,9,FALSE)),0)</f>
        <v>0</v>
      </c>
      <c r="P17">
        <f>IF(AND(SUM(VLOOKUP($A17,'40Trips'!$A$3:$I$42,2,FALSE),VLOOKUP(P$1,'40Trips'!$A$3:$I$42,2,FALSE))&lt;='40Trips'!$K$16,$A17&lt;&gt;P$1,gamma!P17=1),(VLOOKUP(P$1,'40Trips'!$A$3:$I$42,8,FALSE))-(VLOOKUP($A17,'40Trips'!$A$3:$I$42,9,FALSE)),0)</f>
        <v>0</v>
      </c>
      <c r="Q17">
        <f>IF(AND(SUM(VLOOKUP($A17,'40Trips'!$A$3:$I$42,2,FALSE),VLOOKUP(Q$1,'40Trips'!$A$3:$I$42,2,FALSE))&lt;='40Trips'!$K$16,$A17&lt;&gt;Q$1,gamma!Q17=1),(VLOOKUP(Q$1,'40Trips'!$A$3:$I$42,8,FALSE))-(VLOOKUP($A17,'40Trips'!$A$3:$I$42,9,FALSE)),0)</f>
        <v>0</v>
      </c>
      <c r="R17">
        <f>IF(AND(SUM(VLOOKUP($A17,'40Trips'!$A$3:$I$42,2,FALSE),VLOOKUP(R$1,'40Trips'!$A$3:$I$42,2,FALSE))&lt;='40Trips'!$K$16,$A17&lt;&gt;R$1,gamma!R17=1),(VLOOKUP(R$1,'40Trips'!$A$3:$I$42,8,FALSE))-(VLOOKUP($A17,'40Trips'!$A$3:$I$42,9,FALSE)),0)</f>
        <v>0</v>
      </c>
      <c r="S17">
        <f>IF(AND(SUM(VLOOKUP($A17,'40Trips'!$A$3:$I$42,2,FALSE),VLOOKUP(S$1,'40Trips'!$A$3:$I$42,2,FALSE))&lt;='40Trips'!$K$16,$A17&lt;&gt;S$1,gamma!S17=1),(VLOOKUP(S$1,'40Trips'!$A$3:$I$42,8,FALSE))-(VLOOKUP($A17,'40Trips'!$A$3:$I$42,9,FALSE)),0)</f>
        <v>0</v>
      </c>
      <c r="T17">
        <f>IF(AND(SUM(VLOOKUP($A17,'40Trips'!$A$3:$I$42,2,FALSE),VLOOKUP(T$1,'40Trips'!$A$3:$I$42,2,FALSE))&lt;='40Trips'!$K$16,$A17&lt;&gt;T$1,gamma!T17=1),(VLOOKUP(T$1,'40Trips'!$A$3:$I$42,8,FALSE))-(VLOOKUP($A17,'40Trips'!$A$3:$I$42,9,FALSE)),0)</f>
        <v>0</v>
      </c>
      <c r="U17">
        <f>IF(AND(SUM(VLOOKUP($A17,'40Trips'!$A$3:$I$42,2,FALSE),VLOOKUP(U$1,'40Trips'!$A$3:$I$42,2,FALSE))&lt;='40Trips'!$K$16,$A17&lt;&gt;U$1,gamma!U17=1),(VLOOKUP(U$1,'40Trips'!$A$3:$I$42,8,FALSE))-(VLOOKUP($A17,'40Trips'!$A$3:$I$42,9,FALSE)),0)</f>
        <v>0</v>
      </c>
      <c r="V17">
        <f>IF(AND(SUM(VLOOKUP($A17,'40Trips'!$A$3:$I$42,2,FALSE),VLOOKUP(V$1,'40Trips'!$A$3:$I$42,2,FALSE))&lt;='40Trips'!$K$16,$A17&lt;&gt;V$1,gamma!V17=1),(VLOOKUP(V$1,'40Trips'!$A$3:$I$42,8,FALSE))-(VLOOKUP($A17,'40Trips'!$A$3:$I$42,9,FALSE)),0)</f>
        <v>0</v>
      </c>
      <c r="W17">
        <f>IF(AND(SUM(VLOOKUP($A17,'40Trips'!$A$3:$I$42,2,FALSE),VLOOKUP(W$1,'40Trips'!$A$3:$I$42,2,FALSE))&lt;='40Trips'!$K$16,$A17&lt;&gt;W$1,gamma!W17=1),(VLOOKUP(W$1,'40Trips'!$A$3:$I$42,8,FALSE))-(VLOOKUP($A17,'40Trips'!$A$3:$I$42,9,FALSE)),0)</f>
        <v>0</v>
      </c>
      <c r="X17">
        <f>IF(AND(SUM(VLOOKUP($A17,'40Trips'!$A$3:$I$42,2,FALSE),VLOOKUP(X$1,'40Trips'!$A$3:$I$42,2,FALSE))&lt;='40Trips'!$K$16,$A17&lt;&gt;X$1,gamma!X17=1),(VLOOKUP(X$1,'40Trips'!$A$3:$I$42,8,FALSE))-(VLOOKUP($A17,'40Trips'!$A$3:$I$42,9,FALSE)),0)</f>
        <v>0</v>
      </c>
      <c r="Y17">
        <f>IF(AND(SUM(VLOOKUP($A17,'40Trips'!$A$3:$I$42,2,FALSE),VLOOKUP(Y$1,'40Trips'!$A$3:$I$42,2,FALSE))&lt;='40Trips'!$K$16,$A17&lt;&gt;Y$1,gamma!Y17=1),(VLOOKUP(Y$1,'40Trips'!$A$3:$I$42,8,FALSE))-(VLOOKUP($A17,'40Trips'!$A$3:$I$42,9,FALSE)),0)</f>
        <v>0</v>
      </c>
      <c r="Z17">
        <f>IF(AND(SUM(VLOOKUP($A17,'40Trips'!$A$3:$I$42,2,FALSE),VLOOKUP(Z$1,'40Trips'!$A$3:$I$42,2,FALSE))&lt;='40Trips'!$K$16,$A17&lt;&gt;Z$1,gamma!Z17=1),(VLOOKUP(Z$1,'40Trips'!$A$3:$I$42,8,FALSE))-(VLOOKUP($A17,'40Trips'!$A$3:$I$42,9,FALSE)),0)</f>
        <v>0</v>
      </c>
      <c r="AA17">
        <f>IF(AND(SUM(VLOOKUP($A17,'40Trips'!$A$3:$I$42,2,FALSE),VLOOKUP(AA$1,'40Trips'!$A$3:$I$42,2,FALSE))&lt;='40Trips'!$K$16,$A17&lt;&gt;AA$1,gamma!AA17=1),(VLOOKUP(AA$1,'40Trips'!$A$3:$I$42,8,FALSE))-(VLOOKUP($A17,'40Trips'!$A$3:$I$42,9,FALSE)),0)</f>
        <v>0</v>
      </c>
      <c r="AB17">
        <f>IF(AND(SUM(VLOOKUP($A17,'40Trips'!$A$3:$I$42,2,FALSE),VLOOKUP(AB$1,'40Trips'!$A$3:$I$42,2,FALSE))&lt;='40Trips'!$K$16,$A17&lt;&gt;AB$1,gamma!AB17=1),(VLOOKUP(AB$1,'40Trips'!$A$3:$I$42,8,FALSE))-(VLOOKUP($A17,'40Trips'!$A$3:$I$42,9,FALSE)),0)</f>
        <v>0</v>
      </c>
      <c r="AC17">
        <f>IF(AND(SUM(VLOOKUP($A17,'40Trips'!$A$3:$I$42,2,FALSE),VLOOKUP(AC$1,'40Trips'!$A$3:$I$42,2,FALSE))&lt;='40Trips'!$K$16,$A17&lt;&gt;AC$1,gamma!AC17=1),(VLOOKUP(AC$1,'40Trips'!$A$3:$I$42,8,FALSE))-(VLOOKUP($A17,'40Trips'!$A$3:$I$42,9,FALSE)),0)</f>
        <v>0</v>
      </c>
      <c r="AD17">
        <f>IF(AND(SUM(VLOOKUP($A17,'40Trips'!$A$3:$I$42,2,FALSE),VLOOKUP(AD$1,'40Trips'!$A$3:$I$42,2,FALSE))&lt;='40Trips'!$K$16,$A17&lt;&gt;AD$1,gamma!AD17=1),(VLOOKUP(AD$1,'40Trips'!$A$3:$I$42,8,FALSE))-(VLOOKUP($A17,'40Trips'!$A$3:$I$42,9,FALSE)),0)</f>
        <v>0</v>
      </c>
      <c r="AE17">
        <f>IF(AND(SUM(VLOOKUP($A17,'40Trips'!$A$3:$I$42,2,FALSE),VLOOKUP(AE$1,'40Trips'!$A$3:$I$42,2,FALSE))&lt;='40Trips'!$K$16,$A17&lt;&gt;AE$1,gamma!AE17=1),(VLOOKUP(AE$1,'40Trips'!$A$3:$I$42,8,FALSE))-(VLOOKUP($A17,'40Trips'!$A$3:$I$42,9,FALSE)),0)</f>
        <v>0</v>
      </c>
      <c r="AF17">
        <f>IF(AND(SUM(VLOOKUP($A17,'40Trips'!$A$3:$I$42,2,FALSE),VLOOKUP(AF$1,'40Trips'!$A$3:$I$42,2,FALSE))&lt;='40Trips'!$K$16,$A17&lt;&gt;AF$1,gamma!AF17=1),(VLOOKUP(AF$1,'40Trips'!$A$3:$I$42,8,FALSE))-(VLOOKUP($A17,'40Trips'!$A$3:$I$42,9,FALSE)),0)</f>
        <v>0</v>
      </c>
      <c r="AG17">
        <f>IF(AND(SUM(VLOOKUP($A17,'40Trips'!$A$3:$I$42,2,FALSE),VLOOKUP(AG$1,'40Trips'!$A$3:$I$42,2,FALSE))&lt;='40Trips'!$K$16,$A17&lt;&gt;AG$1,gamma!AG17=1),(VLOOKUP(AG$1,'40Trips'!$A$3:$I$42,8,FALSE))-(VLOOKUP($A17,'40Trips'!$A$3:$I$42,9,FALSE)),0)</f>
        <v>0</v>
      </c>
      <c r="AH17">
        <f>IF(AND(SUM(VLOOKUP($A17,'40Trips'!$A$3:$I$42,2,FALSE),VLOOKUP(AH$1,'40Trips'!$A$3:$I$42,2,FALSE))&lt;='40Trips'!$K$16,$A17&lt;&gt;AH$1,gamma!AH17=1),(VLOOKUP(AH$1,'40Trips'!$A$3:$I$42,8,FALSE))-(VLOOKUP($A17,'40Trips'!$A$3:$I$42,9,FALSE)),0)</f>
        <v>0</v>
      </c>
      <c r="AI17">
        <f>IF(AND(SUM(VLOOKUP($A17,'40Trips'!$A$3:$I$42,2,FALSE),VLOOKUP(AI$1,'40Trips'!$A$3:$I$42,2,FALSE))&lt;='40Trips'!$K$16,$A17&lt;&gt;AI$1,gamma!AI17=1),(VLOOKUP(AI$1,'40Trips'!$A$3:$I$42,8,FALSE))-(VLOOKUP($A17,'40Trips'!$A$3:$I$42,9,FALSE)),0)</f>
        <v>0</v>
      </c>
      <c r="AJ17">
        <f>IF(AND(SUM(VLOOKUP($A17,'40Trips'!$A$3:$I$42,2,FALSE),VLOOKUP(AJ$1,'40Trips'!$A$3:$I$42,2,FALSE))&lt;='40Trips'!$K$16,$A17&lt;&gt;AJ$1,gamma!AJ17=1),(VLOOKUP(AJ$1,'40Trips'!$A$3:$I$42,8,FALSE))-(VLOOKUP($A17,'40Trips'!$A$3:$I$42,9,FALSE)),0)</f>
        <v>0</v>
      </c>
      <c r="AK17">
        <f>IF(AND(SUM(VLOOKUP($A17,'40Trips'!$A$3:$I$42,2,FALSE),VLOOKUP(AK$1,'40Trips'!$A$3:$I$42,2,FALSE))&lt;='40Trips'!$K$16,$A17&lt;&gt;AK$1,gamma!AK17=1),(VLOOKUP(AK$1,'40Trips'!$A$3:$I$42,8,FALSE))-(VLOOKUP($A17,'40Trips'!$A$3:$I$42,9,FALSE)),0)</f>
        <v>0</v>
      </c>
      <c r="AL17">
        <f>IF(AND(SUM(VLOOKUP($A17,'40Trips'!$A$3:$I$42,2,FALSE),VLOOKUP(AL$1,'40Trips'!$A$3:$I$42,2,FALSE))&lt;='40Trips'!$K$16,$A17&lt;&gt;AL$1,gamma!AL17=1),(VLOOKUP(AL$1,'40Trips'!$A$3:$I$42,8,FALSE))-(VLOOKUP($A17,'40Trips'!$A$3:$I$42,9,FALSE)),0)</f>
        <v>55</v>
      </c>
      <c r="AM17">
        <f>IF(AND(SUM(VLOOKUP($A17,'40Trips'!$A$3:$I$42,2,FALSE),VLOOKUP(AM$1,'40Trips'!$A$3:$I$42,2,FALSE))&lt;='40Trips'!$K$16,$A17&lt;&gt;AM$1,gamma!AM17=1),(VLOOKUP(AM$1,'40Trips'!$A$3:$I$42,8,FALSE))-(VLOOKUP($A17,'40Trips'!$A$3:$I$42,9,FALSE)),0)</f>
        <v>0</v>
      </c>
      <c r="AN17">
        <f>IF(AND(SUM(VLOOKUP($A17,'40Trips'!$A$3:$I$42,2,FALSE),VLOOKUP(AN$1,'40Trips'!$A$3:$I$42,2,FALSE))&lt;='40Trips'!$K$16,$A17&lt;&gt;AN$1,gamma!AN17=1),(VLOOKUP(AN$1,'40Trips'!$A$3:$I$42,8,FALSE))-(VLOOKUP($A17,'40Trips'!$A$3:$I$42,9,FALSE)),0)</f>
        <v>0</v>
      </c>
      <c r="AO17">
        <f>IF(AND(SUM(VLOOKUP($A17,'40Trips'!$A$3:$I$42,2,FALSE),VLOOKUP(AO$1,'40Trips'!$A$3:$I$42,2,FALSE))&lt;='40Trips'!$K$16,$A17&lt;&gt;AO$1,gamma!AO17=1),(VLOOKUP(AO$1,'40Trips'!$A$3:$I$42,8,FALSE))-(VLOOKUP($A17,'40Trips'!$A$3:$I$42,9,FALSE)),0)</f>
        <v>0</v>
      </c>
      <c r="AP17">
        <f>IF(AND(SUM(VLOOKUP($A17,'40Trips'!$A$3:$I$42,2,FALSE),VLOOKUP(AP$1,'40Trips'!$A$3:$I$42,2,FALSE))&lt;='40Trips'!$K$16,$A17&lt;&gt;AP$1,gamma!AP17=1),(VLOOKUP(AP$1,'40Trips'!$A$3:$I$42,8,FALSE))-(VLOOKUP($A17,'40Trips'!$A$3:$I$42,9,FALSE)),0)</f>
        <v>20</v>
      </c>
    </row>
    <row r="18" spans="1:42" x14ac:dyDescent="0.25">
      <c r="A18" t="s">
        <v>30</v>
      </c>
      <c r="B18">
        <v>0</v>
      </c>
      <c r="C18">
        <f>IF(AND(SUM(VLOOKUP($A18,'40Trips'!$A$3:$I$42,2,FALSE),VLOOKUP(C$1,'40Trips'!$A$3:$I$42,2,FALSE))&lt;='40Trips'!$K$16,$A18&lt;&gt;C$1,gamma!C18=1),(VLOOKUP(C$1,'40Trips'!$A$3:$I$42,8,FALSE))-(VLOOKUP($A18,'40Trips'!$A$3:$I$42,9,FALSE)),0)</f>
        <v>0</v>
      </c>
      <c r="D18">
        <f>IF(AND(SUM(VLOOKUP($A18,'40Trips'!$A$3:$I$42,2,FALSE),VLOOKUP(D$1,'40Trips'!$A$3:$I$42,2,FALSE))&lt;='40Trips'!$K$16,$A18&lt;&gt;D$1,gamma!D18=1),(VLOOKUP(D$1,'40Trips'!$A$3:$I$42,8,FALSE))-(VLOOKUP($A18,'40Trips'!$A$3:$I$42,9,FALSE)),0)</f>
        <v>0</v>
      </c>
      <c r="E18">
        <f>IF(AND(SUM(VLOOKUP($A18,'40Trips'!$A$3:$I$42,2,FALSE),VLOOKUP(E$1,'40Trips'!$A$3:$I$42,2,FALSE))&lt;='40Trips'!$K$16,$A18&lt;&gt;E$1,gamma!E18=1),(VLOOKUP(E$1,'40Trips'!$A$3:$I$42,8,FALSE))-(VLOOKUP($A18,'40Trips'!$A$3:$I$42,9,FALSE)),0)</f>
        <v>0</v>
      </c>
      <c r="F18">
        <f>IF(AND(SUM(VLOOKUP($A18,'40Trips'!$A$3:$I$42,2,FALSE),VLOOKUP(F$1,'40Trips'!$A$3:$I$42,2,FALSE))&lt;='40Trips'!$K$16,$A18&lt;&gt;F$1,gamma!F18=1),(VLOOKUP(F$1,'40Trips'!$A$3:$I$42,8,FALSE))-(VLOOKUP($A18,'40Trips'!$A$3:$I$42,9,FALSE)),0)</f>
        <v>0</v>
      </c>
      <c r="G18">
        <f>IF(AND(SUM(VLOOKUP($A18,'40Trips'!$A$3:$I$42,2,FALSE),VLOOKUP(G$1,'40Trips'!$A$3:$I$42,2,FALSE))&lt;='40Trips'!$K$16,$A18&lt;&gt;G$1,gamma!G18=1),(VLOOKUP(G$1,'40Trips'!$A$3:$I$42,8,FALSE))-(VLOOKUP($A18,'40Trips'!$A$3:$I$42,9,FALSE)),0)</f>
        <v>0</v>
      </c>
      <c r="H18">
        <f>IF(AND(SUM(VLOOKUP($A18,'40Trips'!$A$3:$I$42,2,FALSE),VLOOKUP(H$1,'40Trips'!$A$3:$I$42,2,FALSE))&lt;='40Trips'!$K$16,$A18&lt;&gt;H$1,gamma!H18=1),(VLOOKUP(H$1,'40Trips'!$A$3:$I$42,8,FALSE))-(VLOOKUP($A18,'40Trips'!$A$3:$I$42,9,FALSE)),0)</f>
        <v>0</v>
      </c>
      <c r="I18">
        <f>IF(AND(SUM(VLOOKUP($A18,'40Trips'!$A$3:$I$42,2,FALSE),VLOOKUP(I$1,'40Trips'!$A$3:$I$42,2,FALSE))&lt;='40Trips'!$K$16,$A18&lt;&gt;I$1,gamma!I18=1),(VLOOKUP(I$1,'40Trips'!$A$3:$I$42,8,FALSE))-(VLOOKUP($A18,'40Trips'!$A$3:$I$42,9,FALSE)),0)</f>
        <v>0</v>
      </c>
      <c r="J18">
        <f>IF(AND(SUM(VLOOKUP($A18,'40Trips'!$A$3:$I$42,2,FALSE),VLOOKUP(J$1,'40Trips'!$A$3:$I$42,2,FALSE))&lt;='40Trips'!$K$16,$A18&lt;&gt;J$1,gamma!J18=1),(VLOOKUP(J$1,'40Trips'!$A$3:$I$42,8,FALSE))-(VLOOKUP($A18,'40Trips'!$A$3:$I$42,9,FALSE)),0)</f>
        <v>120</v>
      </c>
      <c r="K18">
        <f>IF(AND(SUM(VLOOKUP($A18,'40Trips'!$A$3:$I$42,2,FALSE),VLOOKUP(K$1,'40Trips'!$A$3:$I$42,2,FALSE))&lt;='40Trips'!$K$16,$A18&lt;&gt;K$1,gamma!K18=1),(VLOOKUP(K$1,'40Trips'!$A$3:$I$42,8,FALSE))-(VLOOKUP($A18,'40Trips'!$A$3:$I$42,9,FALSE)),0)</f>
        <v>0</v>
      </c>
      <c r="L18">
        <f>IF(AND(SUM(VLOOKUP($A18,'40Trips'!$A$3:$I$42,2,FALSE),VLOOKUP(L$1,'40Trips'!$A$3:$I$42,2,FALSE))&lt;='40Trips'!$K$16,$A18&lt;&gt;L$1,gamma!L18=1),(VLOOKUP(L$1,'40Trips'!$A$3:$I$42,8,FALSE))-(VLOOKUP($A18,'40Trips'!$A$3:$I$42,9,FALSE)),0)</f>
        <v>0</v>
      </c>
      <c r="M18">
        <f>IF(AND(SUM(VLOOKUP($A18,'40Trips'!$A$3:$I$42,2,FALSE),VLOOKUP(M$1,'40Trips'!$A$3:$I$42,2,FALSE))&lt;='40Trips'!$K$16,$A18&lt;&gt;M$1,gamma!M18=1),(VLOOKUP(M$1,'40Trips'!$A$3:$I$42,8,FALSE))-(VLOOKUP($A18,'40Trips'!$A$3:$I$42,9,FALSE)),0)</f>
        <v>0</v>
      </c>
      <c r="N18">
        <f>IF(AND(SUM(VLOOKUP($A18,'40Trips'!$A$3:$I$42,2,FALSE),VLOOKUP(N$1,'40Trips'!$A$3:$I$42,2,FALSE))&lt;='40Trips'!$K$16,$A18&lt;&gt;N$1,gamma!N18=1),(VLOOKUP(N$1,'40Trips'!$A$3:$I$42,8,FALSE))-(VLOOKUP($A18,'40Trips'!$A$3:$I$42,9,FALSE)),0)</f>
        <v>0</v>
      </c>
      <c r="O18">
        <f>IF(AND(SUM(VLOOKUP($A18,'40Trips'!$A$3:$I$42,2,FALSE),VLOOKUP(O$1,'40Trips'!$A$3:$I$42,2,FALSE))&lt;='40Trips'!$K$16,$A18&lt;&gt;O$1,gamma!O18=1),(VLOOKUP(O$1,'40Trips'!$A$3:$I$42,8,FALSE))-(VLOOKUP($A18,'40Trips'!$A$3:$I$42,9,FALSE)),0)</f>
        <v>0</v>
      </c>
      <c r="P18">
        <f>IF(AND(SUM(VLOOKUP($A18,'40Trips'!$A$3:$I$42,2,FALSE),VLOOKUP(P$1,'40Trips'!$A$3:$I$42,2,FALSE))&lt;='40Trips'!$K$16,$A18&lt;&gt;P$1,gamma!P18=1),(VLOOKUP(P$1,'40Trips'!$A$3:$I$42,8,FALSE))-(VLOOKUP($A18,'40Trips'!$A$3:$I$42,9,FALSE)),0)</f>
        <v>0</v>
      </c>
      <c r="Q18">
        <f>IF(AND(SUM(VLOOKUP($A18,'40Trips'!$A$3:$I$42,2,FALSE),VLOOKUP(Q$1,'40Trips'!$A$3:$I$42,2,FALSE))&lt;='40Trips'!$K$16,$A18&lt;&gt;Q$1,gamma!Q18=1),(VLOOKUP(Q$1,'40Trips'!$A$3:$I$42,8,FALSE))-(VLOOKUP($A18,'40Trips'!$A$3:$I$42,9,FALSE)),0)</f>
        <v>0</v>
      </c>
      <c r="R18">
        <f>IF(AND(SUM(VLOOKUP($A18,'40Trips'!$A$3:$I$42,2,FALSE),VLOOKUP(R$1,'40Trips'!$A$3:$I$42,2,FALSE))&lt;='40Trips'!$K$16,$A18&lt;&gt;R$1,gamma!R18=1),(VLOOKUP(R$1,'40Trips'!$A$3:$I$42,8,FALSE))-(VLOOKUP($A18,'40Trips'!$A$3:$I$42,9,FALSE)),0)</f>
        <v>0</v>
      </c>
      <c r="S18">
        <f>IF(AND(SUM(VLOOKUP($A18,'40Trips'!$A$3:$I$42,2,FALSE),VLOOKUP(S$1,'40Trips'!$A$3:$I$42,2,FALSE))&lt;='40Trips'!$K$16,$A18&lt;&gt;S$1,gamma!S18=1),(VLOOKUP(S$1,'40Trips'!$A$3:$I$42,8,FALSE))-(VLOOKUP($A18,'40Trips'!$A$3:$I$42,9,FALSE)),0)</f>
        <v>0</v>
      </c>
      <c r="T18">
        <f>IF(AND(SUM(VLOOKUP($A18,'40Trips'!$A$3:$I$42,2,FALSE),VLOOKUP(T$1,'40Trips'!$A$3:$I$42,2,FALSE))&lt;='40Trips'!$K$16,$A18&lt;&gt;T$1,gamma!T18=1),(VLOOKUP(T$1,'40Trips'!$A$3:$I$42,8,FALSE))-(VLOOKUP($A18,'40Trips'!$A$3:$I$42,9,FALSE)),0)</f>
        <v>0</v>
      </c>
      <c r="U18">
        <f>IF(AND(SUM(VLOOKUP($A18,'40Trips'!$A$3:$I$42,2,FALSE),VLOOKUP(U$1,'40Trips'!$A$3:$I$42,2,FALSE))&lt;='40Trips'!$K$16,$A18&lt;&gt;U$1,gamma!U18=1),(VLOOKUP(U$1,'40Trips'!$A$3:$I$42,8,FALSE))-(VLOOKUP($A18,'40Trips'!$A$3:$I$42,9,FALSE)),0)</f>
        <v>0</v>
      </c>
      <c r="V18">
        <f>IF(AND(SUM(VLOOKUP($A18,'40Trips'!$A$3:$I$42,2,FALSE),VLOOKUP(V$1,'40Trips'!$A$3:$I$42,2,FALSE))&lt;='40Trips'!$K$16,$A18&lt;&gt;V$1,gamma!V18=1),(VLOOKUP(V$1,'40Trips'!$A$3:$I$42,8,FALSE))-(VLOOKUP($A18,'40Trips'!$A$3:$I$42,9,FALSE)),0)</f>
        <v>0</v>
      </c>
      <c r="W18">
        <f>IF(AND(SUM(VLOOKUP($A18,'40Trips'!$A$3:$I$42,2,FALSE),VLOOKUP(W$1,'40Trips'!$A$3:$I$42,2,FALSE))&lt;='40Trips'!$K$16,$A18&lt;&gt;W$1,gamma!W18=1),(VLOOKUP(W$1,'40Trips'!$A$3:$I$42,8,FALSE))-(VLOOKUP($A18,'40Trips'!$A$3:$I$42,9,FALSE)),0)</f>
        <v>0</v>
      </c>
      <c r="X18">
        <f>IF(AND(SUM(VLOOKUP($A18,'40Trips'!$A$3:$I$42,2,FALSE),VLOOKUP(X$1,'40Trips'!$A$3:$I$42,2,FALSE))&lt;='40Trips'!$K$16,$A18&lt;&gt;X$1,gamma!X18=1),(VLOOKUP(X$1,'40Trips'!$A$3:$I$42,8,FALSE))-(VLOOKUP($A18,'40Trips'!$A$3:$I$42,9,FALSE)),0)</f>
        <v>0</v>
      </c>
      <c r="Y18">
        <f>IF(AND(SUM(VLOOKUP($A18,'40Trips'!$A$3:$I$42,2,FALSE),VLOOKUP(Y$1,'40Trips'!$A$3:$I$42,2,FALSE))&lt;='40Trips'!$K$16,$A18&lt;&gt;Y$1,gamma!Y18=1),(VLOOKUP(Y$1,'40Trips'!$A$3:$I$42,8,FALSE))-(VLOOKUP($A18,'40Trips'!$A$3:$I$42,9,FALSE)),0)</f>
        <v>0</v>
      </c>
      <c r="Z18">
        <f>IF(AND(SUM(VLOOKUP($A18,'40Trips'!$A$3:$I$42,2,FALSE),VLOOKUP(Z$1,'40Trips'!$A$3:$I$42,2,FALSE))&lt;='40Trips'!$K$16,$A18&lt;&gt;Z$1,gamma!Z18=1),(VLOOKUP(Z$1,'40Trips'!$A$3:$I$42,8,FALSE))-(VLOOKUP($A18,'40Trips'!$A$3:$I$42,9,FALSE)),0)</f>
        <v>0</v>
      </c>
      <c r="AA18">
        <f>IF(AND(SUM(VLOOKUP($A18,'40Trips'!$A$3:$I$42,2,FALSE),VLOOKUP(AA$1,'40Trips'!$A$3:$I$42,2,FALSE))&lt;='40Trips'!$K$16,$A18&lt;&gt;AA$1,gamma!AA18=1),(VLOOKUP(AA$1,'40Trips'!$A$3:$I$42,8,FALSE))-(VLOOKUP($A18,'40Trips'!$A$3:$I$42,9,FALSE)),0)</f>
        <v>0</v>
      </c>
      <c r="AB18">
        <f>IF(AND(SUM(VLOOKUP($A18,'40Trips'!$A$3:$I$42,2,FALSE),VLOOKUP(AB$1,'40Trips'!$A$3:$I$42,2,FALSE))&lt;='40Trips'!$K$16,$A18&lt;&gt;AB$1,gamma!AB18=1),(VLOOKUP(AB$1,'40Trips'!$A$3:$I$42,8,FALSE))-(VLOOKUP($A18,'40Trips'!$A$3:$I$42,9,FALSE)),0)</f>
        <v>0</v>
      </c>
      <c r="AC18">
        <f>IF(AND(SUM(VLOOKUP($A18,'40Trips'!$A$3:$I$42,2,FALSE),VLOOKUP(AC$1,'40Trips'!$A$3:$I$42,2,FALSE))&lt;='40Trips'!$K$16,$A18&lt;&gt;AC$1,gamma!AC18=1),(VLOOKUP(AC$1,'40Trips'!$A$3:$I$42,8,FALSE))-(VLOOKUP($A18,'40Trips'!$A$3:$I$42,9,FALSE)),0)</f>
        <v>0</v>
      </c>
      <c r="AD18">
        <f>IF(AND(SUM(VLOOKUP($A18,'40Trips'!$A$3:$I$42,2,FALSE),VLOOKUP(AD$1,'40Trips'!$A$3:$I$42,2,FALSE))&lt;='40Trips'!$K$16,$A18&lt;&gt;AD$1,gamma!AD18=1),(VLOOKUP(AD$1,'40Trips'!$A$3:$I$42,8,FALSE))-(VLOOKUP($A18,'40Trips'!$A$3:$I$42,9,FALSE)),0)</f>
        <v>0</v>
      </c>
      <c r="AE18">
        <f>IF(AND(SUM(VLOOKUP($A18,'40Trips'!$A$3:$I$42,2,FALSE),VLOOKUP(AE$1,'40Trips'!$A$3:$I$42,2,FALSE))&lt;='40Trips'!$K$16,$A18&lt;&gt;AE$1,gamma!AE18=1),(VLOOKUP(AE$1,'40Trips'!$A$3:$I$42,8,FALSE))-(VLOOKUP($A18,'40Trips'!$A$3:$I$42,9,FALSE)),0)</f>
        <v>0</v>
      </c>
      <c r="AF18">
        <f>IF(AND(SUM(VLOOKUP($A18,'40Trips'!$A$3:$I$42,2,FALSE),VLOOKUP(AF$1,'40Trips'!$A$3:$I$42,2,FALSE))&lt;='40Trips'!$K$16,$A18&lt;&gt;AF$1,gamma!AF18=1),(VLOOKUP(AF$1,'40Trips'!$A$3:$I$42,8,FALSE))-(VLOOKUP($A18,'40Trips'!$A$3:$I$42,9,FALSE)),0)</f>
        <v>0</v>
      </c>
      <c r="AG18">
        <f>IF(AND(SUM(VLOOKUP($A18,'40Trips'!$A$3:$I$42,2,FALSE),VLOOKUP(AG$1,'40Trips'!$A$3:$I$42,2,FALSE))&lt;='40Trips'!$K$16,$A18&lt;&gt;AG$1,gamma!AG18=1),(VLOOKUP(AG$1,'40Trips'!$A$3:$I$42,8,FALSE))-(VLOOKUP($A18,'40Trips'!$A$3:$I$42,9,FALSE)),0)</f>
        <v>0</v>
      </c>
      <c r="AH18">
        <f>IF(AND(SUM(VLOOKUP($A18,'40Trips'!$A$3:$I$42,2,FALSE),VLOOKUP(AH$1,'40Trips'!$A$3:$I$42,2,FALSE))&lt;='40Trips'!$K$16,$A18&lt;&gt;AH$1,gamma!AH18=1),(VLOOKUP(AH$1,'40Trips'!$A$3:$I$42,8,FALSE))-(VLOOKUP($A18,'40Trips'!$A$3:$I$42,9,FALSE)),0)</f>
        <v>0</v>
      </c>
      <c r="AI18">
        <f>IF(AND(SUM(VLOOKUP($A18,'40Trips'!$A$3:$I$42,2,FALSE),VLOOKUP(AI$1,'40Trips'!$A$3:$I$42,2,FALSE))&lt;='40Trips'!$K$16,$A18&lt;&gt;AI$1,gamma!AI18=1),(VLOOKUP(AI$1,'40Trips'!$A$3:$I$42,8,FALSE))-(VLOOKUP($A18,'40Trips'!$A$3:$I$42,9,FALSE)),0)</f>
        <v>0</v>
      </c>
      <c r="AJ18">
        <f>IF(AND(SUM(VLOOKUP($A18,'40Trips'!$A$3:$I$42,2,FALSE),VLOOKUP(AJ$1,'40Trips'!$A$3:$I$42,2,FALSE))&lt;='40Trips'!$K$16,$A18&lt;&gt;AJ$1,gamma!AJ18=1),(VLOOKUP(AJ$1,'40Trips'!$A$3:$I$42,8,FALSE))-(VLOOKUP($A18,'40Trips'!$A$3:$I$42,9,FALSE)),0)</f>
        <v>0</v>
      </c>
      <c r="AK18">
        <f>IF(AND(SUM(VLOOKUP($A18,'40Trips'!$A$3:$I$42,2,FALSE),VLOOKUP(AK$1,'40Trips'!$A$3:$I$42,2,FALSE))&lt;='40Trips'!$K$16,$A18&lt;&gt;AK$1,gamma!AK18=1),(VLOOKUP(AK$1,'40Trips'!$A$3:$I$42,8,FALSE))-(VLOOKUP($A18,'40Trips'!$A$3:$I$42,9,FALSE)),0)</f>
        <v>0</v>
      </c>
      <c r="AL18">
        <f>IF(AND(SUM(VLOOKUP($A18,'40Trips'!$A$3:$I$42,2,FALSE),VLOOKUP(AL$1,'40Trips'!$A$3:$I$42,2,FALSE))&lt;='40Trips'!$K$16,$A18&lt;&gt;AL$1,gamma!AL18=1),(VLOOKUP(AL$1,'40Trips'!$A$3:$I$42,8,FALSE))-(VLOOKUP($A18,'40Trips'!$A$3:$I$42,9,FALSE)),0)</f>
        <v>0</v>
      </c>
      <c r="AM18">
        <f>IF(AND(SUM(VLOOKUP($A18,'40Trips'!$A$3:$I$42,2,FALSE),VLOOKUP(AM$1,'40Trips'!$A$3:$I$42,2,FALSE))&lt;='40Trips'!$K$16,$A18&lt;&gt;AM$1,gamma!AM18=1),(VLOOKUP(AM$1,'40Trips'!$A$3:$I$42,8,FALSE))-(VLOOKUP($A18,'40Trips'!$A$3:$I$42,9,FALSE)),0)</f>
        <v>0</v>
      </c>
      <c r="AN18">
        <f>IF(AND(SUM(VLOOKUP($A18,'40Trips'!$A$3:$I$42,2,FALSE),VLOOKUP(AN$1,'40Trips'!$A$3:$I$42,2,FALSE))&lt;='40Trips'!$K$16,$A18&lt;&gt;AN$1,gamma!AN18=1),(VLOOKUP(AN$1,'40Trips'!$A$3:$I$42,8,FALSE))-(VLOOKUP($A18,'40Trips'!$A$3:$I$42,9,FALSE)),0)</f>
        <v>0</v>
      </c>
      <c r="AO18">
        <f>IF(AND(SUM(VLOOKUP($A18,'40Trips'!$A$3:$I$42,2,FALSE),VLOOKUP(AO$1,'40Trips'!$A$3:$I$42,2,FALSE))&lt;='40Trips'!$K$16,$A18&lt;&gt;AO$1,gamma!AO18=1),(VLOOKUP(AO$1,'40Trips'!$A$3:$I$42,8,FALSE))-(VLOOKUP($A18,'40Trips'!$A$3:$I$42,9,FALSE)),0)</f>
        <v>0</v>
      </c>
      <c r="AP18">
        <f>IF(AND(SUM(VLOOKUP($A18,'40Trips'!$A$3:$I$42,2,FALSE),VLOOKUP(AP$1,'40Trips'!$A$3:$I$42,2,FALSE))&lt;='40Trips'!$K$16,$A18&lt;&gt;AP$1,gamma!AP18=1),(VLOOKUP(AP$1,'40Trips'!$A$3:$I$42,8,FALSE))-(VLOOKUP($A18,'40Trips'!$A$3:$I$42,9,FALSE)),0)</f>
        <v>0</v>
      </c>
    </row>
    <row r="19" spans="1:42" x14ac:dyDescent="0.25">
      <c r="A19" t="s">
        <v>75</v>
      </c>
      <c r="B19">
        <v>0</v>
      </c>
      <c r="C19">
        <f>IF(AND(SUM(VLOOKUP($A19,'40Trips'!$A$3:$I$42,2,FALSE),VLOOKUP(C$1,'40Trips'!$A$3:$I$42,2,FALSE))&lt;='40Trips'!$K$16,$A19&lt;&gt;C$1,gamma!C19=1),(VLOOKUP(C$1,'40Trips'!$A$3:$I$42,8,FALSE))-(VLOOKUP($A19,'40Trips'!$A$3:$I$42,9,FALSE)),0)</f>
        <v>140</v>
      </c>
      <c r="D19">
        <f>IF(AND(SUM(VLOOKUP($A19,'40Trips'!$A$3:$I$42,2,FALSE),VLOOKUP(D$1,'40Trips'!$A$3:$I$42,2,FALSE))&lt;='40Trips'!$K$16,$A19&lt;&gt;D$1,gamma!D19=1),(VLOOKUP(D$1,'40Trips'!$A$3:$I$42,8,FALSE))-(VLOOKUP($A19,'40Trips'!$A$3:$I$42,9,FALSE)),0)</f>
        <v>320</v>
      </c>
      <c r="E19">
        <f>IF(AND(SUM(VLOOKUP($A19,'40Trips'!$A$3:$I$42,2,FALSE),VLOOKUP(E$1,'40Trips'!$A$3:$I$42,2,FALSE))&lt;='40Trips'!$K$16,$A19&lt;&gt;E$1,gamma!E19=1),(VLOOKUP(E$1,'40Trips'!$A$3:$I$42,8,FALSE))-(VLOOKUP($A19,'40Trips'!$A$3:$I$42,9,FALSE)),0)</f>
        <v>410</v>
      </c>
      <c r="F19">
        <f>IF(AND(SUM(VLOOKUP($A19,'40Trips'!$A$3:$I$42,2,FALSE),VLOOKUP(F$1,'40Trips'!$A$3:$I$42,2,FALSE))&lt;='40Trips'!$K$16,$A19&lt;&gt;F$1,gamma!F19=1),(VLOOKUP(F$1,'40Trips'!$A$3:$I$42,8,FALSE))-(VLOOKUP($A19,'40Trips'!$A$3:$I$42,9,FALSE)),0)</f>
        <v>500</v>
      </c>
      <c r="G19">
        <f>IF(AND(SUM(VLOOKUP($A19,'40Trips'!$A$3:$I$42,2,FALSE),VLOOKUP(G$1,'40Trips'!$A$3:$I$42,2,FALSE))&lt;='40Trips'!$K$16,$A19&lt;&gt;G$1,gamma!G19=1),(VLOOKUP(G$1,'40Trips'!$A$3:$I$42,8,FALSE))-(VLOOKUP($A19,'40Trips'!$A$3:$I$42,9,FALSE)),0)</f>
        <v>135</v>
      </c>
      <c r="H19">
        <f>IF(AND(SUM(VLOOKUP($A19,'40Trips'!$A$3:$I$42,2,FALSE),VLOOKUP(H$1,'40Trips'!$A$3:$I$42,2,FALSE))&lt;='40Trips'!$K$16,$A19&lt;&gt;H$1,gamma!H19=1),(VLOOKUP(H$1,'40Trips'!$A$3:$I$42,8,FALSE))-(VLOOKUP($A19,'40Trips'!$A$3:$I$42,9,FALSE)),0)</f>
        <v>255</v>
      </c>
      <c r="I19">
        <f>IF(AND(SUM(VLOOKUP($A19,'40Trips'!$A$3:$I$42,2,FALSE),VLOOKUP(I$1,'40Trips'!$A$3:$I$42,2,FALSE))&lt;='40Trips'!$K$16,$A19&lt;&gt;I$1,gamma!I19=1),(VLOOKUP(I$1,'40Trips'!$A$3:$I$42,8,FALSE))-(VLOOKUP($A19,'40Trips'!$A$3:$I$42,9,FALSE)),0)</f>
        <v>375</v>
      </c>
      <c r="J19">
        <f>IF(AND(SUM(VLOOKUP($A19,'40Trips'!$A$3:$I$42,2,FALSE),VLOOKUP(J$1,'40Trips'!$A$3:$I$42,2,FALSE))&lt;='40Trips'!$K$16,$A19&lt;&gt;J$1,gamma!J19=1),(VLOOKUP(J$1,'40Trips'!$A$3:$I$42,8,FALSE))-(VLOOKUP($A19,'40Trips'!$A$3:$I$42,9,FALSE)),0)</f>
        <v>735</v>
      </c>
      <c r="K19">
        <f>IF(AND(SUM(VLOOKUP($A19,'40Trips'!$A$3:$I$42,2,FALSE),VLOOKUP(K$1,'40Trips'!$A$3:$I$42,2,FALSE))&lt;='40Trips'!$K$16,$A19&lt;&gt;K$1,gamma!K19=1),(VLOOKUP(K$1,'40Trips'!$A$3:$I$42,8,FALSE))-(VLOOKUP($A19,'40Trips'!$A$3:$I$42,9,FALSE)),0)</f>
        <v>140</v>
      </c>
      <c r="L19">
        <f>IF(AND(SUM(VLOOKUP($A19,'40Trips'!$A$3:$I$42,2,FALSE),VLOOKUP(L$1,'40Trips'!$A$3:$I$42,2,FALSE))&lt;='40Trips'!$K$16,$A19&lt;&gt;L$1,gamma!L19=1),(VLOOKUP(L$1,'40Trips'!$A$3:$I$42,8,FALSE))-(VLOOKUP($A19,'40Trips'!$A$3:$I$42,9,FALSE)),0)</f>
        <v>210</v>
      </c>
      <c r="M19">
        <f>IF(AND(SUM(VLOOKUP($A19,'40Trips'!$A$3:$I$42,2,FALSE),VLOOKUP(M$1,'40Trips'!$A$3:$I$42,2,FALSE))&lt;='40Trips'!$K$16,$A19&lt;&gt;M$1,gamma!M19=1),(VLOOKUP(M$1,'40Trips'!$A$3:$I$42,8,FALSE))-(VLOOKUP($A19,'40Trips'!$A$3:$I$42,9,FALSE)),0)</f>
        <v>370</v>
      </c>
      <c r="N19">
        <f>IF(AND(SUM(VLOOKUP($A19,'40Trips'!$A$3:$I$42,2,FALSE),VLOOKUP(N$1,'40Trips'!$A$3:$I$42,2,FALSE))&lt;='40Trips'!$K$16,$A19&lt;&gt;N$1,gamma!N19=1),(VLOOKUP(N$1,'40Trips'!$A$3:$I$42,8,FALSE))-(VLOOKUP($A19,'40Trips'!$A$3:$I$42,9,FALSE)),0)</f>
        <v>120</v>
      </c>
      <c r="O19">
        <f>IF(AND(SUM(VLOOKUP($A19,'40Trips'!$A$3:$I$42,2,FALSE),VLOOKUP(O$1,'40Trips'!$A$3:$I$42,2,FALSE))&lt;='40Trips'!$K$16,$A19&lt;&gt;O$1,gamma!O19=1),(VLOOKUP(O$1,'40Trips'!$A$3:$I$42,8,FALSE))-(VLOOKUP($A19,'40Trips'!$A$3:$I$42,9,FALSE)),0)</f>
        <v>210</v>
      </c>
      <c r="P19">
        <f>IF(AND(SUM(VLOOKUP($A19,'40Trips'!$A$3:$I$42,2,FALSE),VLOOKUP(P$1,'40Trips'!$A$3:$I$42,2,FALSE))&lt;='40Trips'!$K$16,$A19&lt;&gt;P$1,gamma!P19=1),(VLOOKUP(P$1,'40Trips'!$A$3:$I$42,8,FALSE))-(VLOOKUP($A19,'40Trips'!$A$3:$I$42,9,FALSE)),0)</f>
        <v>300</v>
      </c>
      <c r="Q19">
        <f>IF(AND(SUM(VLOOKUP($A19,'40Trips'!$A$3:$I$42,2,FALSE),VLOOKUP(Q$1,'40Trips'!$A$3:$I$42,2,FALSE))&lt;='40Trips'!$K$16,$A19&lt;&gt;Q$1,gamma!Q19=1),(VLOOKUP(Q$1,'40Trips'!$A$3:$I$42,8,FALSE))-(VLOOKUP($A19,'40Trips'!$A$3:$I$42,9,FALSE)),0)</f>
        <v>390</v>
      </c>
      <c r="R19">
        <f>IF(AND(SUM(VLOOKUP($A19,'40Trips'!$A$3:$I$42,2,FALSE),VLOOKUP(R$1,'40Trips'!$A$3:$I$42,2,FALSE))&lt;='40Trips'!$K$16,$A19&lt;&gt;R$1,gamma!R19=1),(VLOOKUP(R$1,'40Trips'!$A$3:$I$42,8,FALSE))-(VLOOKUP($A19,'40Trips'!$A$3:$I$42,9,FALSE)),0)</f>
        <v>480</v>
      </c>
      <c r="S19">
        <f>IF(AND(SUM(VLOOKUP($A19,'40Trips'!$A$3:$I$42,2,FALSE),VLOOKUP(S$1,'40Trips'!$A$3:$I$42,2,FALSE))&lt;='40Trips'!$K$16,$A19&lt;&gt;S$1,gamma!S19=1),(VLOOKUP(S$1,'40Trips'!$A$3:$I$42,8,FALSE))-(VLOOKUP($A19,'40Trips'!$A$3:$I$42,9,FALSE)),0)</f>
        <v>0</v>
      </c>
      <c r="T19">
        <f>IF(AND(SUM(VLOOKUP($A19,'40Trips'!$A$3:$I$42,2,FALSE),VLOOKUP(T$1,'40Trips'!$A$3:$I$42,2,FALSE))&lt;='40Trips'!$K$16,$A19&lt;&gt;T$1,gamma!T19=1),(VLOOKUP(T$1,'40Trips'!$A$3:$I$42,8,FALSE))-(VLOOKUP($A19,'40Trips'!$A$3:$I$42,9,FALSE)),0)</f>
        <v>175</v>
      </c>
      <c r="U19">
        <f>IF(AND(SUM(VLOOKUP($A19,'40Trips'!$A$3:$I$42,2,FALSE),VLOOKUP(U$1,'40Trips'!$A$3:$I$42,2,FALSE))&lt;='40Trips'!$K$16,$A19&lt;&gt;U$1,gamma!U19=1),(VLOOKUP(U$1,'40Trips'!$A$3:$I$42,8,FALSE))-(VLOOKUP($A19,'40Trips'!$A$3:$I$42,9,FALSE)),0)</f>
        <v>380</v>
      </c>
      <c r="V19">
        <f>IF(AND(SUM(VLOOKUP($A19,'40Trips'!$A$3:$I$42,2,FALSE),VLOOKUP(V$1,'40Trips'!$A$3:$I$42,2,FALSE))&lt;='40Trips'!$K$16,$A19&lt;&gt;V$1,gamma!V19=1),(VLOOKUP(V$1,'40Trips'!$A$3:$I$42,8,FALSE))-(VLOOKUP($A19,'40Trips'!$A$3:$I$42,9,FALSE)),0)</f>
        <v>530</v>
      </c>
      <c r="W19">
        <f>IF(AND(SUM(VLOOKUP($A19,'40Trips'!$A$3:$I$42,2,FALSE),VLOOKUP(W$1,'40Trips'!$A$3:$I$42,2,FALSE))&lt;='40Trips'!$K$16,$A19&lt;&gt;W$1,gamma!W19=1),(VLOOKUP(W$1,'40Trips'!$A$3:$I$42,8,FALSE))-(VLOOKUP($A19,'40Trips'!$A$3:$I$42,9,FALSE)),0)</f>
        <v>150</v>
      </c>
      <c r="X19">
        <f>IF(AND(SUM(VLOOKUP($A19,'40Trips'!$A$3:$I$42,2,FALSE),VLOOKUP(X$1,'40Trips'!$A$3:$I$42,2,FALSE))&lt;='40Trips'!$K$16,$A19&lt;&gt;X$1,gamma!X19=1),(VLOOKUP(X$1,'40Trips'!$A$3:$I$42,8,FALSE))-(VLOOKUP($A19,'40Trips'!$A$3:$I$42,9,FALSE)),0)</f>
        <v>320</v>
      </c>
      <c r="Y19">
        <f>IF(AND(SUM(VLOOKUP($A19,'40Trips'!$A$3:$I$42,2,FALSE),VLOOKUP(Y$1,'40Trips'!$A$3:$I$42,2,FALSE))&lt;='40Trips'!$K$16,$A19&lt;&gt;Y$1,gamma!Y19=1),(VLOOKUP(Y$1,'40Trips'!$A$3:$I$42,8,FALSE))-(VLOOKUP($A19,'40Trips'!$A$3:$I$42,9,FALSE)),0)</f>
        <v>440</v>
      </c>
      <c r="Z19">
        <f>IF(AND(SUM(VLOOKUP($A19,'40Trips'!$A$3:$I$42,2,FALSE),VLOOKUP(Z$1,'40Trips'!$A$3:$I$42,2,FALSE))&lt;='40Trips'!$K$16,$A19&lt;&gt;Z$1,gamma!Z19=1),(VLOOKUP(Z$1,'40Trips'!$A$3:$I$42,8,FALSE))-(VLOOKUP($A19,'40Trips'!$A$3:$I$42,9,FALSE)),0)</f>
        <v>500</v>
      </c>
      <c r="AA19">
        <f>IF(AND(SUM(VLOOKUP($A19,'40Trips'!$A$3:$I$42,2,FALSE),VLOOKUP(AA$1,'40Trips'!$A$3:$I$42,2,FALSE))&lt;='40Trips'!$K$16,$A19&lt;&gt;AA$1,gamma!AA19=1),(VLOOKUP(AA$1,'40Trips'!$A$3:$I$42,8,FALSE))-(VLOOKUP($A19,'40Trips'!$A$3:$I$42,9,FALSE)),0)</f>
        <v>120</v>
      </c>
      <c r="AB19">
        <f>IF(AND(SUM(VLOOKUP($A19,'40Trips'!$A$3:$I$42,2,FALSE),VLOOKUP(AB$1,'40Trips'!$A$3:$I$42,2,FALSE))&lt;='40Trips'!$K$16,$A19&lt;&gt;AB$1,gamma!AB19=1),(VLOOKUP(AB$1,'40Trips'!$A$3:$I$42,8,FALSE))-(VLOOKUP($A19,'40Trips'!$A$3:$I$42,9,FALSE)),0)</f>
        <v>225</v>
      </c>
      <c r="AC19">
        <f>IF(AND(SUM(VLOOKUP($A19,'40Trips'!$A$3:$I$42,2,FALSE),VLOOKUP(AC$1,'40Trips'!$A$3:$I$42,2,FALSE))&lt;='40Trips'!$K$16,$A19&lt;&gt;AC$1,gamma!AC19=1),(VLOOKUP(AC$1,'40Trips'!$A$3:$I$42,8,FALSE))-(VLOOKUP($A19,'40Trips'!$A$3:$I$42,9,FALSE)),0)</f>
        <v>480</v>
      </c>
      <c r="AD19">
        <f>IF(AND(SUM(VLOOKUP($A19,'40Trips'!$A$3:$I$42,2,FALSE),VLOOKUP(AD$1,'40Trips'!$A$3:$I$42,2,FALSE))&lt;='40Trips'!$K$16,$A19&lt;&gt;AD$1,gamma!AD19=1),(VLOOKUP(AD$1,'40Trips'!$A$3:$I$42,8,FALSE))-(VLOOKUP($A19,'40Trips'!$A$3:$I$42,9,FALSE)),0)</f>
        <v>530</v>
      </c>
      <c r="AE19">
        <f>IF(AND(SUM(VLOOKUP($A19,'40Trips'!$A$3:$I$42,2,FALSE),VLOOKUP(AE$1,'40Trips'!$A$3:$I$42,2,FALSE))&lt;='40Trips'!$K$16,$A19&lt;&gt;AE$1,gamma!AE19=1),(VLOOKUP(AE$1,'40Trips'!$A$3:$I$42,8,FALSE))-(VLOOKUP($A19,'40Trips'!$A$3:$I$42,9,FALSE)),0)</f>
        <v>30</v>
      </c>
      <c r="AF19">
        <f>IF(AND(SUM(VLOOKUP($A19,'40Trips'!$A$3:$I$42,2,FALSE),VLOOKUP(AF$1,'40Trips'!$A$3:$I$42,2,FALSE))&lt;='40Trips'!$K$16,$A19&lt;&gt;AF$1,gamma!AF19=1),(VLOOKUP(AF$1,'40Trips'!$A$3:$I$42,8,FALSE))-(VLOOKUP($A19,'40Trips'!$A$3:$I$42,9,FALSE)),0)</f>
        <v>130</v>
      </c>
      <c r="AG19">
        <f>IF(AND(SUM(VLOOKUP($A19,'40Trips'!$A$3:$I$42,2,FALSE),VLOOKUP(AG$1,'40Trips'!$A$3:$I$42,2,FALSE))&lt;='40Trips'!$K$16,$A19&lt;&gt;AG$1,gamma!AG19=1),(VLOOKUP(AG$1,'40Trips'!$A$3:$I$42,8,FALSE))-(VLOOKUP($A19,'40Trips'!$A$3:$I$42,9,FALSE)),0)</f>
        <v>180</v>
      </c>
      <c r="AH19">
        <f>IF(AND(SUM(VLOOKUP($A19,'40Trips'!$A$3:$I$42,2,FALSE),VLOOKUP(AH$1,'40Trips'!$A$3:$I$42,2,FALSE))&lt;='40Trips'!$K$16,$A19&lt;&gt;AH$1,gamma!AH19=1),(VLOOKUP(AH$1,'40Trips'!$A$3:$I$42,8,FALSE))-(VLOOKUP($A19,'40Trips'!$A$3:$I$42,9,FALSE)),0)</f>
        <v>345</v>
      </c>
      <c r="AI19">
        <f>IF(AND(SUM(VLOOKUP($A19,'40Trips'!$A$3:$I$42,2,FALSE),VLOOKUP(AI$1,'40Trips'!$A$3:$I$42,2,FALSE))&lt;='40Trips'!$K$16,$A19&lt;&gt;AI$1,gamma!AI19=1),(VLOOKUP(AI$1,'40Trips'!$A$3:$I$42,8,FALSE))-(VLOOKUP($A19,'40Trips'!$A$3:$I$42,9,FALSE)),0)</f>
        <v>300</v>
      </c>
      <c r="AJ19">
        <f>IF(AND(SUM(VLOOKUP($A19,'40Trips'!$A$3:$I$42,2,FALSE),VLOOKUP(AJ$1,'40Trips'!$A$3:$I$42,2,FALSE))&lt;='40Trips'!$K$16,$A19&lt;&gt;AJ$1,gamma!AJ19=1),(VLOOKUP(AJ$1,'40Trips'!$A$3:$I$42,8,FALSE))-(VLOOKUP($A19,'40Trips'!$A$3:$I$42,9,FALSE)),0)</f>
        <v>330</v>
      </c>
      <c r="AK19">
        <f>IF(AND(SUM(VLOOKUP($A19,'40Trips'!$A$3:$I$42,2,FALSE),VLOOKUP(AK$1,'40Trips'!$A$3:$I$42,2,FALSE))&lt;='40Trips'!$K$16,$A19&lt;&gt;AK$1,gamma!AK19=1),(VLOOKUP(AK$1,'40Trips'!$A$3:$I$42,8,FALSE))-(VLOOKUP($A19,'40Trips'!$A$3:$I$42,9,FALSE)),0)</f>
        <v>380</v>
      </c>
      <c r="AL19">
        <f>IF(AND(SUM(VLOOKUP($A19,'40Trips'!$A$3:$I$42,2,FALSE),VLOOKUP(AL$1,'40Trips'!$A$3:$I$42,2,FALSE))&lt;='40Trips'!$K$16,$A19&lt;&gt;AL$1,gamma!AL19=1),(VLOOKUP(AL$1,'40Trips'!$A$3:$I$42,8,FALSE))-(VLOOKUP($A19,'40Trips'!$A$3:$I$42,9,FALSE)),0)</f>
        <v>580</v>
      </c>
      <c r="AM19">
        <f>IF(AND(SUM(VLOOKUP($A19,'40Trips'!$A$3:$I$42,2,FALSE),VLOOKUP(AM$1,'40Trips'!$A$3:$I$42,2,FALSE))&lt;='40Trips'!$K$16,$A19&lt;&gt;AM$1,gamma!AM19=1),(VLOOKUP(AM$1,'40Trips'!$A$3:$I$42,8,FALSE))-(VLOOKUP($A19,'40Trips'!$A$3:$I$42,9,FALSE)),0)</f>
        <v>180</v>
      </c>
      <c r="AN19">
        <f>IF(AND(SUM(VLOOKUP($A19,'40Trips'!$A$3:$I$42,2,FALSE),VLOOKUP(AN$1,'40Trips'!$A$3:$I$42,2,FALSE))&lt;='40Trips'!$K$16,$A19&lt;&gt;AN$1,gamma!AN19=1),(VLOOKUP(AN$1,'40Trips'!$A$3:$I$42,8,FALSE))-(VLOOKUP($A19,'40Trips'!$A$3:$I$42,9,FALSE)),0)</f>
        <v>345</v>
      </c>
      <c r="AO19">
        <f>IF(AND(SUM(VLOOKUP($A19,'40Trips'!$A$3:$I$42,2,FALSE),VLOOKUP(AO$1,'40Trips'!$A$3:$I$42,2,FALSE))&lt;='40Trips'!$K$16,$A19&lt;&gt;AO$1,gamma!AO19=1),(VLOOKUP(AO$1,'40Trips'!$A$3:$I$42,8,FALSE))-(VLOOKUP($A19,'40Trips'!$A$3:$I$42,9,FALSE)),0)</f>
        <v>360</v>
      </c>
      <c r="AP19">
        <f>IF(AND(SUM(VLOOKUP($A19,'40Trips'!$A$3:$I$42,2,FALSE),VLOOKUP(AP$1,'40Trips'!$A$3:$I$42,2,FALSE))&lt;='40Trips'!$K$16,$A19&lt;&gt;AP$1,gamma!AP19=1),(VLOOKUP(AP$1,'40Trips'!$A$3:$I$42,8,FALSE))-(VLOOKUP($A19,'40Trips'!$A$3:$I$42,9,FALSE)),0)</f>
        <v>545</v>
      </c>
    </row>
    <row r="20" spans="1:42" x14ac:dyDescent="0.25">
      <c r="A20" t="s">
        <v>76</v>
      </c>
      <c r="B20">
        <v>0</v>
      </c>
      <c r="C20">
        <f>IF(AND(SUM(VLOOKUP($A20,'40Trips'!$A$3:$I$42,2,FALSE),VLOOKUP(C$1,'40Trips'!$A$3:$I$42,2,FALSE))&lt;='40Trips'!$K$16,$A20&lt;&gt;C$1,gamma!C20=1),(VLOOKUP(C$1,'40Trips'!$A$3:$I$42,8,FALSE))-(VLOOKUP($A20,'40Trips'!$A$3:$I$42,9,FALSE)),0)</f>
        <v>0</v>
      </c>
      <c r="D20">
        <f>IF(AND(SUM(VLOOKUP($A20,'40Trips'!$A$3:$I$42,2,FALSE),VLOOKUP(D$1,'40Trips'!$A$3:$I$42,2,FALSE))&lt;='40Trips'!$K$16,$A20&lt;&gt;D$1,gamma!D20=1),(VLOOKUP(D$1,'40Trips'!$A$3:$I$42,8,FALSE))-(VLOOKUP($A20,'40Trips'!$A$3:$I$42,9,FALSE)),0)</f>
        <v>0</v>
      </c>
      <c r="E20">
        <f>IF(AND(SUM(VLOOKUP($A20,'40Trips'!$A$3:$I$42,2,FALSE),VLOOKUP(E$1,'40Trips'!$A$3:$I$42,2,FALSE))&lt;='40Trips'!$K$16,$A20&lt;&gt;E$1,gamma!E20=1),(VLOOKUP(E$1,'40Trips'!$A$3:$I$42,8,FALSE))-(VLOOKUP($A20,'40Trips'!$A$3:$I$42,9,FALSE)),0)</f>
        <v>95</v>
      </c>
      <c r="F20">
        <f>IF(AND(SUM(VLOOKUP($A20,'40Trips'!$A$3:$I$42,2,FALSE),VLOOKUP(F$1,'40Trips'!$A$3:$I$42,2,FALSE))&lt;='40Trips'!$K$16,$A20&lt;&gt;F$1,gamma!F20=1),(VLOOKUP(F$1,'40Trips'!$A$3:$I$42,8,FALSE))-(VLOOKUP($A20,'40Trips'!$A$3:$I$42,9,FALSE)),0)</f>
        <v>185</v>
      </c>
      <c r="G20">
        <f>IF(AND(SUM(VLOOKUP($A20,'40Trips'!$A$3:$I$42,2,FALSE),VLOOKUP(G$1,'40Trips'!$A$3:$I$42,2,FALSE))&lt;='40Trips'!$K$16,$A20&lt;&gt;G$1,gamma!G20=1),(VLOOKUP(G$1,'40Trips'!$A$3:$I$42,8,FALSE))-(VLOOKUP($A20,'40Trips'!$A$3:$I$42,9,FALSE)),0)</f>
        <v>0</v>
      </c>
      <c r="H20">
        <f>IF(AND(SUM(VLOOKUP($A20,'40Trips'!$A$3:$I$42,2,FALSE),VLOOKUP(H$1,'40Trips'!$A$3:$I$42,2,FALSE))&lt;='40Trips'!$K$16,$A20&lt;&gt;H$1,gamma!H20=1),(VLOOKUP(H$1,'40Trips'!$A$3:$I$42,8,FALSE))-(VLOOKUP($A20,'40Trips'!$A$3:$I$42,9,FALSE)),0)</f>
        <v>0</v>
      </c>
      <c r="I20">
        <f>IF(AND(SUM(VLOOKUP($A20,'40Trips'!$A$3:$I$42,2,FALSE),VLOOKUP(I$1,'40Trips'!$A$3:$I$42,2,FALSE))&lt;='40Trips'!$K$16,$A20&lt;&gt;I$1,gamma!I20=1),(VLOOKUP(I$1,'40Trips'!$A$3:$I$42,8,FALSE))-(VLOOKUP($A20,'40Trips'!$A$3:$I$42,9,FALSE)),0)</f>
        <v>60</v>
      </c>
      <c r="J20">
        <f>IF(AND(SUM(VLOOKUP($A20,'40Trips'!$A$3:$I$42,2,FALSE),VLOOKUP(J$1,'40Trips'!$A$3:$I$42,2,FALSE))&lt;='40Trips'!$K$16,$A20&lt;&gt;J$1,gamma!J20=1),(VLOOKUP(J$1,'40Trips'!$A$3:$I$42,8,FALSE))-(VLOOKUP($A20,'40Trips'!$A$3:$I$42,9,FALSE)),0)</f>
        <v>420</v>
      </c>
      <c r="K20">
        <f>IF(AND(SUM(VLOOKUP($A20,'40Trips'!$A$3:$I$42,2,FALSE),VLOOKUP(K$1,'40Trips'!$A$3:$I$42,2,FALSE))&lt;='40Trips'!$K$16,$A20&lt;&gt;K$1,gamma!K20=1),(VLOOKUP(K$1,'40Trips'!$A$3:$I$42,8,FALSE))-(VLOOKUP($A20,'40Trips'!$A$3:$I$42,9,FALSE)),0)</f>
        <v>0</v>
      </c>
      <c r="L20">
        <f>IF(AND(SUM(VLOOKUP($A20,'40Trips'!$A$3:$I$42,2,FALSE),VLOOKUP(L$1,'40Trips'!$A$3:$I$42,2,FALSE))&lt;='40Trips'!$K$16,$A20&lt;&gt;L$1,gamma!L20=1),(VLOOKUP(L$1,'40Trips'!$A$3:$I$42,8,FALSE))-(VLOOKUP($A20,'40Trips'!$A$3:$I$42,9,FALSE)),0)</f>
        <v>0</v>
      </c>
      <c r="M20">
        <f>IF(AND(SUM(VLOOKUP($A20,'40Trips'!$A$3:$I$42,2,FALSE),VLOOKUP(M$1,'40Trips'!$A$3:$I$42,2,FALSE))&lt;='40Trips'!$K$16,$A20&lt;&gt;M$1,gamma!M20=1),(VLOOKUP(M$1,'40Trips'!$A$3:$I$42,8,FALSE))-(VLOOKUP($A20,'40Trips'!$A$3:$I$42,9,FALSE)),0)</f>
        <v>55</v>
      </c>
      <c r="N20">
        <f>IF(AND(SUM(VLOOKUP($A20,'40Trips'!$A$3:$I$42,2,FALSE),VLOOKUP(N$1,'40Trips'!$A$3:$I$42,2,FALSE))&lt;='40Trips'!$K$16,$A20&lt;&gt;N$1,gamma!N20=1),(VLOOKUP(N$1,'40Trips'!$A$3:$I$42,8,FALSE))-(VLOOKUP($A20,'40Trips'!$A$3:$I$42,9,FALSE)),0)</f>
        <v>0</v>
      </c>
      <c r="O20">
        <f>IF(AND(SUM(VLOOKUP($A20,'40Trips'!$A$3:$I$42,2,FALSE),VLOOKUP(O$1,'40Trips'!$A$3:$I$42,2,FALSE))&lt;='40Trips'!$K$16,$A20&lt;&gt;O$1,gamma!O20=1),(VLOOKUP(O$1,'40Trips'!$A$3:$I$42,8,FALSE))-(VLOOKUP($A20,'40Trips'!$A$3:$I$42,9,FALSE)),0)</f>
        <v>0</v>
      </c>
      <c r="P20">
        <f>IF(AND(SUM(VLOOKUP($A20,'40Trips'!$A$3:$I$42,2,FALSE),VLOOKUP(P$1,'40Trips'!$A$3:$I$42,2,FALSE))&lt;='40Trips'!$K$16,$A20&lt;&gt;P$1,gamma!P20=1),(VLOOKUP(P$1,'40Trips'!$A$3:$I$42,8,FALSE))-(VLOOKUP($A20,'40Trips'!$A$3:$I$42,9,FALSE)),0)</f>
        <v>0</v>
      </c>
      <c r="Q20">
        <f>IF(AND(SUM(VLOOKUP($A20,'40Trips'!$A$3:$I$42,2,FALSE),VLOOKUP(Q$1,'40Trips'!$A$3:$I$42,2,FALSE))&lt;='40Trips'!$K$16,$A20&lt;&gt;Q$1,gamma!Q20=1),(VLOOKUP(Q$1,'40Trips'!$A$3:$I$42,8,FALSE))-(VLOOKUP($A20,'40Trips'!$A$3:$I$42,9,FALSE)),0)</f>
        <v>75</v>
      </c>
      <c r="R20">
        <f>IF(AND(SUM(VLOOKUP($A20,'40Trips'!$A$3:$I$42,2,FALSE),VLOOKUP(R$1,'40Trips'!$A$3:$I$42,2,FALSE))&lt;='40Trips'!$K$16,$A20&lt;&gt;R$1,gamma!R20=1),(VLOOKUP(R$1,'40Trips'!$A$3:$I$42,8,FALSE))-(VLOOKUP($A20,'40Trips'!$A$3:$I$42,9,FALSE)),0)</f>
        <v>165</v>
      </c>
      <c r="S20">
        <f>IF(AND(SUM(VLOOKUP($A20,'40Trips'!$A$3:$I$42,2,FALSE),VLOOKUP(S$1,'40Trips'!$A$3:$I$42,2,FALSE))&lt;='40Trips'!$K$16,$A20&lt;&gt;S$1,gamma!S20=1),(VLOOKUP(S$1,'40Trips'!$A$3:$I$42,8,FALSE))-(VLOOKUP($A20,'40Trips'!$A$3:$I$42,9,FALSE)),0)</f>
        <v>0</v>
      </c>
      <c r="T20">
        <f>IF(AND(SUM(VLOOKUP($A20,'40Trips'!$A$3:$I$42,2,FALSE),VLOOKUP(T$1,'40Trips'!$A$3:$I$42,2,FALSE))&lt;='40Trips'!$K$16,$A20&lt;&gt;T$1,gamma!T20=1),(VLOOKUP(T$1,'40Trips'!$A$3:$I$42,8,FALSE))-(VLOOKUP($A20,'40Trips'!$A$3:$I$42,9,FALSE)),0)</f>
        <v>0</v>
      </c>
      <c r="U20">
        <f>IF(AND(SUM(VLOOKUP($A20,'40Trips'!$A$3:$I$42,2,FALSE),VLOOKUP(U$1,'40Trips'!$A$3:$I$42,2,FALSE))&lt;='40Trips'!$K$16,$A20&lt;&gt;U$1,gamma!U20=1),(VLOOKUP(U$1,'40Trips'!$A$3:$I$42,8,FALSE))-(VLOOKUP($A20,'40Trips'!$A$3:$I$42,9,FALSE)),0)</f>
        <v>65</v>
      </c>
      <c r="V20">
        <f>IF(AND(SUM(VLOOKUP($A20,'40Trips'!$A$3:$I$42,2,FALSE),VLOOKUP(V$1,'40Trips'!$A$3:$I$42,2,FALSE))&lt;='40Trips'!$K$16,$A20&lt;&gt;V$1,gamma!V20=1),(VLOOKUP(V$1,'40Trips'!$A$3:$I$42,8,FALSE))-(VLOOKUP($A20,'40Trips'!$A$3:$I$42,9,FALSE)),0)</f>
        <v>215</v>
      </c>
      <c r="W20">
        <f>IF(AND(SUM(VLOOKUP($A20,'40Trips'!$A$3:$I$42,2,FALSE),VLOOKUP(W$1,'40Trips'!$A$3:$I$42,2,FALSE))&lt;='40Trips'!$K$16,$A20&lt;&gt;W$1,gamma!W20=1),(VLOOKUP(W$1,'40Trips'!$A$3:$I$42,8,FALSE))-(VLOOKUP($A20,'40Trips'!$A$3:$I$42,9,FALSE)),0)</f>
        <v>0</v>
      </c>
      <c r="X20">
        <f>IF(AND(SUM(VLOOKUP($A20,'40Trips'!$A$3:$I$42,2,FALSE),VLOOKUP(X$1,'40Trips'!$A$3:$I$42,2,FALSE))&lt;='40Trips'!$K$16,$A20&lt;&gt;X$1,gamma!X20=1),(VLOOKUP(X$1,'40Trips'!$A$3:$I$42,8,FALSE))-(VLOOKUP($A20,'40Trips'!$A$3:$I$42,9,FALSE)),0)</f>
        <v>0</v>
      </c>
      <c r="Y20">
        <f>IF(AND(SUM(VLOOKUP($A20,'40Trips'!$A$3:$I$42,2,FALSE),VLOOKUP(Y$1,'40Trips'!$A$3:$I$42,2,FALSE))&lt;='40Trips'!$K$16,$A20&lt;&gt;Y$1,gamma!Y20=1),(VLOOKUP(Y$1,'40Trips'!$A$3:$I$42,8,FALSE))-(VLOOKUP($A20,'40Trips'!$A$3:$I$42,9,FALSE)),0)</f>
        <v>125</v>
      </c>
      <c r="Z20">
        <f>IF(AND(SUM(VLOOKUP($A20,'40Trips'!$A$3:$I$42,2,FALSE),VLOOKUP(Z$1,'40Trips'!$A$3:$I$42,2,FALSE))&lt;='40Trips'!$K$16,$A20&lt;&gt;Z$1,gamma!Z20=1),(VLOOKUP(Z$1,'40Trips'!$A$3:$I$42,8,FALSE))-(VLOOKUP($A20,'40Trips'!$A$3:$I$42,9,FALSE)),0)</f>
        <v>185</v>
      </c>
      <c r="AA20">
        <f>IF(AND(SUM(VLOOKUP($A20,'40Trips'!$A$3:$I$42,2,FALSE),VLOOKUP(AA$1,'40Trips'!$A$3:$I$42,2,FALSE))&lt;='40Trips'!$K$16,$A20&lt;&gt;AA$1,gamma!AA20=1),(VLOOKUP(AA$1,'40Trips'!$A$3:$I$42,8,FALSE))-(VLOOKUP($A20,'40Trips'!$A$3:$I$42,9,FALSE)),0)</f>
        <v>0</v>
      </c>
      <c r="AB20">
        <f>IF(AND(SUM(VLOOKUP($A20,'40Trips'!$A$3:$I$42,2,FALSE),VLOOKUP(AB$1,'40Trips'!$A$3:$I$42,2,FALSE))&lt;='40Trips'!$K$16,$A20&lt;&gt;AB$1,gamma!AB20=1),(VLOOKUP(AB$1,'40Trips'!$A$3:$I$42,8,FALSE))-(VLOOKUP($A20,'40Trips'!$A$3:$I$42,9,FALSE)),0)</f>
        <v>0</v>
      </c>
      <c r="AC20">
        <f>IF(AND(SUM(VLOOKUP($A20,'40Trips'!$A$3:$I$42,2,FALSE),VLOOKUP(AC$1,'40Trips'!$A$3:$I$42,2,FALSE))&lt;='40Trips'!$K$16,$A20&lt;&gt;AC$1,gamma!AC20=1),(VLOOKUP(AC$1,'40Trips'!$A$3:$I$42,8,FALSE))-(VLOOKUP($A20,'40Trips'!$A$3:$I$42,9,FALSE)),0)</f>
        <v>165</v>
      </c>
      <c r="AD20">
        <f>IF(AND(SUM(VLOOKUP($A20,'40Trips'!$A$3:$I$42,2,FALSE),VLOOKUP(AD$1,'40Trips'!$A$3:$I$42,2,FALSE))&lt;='40Trips'!$K$16,$A20&lt;&gt;AD$1,gamma!AD20=1),(VLOOKUP(AD$1,'40Trips'!$A$3:$I$42,8,FALSE))-(VLOOKUP($A20,'40Trips'!$A$3:$I$42,9,FALSE)),0)</f>
        <v>215</v>
      </c>
      <c r="AE20">
        <f>IF(AND(SUM(VLOOKUP($A20,'40Trips'!$A$3:$I$42,2,FALSE),VLOOKUP(AE$1,'40Trips'!$A$3:$I$42,2,FALSE))&lt;='40Trips'!$K$16,$A20&lt;&gt;AE$1,gamma!AE20=1),(VLOOKUP(AE$1,'40Trips'!$A$3:$I$42,8,FALSE))-(VLOOKUP($A20,'40Trips'!$A$3:$I$42,9,FALSE)),0)</f>
        <v>0</v>
      </c>
      <c r="AF20">
        <f>IF(AND(SUM(VLOOKUP($A20,'40Trips'!$A$3:$I$42,2,FALSE),VLOOKUP(AF$1,'40Trips'!$A$3:$I$42,2,FALSE))&lt;='40Trips'!$K$16,$A20&lt;&gt;AF$1,gamma!AF20=1),(VLOOKUP(AF$1,'40Trips'!$A$3:$I$42,8,FALSE))-(VLOOKUP($A20,'40Trips'!$A$3:$I$42,9,FALSE)),0)</f>
        <v>0</v>
      </c>
      <c r="AG20">
        <f>IF(AND(SUM(VLOOKUP($A20,'40Trips'!$A$3:$I$42,2,FALSE),VLOOKUP(AG$1,'40Trips'!$A$3:$I$42,2,FALSE))&lt;='40Trips'!$K$16,$A20&lt;&gt;AG$1,gamma!AG20=1),(VLOOKUP(AG$1,'40Trips'!$A$3:$I$42,8,FALSE))-(VLOOKUP($A20,'40Trips'!$A$3:$I$42,9,FALSE)),0)</f>
        <v>0</v>
      </c>
      <c r="AH20">
        <f>IF(AND(SUM(VLOOKUP($A20,'40Trips'!$A$3:$I$42,2,FALSE),VLOOKUP(AH$1,'40Trips'!$A$3:$I$42,2,FALSE))&lt;='40Trips'!$K$16,$A20&lt;&gt;AH$1,gamma!AH20=1),(VLOOKUP(AH$1,'40Trips'!$A$3:$I$42,8,FALSE))-(VLOOKUP($A20,'40Trips'!$A$3:$I$42,9,FALSE)),0)</f>
        <v>30</v>
      </c>
      <c r="AI20">
        <f>IF(AND(SUM(VLOOKUP($A20,'40Trips'!$A$3:$I$42,2,FALSE),VLOOKUP(AI$1,'40Trips'!$A$3:$I$42,2,FALSE))&lt;='40Trips'!$K$16,$A20&lt;&gt;AI$1,gamma!AI20=1),(VLOOKUP(AI$1,'40Trips'!$A$3:$I$42,8,FALSE))-(VLOOKUP($A20,'40Trips'!$A$3:$I$42,9,FALSE)),0)</f>
        <v>0</v>
      </c>
      <c r="AJ20">
        <f>IF(AND(SUM(VLOOKUP($A20,'40Trips'!$A$3:$I$42,2,FALSE),VLOOKUP(AJ$1,'40Trips'!$A$3:$I$42,2,FALSE))&lt;='40Trips'!$K$16,$A20&lt;&gt;AJ$1,gamma!AJ20=1),(VLOOKUP(AJ$1,'40Trips'!$A$3:$I$42,8,FALSE))-(VLOOKUP($A20,'40Trips'!$A$3:$I$42,9,FALSE)),0)</f>
        <v>15</v>
      </c>
      <c r="AK20">
        <f>IF(AND(SUM(VLOOKUP($A20,'40Trips'!$A$3:$I$42,2,FALSE),VLOOKUP(AK$1,'40Trips'!$A$3:$I$42,2,FALSE))&lt;='40Trips'!$K$16,$A20&lt;&gt;AK$1,gamma!AK20=1),(VLOOKUP(AK$1,'40Trips'!$A$3:$I$42,8,FALSE))-(VLOOKUP($A20,'40Trips'!$A$3:$I$42,9,FALSE)),0)</f>
        <v>65</v>
      </c>
      <c r="AL20">
        <f>IF(AND(SUM(VLOOKUP($A20,'40Trips'!$A$3:$I$42,2,FALSE),VLOOKUP(AL$1,'40Trips'!$A$3:$I$42,2,FALSE))&lt;='40Trips'!$K$16,$A20&lt;&gt;AL$1,gamma!AL20=1),(VLOOKUP(AL$1,'40Trips'!$A$3:$I$42,8,FALSE))-(VLOOKUP($A20,'40Trips'!$A$3:$I$42,9,FALSE)),0)</f>
        <v>265</v>
      </c>
      <c r="AM20">
        <f>IF(AND(SUM(VLOOKUP($A20,'40Trips'!$A$3:$I$42,2,FALSE),VLOOKUP(AM$1,'40Trips'!$A$3:$I$42,2,FALSE))&lt;='40Trips'!$K$16,$A20&lt;&gt;AM$1,gamma!AM20=1),(VLOOKUP(AM$1,'40Trips'!$A$3:$I$42,8,FALSE))-(VLOOKUP($A20,'40Trips'!$A$3:$I$42,9,FALSE)),0)</f>
        <v>0</v>
      </c>
      <c r="AN20">
        <f>IF(AND(SUM(VLOOKUP($A20,'40Trips'!$A$3:$I$42,2,FALSE),VLOOKUP(AN$1,'40Trips'!$A$3:$I$42,2,FALSE))&lt;='40Trips'!$K$16,$A20&lt;&gt;AN$1,gamma!AN20=1),(VLOOKUP(AN$1,'40Trips'!$A$3:$I$42,8,FALSE))-(VLOOKUP($A20,'40Trips'!$A$3:$I$42,9,FALSE)),0)</f>
        <v>30</v>
      </c>
      <c r="AO20">
        <f>IF(AND(SUM(VLOOKUP($A20,'40Trips'!$A$3:$I$42,2,FALSE),VLOOKUP(AO$1,'40Trips'!$A$3:$I$42,2,FALSE))&lt;='40Trips'!$K$16,$A20&lt;&gt;AO$1,gamma!AO20=1),(VLOOKUP(AO$1,'40Trips'!$A$3:$I$42,8,FALSE))-(VLOOKUP($A20,'40Trips'!$A$3:$I$42,9,FALSE)),0)</f>
        <v>45</v>
      </c>
      <c r="AP20">
        <f>IF(AND(SUM(VLOOKUP($A20,'40Trips'!$A$3:$I$42,2,FALSE),VLOOKUP(AP$1,'40Trips'!$A$3:$I$42,2,FALSE))&lt;='40Trips'!$K$16,$A20&lt;&gt;AP$1,gamma!AP20=1),(VLOOKUP(AP$1,'40Trips'!$A$3:$I$42,8,FALSE))-(VLOOKUP($A20,'40Trips'!$A$3:$I$42,9,FALSE)),0)</f>
        <v>230</v>
      </c>
    </row>
    <row r="21" spans="1:42" x14ac:dyDescent="0.25">
      <c r="A21" t="s">
        <v>77</v>
      </c>
      <c r="B21">
        <v>0</v>
      </c>
      <c r="C21">
        <f>IF(AND(SUM(VLOOKUP($A21,'40Trips'!$A$3:$I$42,2,FALSE),VLOOKUP(C$1,'40Trips'!$A$3:$I$42,2,FALSE))&lt;='40Trips'!$K$16,$A21&lt;&gt;C$1,gamma!C21=1),(VLOOKUP(C$1,'40Trips'!$A$3:$I$42,8,FALSE))-(VLOOKUP($A21,'40Trips'!$A$3:$I$42,9,FALSE)),0)</f>
        <v>0</v>
      </c>
      <c r="D21">
        <f>IF(AND(SUM(VLOOKUP($A21,'40Trips'!$A$3:$I$42,2,FALSE),VLOOKUP(D$1,'40Trips'!$A$3:$I$42,2,FALSE))&lt;='40Trips'!$K$16,$A21&lt;&gt;D$1,gamma!D21=1),(VLOOKUP(D$1,'40Trips'!$A$3:$I$42,8,FALSE))-(VLOOKUP($A21,'40Trips'!$A$3:$I$42,9,FALSE)),0)</f>
        <v>0</v>
      </c>
      <c r="E21">
        <f>IF(AND(SUM(VLOOKUP($A21,'40Trips'!$A$3:$I$42,2,FALSE),VLOOKUP(E$1,'40Trips'!$A$3:$I$42,2,FALSE))&lt;='40Trips'!$K$16,$A21&lt;&gt;E$1,gamma!E21=1),(VLOOKUP(E$1,'40Trips'!$A$3:$I$42,8,FALSE))-(VLOOKUP($A21,'40Trips'!$A$3:$I$42,9,FALSE)),0)</f>
        <v>0</v>
      </c>
      <c r="F21">
        <f>IF(AND(SUM(VLOOKUP($A21,'40Trips'!$A$3:$I$42,2,FALSE),VLOOKUP(F$1,'40Trips'!$A$3:$I$42,2,FALSE))&lt;='40Trips'!$K$16,$A21&lt;&gt;F$1,gamma!F21=1),(VLOOKUP(F$1,'40Trips'!$A$3:$I$42,8,FALSE))-(VLOOKUP($A21,'40Trips'!$A$3:$I$42,9,FALSE)),0)</f>
        <v>0</v>
      </c>
      <c r="G21">
        <f>IF(AND(SUM(VLOOKUP($A21,'40Trips'!$A$3:$I$42,2,FALSE),VLOOKUP(G$1,'40Trips'!$A$3:$I$42,2,FALSE))&lt;='40Trips'!$K$16,$A21&lt;&gt;G$1,gamma!G21=1),(VLOOKUP(G$1,'40Trips'!$A$3:$I$42,8,FALSE))-(VLOOKUP($A21,'40Trips'!$A$3:$I$42,9,FALSE)),0)</f>
        <v>0</v>
      </c>
      <c r="H21">
        <f>IF(AND(SUM(VLOOKUP($A21,'40Trips'!$A$3:$I$42,2,FALSE),VLOOKUP(H$1,'40Trips'!$A$3:$I$42,2,FALSE))&lt;='40Trips'!$K$16,$A21&lt;&gt;H$1,gamma!H21=1),(VLOOKUP(H$1,'40Trips'!$A$3:$I$42,8,FALSE))-(VLOOKUP($A21,'40Trips'!$A$3:$I$42,9,FALSE)),0)</f>
        <v>0</v>
      </c>
      <c r="I21">
        <f>IF(AND(SUM(VLOOKUP($A21,'40Trips'!$A$3:$I$42,2,FALSE),VLOOKUP(I$1,'40Trips'!$A$3:$I$42,2,FALSE))&lt;='40Trips'!$K$16,$A21&lt;&gt;I$1,gamma!I21=1),(VLOOKUP(I$1,'40Trips'!$A$3:$I$42,8,FALSE))-(VLOOKUP($A21,'40Trips'!$A$3:$I$42,9,FALSE)),0)</f>
        <v>0</v>
      </c>
      <c r="J21">
        <f>IF(AND(SUM(VLOOKUP($A21,'40Trips'!$A$3:$I$42,2,FALSE),VLOOKUP(J$1,'40Trips'!$A$3:$I$42,2,FALSE))&lt;='40Trips'!$K$16,$A21&lt;&gt;J$1,gamma!J21=1),(VLOOKUP(J$1,'40Trips'!$A$3:$I$42,8,FALSE))-(VLOOKUP($A21,'40Trips'!$A$3:$I$42,9,FALSE)),0)</f>
        <v>235</v>
      </c>
      <c r="K21">
        <f>IF(AND(SUM(VLOOKUP($A21,'40Trips'!$A$3:$I$42,2,FALSE),VLOOKUP(K$1,'40Trips'!$A$3:$I$42,2,FALSE))&lt;='40Trips'!$K$16,$A21&lt;&gt;K$1,gamma!K21=1),(VLOOKUP(K$1,'40Trips'!$A$3:$I$42,8,FALSE))-(VLOOKUP($A21,'40Trips'!$A$3:$I$42,9,FALSE)),0)</f>
        <v>0</v>
      </c>
      <c r="L21">
        <f>IF(AND(SUM(VLOOKUP($A21,'40Trips'!$A$3:$I$42,2,FALSE),VLOOKUP(L$1,'40Trips'!$A$3:$I$42,2,FALSE))&lt;='40Trips'!$K$16,$A21&lt;&gt;L$1,gamma!L21=1),(VLOOKUP(L$1,'40Trips'!$A$3:$I$42,8,FALSE))-(VLOOKUP($A21,'40Trips'!$A$3:$I$42,9,FALSE)),0)</f>
        <v>0</v>
      </c>
      <c r="M21">
        <f>IF(AND(SUM(VLOOKUP($A21,'40Trips'!$A$3:$I$42,2,FALSE),VLOOKUP(M$1,'40Trips'!$A$3:$I$42,2,FALSE))&lt;='40Trips'!$K$16,$A21&lt;&gt;M$1,gamma!M21=1),(VLOOKUP(M$1,'40Trips'!$A$3:$I$42,8,FALSE))-(VLOOKUP($A21,'40Trips'!$A$3:$I$42,9,FALSE)),0)</f>
        <v>0</v>
      </c>
      <c r="N21">
        <f>IF(AND(SUM(VLOOKUP($A21,'40Trips'!$A$3:$I$42,2,FALSE),VLOOKUP(N$1,'40Trips'!$A$3:$I$42,2,FALSE))&lt;='40Trips'!$K$16,$A21&lt;&gt;N$1,gamma!N21=1),(VLOOKUP(N$1,'40Trips'!$A$3:$I$42,8,FALSE))-(VLOOKUP($A21,'40Trips'!$A$3:$I$42,9,FALSE)),0)</f>
        <v>0</v>
      </c>
      <c r="O21">
        <f>IF(AND(SUM(VLOOKUP($A21,'40Trips'!$A$3:$I$42,2,FALSE),VLOOKUP(O$1,'40Trips'!$A$3:$I$42,2,FALSE))&lt;='40Trips'!$K$16,$A21&lt;&gt;O$1,gamma!O21=1),(VLOOKUP(O$1,'40Trips'!$A$3:$I$42,8,FALSE))-(VLOOKUP($A21,'40Trips'!$A$3:$I$42,9,FALSE)),0)</f>
        <v>0</v>
      </c>
      <c r="P21">
        <f>IF(AND(SUM(VLOOKUP($A21,'40Trips'!$A$3:$I$42,2,FALSE),VLOOKUP(P$1,'40Trips'!$A$3:$I$42,2,FALSE))&lt;='40Trips'!$K$16,$A21&lt;&gt;P$1,gamma!P21=1),(VLOOKUP(P$1,'40Trips'!$A$3:$I$42,8,FALSE))-(VLOOKUP($A21,'40Trips'!$A$3:$I$42,9,FALSE)),0)</f>
        <v>0</v>
      </c>
      <c r="Q21">
        <f>IF(AND(SUM(VLOOKUP($A21,'40Trips'!$A$3:$I$42,2,FALSE),VLOOKUP(Q$1,'40Trips'!$A$3:$I$42,2,FALSE))&lt;='40Trips'!$K$16,$A21&lt;&gt;Q$1,gamma!Q21=1),(VLOOKUP(Q$1,'40Trips'!$A$3:$I$42,8,FALSE))-(VLOOKUP($A21,'40Trips'!$A$3:$I$42,9,FALSE)),0)</f>
        <v>0</v>
      </c>
      <c r="R21">
        <f>IF(AND(SUM(VLOOKUP($A21,'40Trips'!$A$3:$I$42,2,FALSE),VLOOKUP(R$1,'40Trips'!$A$3:$I$42,2,FALSE))&lt;='40Trips'!$K$16,$A21&lt;&gt;R$1,gamma!R21=1),(VLOOKUP(R$1,'40Trips'!$A$3:$I$42,8,FALSE))-(VLOOKUP($A21,'40Trips'!$A$3:$I$42,9,FALSE)),0)</f>
        <v>0</v>
      </c>
      <c r="S21">
        <f>IF(AND(SUM(VLOOKUP($A21,'40Trips'!$A$3:$I$42,2,FALSE),VLOOKUP(S$1,'40Trips'!$A$3:$I$42,2,FALSE))&lt;='40Trips'!$K$16,$A21&lt;&gt;S$1,gamma!S21=1),(VLOOKUP(S$1,'40Trips'!$A$3:$I$42,8,FALSE))-(VLOOKUP($A21,'40Trips'!$A$3:$I$42,9,FALSE)),0)</f>
        <v>0</v>
      </c>
      <c r="T21">
        <f>IF(AND(SUM(VLOOKUP($A21,'40Trips'!$A$3:$I$42,2,FALSE),VLOOKUP(T$1,'40Trips'!$A$3:$I$42,2,FALSE))&lt;='40Trips'!$K$16,$A21&lt;&gt;T$1,gamma!T21=1),(VLOOKUP(T$1,'40Trips'!$A$3:$I$42,8,FALSE))-(VLOOKUP($A21,'40Trips'!$A$3:$I$42,9,FALSE)),0)</f>
        <v>0</v>
      </c>
      <c r="U21">
        <f>IF(AND(SUM(VLOOKUP($A21,'40Trips'!$A$3:$I$42,2,FALSE),VLOOKUP(U$1,'40Trips'!$A$3:$I$42,2,FALSE))&lt;='40Trips'!$K$16,$A21&lt;&gt;U$1,gamma!U21=1),(VLOOKUP(U$1,'40Trips'!$A$3:$I$42,8,FALSE))-(VLOOKUP($A21,'40Trips'!$A$3:$I$42,9,FALSE)),0)</f>
        <v>0</v>
      </c>
      <c r="V21">
        <f>IF(AND(SUM(VLOOKUP($A21,'40Trips'!$A$3:$I$42,2,FALSE),VLOOKUP(V$1,'40Trips'!$A$3:$I$42,2,FALSE))&lt;='40Trips'!$K$16,$A21&lt;&gt;V$1,gamma!V21=1),(VLOOKUP(V$1,'40Trips'!$A$3:$I$42,8,FALSE))-(VLOOKUP($A21,'40Trips'!$A$3:$I$42,9,FALSE)),0)</f>
        <v>30</v>
      </c>
      <c r="W21">
        <f>IF(AND(SUM(VLOOKUP($A21,'40Trips'!$A$3:$I$42,2,FALSE),VLOOKUP(W$1,'40Trips'!$A$3:$I$42,2,FALSE))&lt;='40Trips'!$K$16,$A21&lt;&gt;W$1,gamma!W21=1),(VLOOKUP(W$1,'40Trips'!$A$3:$I$42,8,FALSE))-(VLOOKUP($A21,'40Trips'!$A$3:$I$42,9,FALSE)),0)</f>
        <v>0</v>
      </c>
      <c r="X21">
        <f>IF(AND(SUM(VLOOKUP($A21,'40Trips'!$A$3:$I$42,2,FALSE),VLOOKUP(X$1,'40Trips'!$A$3:$I$42,2,FALSE))&lt;='40Trips'!$K$16,$A21&lt;&gt;X$1,gamma!X21=1),(VLOOKUP(X$1,'40Trips'!$A$3:$I$42,8,FALSE))-(VLOOKUP($A21,'40Trips'!$A$3:$I$42,9,FALSE)),0)</f>
        <v>0</v>
      </c>
      <c r="Y21">
        <f>IF(AND(SUM(VLOOKUP($A21,'40Trips'!$A$3:$I$42,2,FALSE),VLOOKUP(Y$1,'40Trips'!$A$3:$I$42,2,FALSE))&lt;='40Trips'!$K$16,$A21&lt;&gt;Y$1,gamma!Y21=1),(VLOOKUP(Y$1,'40Trips'!$A$3:$I$42,8,FALSE))-(VLOOKUP($A21,'40Trips'!$A$3:$I$42,9,FALSE)),0)</f>
        <v>0</v>
      </c>
      <c r="Z21">
        <f>IF(AND(SUM(VLOOKUP($A21,'40Trips'!$A$3:$I$42,2,FALSE),VLOOKUP(Z$1,'40Trips'!$A$3:$I$42,2,FALSE))&lt;='40Trips'!$K$16,$A21&lt;&gt;Z$1,gamma!Z21=1),(VLOOKUP(Z$1,'40Trips'!$A$3:$I$42,8,FALSE))-(VLOOKUP($A21,'40Trips'!$A$3:$I$42,9,FALSE)),0)</f>
        <v>0</v>
      </c>
      <c r="AA21">
        <f>IF(AND(SUM(VLOOKUP($A21,'40Trips'!$A$3:$I$42,2,FALSE),VLOOKUP(AA$1,'40Trips'!$A$3:$I$42,2,FALSE))&lt;='40Trips'!$K$16,$A21&lt;&gt;AA$1,gamma!AA21=1),(VLOOKUP(AA$1,'40Trips'!$A$3:$I$42,8,FALSE))-(VLOOKUP($A21,'40Trips'!$A$3:$I$42,9,FALSE)),0)</f>
        <v>0</v>
      </c>
      <c r="AB21">
        <f>IF(AND(SUM(VLOOKUP($A21,'40Trips'!$A$3:$I$42,2,FALSE),VLOOKUP(AB$1,'40Trips'!$A$3:$I$42,2,FALSE))&lt;='40Trips'!$K$16,$A21&lt;&gt;AB$1,gamma!AB21=1),(VLOOKUP(AB$1,'40Trips'!$A$3:$I$42,8,FALSE))-(VLOOKUP($A21,'40Trips'!$A$3:$I$42,9,FALSE)),0)</f>
        <v>0</v>
      </c>
      <c r="AC21">
        <f>IF(AND(SUM(VLOOKUP($A21,'40Trips'!$A$3:$I$42,2,FALSE),VLOOKUP(AC$1,'40Trips'!$A$3:$I$42,2,FALSE))&lt;='40Trips'!$K$16,$A21&lt;&gt;AC$1,gamma!AC21=1),(VLOOKUP(AC$1,'40Trips'!$A$3:$I$42,8,FALSE))-(VLOOKUP($A21,'40Trips'!$A$3:$I$42,9,FALSE)),0)</f>
        <v>0</v>
      </c>
      <c r="AD21">
        <f>IF(AND(SUM(VLOOKUP($A21,'40Trips'!$A$3:$I$42,2,FALSE),VLOOKUP(AD$1,'40Trips'!$A$3:$I$42,2,FALSE))&lt;='40Trips'!$K$16,$A21&lt;&gt;AD$1,gamma!AD21=1),(VLOOKUP(AD$1,'40Trips'!$A$3:$I$42,8,FALSE))-(VLOOKUP($A21,'40Trips'!$A$3:$I$42,9,FALSE)),0)</f>
        <v>30</v>
      </c>
      <c r="AE21">
        <f>IF(AND(SUM(VLOOKUP($A21,'40Trips'!$A$3:$I$42,2,FALSE),VLOOKUP(AE$1,'40Trips'!$A$3:$I$42,2,FALSE))&lt;='40Trips'!$K$16,$A21&lt;&gt;AE$1,gamma!AE21=1),(VLOOKUP(AE$1,'40Trips'!$A$3:$I$42,8,FALSE))-(VLOOKUP($A21,'40Trips'!$A$3:$I$42,9,FALSE)),0)</f>
        <v>0</v>
      </c>
      <c r="AF21">
        <f>IF(AND(SUM(VLOOKUP($A21,'40Trips'!$A$3:$I$42,2,FALSE),VLOOKUP(AF$1,'40Trips'!$A$3:$I$42,2,FALSE))&lt;='40Trips'!$K$16,$A21&lt;&gt;AF$1,gamma!AF21=1),(VLOOKUP(AF$1,'40Trips'!$A$3:$I$42,8,FALSE))-(VLOOKUP($A21,'40Trips'!$A$3:$I$42,9,FALSE)),0)</f>
        <v>0</v>
      </c>
      <c r="AG21">
        <f>IF(AND(SUM(VLOOKUP($A21,'40Trips'!$A$3:$I$42,2,FALSE),VLOOKUP(AG$1,'40Trips'!$A$3:$I$42,2,FALSE))&lt;='40Trips'!$K$16,$A21&lt;&gt;AG$1,gamma!AG21=1),(VLOOKUP(AG$1,'40Trips'!$A$3:$I$42,8,FALSE))-(VLOOKUP($A21,'40Trips'!$A$3:$I$42,9,FALSE)),0)</f>
        <v>0</v>
      </c>
      <c r="AH21">
        <f>IF(AND(SUM(VLOOKUP($A21,'40Trips'!$A$3:$I$42,2,FALSE),VLOOKUP(AH$1,'40Trips'!$A$3:$I$42,2,FALSE))&lt;='40Trips'!$K$16,$A21&lt;&gt;AH$1,gamma!AH21=1),(VLOOKUP(AH$1,'40Trips'!$A$3:$I$42,8,FALSE))-(VLOOKUP($A21,'40Trips'!$A$3:$I$42,9,FALSE)),0)</f>
        <v>0</v>
      </c>
      <c r="AI21">
        <f>IF(AND(SUM(VLOOKUP($A21,'40Trips'!$A$3:$I$42,2,FALSE),VLOOKUP(AI$1,'40Trips'!$A$3:$I$42,2,FALSE))&lt;='40Trips'!$K$16,$A21&lt;&gt;AI$1,gamma!AI21=1),(VLOOKUP(AI$1,'40Trips'!$A$3:$I$42,8,FALSE))-(VLOOKUP($A21,'40Trips'!$A$3:$I$42,9,FALSE)),0)</f>
        <v>0</v>
      </c>
      <c r="AJ21">
        <f>IF(AND(SUM(VLOOKUP($A21,'40Trips'!$A$3:$I$42,2,FALSE),VLOOKUP(AJ$1,'40Trips'!$A$3:$I$42,2,FALSE))&lt;='40Trips'!$K$16,$A21&lt;&gt;AJ$1,gamma!AJ21=1),(VLOOKUP(AJ$1,'40Trips'!$A$3:$I$42,8,FALSE))-(VLOOKUP($A21,'40Trips'!$A$3:$I$42,9,FALSE)),0)</f>
        <v>0</v>
      </c>
      <c r="AK21">
        <f>IF(AND(SUM(VLOOKUP($A21,'40Trips'!$A$3:$I$42,2,FALSE),VLOOKUP(AK$1,'40Trips'!$A$3:$I$42,2,FALSE))&lt;='40Trips'!$K$16,$A21&lt;&gt;AK$1,gamma!AK21=1),(VLOOKUP(AK$1,'40Trips'!$A$3:$I$42,8,FALSE))-(VLOOKUP($A21,'40Trips'!$A$3:$I$42,9,FALSE)),0)</f>
        <v>0</v>
      </c>
      <c r="AL21">
        <f>IF(AND(SUM(VLOOKUP($A21,'40Trips'!$A$3:$I$42,2,FALSE),VLOOKUP(AL$1,'40Trips'!$A$3:$I$42,2,FALSE))&lt;='40Trips'!$K$16,$A21&lt;&gt;AL$1,gamma!AL21=1),(VLOOKUP(AL$1,'40Trips'!$A$3:$I$42,8,FALSE))-(VLOOKUP($A21,'40Trips'!$A$3:$I$42,9,FALSE)),0)</f>
        <v>80</v>
      </c>
      <c r="AM21">
        <f>IF(AND(SUM(VLOOKUP($A21,'40Trips'!$A$3:$I$42,2,FALSE),VLOOKUP(AM$1,'40Trips'!$A$3:$I$42,2,FALSE))&lt;='40Trips'!$K$16,$A21&lt;&gt;AM$1,gamma!AM21=1),(VLOOKUP(AM$1,'40Trips'!$A$3:$I$42,8,FALSE))-(VLOOKUP($A21,'40Trips'!$A$3:$I$42,9,FALSE)),0)</f>
        <v>0</v>
      </c>
      <c r="AN21">
        <f>IF(AND(SUM(VLOOKUP($A21,'40Trips'!$A$3:$I$42,2,FALSE),VLOOKUP(AN$1,'40Trips'!$A$3:$I$42,2,FALSE))&lt;='40Trips'!$K$16,$A21&lt;&gt;AN$1,gamma!AN21=1),(VLOOKUP(AN$1,'40Trips'!$A$3:$I$42,8,FALSE))-(VLOOKUP($A21,'40Trips'!$A$3:$I$42,9,FALSE)),0)</f>
        <v>0</v>
      </c>
      <c r="AO21">
        <f>IF(AND(SUM(VLOOKUP($A21,'40Trips'!$A$3:$I$42,2,FALSE),VLOOKUP(AO$1,'40Trips'!$A$3:$I$42,2,FALSE))&lt;='40Trips'!$K$16,$A21&lt;&gt;AO$1,gamma!AO21=1),(VLOOKUP(AO$1,'40Trips'!$A$3:$I$42,8,FALSE))-(VLOOKUP($A21,'40Trips'!$A$3:$I$42,9,FALSE)),0)</f>
        <v>0</v>
      </c>
      <c r="AP21">
        <f>IF(AND(SUM(VLOOKUP($A21,'40Trips'!$A$3:$I$42,2,FALSE),VLOOKUP(AP$1,'40Trips'!$A$3:$I$42,2,FALSE))&lt;='40Trips'!$K$16,$A21&lt;&gt;AP$1,gamma!AP21=1),(VLOOKUP(AP$1,'40Trips'!$A$3:$I$42,8,FALSE))-(VLOOKUP($A21,'40Trips'!$A$3:$I$42,9,FALSE)),0)</f>
        <v>45</v>
      </c>
    </row>
    <row r="22" spans="1:42" x14ac:dyDescent="0.25">
      <c r="A22" t="s">
        <v>78</v>
      </c>
      <c r="B22">
        <v>0</v>
      </c>
      <c r="C22">
        <f>IF(AND(SUM(VLOOKUP($A22,'40Trips'!$A$3:$I$42,2,FALSE),VLOOKUP(C$1,'40Trips'!$A$3:$I$42,2,FALSE))&lt;='40Trips'!$K$16,$A22&lt;&gt;C$1,gamma!C22=1),(VLOOKUP(C$1,'40Trips'!$A$3:$I$42,8,FALSE))-(VLOOKUP($A22,'40Trips'!$A$3:$I$42,9,FALSE)),0)</f>
        <v>0</v>
      </c>
      <c r="D22">
        <f>IF(AND(SUM(VLOOKUP($A22,'40Trips'!$A$3:$I$42,2,FALSE),VLOOKUP(D$1,'40Trips'!$A$3:$I$42,2,FALSE))&lt;='40Trips'!$K$16,$A22&lt;&gt;D$1,gamma!D22=1),(VLOOKUP(D$1,'40Trips'!$A$3:$I$42,8,FALSE))-(VLOOKUP($A22,'40Trips'!$A$3:$I$42,9,FALSE)),0)</f>
        <v>0</v>
      </c>
      <c r="E22">
        <f>IF(AND(SUM(VLOOKUP($A22,'40Trips'!$A$3:$I$42,2,FALSE),VLOOKUP(E$1,'40Trips'!$A$3:$I$42,2,FALSE))&lt;='40Trips'!$K$16,$A22&lt;&gt;E$1,gamma!E22=1),(VLOOKUP(E$1,'40Trips'!$A$3:$I$42,8,FALSE))-(VLOOKUP($A22,'40Trips'!$A$3:$I$42,9,FALSE)),0)</f>
        <v>0</v>
      </c>
      <c r="F22">
        <f>IF(AND(SUM(VLOOKUP($A22,'40Trips'!$A$3:$I$42,2,FALSE),VLOOKUP(F$1,'40Trips'!$A$3:$I$42,2,FALSE))&lt;='40Trips'!$K$16,$A22&lt;&gt;F$1,gamma!F22=1),(VLOOKUP(F$1,'40Trips'!$A$3:$I$42,8,FALSE))-(VLOOKUP($A22,'40Trips'!$A$3:$I$42,9,FALSE)),0)</f>
        <v>0</v>
      </c>
      <c r="G22">
        <f>IF(AND(SUM(VLOOKUP($A22,'40Trips'!$A$3:$I$42,2,FALSE),VLOOKUP(G$1,'40Trips'!$A$3:$I$42,2,FALSE))&lt;='40Trips'!$K$16,$A22&lt;&gt;G$1,gamma!G22=1),(VLOOKUP(G$1,'40Trips'!$A$3:$I$42,8,FALSE))-(VLOOKUP($A22,'40Trips'!$A$3:$I$42,9,FALSE)),0)</f>
        <v>0</v>
      </c>
      <c r="H22">
        <f>IF(AND(SUM(VLOOKUP($A22,'40Trips'!$A$3:$I$42,2,FALSE),VLOOKUP(H$1,'40Trips'!$A$3:$I$42,2,FALSE))&lt;='40Trips'!$K$16,$A22&lt;&gt;H$1,gamma!H22=1),(VLOOKUP(H$1,'40Trips'!$A$3:$I$42,8,FALSE))-(VLOOKUP($A22,'40Trips'!$A$3:$I$42,9,FALSE)),0)</f>
        <v>0</v>
      </c>
      <c r="I22">
        <f>IF(AND(SUM(VLOOKUP($A22,'40Trips'!$A$3:$I$42,2,FALSE),VLOOKUP(I$1,'40Trips'!$A$3:$I$42,2,FALSE))&lt;='40Trips'!$K$16,$A22&lt;&gt;I$1,gamma!I22=1),(VLOOKUP(I$1,'40Trips'!$A$3:$I$42,8,FALSE))-(VLOOKUP($A22,'40Trips'!$A$3:$I$42,9,FALSE)),0)</f>
        <v>0</v>
      </c>
      <c r="J22">
        <f>IF(AND(SUM(VLOOKUP($A22,'40Trips'!$A$3:$I$42,2,FALSE),VLOOKUP(J$1,'40Trips'!$A$3:$I$42,2,FALSE))&lt;='40Trips'!$K$16,$A22&lt;&gt;J$1,gamma!J22=1),(VLOOKUP(J$1,'40Trips'!$A$3:$I$42,8,FALSE))-(VLOOKUP($A22,'40Trips'!$A$3:$I$42,9,FALSE)),0)</f>
        <v>25</v>
      </c>
      <c r="K22">
        <f>IF(AND(SUM(VLOOKUP($A22,'40Trips'!$A$3:$I$42,2,FALSE),VLOOKUP(K$1,'40Trips'!$A$3:$I$42,2,FALSE))&lt;='40Trips'!$K$16,$A22&lt;&gt;K$1,gamma!K22=1),(VLOOKUP(K$1,'40Trips'!$A$3:$I$42,8,FALSE))-(VLOOKUP($A22,'40Trips'!$A$3:$I$42,9,FALSE)),0)</f>
        <v>0</v>
      </c>
      <c r="L22">
        <f>IF(AND(SUM(VLOOKUP($A22,'40Trips'!$A$3:$I$42,2,FALSE),VLOOKUP(L$1,'40Trips'!$A$3:$I$42,2,FALSE))&lt;='40Trips'!$K$16,$A22&lt;&gt;L$1,gamma!L22=1),(VLOOKUP(L$1,'40Trips'!$A$3:$I$42,8,FALSE))-(VLOOKUP($A22,'40Trips'!$A$3:$I$42,9,FALSE)),0)</f>
        <v>0</v>
      </c>
      <c r="M22">
        <f>IF(AND(SUM(VLOOKUP($A22,'40Trips'!$A$3:$I$42,2,FALSE),VLOOKUP(M$1,'40Trips'!$A$3:$I$42,2,FALSE))&lt;='40Trips'!$K$16,$A22&lt;&gt;M$1,gamma!M22=1),(VLOOKUP(M$1,'40Trips'!$A$3:$I$42,8,FALSE))-(VLOOKUP($A22,'40Trips'!$A$3:$I$42,9,FALSE)),0)</f>
        <v>0</v>
      </c>
      <c r="N22">
        <f>IF(AND(SUM(VLOOKUP($A22,'40Trips'!$A$3:$I$42,2,FALSE),VLOOKUP(N$1,'40Trips'!$A$3:$I$42,2,FALSE))&lt;='40Trips'!$K$16,$A22&lt;&gt;N$1,gamma!N22=1),(VLOOKUP(N$1,'40Trips'!$A$3:$I$42,8,FALSE))-(VLOOKUP($A22,'40Trips'!$A$3:$I$42,9,FALSE)),0)</f>
        <v>0</v>
      </c>
      <c r="O22">
        <f>IF(AND(SUM(VLOOKUP($A22,'40Trips'!$A$3:$I$42,2,FALSE),VLOOKUP(O$1,'40Trips'!$A$3:$I$42,2,FALSE))&lt;='40Trips'!$K$16,$A22&lt;&gt;O$1,gamma!O22=1),(VLOOKUP(O$1,'40Trips'!$A$3:$I$42,8,FALSE))-(VLOOKUP($A22,'40Trips'!$A$3:$I$42,9,FALSE)),0)</f>
        <v>0</v>
      </c>
      <c r="P22">
        <f>IF(AND(SUM(VLOOKUP($A22,'40Trips'!$A$3:$I$42,2,FALSE),VLOOKUP(P$1,'40Trips'!$A$3:$I$42,2,FALSE))&lt;='40Trips'!$K$16,$A22&lt;&gt;P$1,gamma!P22=1),(VLOOKUP(P$1,'40Trips'!$A$3:$I$42,8,FALSE))-(VLOOKUP($A22,'40Trips'!$A$3:$I$42,9,FALSE)),0)</f>
        <v>0</v>
      </c>
      <c r="Q22">
        <f>IF(AND(SUM(VLOOKUP($A22,'40Trips'!$A$3:$I$42,2,FALSE),VLOOKUP(Q$1,'40Trips'!$A$3:$I$42,2,FALSE))&lt;='40Trips'!$K$16,$A22&lt;&gt;Q$1,gamma!Q22=1),(VLOOKUP(Q$1,'40Trips'!$A$3:$I$42,8,FALSE))-(VLOOKUP($A22,'40Trips'!$A$3:$I$42,9,FALSE)),0)</f>
        <v>0</v>
      </c>
      <c r="R22">
        <f>IF(AND(SUM(VLOOKUP($A22,'40Trips'!$A$3:$I$42,2,FALSE),VLOOKUP(R$1,'40Trips'!$A$3:$I$42,2,FALSE))&lt;='40Trips'!$K$16,$A22&lt;&gt;R$1,gamma!R22=1),(VLOOKUP(R$1,'40Trips'!$A$3:$I$42,8,FALSE))-(VLOOKUP($A22,'40Trips'!$A$3:$I$42,9,FALSE)),0)</f>
        <v>0</v>
      </c>
      <c r="S22">
        <f>IF(AND(SUM(VLOOKUP($A22,'40Trips'!$A$3:$I$42,2,FALSE),VLOOKUP(S$1,'40Trips'!$A$3:$I$42,2,FALSE))&lt;='40Trips'!$K$16,$A22&lt;&gt;S$1,gamma!S22=1),(VLOOKUP(S$1,'40Trips'!$A$3:$I$42,8,FALSE))-(VLOOKUP($A22,'40Trips'!$A$3:$I$42,9,FALSE)),0)</f>
        <v>0</v>
      </c>
      <c r="T22">
        <f>IF(AND(SUM(VLOOKUP($A22,'40Trips'!$A$3:$I$42,2,FALSE),VLOOKUP(T$1,'40Trips'!$A$3:$I$42,2,FALSE))&lt;='40Trips'!$K$16,$A22&lt;&gt;T$1,gamma!T22=1),(VLOOKUP(T$1,'40Trips'!$A$3:$I$42,8,FALSE))-(VLOOKUP($A22,'40Trips'!$A$3:$I$42,9,FALSE)),0)</f>
        <v>0</v>
      </c>
      <c r="U22">
        <f>IF(AND(SUM(VLOOKUP($A22,'40Trips'!$A$3:$I$42,2,FALSE),VLOOKUP(U$1,'40Trips'!$A$3:$I$42,2,FALSE))&lt;='40Trips'!$K$16,$A22&lt;&gt;U$1,gamma!U22=1),(VLOOKUP(U$1,'40Trips'!$A$3:$I$42,8,FALSE))-(VLOOKUP($A22,'40Trips'!$A$3:$I$42,9,FALSE)),0)</f>
        <v>0</v>
      </c>
      <c r="V22">
        <f>IF(AND(SUM(VLOOKUP($A22,'40Trips'!$A$3:$I$42,2,FALSE),VLOOKUP(V$1,'40Trips'!$A$3:$I$42,2,FALSE))&lt;='40Trips'!$K$16,$A22&lt;&gt;V$1,gamma!V22=1),(VLOOKUP(V$1,'40Trips'!$A$3:$I$42,8,FALSE))-(VLOOKUP($A22,'40Trips'!$A$3:$I$42,9,FALSE)),0)</f>
        <v>0</v>
      </c>
      <c r="W22">
        <f>IF(AND(SUM(VLOOKUP($A22,'40Trips'!$A$3:$I$42,2,FALSE),VLOOKUP(W$1,'40Trips'!$A$3:$I$42,2,FALSE))&lt;='40Trips'!$K$16,$A22&lt;&gt;W$1,gamma!W22=1),(VLOOKUP(W$1,'40Trips'!$A$3:$I$42,8,FALSE))-(VLOOKUP($A22,'40Trips'!$A$3:$I$42,9,FALSE)),0)</f>
        <v>0</v>
      </c>
      <c r="X22">
        <f>IF(AND(SUM(VLOOKUP($A22,'40Trips'!$A$3:$I$42,2,FALSE),VLOOKUP(X$1,'40Trips'!$A$3:$I$42,2,FALSE))&lt;='40Trips'!$K$16,$A22&lt;&gt;X$1,gamma!X22=1),(VLOOKUP(X$1,'40Trips'!$A$3:$I$42,8,FALSE))-(VLOOKUP($A22,'40Trips'!$A$3:$I$42,9,FALSE)),0)</f>
        <v>0</v>
      </c>
      <c r="Y22">
        <f>IF(AND(SUM(VLOOKUP($A22,'40Trips'!$A$3:$I$42,2,FALSE),VLOOKUP(Y$1,'40Trips'!$A$3:$I$42,2,FALSE))&lt;='40Trips'!$K$16,$A22&lt;&gt;Y$1,gamma!Y22=1),(VLOOKUP(Y$1,'40Trips'!$A$3:$I$42,8,FALSE))-(VLOOKUP($A22,'40Trips'!$A$3:$I$42,9,FALSE)),0)</f>
        <v>0</v>
      </c>
      <c r="Z22">
        <f>IF(AND(SUM(VLOOKUP($A22,'40Trips'!$A$3:$I$42,2,FALSE),VLOOKUP(Z$1,'40Trips'!$A$3:$I$42,2,FALSE))&lt;='40Trips'!$K$16,$A22&lt;&gt;Z$1,gamma!Z22=1),(VLOOKUP(Z$1,'40Trips'!$A$3:$I$42,8,FALSE))-(VLOOKUP($A22,'40Trips'!$A$3:$I$42,9,FALSE)),0)</f>
        <v>0</v>
      </c>
      <c r="AA22">
        <f>IF(AND(SUM(VLOOKUP($A22,'40Trips'!$A$3:$I$42,2,FALSE),VLOOKUP(AA$1,'40Trips'!$A$3:$I$42,2,FALSE))&lt;='40Trips'!$K$16,$A22&lt;&gt;AA$1,gamma!AA22=1),(VLOOKUP(AA$1,'40Trips'!$A$3:$I$42,8,FALSE))-(VLOOKUP($A22,'40Trips'!$A$3:$I$42,9,FALSE)),0)</f>
        <v>0</v>
      </c>
      <c r="AB22">
        <f>IF(AND(SUM(VLOOKUP($A22,'40Trips'!$A$3:$I$42,2,FALSE),VLOOKUP(AB$1,'40Trips'!$A$3:$I$42,2,FALSE))&lt;='40Trips'!$K$16,$A22&lt;&gt;AB$1,gamma!AB22=1),(VLOOKUP(AB$1,'40Trips'!$A$3:$I$42,8,FALSE))-(VLOOKUP($A22,'40Trips'!$A$3:$I$42,9,FALSE)),0)</f>
        <v>0</v>
      </c>
      <c r="AC22">
        <f>IF(AND(SUM(VLOOKUP($A22,'40Trips'!$A$3:$I$42,2,FALSE),VLOOKUP(AC$1,'40Trips'!$A$3:$I$42,2,FALSE))&lt;='40Trips'!$K$16,$A22&lt;&gt;AC$1,gamma!AC22=1),(VLOOKUP(AC$1,'40Trips'!$A$3:$I$42,8,FALSE))-(VLOOKUP($A22,'40Trips'!$A$3:$I$42,9,FALSE)),0)</f>
        <v>0</v>
      </c>
      <c r="AD22">
        <f>IF(AND(SUM(VLOOKUP($A22,'40Trips'!$A$3:$I$42,2,FALSE),VLOOKUP(AD$1,'40Trips'!$A$3:$I$42,2,FALSE))&lt;='40Trips'!$K$16,$A22&lt;&gt;AD$1,gamma!AD22=1),(VLOOKUP(AD$1,'40Trips'!$A$3:$I$42,8,FALSE))-(VLOOKUP($A22,'40Trips'!$A$3:$I$42,9,FALSE)),0)</f>
        <v>0</v>
      </c>
      <c r="AE22">
        <f>IF(AND(SUM(VLOOKUP($A22,'40Trips'!$A$3:$I$42,2,FALSE),VLOOKUP(AE$1,'40Trips'!$A$3:$I$42,2,FALSE))&lt;='40Trips'!$K$16,$A22&lt;&gt;AE$1,gamma!AE22=1),(VLOOKUP(AE$1,'40Trips'!$A$3:$I$42,8,FALSE))-(VLOOKUP($A22,'40Trips'!$A$3:$I$42,9,FALSE)),0)</f>
        <v>0</v>
      </c>
      <c r="AF22">
        <f>IF(AND(SUM(VLOOKUP($A22,'40Trips'!$A$3:$I$42,2,FALSE),VLOOKUP(AF$1,'40Trips'!$A$3:$I$42,2,FALSE))&lt;='40Trips'!$K$16,$A22&lt;&gt;AF$1,gamma!AF22=1),(VLOOKUP(AF$1,'40Trips'!$A$3:$I$42,8,FALSE))-(VLOOKUP($A22,'40Trips'!$A$3:$I$42,9,FALSE)),0)</f>
        <v>0</v>
      </c>
      <c r="AG22">
        <f>IF(AND(SUM(VLOOKUP($A22,'40Trips'!$A$3:$I$42,2,FALSE),VLOOKUP(AG$1,'40Trips'!$A$3:$I$42,2,FALSE))&lt;='40Trips'!$K$16,$A22&lt;&gt;AG$1,gamma!AG22=1),(VLOOKUP(AG$1,'40Trips'!$A$3:$I$42,8,FALSE))-(VLOOKUP($A22,'40Trips'!$A$3:$I$42,9,FALSE)),0)</f>
        <v>0</v>
      </c>
      <c r="AH22">
        <f>IF(AND(SUM(VLOOKUP($A22,'40Trips'!$A$3:$I$42,2,FALSE),VLOOKUP(AH$1,'40Trips'!$A$3:$I$42,2,FALSE))&lt;='40Trips'!$K$16,$A22&lt;&gt;AH$1,gamma!AH22=1),(VLOOKUP(AH$1,'40Trips'!$A$3:$I$42,8,FALSE))-(VLOOKUP($A22,'40Trips'!$A$3:$I$42,9,FALSE)),0)</f>
        <v>0</v>
      </c>
      <c r="AI22">
        <f>IF(AND(SUM(VLOOKUP($A22,'40Trips'!$A$3:$I$42,2,FALSE),VLOOKUP(AI$1,'40Trips'!$A$3:$I$42,2,FALSE))&lt;='40Trips'!$K$16,$A22&lt;&gt;AI$1,gamma!AI22=1),(VLOOKUP(AI$1,'40Trips'!$A$3:$I$42,8,FALSE))-(VLOOKUP($A22,'40Trips'!$A$3:$I$42,9,FALSE)),0)</f>
        <v>0</v>
      </c>
      <c r="AJ22">
        <f>IF(AND(SUM(VLOOKUP($A22,'40Trips'!$A$3:$I$42,2,FALSE),VLOOKUP(AJ$1,'40Trips'!$A$3:$I$42,2,FALSE))&lt;='40Trips'!$K$16,$A22&lt;&gt;AJ$1,gamma!AJ22=1),(VLOOKUP(AJ$1,'40Trips'!$A$3:$I$42,8,FALSE))-(VLOOKUP($A22,'40Trips'!$A$3:$I$42,9,FALSE)),0)</f>
        <v>0</v>
      </c>
      <c r="AK22">
        <f>IF(AND(SUM(VLOOKUP($A22,'40Trips'!$A$3:$I$42,2,FALSE),VLOOKUP(AK$1,'40Trips'!$A$3:$I$42,2,FALSE))&lt;='40Trips'!$K$16,$A22&lt;&gt;AK$1,gamma!AK22=1),(VLOOKUP(AK$1,'40Trips'!$A$3:$I$42,8,FALSE))-(VLOOKUP($A22,'40Trips'!$A$3:$I$42,9,FALSE)),0)</f>
        <v>0</v>
      </c>
      <c r="AL22">
        <f>IF(AND(SUM(VLOOKUP($A22,'40Trips'!$A$3:$I$42,2,FALSE),VLOOKUP(AL$1,'40Trips'!$A$3:$I$42,2,FALSE))&lt;='40Trips'!$K$16,$A22&lt;&gt;AL$1,gamma!AL22=1),(VLOOKUP(AL$1,'40Trips'!$A$3:$I$42,8,FALSE))-(VLOOKUP($A22,'40Trips'!$A$3:$I$42,9,FALSE)),0)</f>
        <v>0</v>
      </c>
      <c r="AM22">
        <f>IF(AND(SUM(VLOOKUP($A22,'40Trips'!$A$3:$I$42,2,FALSE),VLOOKUP(AM$1,'40Trips'!$A$3:$I$42,2,FALSE))&lt;='40Trips'!$K$16,$A22&lt;&gt;AM$1,gamma!AM22=1),(VLOOKUP(AM$1,'40Trips'!$A$3:$I$42,8,FALSE))-(VLOOKUP($A22,'40Trips'!$A$3:$I$42,9,FALSE)),0)</f>
        <v>0</v>
      </c>
      <c r="AN22">
        <f>IF(AND(SUM(VLOOKUP($A22,'40Trips'!$A$3:$I$42,2,FALSE),VLOOKUP(AN$1,'40Trips'!$A$3:$I$42,2,FALSE))&lt;='40Trips'!$K$16,$A22&lt;&gt;AN$1,gamma!AN22=1),(VLOOKUP(AN$1,'40Trips'!$A$3:$I$42,8,FALSE))-(VLOOKUP($A22,'40Trips'!$A$3:$I$42,9,FALSE)),0)</f>
        <v>0</v>
      </c>
      <c r="AO22">
        <f>IF(AND(SUM(VLOOKUP($A22,'40Trips'!$A$3:$I$42,2,FALSE),VLOOKUP(AO$1,'40Trips'!$A$3:$I$42,2,FALSE))&lt;='40Trips'!$K$16,$A22&lt;&gt;AO$1,gamma!AO22=1),(VLOOKUP(AO$1,'40Trips'!$A$3:$I$42,8,FALSE))-(VLOOKUP($A22,'40Trips'!$A$3:$I$42,9,FALSE)),0)</f>
        <v>0</v>
      </c>
      <c r="AP22">
        <f>IF(AND(SUM(VLOOKUP($A22,'40Trips'!$A$3:$I$42,2,FALSE),VLOOKUP(AP$1,'40Trips'!$A$3:$I$42,2,FALSE))&lt;='40Trips'!$K$16,$A22&lt;&gt;AP$1,gamma!AP22=1),(VLOOKUP(AP$1,'40Trips'!$A$3:$I$42,8,FALSE))-(VLOOKUP($A22,'40Trips'!$A$3:$I$42,9,FALSE)),0)</f>
        <v>0</v>
      </c>
    </row>
    <row r="23" spans="1:42" x14ac:dyDescent="0.25">
      <c r="A23" t="s">
        <v>34</v>
      </c>
      <c r="B23">
        <v>0</v>
      </c>
      <c r="C23">
        <f>IF(AND(SUM(VLOOKUP($A23,'40Trips'!$A$3:$I$42,2,FALSE),VLOOKUP(C$1,'40Trips'!$A$3:$I$42,2,FALSE))&lt;='40Trips'!$K$16,$A23&lt;&gt;C$1,gamma!C23=1),(VLOOKUP(C$1,'40Trips'!$A$3:$I$42,8,FALSE))-(VLOOKUP($A23,'40Trips'!$A$3:$I$42,9,FALSE)),0)</f>
        <v>0</v>
      </c>
      <c r="D23">
        <f>IF(AND(SUM(VLOOKUP($A23,'40Trips'!$A$3:$I$42,2,FALSE),VLOOKUP(D$1,'40Trips'!$A$3:$I$42,2,FALSE))&lt;='40Trips'!$K$16,$A23&lt;&gt;D$1,gamma!D23=1),(VLOOKUP(D$1,'40Trips'!$A$3:$I$42,8,FALSE))-(VLOOKUP($A23,'40Trips'!$A$3:$I$42,9,FALSE)),0)</f>
        <v>30</v>
      </c>
      <c r="E23">
        <f>IF(AND(SUM(VLOOKUP($A23,'40Trips'!$A$3:$I$42,2,FALSE),VLOOKUP(E$1,'40Trips'!$A$3:$I$42,2,FALSE))&lt;='40Trips'!$K$16,$A23&lt;&gt;E$1,gamma!E23=1),(VLOOKUP(E$1,'40Trips'!$A$3:$I$42,8,FALSE))-(VLOOKUP($A23,'40Trips'!$A$3:$I$42,9,FALSE)),0)</f>
        <v>120</v>
      </c>
      <c r="F23">
        <f>IF(AND(SUM(VLOOKUP($A23,'40Trips'!$A$3:$I$42,2,FALSE),VLOOKUP(F$1,'40Trips'!$A$3:$I$42,2,FALSE))&lt;='40Trips'!$K$16,$A23&lt;&gt;F$1,gamma!F23=1),(VLOOKUP(F$1,'40Trips'!$A$3:$I$42,8,FALSE))-(VLOOKUP($A23,'40Trips'!$A$3:$I$42,9,FALSE)),0)</f>
        <v>210</v>
      </c>
      <c r="G23">
        <f>IF(AND(SUM(VLOOKUP($A23,'40Trips'!$A$3:$I$42,2,FALSE),VLOOKUP(G$1,'40Trips'!$A$3:$I$42,2,FALSE))&lt;='40Trips'!$K$16,$A23&lt;&gt;G$1,gamma!G23=1),(VLOOKUP(G$1,'40Trips'!$A$3:$I$42,8,FALSE))-(VLOOKUP($A23,'40Trips'!$A$3:$I$42,9,FALSE)),0)</f>
        <v>0</v>
      </c>
      <c r="H23">
        <f>IF(AND(SUM(VLOOKUP($A23,'40Trips'!$A$3:$I$42,2,FALSE),VLOOKUP(H$1,'40Trips'!$A$3:$I$42,2,FALSE))&lt;='40Trips'!$K$16,$A23&lt;&gt;H$1,gamma!H23=1),(VLOOKUP(H$1,'40Trips'!$A$3:$I$42,8,FALSE))-(VLOOKUP($A23,'40Trips'!$A$3:$I$42,9,FALSE)),0)</f>
        <v>0</v>
      </c>
      <c r="I23">
        <f>IF(AND(SUM(VLOOKUP($A23,'40Trips'!$A$3:$I$42,2,FALSE),VLOOKUP(I$1,'40Trips'!$A$3:$I$42,2,FALSE))&lt;='40Trips'!$K$16,$A23&lt;&gt;I$1,gamma!I23=1),(VLOOKUP(I$1,'40Trips'!$A$3:$I$42,8,FALSE))-(VLOOKUP($A23,'40Trips'!$A$3:$I$42,9,FALSE)),0)</f>
        <v>85</v>
      </c>
      <c r="J23">
        <f>IF(AND(SUM(VLOOKUP($A23,'40Trips'!$A$3:$I$42,2,FALSE),VLOOKUP(J$1,'40Trips'!$A$3:$I$42,2,FALSE))&lt;='40Trips'!$K$16,$A23&lt;&gt;J$1,gamma!J23=1),(VLOOKUP(J$1,'40Trips'!$A$3:$I$42,8,FALSE))-(VLOOKUP($A23,'40Trips'!$A$3:$I$42,9,FALSE)),0)</f>
        <v>445</v>
      </c>
      <c r="K23">
        <f>IF(AND(SUM(VLOOKUP($A23,'40Trips'!$A$3:$I$42,2,FALSE),VLOOKUP(K$1,'40Trips'!$A$3:$I$42,2,FALSE))&lt;='40Trips'!$K$16,$A23&lt;&gt;K$1,gamma!K23=1),(VLOOKUP(K$1,'40Trips'!$A$3:$I$42,8,FALSE))-(VLOOKUP($A23,'40Trips'!$A$3:$I$42,9,FALSE)),0)</f>
        <v>0</v>
      </c>
      <c r="L23">
        <f>IF(AND(SUM(VLOOKUP($A23,'40Trips'!$A$3:$I$42,2,FALSE),VLOOKUP(L$1,'40Trips'!$A$3:$I$42,2,FALSE))&lt;='40Trips'!$K$16,$A23&lt;&gt;L$1,gamma!L23=1),(VLOOKUP(L$1,'40Trips'!$A$3:$I$42,8,FALSE))-(VLOOKUP($A23,'40Trips'!$A$3:$I$42,9,FALSE)),0)</f>
        <v>0</v>
      </c>
      <c r="M23">
        <f>IF(AND(SUM(VLOOKUP($A23,'40Trips'!$A$3:$I$42,2,FALSE),VLOOKUP(M$1,'40Trips'!$A$3:$I$42,2,FALSE))&lt;='40Trips'!$K$16,$A23&lt;&gt;M$1,gamma!M23=1),(VLOOKUP(M$1,'40Trips'!$A$3:$I$42,8,FALSE))-(VLOOKUP($A23,'40Trips'!$A$3:$I$42,9,FALSE)),0)</f>
        <v>80</v>
      </c>
      <c r="N23">
        <f>IF(AND(SUM(VLOOKUP($A23,'40Trips'!$A$3:$I$42,2,FALSE),VLOOKUP(N$1,'40Trips'!$A$3:$I$42,2,FALSE))&lt;='40Trips'!$K$16,$A23&lt;&gt;N$1,gamma!N23=1),(VLOOKUP(N$1,'40Trips'!$A$3:$I$42,8,FALSE))-(VLOOKUP($A23,'40Trips'!$A$3:$I$42,9,FALSE)),0)</f>
        <v>0</v>
      </c>
      <c r="O23">
        <f>IF(AND(SUM(VLOOKUP($A23,'40Trips'!$A$3:$I$42,2,FALSE),VLOOKUP(O$1,'40Trips'!$A$3:$I$42,2,FALSE))&lt;='40Trips'!$K$16,$A23&lt;&gt;O$1,gamma!O23=1),(VLOOKUP(O$1,'40Trips'!$A$3:$I$42,8,FALSE))-(VLOOKUP($A23,'40Trips'!$A$3:$I$42,9,FALSE)),0)</f>
        <v>0</v>
      </c>
      <c r="P23">
        <f>IF(AND(SUM(VLOOKUP($A23,'40Trips'!$A$3:$I$42,2,FALSE),VLOOKUP(P$1,'40Trips'!$A$3:$I$42,2,FALSE))&lt;='40Trips'!$K$16,$A23&lt;&gt;P$1,gamma!P23=1),(VLOOKUP(P$1,'40Trips'!$A$3:$I$42,8,FALSE))-(VLOOKUP($A23,'40Trips'!$A$3:$I$42,9,FALSE)),0)</f>
        <v>0</v>
      </c>
      <c r="Q23">
        <f>IF(AND(SUM(VLOOKUP($A23,'40Trips'!$A$3:$I$42,2,FALSE),VLOOKUP(Q$1,'40Trips'!$A$3:$I$42,2,FALSE))&lt;='40Trips'!$K$16,$A23&lt;&gt;Q$1,gamma!Q23=1),(VLOOKUP(Q$1,'40Trips'!$A$3:$I$42,8,FALSE))-(VLOOKUP($A23,'40Trips'!$A$3:$I$42,9,FALSE)),0)</f>
        <v>100</v>
      </c>
      <c r="R23">
        <f>IF(AND(SUM(VLOOKUP($A23,'40Trips'!$A$3:$I$42,2,FALSE),VLOOKUP(R$1,'40Trips'!$A$3:$I$42,2,FALSE))&lt;='40Trips'!$K$16,$A23&lt;&gt;R$1,gamma!R23=1),(VLOOKUP(R$1,'40Trips'!$A$3:$I$42,8,FALSE))-(VLOOKUP($A23,'40Trips'!$A$3:$I$42,9,FALSE)),0)</f>
        <v>190</v>
      </c>
      <c r="S23">
        <f>IF(AND(SUM(VLOOKUP($A23,'40Trips'!$A$3:$I$42,2,FALSE),VLOOKUP(S$1,'40Trips'!$A$3:$I$42,2,FALSE))&lt;='40Trips'!$K$16,$A23&lt;&gt;S$1,gamma!S23=1),(VLOOKUP(S$1,'40Trips'!$A$3:$I$42,8,FALSE))-(VLOOKUP($A23,'40Trips'!$A$3:$I$42,9,FALSE)),0)</f>
        <v>0</v>
      </c>
      <c r="T23">
        <f>IF(AND(SUM(VLOOKUP($A23,'40Trips'!$A$3:$I$42,2,FALSE),VLOOKUP(T$1,'40Trips'!$A$3:$I$42,2,FALSE))&lt;='40Trips'!$K$16,$A23&lt;&gt;T$1,gamma!T23=1),(VLOOKUP(T$1,'40Trips'!$A$3:$I$42,8,FALSE))-(VLOOKUP($A23,'40Trips'!$A$3:$I$42,9,FALSE)),0)</f>
        <v>0</v>
      </c>
      <c r="U23">
        <f>IF(AND(SUM(VLOOKUP($A23,'40Trips'!$A$3:$I$42,2,FALSE),VLOOKUP(U$1,'40Trips'!$A$3:$I$42,2,FALSE))&lt;='40Trips'!$K$16,$A23&lt;&gt;U$1,gamma!U23=1),(VLOOKUP(U$1,'40Trips'!$A$3:$I$42,8,FALSE))-(VLOOKUP($A23,'40Trips'!$A$3:$I$42,9,FALSE)),0)</f>
        <v>90</v>
      </c>
      <c r="V23">
        <f>IF(AND(SUM(VLOOKUP($A23,'40Trips'!$A$3:$I$42,2,FALSE),VLOOKUP(V$1,'40Trips'!$A$3:$I$42,2,FALSE))&lt;='40Trips'!$K$16,$A23&lt;&gt;V$1,gamma!V23=1),(VLOOKUP(V$1,'40Trips'!$A$3:$I$42,8,FALSE))-(VLOOKUP($A23,'40Trips'!$A$3:$I$42,9,FALSE)),0)</f>
        <v>240</v>
      </c>
      <c r="W23">
        <f>IF(AND(SUM(VLOOKUP($A23,'40Trips'!$A$3:$I$42,2,FALSE),VLOOKUP(W$1,'40Trips'!$A$3:$I$42,2,FALSE))&lt;='40Trips'!$K$16,$A23&lt;&gt;W$1,gamma!W23=1),(VLOOKUP(W$1,'40Trips'!$A$3:$I$42,8,FALSE))-(VLOOKUP($A23,'40Trips'!$A$3:$I$42,9,FALSE)),0)</f>
        <v>0</v>
      </c>
      <c r="X23">
        <f>IF(AND(SUM(VLOOKUP($A23,'40Trips'!$A$3:$I$42,2,FALSE),VLOOKUP(X$1,'40Trips'!$A$3:$I$42,2,FALSE))&lt;='40Trips'!$K$16,$A23&lt;&gt;X$1,gamma!X23=1),(VLOOKUP(X$1,'40Trips'!$A$3:$I$42,8,FALSE))-(VLOOKUP($A23,'40Trips'!$A$3:$I$42,9,FALSE)),0)</f>
        <v>30</v>
      </c>
      <c r="Y23">
        <f>IF(AND(SUM(VLOOKUP($A23,'40Trips'!$A$3:$I$42,2,FALSE),VLOOKUP(Y$1,'40Trips'!$A$3:$I$42,2,FALSE))&lt;='40Trips'!$K$16,$A23&lt;&gt;Y$1,gamma!Y23=1),(VLOOKUP(Y$1,'40Trips'!$A$3:$I$42,8,FALSE))-(VLOOKUP($A23,'40Trips'!$A$3:$I$42,9,FALSE)),0)</f>
        <v>150</v>
      </c>
      <c r="Z23">
        <f>IF(AND(SUM(VLOOKUP($A23,'40Trips'!$A$3:$I$42,2,FALSE),VLOOKUP(Z$1,'40Trips'!$A$3:$I$42,2,FALSE))&lt;='40Trips'!$K$16,$A23&lt;&gt;Z$1,gamma!Z23=1),(VLOOKUP(Z$1,'40Trips'!$A$3:$I$42,8,FALSE))-(VLOOKUP($A23,'40Trips'!$A$3:$I$42,9,FALSE)),0)</f>
        <v>210</v>
      </c>
      <c r="AA23">
        <f>IF(AND(SUM(VLOOKUP($A23,'40Trips'!$A$3:$I$42,2,FALSE),VLOOKUP(AA$1,'40Trips'!$A$3:$I$42,2,FALSE))&lt;='40Trips'!$K$16,$A23&lt;&gt;AA$1,gamma!AA23=1),(VLOOKUP(AA$1,'40Trips'!$A$3:$I$42,8,FALSE))-(VLOOKUP($A23,'40Trips'!$A$3:$I$42,9,FALSE)),0)</f>
        <v>0</v>
      </c>
      <c r="AB23">
        <f>IF(AND(SUM(VLOOKUP($A23,'40Trips'!$A$3:$I$42,2,FALSE),VLOOKUP(AB$1,'40Trips'!$A$3:$I$42,2,FALSE))&lt;='40Trips'!$K$16,$A23&lt;&gt;AB$1,gamma!AB23=1),(VLOOKUP(AB$1,'40Trips'!$A$3:$I$42,8,FALSE))-(VLOOKUP($A23,'40Trips'!$A$3:$I$42,9,FALSE)),0)</f>
        <v>0</v>
      </c>
      <c r="AC23">
        <f>IF(AND(SUM(VLOOKUP($A23,'40Trips'!$A$3:$I$42,2,FALSE),VLOOKUP(AC$1,'40Trips'!$A$3:$I$42,2,FALSE))&lt;='40Trips'!$K$16,$A23&lt;&gt;AC$1,gamma!AC23=1),(VLOOKUP(AC$1,'40Trips'!$A$3:$I$42,8,FALSE))-(VLOOKUP($A23,'40Trips'!$A$3:$I$42,9,FALSE)),0)</f>
        <v>190</v>
      </c>
      <c r="AD23">
        <f>IF(AND(SUM(VLOOKUP($A23,'40Trips'!$A$3:$I$42,2,FALSE),VLOOKUP(AD$1,'40Trips'!$A$3:$I$42,2,FALSE))&lt;='40Trips'!$K$16,$A23&lt;&gt;AD$1,gamma!AD23=1),(VLOOKUP(AD$1,'40Trips'!$A$3:$I$42,8,FALSE))-(VLOOKUP($A23,'40Trips'!$A$3:$I$42,9,FALSE)),0)</f>
        <v>240</v>
      </c>
      <c r="AE23">
        <f>IF(AND(SUM(VLOOKUP($A23,'40Trips'!$A$3:$I$42,2,FALSE),VLOOKUP(AE$1,'40Trips'!$A$3:$I$42,2,FALSE))&lt;='40Trips'!$K$16,$A23&lt;&gt;AE$1,gamma!AE23=1),(VLOOKUP(AE$1,'40Trips'!$A$3:$I$42,8,FALSE))-(VLOOKUP($A23,'40Trips'!$A$3:$I$42,9,FALSE)),0)</f>
        <v>0</v>
      </c>
      <c r="AF23">
        <f>IF(AND(SUM(VLOOKUP($A23,'40Trips'!$A$3:$I$42,2,FALSE),VLOOKUP(AF$1,'40Trips'!$A$3:$I$42,2,FALSE))&lt;='40Trips'!$K$16,$A23&lt;&gt;AF$1,gamma!AF23=1),(VLOOKUP(AF$1,'40Trips'!$A$3:$I$42,8,FALSE))-(VLOOKUP($A23,'40Trips'!$A$3:$I$42,9,FALSE)),0)</f>
        <v>0</v>
      </c>
      <c r="AG23">
        <f>IF(AND(SUM(VLOOKUP($A23,'40Trips'!$A$3:$I$42,2,FALSE),VLOOKUP(AG$1,'40Trips'!$A$3:$I$42,2,FALSE))&lt;='40Trips'!$K$16,$A23&lt;&gt;AG$1,gamma!AG23=1),(VLOOKUP(AG$1,'40Trips'!$A$3:$I$42,8,FALSE))-(VLOOKUP($A23,'40Trips'!$A$3:$I$42,9,FALSE)),0)</f>
        <v>0</v>
      </c>
      <c r="AH23">
        <f>IF(AND(SUM(VLOOKUP($A23,'40Trips'!$A$3:$I$42,2,FALSE),VLOOKUP(AH$1,'40Trips'!$A$3:$I$42,2,FALSE))&lt;='40Trips'!$K$16,$A23&lt;&gt;AH$1,gamma!AH23=1),(VLOOKUP(AH$1,'40Trips'!$A$3:$I$42,8,FALSE))-(VLOOKUP($A23,'40Trips'!$A$3:$I$42,9,FALSE)),0)</f>
        <v>55</v>
      </c>
      <c r="AI23">
        <f>IF(AND(SUM(VLOOKUP($A23,'40Trips'!$A$3:$I$42,2,FALSE),VLOOKUP(AI$1,'40Trips'!$A$3:$I$42,2,FALSE))&lt;='40Trips'!$K$16,$A23&lt;&gt;AI$1,gamma!AI23=1),(VLOOKUP(AI$1,'40Trips'!$A$3:$I$42,8,FALSE))-(VLOOKUP($A23,'40Trips'!$A$3:$I$42,9,FALSE)),0)</f>
        <v>0</v>
      </c>
      <c r="AJ23">
        <f>IF(AND(SUM(VLOOKUP($A23,'40Trips'!$A$3:$I$42,2,FALSE),VLOOKUP(AJ$1,'40Trips'!$A$3:$I$42,2,FALSE))&lt;='40Trips'!$K$16,$A23&lt;&gt;AJ$1,gamma!AJ23=1),(VLOOKUP(AJ$1,'40Trips'!$A$3:$I$42,8,FALSE))-(VLOOKUP($A23,'40Trips'!$A$3:$I$42,9,FALSE)),0)</f>
        <v>40</v>
      </c>
      <c r="AK23">
        <f>IF(AND(SUM(VLOOKUP($A23,'40Trips'!$A$3:$I$42,2,FALSE),VLOOKUP(AK$1,'40Trips'!$A$3:$I$42,2,FALSE))&lt;='40Trips'!$K$16,$A23&lt;&gt;AK$1,gamma!AK23=1),(VLOOKUP(AK$1,'40Trips'!$A$3:$I$42,8,FALSE))-(VLOOKUP($A23,'40Trips'!$A$3:$I$42,9,FALSE)),0)</f>
        <v>90</v>
      </c>
      <c r="AL23">
        <f>IF(AND(SUM(VLOOKUP($A23,'40Trips'!$A$3:$I$42,2,FALSE),VLOOKUP(AL$1,'40Trips'!$A$3:$I$42,2,FALSE))&lt;='40Trips'!$K$16,$A23&lt;&gt;AL$1,gamma!AL23=1),(VLOOKUP(AL$1,'40Trips'!$A$3:$I$42,8,FALSE))-(VLOOKUP($A23,'40Trips'!$A$3:$I$42,9,FALSE)),0)</f>
        <v>290</v>
      </c>
      <c r="AM23">
        <f>IF(AND(SUM(VLOOKUP($A23,'40Trips'!$A$3:$I$42,2,FALSE),VLOOKUP(AM$1,'40Trips'!$A$3:$I$42,2,FALSE))&lt;='40Trips'!$K$16,$A23&lt;&gt;AM$1,gamma!AM23=1),(VLOOKUP(AM$1,'40Trips'!$A$3:$I$42,8,FALSE))-(VLOOKUP($A23,'40Trips'!$A$3:$I$42,9,FALSE)),0)</f>
        <v>0</v>
      </c>
      <c r="AN23">
        <f>IF(AND(SUM(VLOOKUP($A23,'40Trips'!$A$3:$I$42,2,FALSE),VLOOKUP(AN$1,'40Trips'!$A$3:$I$42,2,FALSE))&lt;='40Trips'!$K$16,$A23&lt;&gt;AN$1,gamma!AN23=1),(VLOOKUP(AN$1,'40Trips'!$A$3:$I$42,8,FALSE))-(VLOOKUP($A23,'40Trips'!$A$3:$I$42,9,FALSE)),0)</f>
        <v>55</v>
      </c>
      <c r="AO23">
        <f>IF(AND(SUM(VLOOKUP($A23,'40Trips'!$A$3:$I$42,2,FALSE),VLOOKUP(AO$1,'40Trips'!$A$3:$I$42,2,FALSE))&lt;='40Trips'!$K$16,$A23&lt;&gt;AO$1,gamma!AO23=1),(VLOOKUP(AO$1,'40Trips'!$A$3:$I$42,8,FALSE))-(VLOOKUP($A23,'40Trips'!$A$3:$I$42,9,FALSE)),0)</f>
        <v>70</v>
      </c>
      <c r="AP23">
        <f>IF(AND(SUM(VLOOKUP($A23,'40Trips'!$A$3:$I$42,2,FALSE),VLOOKUP(AP$1,'40Trips'!$A$3:$I$42,2,FALSE))&lt;='40Trips'!$K$16,$A23&lt;&gt;AP$1,gamma!AP23=1),(VLOOKUP(AP$1,'40Trips'!$A$3:$I$42,8,FALSE))-(VLOOKUP($A23,'40Trips'!$A$3:$I$42,9,FALSE)),0)</f>
        <v>255</v>
      </c>
    </row>
    <row r="24" spans="1:42" x14ac:dyDescent="0.25">
      <c r="A24" t="s">
        <v>35</v>
      </c>
      <c r="B24">
        <v>0</v>
      </c>
      <c r="C24">
        <f>IF(AND(SUM(VLOOKUP($A24,'40Trips'!$A$3:$I$42,2,FALSE),VLOOKUP(C$1,'40Trips'!$A$3:$I$42,2,FALSE))&lt;='40Trips'!$K$16,$A24&lt;&gt;C$1,gamma!C24=1),(VLOOKUP(C$1,'40Trips'!$A$3:$I$42,8,FALSE))-(VLOOKUP($A24,'40Trips'!$A$3:$I$42,9,FALSE)),0)</f>
        <v>0</v>
      </c>
      <c r="D24">
        <f>IF(AND(SUM(VLOOKUP($A24,'40Trips'!$A$3:$I$42,2,FALSE),VLOOKUP(D$1,'40Trips'!$A$3:$I$42,2,FALSE))&lt;='40Trips'!$K$16,$A24&lt;&gt;D$1,gamma!D24=1),(VLOOKUP(D$1,'40Trips'!$A$3:$I$42,8,FALSE))-(VLOOKUP($A24,'40Trips'!$A$3:$I$42,9,FALSE)),0)</f>
        <v>0</v>
      </c>
      <c r="E24">
        <f>IF(AND(SUM(VLOOKUP($A24,'40Trips'!$A$3:$I$42,2,FALSE),VLOOKUP(E$1,'40Trips'!$A$3:$I$42,2,FALSE))&lt;='40Trips'!$K$16,$A24&lt;&gt;E$1,gamma!E24=1),(VLOOKUP(E$1,'40Trips'!$A$3:$I$42,8,FALSE))-(VLOOKUP($A24,'40Trips'!$A$3:$I$42,9,FALSE)),0)</f>
        <v>0</v>
      </c>
      <c r="F24">
        <f>IF(AND(SUM(VLOOKUP($A24,'40Trips'!$A$3:$I$42,2,FALSE),VLOOKUP(F$1,'40Trips'!$A$3:$I$42,2,FALSE))&lt;='40Trips'!$K$16,$A24&lt;&gt;F$1,gamma!F24=1),(VLOOKUP(F$1,'40Trips'!$A$3:$I$42,8,FALSE))-(VLOOKUP($A24,'40Trips'!$A$3:$I$42,9,FALSE)),0)</f>
        <v>40</v>
      </c>
      <c r="G24">
        <f>IF(AND(SUM(VLOOKUP($A24,'40Trips'!$A$3:$I$42,2,FALSE),VLOOKUP(G$1,'40Trips'!$A$3:$I$42,2,FALSE))&lt;='40Trips'!$K$16,$A24&lt;&gt;G$1,gamma!G24=1),(VLOOKUP(G$1,'40Trips'!$A$3:$I$42,8,FALSE))-(VLOOKUP($A24,'40Trips'!$A$3:$I$42,9,FALSE)),0)</f>
        <v>0</v>
      </c>
      <c r="H24">
        <f>IF(AND(SUM(VLOOKUP($A24,'40Trips'!$A$3:$I$42,2,FALSE),VLOOKUP(H$1,'40Trips'!$A$3:$I$42,2,FALSE))&lt;='40Trips'!$K$16,$A24&lt;&gt;H$1,gamma!H24=1),(VLOOKUP(H$1,'40Trips'!$A$3:$I$42,8,FALSE))-(VLOOKUP($A24,'40Trips'!$A$3:$I$42,9,FALSE)),0)</f>
        <v>0</v>
      </c>
      <c r="I24">
        <f>IF(AND(SUM(VLOOKUP($A24,'40Trips'!$A$3:$I$42,2,FALSE),VLOOKUP(I$1,'40Trips'!$A$3:$I$42,2,FALSE))&lt;='40Trips'!$K$16,$A24&lt;&gt;I$1,gamma!I24=1),(VLOOKUP(I$1,'40Trips'!$A$3:$I$42,8,FALSE))-(VLOOKUP($A24,'40Trips'!$A$3:$I$42,9,FALSE)),0)</f>
        <v>0</v>
      </c>
      <c r="J24">
        <f>IF(AND(SUM(VLOOKUP($A24,'40Trips'!$A$3:$I$42,2,FALSE),VLOOKUP(J$1,'40Trips'!$A$3:$I$42,2,FALSE))&lt;='40Trips'!$K$16,$A24&lt;&gt;J$1,gamma!J24=1),(VLOOKUP(J$1,'40Trips'!$A$3:$I$42,8,FALSE))-(VLOOKUP($A24,'40Trips'!$A$3:$I$42,9,FALSE)),0)</f>
        <v>275</v>
      </c>
      <c r="K24">
        <f>IF(AND(SUM(VLOOKUP($A24,'40Trips'!$A$3:$I$42,2,FALSE),VLOOKUP(K$1,'40Trips'!$A$3:$I$42,2,FALSE))&lt;='40Trips'!$K$16,$A24&lt;&gt;K$1,gamma!K24=1),(VLOOKUP(K$1,'40Trips'!$A$3:$I$42,8,FALSE))-(VLOOKUP($A24,'40Trips'!$A$3:$I$42,9,FALSE)),0)</f>
        <v>0</v>
      </c>
      <c r="L24">
        <f>IF(AND(SUM(VLOOKUP($A24,'40Trips'!$A$3:$I$42,2,FALSE),VLOOKUP(L$1,'40Trips'!$A$3:$I$42,2,FALSE))&lt;='40Trips'!$K$16,$A24&lt;&gt;L$1,gamma!L24=1),(VLOOKUP(L$1,'40Trips'!$A$3:$I$42,8,FALSE))-(VLOOKUP($A24,'40Trips'!$A$3:$I$42,9,FALSE)),0)</f>
        <v>0</v>
      </c>
      <c r="M24">
        <f>IF(AND(SUM(VLOOKUP($A24,'40Trips'!$A$3:$I$42,2,FALSE),VLOOKUP(M$1,'40Trips'!$A$3:$I$42,2,FALSE))&lt;='40Trips'!$K$16,$A24&lt;&gt;M$1,gamma!M24=1),(VLOOKUP(M$1,'40Trips'!$A$3:$I$42,8,FALSE))-(VLOOKUP($A24,'40Trips'!$A$3:$I$42,9,FALSE)),0)</f>
        <v>0</v>
      </c>
      <c r="N24">
        <f>IF(AND(SUM(VLOOKUP($A24,'40Trips'!$A$3:$I$42,2,FALSE),VLOOKUP(N$1,'40Trips'!$A$3:$I$42,2,FALSE))&lt;='40Trips'!$K$16,$A24&lt;&gt;N$1,gamma!N24=1),(VLOOKUP(N$1,'40Trips'!$A$3:$I$42,8,FALSE))-(VLOOKUP($A24,'40Trips'!$A$3:$I$42,9,FALSE)),0)</f>
        <v>0</v>
      </c>
      <c r="O24">
        <f>IF(AND(SUM(VLOOKUP($A24,'40Trips'!$A$3:$I$42,2,FALSE),VLOOKUP(O$1,'40Trips'!$A$3:$I$42,2,FALSE))&lt;='40Trips'!$K$16,$A24&lt;&gt;O$1,gamma!O24=1),(VLOOKUP(O$1,'40Trips'!$A$3:$I$42,8,FALSE))-(VLOOKUP($A24,'40Trips'!$A$3:$I$42,9,FALSE)),0)</f>
        <v>0</v>
      </c>
      <c r="P24">
        <f>IF(AND(SUM(VLOOKUP($A24,'40Trips'!$A$3:$I$42,2,FALSE),VLOOKUP(P$1,'40Trips'!$A$3:$I$42,2,FALSE))&lt;='40Trips'!$K$16,$A24&lt;&gt;P$1,gamma!P24=1),(VLOOKUP(P$1,'40Trips'!$A$3:$I$42,8,FALSE))-(VLOOKUP($A24,'40Trips'!$A$3:$I$42,9,FALSE)),0)</f>
        <v>0</v>
      </c>
      <c r="Q24">
        <f>IF(AND(SUM(VLOOKUP($A24,'40Trips'!$A$3:$I$42,2,FALSE),VLOOKUP(Q$1,'40Trips'!$A$3:$I$42,2,FALSE))&lt;='40Trips'!$K$16,$A24&lt;&gt;Q$1,gamma!Q24=1),(VLOOKUP(Q$1,'40Trips'!$A$3:$I$42,8,FALSE))-(VLOOKUP($A24,'40Trips'!$A$3:$I$42,9,FALSE)),0)</f>
        <v>0</v>
      </c>
      <c r="R24">
        <f>IF(AND(SUM(VLOOKUP($A24,'40Trips'!$A$3:$I$42,2,FALSE),VLOOKUP(R$1,'40Trips'!$A$3:$I$42,2,FALSE))&lt;='40Trips'!$K$16,$A24&lt;&gt;R$1,gamma!R24=1),(VLOOKUP(R$1,'40Trips'!$A$3:$I$42,8,FALSE))-(VLOOKUP($A24,'40Trips'!$A$3:$I$42,9,FALSE)),0)</f>
        <v>20</v>
      </c>
      <c r="S24">
        <f>IF(AND(SUM(VLOOKUP($A24,'40Trips'!$A$3:$I$42,2,FALSE),VLOOKUP(S$1,'40Trips'!$A$3:$I$42,2,FALSE))&lt;='40Trips'!$K$16,$A24&lt;&gt;S$1,gamma!S24=1),(VLOOKUP(S$1,'40Trips'!$A$3:$I$42,8,FALSE))-(VLOOKUP($A24,'40Trips'!$A$3:$I$42,9,FALSE)),0)</f>
        <v>0</v>
      </c>
      <c r="T24">
        <f>IF(AND(SUM(VLOOKUP($A24,'40Trips'!$A$3:$I$42,2,FALSE),VLOOKUP(T$1,'40Trips'!$A$3:$I$42,2,FALSE))&lt;='40Trips'!$K$16,$A24&lt;&gt;T$1,gamma!T24=1),(VLOOKUP(T$1,'40Trips'!$A$3:$I$42,8,FALSE))-(VLOOKUP($A24,'40Trips'!$A$3:$I$42,9,FALSE)),0)</f>
        <v>0</v>
      </c>
      <c r="U24">
        <f>IF(AND(SUM(VLOOKUP($A24,'40Trips'!$A$3:$I$42,2,FALSE),VLOOKUP(U$1,'40Trips'!$A$3:$I$42,2,FALSE))&lt;='40Trips'!$K$16,$A24&lt;&gt;U$1,gamma!U24=1),(VLOOKUP(U$1,'40Trips'!$A$3:$I$42,8,FALSE))-(VLOOKUP($A24,'40Trips'!$A$3:$I$42,9,FALSE)),0)</f>
        <v>0</v>
      </c>
      <c r="V24">
        <f>IF(AND(SUM(VLOOKUP($A24,'40Trips'!$A$3:$I$42,2,FALSE),VLOOKUP(V$1,'40Trips'!$A$3:$I$42,2,FALSE))&lt;='40Trips'!$K$16,$A24&lt;&gt;V$1,gamma!V24=1),(VLOOKUP(V$1,'40Trips'!$A$3:$I$42,8,FALSE))-(VLOOKUP($A24,'40Trips'!$A$3:$I$42,9,FALSE)),0)</f>
        <v>70</v>
      </c>
      <c r="W24">
        <f>IF(AND(SUM(VLOOKUP($A24,'40Trips'!$A$3:$I$42,2,FALSE),VLOOKUP(W$1,'40Trips'!$A$3:$I$42,2,FALSE))&lt;='40Trips'!$K$16,$A24&lt;&gt;W$1,gamma!W24=1),(VLOOKUP(W$1,'40Trips'!$A$3:$I$42,8,FALSE))-(VLOOKUP($A24,'40Trips'!$A$3:$I$42,9,FALSE)),0)</f>
        <v>0</v>
      </c>
      <c r="X24">
        <f>IF(AND(SUM(VLOOKUP($A24,'40Trips'!$A$3:$I$42,2,FALSE),VLOOKUP(X$1,'40Trips'!$A$3:$I$42,2,FALSE))&lt;='40Trips'!$K$16,$A24&lt;&gt;X$1,gamma!X24=1),(VLOOKUP(X$1,'40Trips'!$A$3:$I$42,8,FALSE))-(VLOOKUP($A24,'40Trips'!$A$3:$I$42,9,FALSE)),0)</f>
        <v>0</v>
      </c>
      <c r="Y24">
        <f>IF(AND(SUM(VLOOKUP($A24,'40Trips'!$A$3:$I$42,2,FALSE),VLOOKUP(Y$1,'40Trips'!$A$3:$I$42,2,FALSE))&lt;='40Trips'!$K$16,$A24&lt;&gt;Y$1,gamma!Y24=1),(VLOOKUP(Y$1,'40Trips'!$A$3:$I$42,8,FALSE))-(VLOOKUP($A24,'40Trips'!$A$3:$I$42,9,FALSE)),0)</f>
        <v>0</v>
      </c>
      <c r="Z24">
        <f>IF(AND(SUM(VLOOKUP($A24,'40Trips'!$A$3:$I$42,2,FALSE),VLOOKUP(Z$1,'40Trips'!$A$3:$I$42,2,FALSE))&lt;='40Trips'!$K$16,$A24&lt;&gt;Z$1,gamma!Z24=1),(VLOOKUP(Z$1,'40Trips'!$A$3:$I$42,8,FALSE))-(VLOOKUP($A24,'40Trips'!$A$3:$I$42,9,FALSE)),0)</f>
        <v>40</v>
      </c>
      <c r="AA24">
        <f>IF(AND(SUM(VLOOKUP($A24,'40Trips'!$A$3:$I$42,2,FALSE),VLOOKUP(AA$1,'40Trips'!$A$3:$I$42,2,FALSE))&lt;='40Trips'!$K$16,$A24&lt;&gt;AA$1,gamma!AA24=1),(VLOOKUP(AA$1,'40Trips'!$A$3:$I$42,8,FALSE))-(VLOOKUP($A24,'40Trips'!$A$3:$I$42,9,FALSE)),0)</f>
        <v>0</v>
      </c>
      <c r="AB24">
        <f>IF(AND(SUM(VLOOKUP($A24,'40Trips'!$A$3:$I$42,2,FALSE),VLOOKUP(AB$1,'40Trips'!$A$3:$I$42,2,FALSE))&lt;='40Trips'!$K$16,$A24&lt;&gt;AB$1,gamma!AB24=1),(VLOOKUP(AB$1,'40Trips'!$A$3:$I$42,8,FALSE))-(VLOOKUP($A24,'40Trips'!$A$3:$I$42,9,FALSE)),0)</f>
        <v>0</v>
      </c>
      <c r="AC24">
        <f>IF(AND(SUM(VLOOKUP($A24,'40Trips'!$A$3:$I$42,2,FALSE),VLOOKUP(AC$1,'40Trips'!$A$3:$I$42,2,FALSE))&lt;='40Trips'!$K$16,$A24&lt;&gt;AC$1,gamma!AC24=1),(VLOOKUP(AC$1,'40Trips'!$A$3:$I$42,8,FALSE))-(VLOOKUP($A24,'40Trips'!$A$3:$I$42,9,FALSE)),0)</f>
        <v>20</v>
      </c>
      <c r="AD24">
        <f>IF(AND(SUM(VLOOKUP($A24,'40Trips'!$A$3:$I$42,2,FALSE),VLOOKUP(AD$1,'40Trips'!$A$3:$I$42,2,FALSE))&lt;='40Trips'!$K$16,$A24&lt;&gt;AD$1,gamma!AD24=1),(VLOOKUP(AD$1,'40Trips'!$A$3:$I$42,8,FALSE))-(VLOOKUP($A24,'40Trips'!$A$3:$I$42,9,FALSE)),0)</f>
        <v>70</v>
      </c>
      <c r="AE24">
        <f>IF(AND(SUM(VLOOKUP($A24,'40Trips'!$A$3:$I$42,2,FALSE),VLOOKUP(AE$1,'40Trips'!$A$3:$I$42,2,FALSE))&lt;='40Trips'!$K$16,$A24&lt;&gt;AE$1,gamma!AE24=1),(VLOOKUP(AE$1,'40Trips'!$A$3:$I$42,8,FALSE))-(VLOOKUP($A24,'40Trips'!$A$3:$I$42,9,FALSE)),0)</f>
        <v>0</v>
      </c>
      <c r="AF24">
        <f>IF(AND(SUM(VLOOKUP($A24,'40Trips'!$A$3:$I$42,2,FALSE),VLOOKUP(AF$1,'40Trips'!$A$3:$I$42,2,FALSE))&lt;='40Trips'!$K$16,$A24&lt;&gt;AF$1,gamma!AF24=1),(VLOOKUP(AF$1,'40Trips'!$A$3:$I$42,8,FALSE))-(VLOOKUP($A24,'40Trips'!$A$3:$I$42,9,FALSE)),0)</f>
        <v>0</v>
      </c>
      <c r="AG24">
        <f>IF(AND(SUM(VLOOKUP($A24,'40Trips'!$A$3:$I$42,2,FALSE),VLOOKUP(AG$1,'40Trips'!$A$3:$I$42,2,FALSE))&lt;='40Trips'!$K$16,$A24&lt;&gt;AG$1,gamma!AG24=1),(VLOOKUP(AG$1,'40Trips'!$A$3:$I$42,8,FALSE))-(VLOOKUP($A24,'40Trips'!$A$3:$I$42,9,FALSE)),0)</f>
        <v>0</v>
      </c>
      <c r="AH24">
        <f>IF(AND(SUM(VLOOKUP($A24,'40Trips'!$A$3:$I$42,2,FALSE),VLOOKUP(AH$1,'40Trips'!$A$3:$I$42,2,FALSE))&lt;='40Trips'!$K$16,$A24&lt;&gt;AH$1,gamma!AH24=1),(VLOOKUP(AH$1,'40Trips'!$A$3:$I$42,8,FALSE))-(VLOOKUP($A24,'40Trips'!$A$3:$I$42,9,FALSE)),0)</f>
        <v>0</v>
      </c>
      <c r="AI24">
        <f>IF(AND(SUM(VLOOKUP($A24,'40Trips'!$A$3:$I$42,2,FALSE),VLOOKUP(AI$1,'40Trips'!$A$3:$I$42,2,FALSE))&lt;='40Trips'!$K$16,$A24&lt;&gt;AI$1,gamma!AI24=1),(VLOOKUP(AI$1,'40Trips'!$A$3:$I$42,8,FALSE))-(VLOOKUP($A24,'40Trips'!$A$3:$I$42,9,FALSE)),0)</f>
        <v>0</v>
      </c>
      <c r="AJ24">
        <f>IF(AND(SUM(VLOOKUP($A24,'40Trips'!$A$3:$I$42,2,FALSE),VLOOKUP(AJ$1,'40Trips'!$A$3:$I$42,2,FALSE))&lt;='40Trips'!$K$16,$A24&lt;&gt;AJ$1,gamma!AJ24=1),(VLOOKUP(AJ$1,'40Trips'!$A$3:$I$42,8,FALSE))-(VLOOKUP($A24,'40Trips'!$A$3:$I$42,9,FALSE)),0)</f>
        <v>0</v>
      </c>
      <c r="AK24">
        <f>IF(AND(SUM(VLOOKUP($A24,'40Trips'!$A$3:$I$42,2,FALSE),VLOOKUP(AK$1,'40Trips'!$A$3:$I$42,2,FALSE))&lt;='40Trips'!$K$16,$A24&lt;&gt;AK$1,gamma!AK24=1),(VLOOKUP(AK$1,'40Trips'!$A$3:$I$42,8,FALSE))-(VLOOKUP($A24,'40Trips'!$A$3:$I$42,9,FALSE)),0)</f>
        <v>0</v>
      </c>
      <c r="AL24">
        <f>IF(AND(SUM(VLOOKUP($A24,'40Trips'!$A$3:$I$42,2,FALSE),VLOOKUP(AL$1,'40Trips'!$A$3:$I$42,2,FALSE))&lt;='40Trips'!$K$16,$A24&lt;&gt;AL$1,gamma!AL24=1),(VLOOKUP(AL$1,'40Trips'!$A$3:$I$42,8,FALSE))-(VLOOKUP($A24,'40Trips'!$A$3:$I$42,9,FALSE)),0)</f>
        <v>120</v>
      </c>
      <c r="AM24">
        <f>IF(AND(SUM(VLOOKUP($A24,'40Trips'!$A$3:$I$42,2,FALSE),VLOOKUP(AM$1,'40Trips'!$A$3:$I$42,2,FALSE))&lt;='40Trips'!$K$16,$A24&lt;&gt;AM$1,gamma!AM24=1),(VLOOKUP(AM$1,'40Trips'!$A$3:$I$42,8,FALSE))-(VLOOKUP($A24,'40Trips'!$A$3:$I$42,9,FALSE)),0)</f>
        <v>0</v>
      </c>
      <c r="AN24">
        <f>IF(AND(SUM(VLOOKUP($A24,'40Trips'!$A$3:$I$42,2,FALSE),VLOOKUP(AN$1,'40Trips'!$A$3:$I$42,2,FALSE))&lt;='40Trips'!$K$16,$A24&lt;&gt;AN$1,gamma!AN24=1),(VLOOKUP(AN$1,'40Trips'!$A$3:$I$42,8,FALSE))-(VLOOKUP($A24,'40Trips'!$A$3:$I$42,9,FALSE)),0)</f>
        <v>0</v>
      </c>
      <c r="AO24">
        <f>IF(AND(SUM(VLOOKUP($A24,'40Trips'!$A$3:$I$42,2,FALSE),VLOOKUP(AO$1,'40Trips'!$A$3:$I$42,2,FALSE))&lt;='40Trips'!$K$16,$A24&lt;&gt;AO$1,gamma!AO24=1),(VLOOKUP(AO$1,'40Trips'!$A$3:$I$42,8,FALSE))-(VLOOKUP($A24,'40Trips'!$A$3:$I$42,9,FALSE)),0)</f>
        <v>0</v>
      </c>
      <c r="AP24">
        <f>IF(AND(SUM(VLOOKUP($A24,'40Trips'!$A$3:$I$42,2,FALSE),VLOOKUP(AP$1,'40Trips'!$A$3:$I$42,2,FALSE))&lt;='40Trips'!$K$16,$A24&lt;&gt;AP$1,gamma!AP24=1),(VLOOKUP(AP$1,'40Trips'!$A$3:$I$42,8,FALSE))-(VLOOKUP($A24,'40Trips'!$A$3:$I$42,9,FALSE)),0)</f>
        <v>85</v>
      </c>
    </row>
    <row r="25" spans="1:42" x14ac:dyDescent="0.25">
      <c r="A25" t="s">
        <v>36</v>
      </c>
      <c r="B25">
        <v>0</v>
      </c>
      <c r="C25">
        <f>IF(AND(SUM(VLOOKUP($A25,'40Trips'!$A$3:$I$42,2,FALSE),VLOOKUP(C$1,'40Trips'!$A$3:$I$42,2,FALSE))&lt;='40Trips'!$K$16,$A25&lt;&gt;C$1,gamma!C25=1),(VLOOKUP(C$1,'40Trips'!$A$3:$I$42,8,FALSE))-(VLOOKUP($A25,'40Trips'!$A$3:$I$42,9,FALSE)),0)</f>
        <v>0</v>
      </c>
      <c r="D25">
        <f>IF(AND(SUM(VLOOKUP($A25,'40Trips'!$A$3:$I$42,2,FALSE),VLOOKUP(D$1,'40Trips'!$A$3:$I$42,2,FALSE))&lt;='40Trips'!$K$16,$A25&lt;&gt;D$1,gamma!D25=1),(VLOOKUP(D$1,'40Trips'!$A$3:$I$42,8,FALSE))-(VLOOKUP($A25,'40Trips'!$A$3:$I$42,9,FALSE)),0)</f>
        <v>0</v>
      </c>
      <c r="E25">
        <f>IF(AND(SUM(VLOOKUP($A25,'40Trips'!$A$3:$I$42,2,FALSE),VLOOKUP(E$1,'40Trips'!$A$3:$I$42,2,FALSE))&lt;='40Trips'!$K$16,$A25&lt;&gt;E$1,gamma!E25=1),(VLOOKUP(E$1,'40Trips'!$A$3:$I$42,8,FALSE))-(VLOOKUP($A25,'40Trips'!$A$3:$I$42,9,FALSE)),0)</f>
        <v>0</v>
      </c>
      <c r="F25">
        <f>IF(AND(SUM(VLOOKUP($A25,'40Trips'!$A$3:$I$42,2,FALSE),VLOOKUP(F$1,'40Trips'!$A$3:$I$42,2,FALSE))&lt;='40Trips'!$K$16,$A25&lt;&gt;F$1,gamma!F25=1),(VLOOKUP(F$1,'40Trips'!$A$3:$I$42,8,FALSE))-(VLOOKUP($A25,'40Trips'!$A$3:$I$42,9,FALSE)),0)</f>
        <v>0</v>
      </c>
      <c r="G25">
        <f>IF(AND(SUM(VLOOKUP($A25,'40Trips'!$A$3:$I$42,2,FALSE),VLOOKUP(G$1,'40Trips'!$A$3:$I$42,2,FALSE))&lt;='40Trips'!$K$16,$A25&lt;&gt;G$1,gamma!G25=1),(VLOOKUP(G$1,'40Trips'!$A$3:$I$42,8,FALSE))-(VLOOKUP($A25,'40Trips'!$A$3:$I$42,9,FALSE)),0)</f>
        <v>0</v>
      </c>
      <c r="H25">
        <f>IF(AND(SUM(VLOOKUP($A25,'40Trips'!$A$3:$I$42,2,FALSE),VLOOKUP(H$1,'40Trips'!$A$3:$I$42,2,FALSE))&lt;='40Trips'!$K$16,$A25&lt;&gt;H$1,gamma!H25=1),(VLOOKUP(H$1,'40Trips'!$A$3:$I$42,8,FALSE))-(VLOOKUP($A25,'40Trips'!$A$3:$I$42,9,FALSE)),0)</f>
        <v>0</v>
      </c>
      <c r="I25">
        <f>IF(AND(SUM(VLOOKUP($A25,'40Trips'!$A$3:$I$42,2,FALSE),VLOOKUP(I$1,'40Trips'!$A$3:$I$42,2,FALSE))&lt;='40Trips'!$K$16,$A25&lt;&gt;I$1,gamma!I25=1),(VLOOKUP(I$1,'40Trips'!$A$3:$I$42,8,FALSE))-(VLOOKUP($A25,'40Trips'!$A$3:$I$42,9,FALSE)),0)</f>
        <v>0</v>
      </c>
      <c r="J25">
        <f>IF(AND(SUM(VLOOKUP($A25,'40Trips'!$A$3:$I$42,2,FALSE),VLOOKUP(J$1,'40Trips'!$A$3:$I$42,2,FALSE))&lt;='40Trips'!$K$16,$A25&lt;&gt;J$1,gamma!J25=1),(VLOOKUP(J$1,'40Trips'!$A$3:$I$42,8,FALSE))-(VLOOKUP($A25,'40Trips'!$A$3:$I$42,9,FALSE)),0)</f>
        <v>155</v>
      </c>
      <c r="K25">
        <f>IF(AND(SUM(VLOOKUP($A25,'40Trips'!$A$3:$I$42,2,FALSE),VLOOKUP(K$1,'40Trips'!$A$3:$I$42,2,FALSE))&lt;='40Trips'!$K$16,$A25&lt;&gt;K$1,gamma!K25=1),(VLOOKUP(K$1,'40Trips'!$A$3:$I$42,8,FALSE))-(VLOOKUP($A25,'40Trips'!$A$3:$I$42,9,FALSE)),0)</f>
        <v>0</v>
      </c>
      <c r="L25">
        <f>IF(AND(SUM(VLOOKUP($A25,'40Trips'!$A$3:$I$42,2,FALSE),VLOOKUP(L$1,'40Trips'!$A$3:$I$42,2,FALSE))&lt;='40Trips'!$K$16,$A25&lt;&gt;L$1,gamma!L25=1),(VLOOKUP(L$1,'40Trips'!$A$3:$I$42,8,FALSE))-(VLOOKUP($A25,'40Trips'!$A$3:$I$42,9,FALSE)),0)</f>
        <v>0</v>
      </c>
      <c r="M25">
        <f>IF(AND(SUM(VLOOKUP($A25,'40Trips'!$A$3:$I$42,2,FALSE),VLOOKUP(M$1,'40Trips'!$A$3:$I$42,2,FALSE))&lt;='40Trips'!$K$16,$A25&lt;&gt;M$1,gamma!M25=1),(VLOOKUP(M$1,'40Trips'!$A$3:$I$42,8,FALSE))-(VLOOKUP($A25,'40Trips'!$A$3:$I$42,9,FALSE)),0)</f>
        <v>0</v>
      </c>
      <c r="N25">
        <f>IF(AND(SUM(VLOOKUP($A25,'40Trips'!$A$3:$I$42,2,FALSE),VLOOKUP(N$1,'40Trips'!$A$3:$I$42,2,FALSE))&lt;='40Trips'!$K$16,$A25&lt;&gt;N$1,gamma!N25=1),(VLOOKUP(N$1,'40Trips'!$A$3:$I$42,8,FALSE))-(VLOOKUP($A25,'40Trips'!$A$3:$I$42,9,FALSE)),0)</f>
        <v>0</v>
      </c>
      <c r="O25">
        <f>IF(AND(SUM(VLOOKUP($A25,'40Trips'!$A$3:$I$42,2,FALSE),VLOOKUP(O$1,'40Trips'!$A$3:$I$42,2,FALSE))&lt;='40Trips'!$K$16,$A25&lt;&gt;O$1,gamma!O25=1),(VLOOKUP(O$1,'40Trips'!$A$3:$I$42,8,FALSE))-(VLOOKUP($A25,'40Trips'!$A$3:$I$42,9,FALSE)),0)</f>
        <v>0</v>
      </c>
      <c r="P25">
        <f>IF(AND(SUM(VLOOKUP($A25,'40Trips'!$A$3:$I$42,2,FALSE),VLOOKUP(P$1,'40Trips'!$A$3:$I$42,2,FALSE))&lt;='40Trips'!$K$16,$A25&lt;&gt;P$1,gamma!P25=1),(VLOOKUP(P$1,'40Trips'!$A$3:$I$42,8,FALSE))-(VLOOKUP($A25,'40Trips'!$A$3:$I$42,9,FALSE)),0)</f>
        <v>0</v>
      </c>
      <c r="Q25">
        <f>IF(AND(SUM(VLOOKUP($A25,'40Trips'!$A$3:$I$42,2,FALSE),VLOOKUP(Q$1,'40Trips'!$A$3:$I$42,2,FALSE))&lt;='40Trips'!$K$16,$A25&lt;&gt;Q$1,gamma!Q25=1),(VLOOKUP(Q$1,'40Trips'!$A$3:$I$42,8,FALSE))-(VLOOKUP($A25,'40Trips'!$A$3:$I$42,9,FALSE)),0)</f>
        <v>0</v>
      </c>
      <c r="R25">
        <f>IF(AND(SUM(VLOOKUP($A25,'40Trips'!$A$3:$I$42,2,FALSE),VLOOKUP(R$1,'40Trips'!$A$3:$I$42,2,FALSE))&lt;='40Trips'!$K$16,$A25&lt;&gt;R$1,gamma!R25=1),(VLOOKUP(R$1,'40Trips'!$A$3:$I$42,8,FALSE))-(VLOOKUP($A25,'40Trips'!$A$3:$I$42,9,FALSE)),0)</f>
        <v>0</v>
      </c>
      <c r="S25">
        <f>IF(AND(SUM(VLOOKUP($A25,'40Trips'!$A$3:$I$42,2,FALSE),VLOOKUP(S$1,'40Trips'!$A$3:$I$42,2,FALSE))&lt;='40Trips'!$K$16,$A25&lt;&gt;S$1,gamma!S25=1),(VLOOKUP(S$1,'40Trips'!$A$3:$I$42,8,FALSE))-(VLOOKUP($A25,'40Trips'!$A$3:$I$42,9,FALSE)),0)</f>
        <v>0</v>
      </c>
      <c r="T25">
        <f>IF(AND(SUM(VLOOKUP($A25,'40Trips'!$A$3:$I$42,2,FALSE),VLOOKUP(T$1,'40Trips'!$A$3:$I$42,2,FALSE))&lt;='40Trips'!$K$16,$A25&lt;&gt;T$1,gamma!T25=1),(VLOOKUP(T$1,'40Trips'!$A$3:$I$42,8,FALSE))-(VLOOKUP($A25,'40Trips'!$A$3:$I$42,9,FALSE)),0)</f>
        <v>0</v>
      </c>
      <c r="U25">
        <f>IF(AND(SUM(VLOOKUP($A25,'40Trips'!$A$3:$I$42,2,FALSE),VLOOKUP(U$1,'40Trips'!$A$3:$I$42,2,FALSE))&lt;='40Trips'!$K$16,$A25&lt;&gt;U$1,gamma!U25=1),(VLOOKUP(U$1,'40Trips'!$A$3:$I$42,8,FALSE))-(VLOOKUP($A25,'40Trips'!$A$3:$I$42,9,FALSE)),0)</f>
        <v>0</v>
      </c>
      <c r="V25">
        <f>IF(AND(SUM(VLOOKUP($A25,'40Trips'!$A$3:$I$42,2,FALSE),VLOOKUP(V$1,'40Trips'!$A$3:$I$42,2,FALSE))&lt;='40Trips'!$K$16,$A25&lt;&gt;V$1,gamma!V25=1),(VLOOKUP(V$1,'40Trips'!$A$3:$I$42,8,FALSE))-(VLOOKUP($A25,'40Trips'!$A$3:$I$42,9,FALSE)),0)</f>
        <v>0</v>
      </c>
      <c r="W25">
        <f>IF(AND(SUM(VLOOKUP($A25,'40Trips'!$A$3:$I$42,2,FALSE),VLOOKUP(W$1,'40Trips'!$A$3:$I$42,2,FALSE))&lt;='40Trips'!$K$16,$A25&lt;&gt;W$1,gamma!W25=1),(VLOOKUP(W$1,'40Trips'!$A$3:$I$42,8,FALSE))-(VLOOKUP($A25,'40Trips'!$A$3:$I$42,9,FALSE)),0)</f>
        <v>0</v>
      </c>
      <c r="X25">
        <f>IF(AND(SUM(VLOOKUP($A25,'40Trips'!$A$3:$I$42,2,FALSE),VLOOKUP(X$1,'40Trips'!$A$3:$I$42,2,FALSE))&lt;='40Trips'!$K$16,$A25&lt;&gt;X$1,gamma!X25=1),(VLOOKUP(X$1,'40Trips'!$A$3:$I$42,8,FALSE))-(VLOOKUP($A25,'40Trips'!$A$3:$I$42,9,FALSE)),0)</f>
        <v>0</v>
      </c>
      <c r="Y25">
        <f>IF(AND(SUM(VLOOKUP($A25,'40Trips'!$A$3:$I$42,2,FALSE),VLOOKUP(Y$1,'40Trips'!$A$3:$I$42,2,FALSE))&lt;='40Trips'!$K$16,$A25&lt;&gt;Y$1,gamma!Y25=1),(VLOOKUP(Y$1,'40Trips'!$A$3:$I$42,8,FALSE))-(VLOOKUP($A25,'40Trips'!$A$3:$I$42,9,FALSE)),0)</f>
        <v>0</v>
      </c>
      <c r="Z25">
        <f>IF(AND(SUM(VLOOKUP($A25,'40Trips'!$A$3:$I$42,2,FALSE),VLOOKUP(Z$1,'40Trips'!$A$3:$I$42,2,FALSE))&lt;='40Trips'!$K$16,$A25&lt;&gt;Z$1,gamma!Z25=1),(VLOOKUP(Z$1,'40Trips'!$A$3:$I$42,8,FALSE))-(VLOOKUP($A25,'40Trips'!$A$3:$I$42,9,FALSE)),0)</f>
        <v>0</v>
      </c>
      <c r="AA25">
        <f>IF(AND(SUM(VLOOKUP($A25,'40Trips'!$A$3:$I$42,2,FALSE),VLOOKUP(AA$1,'40Trips'!$A$3:$I$42,2,FALSE))&lt;='40Trips'!$K$16,$A25&lt;&gt;AA$1,gamma!AA25=1),(VLOOKUP(AA$1,'40Trips'!$A$3:$I$42,8,FALSE))-(VLOOKUP($A25,'40Trips'!$A$3:$I$42,9,FALSE)),0)</f>
        <v>0</v>
      </c>
      <c r="AB25">
        <f>IF(AND(SUM(VLOOKUP($A25,'40Trips'!$A$3:$I$42,2,FALSE),VLOOKUP(AB$1,'40Trips'!$A$3:$I$42,2,FALSE))&lt;='40Trips'!$K$16,$A25&lt;&gt;AB$1,gamma!AB25=1),(VLOOKUP(AB$1,'40Trips'!$A$3:$I$42,8,FALSE))-(VLOOKUP($A25,'40Trips'!$A$3:$I$42,9,FALSE)),0)</f>
        <v>0</v>
      </c>
      <c r="AC25">
        <f>IF(AND(SUM(VLOOKUP($A25,'40Trips'!$A$3:$I$42,2,FALSE),VLOOKUP(AC$1,'40Trips'!$A$3:$I$42,2,FALSE))&lt;='40Trips'!$K$16,$A25&lt;&gt;AC$1,gamma!AC25=1),(VLOOKUP(AC$1,'40Trips'!$A$3:$I$42,8,FALSE))-(VLOOKUP($A25,'40Trips'!$A$3:$I$42,9,FALSE)),0)</f>
        <v>0</v>
      </c>
      <c r="AD25">
        <f>IF(AND(SUM(VLOOKUP($A25,'40Trips'!$A$3:$I$42,2,FALSE),VLOOKUP(AD$1,'40Trips'!$A$3:$I$42,2,FALSE))&lt;='40Trips'!$K$16,$A25&lt;&gt;AD$1,gamma!AD25=1),(VLOOKUP(AD$1,'40Trips'!$A$3:$I$42,8,FALSE))-(VLOOKUP($A25,'40Trips'!$A$3:$I$42,9,FALSE)),0)</f>
        <v>0</v>
      </c>
      <c r="AE25">
        <f>IF(AND(SUM(VLOOKUP($A25,'40Trips'!$A$3:$I$42,2,FALSE),VLOOKUP(AE$1,'40Trips'!$A$3:$I$42,2,FALSE))&lt;='40Trips'!$K$16,$A25&lt;&gt;AE$1,gamma!AE25=1),(VLOOKUP(AE$1,'40Trips'!$A$3:$I$42,8,FALSE))-(VLOOKUP($A25,'40Trips'!$A$3:$I$42,9,FALSE)),0)</f>
        <v>0</v>
      </c>
      <c r="AF25">
        <f>IF(AND(SUM(VLOOKUP($A25,'40Trips'!$A$3:$I$42,2,FALSE),VLOOKUP(AF$1,'40Trips'!$A$3:$I$42,2,FALSE))&lt;='40Trips'!$K$16,$A25&lt;&gt;AF$1,gamma!AF25=1),(VLOOKUP(AF$1,'40Trips'!$A$3:$I$42,8,FALSE))-(VLOOKUP($A25,'40Trips'!$A$3:$I$42,9,FALSE)),0)</f>
        <v>0</v>
      </c>
      <c r="AG25">
        <f>IF(AND(SUM(VLOOKUP($A25,'40Trips'!$A$3:$I$42,2,FALSE),VLOOKUP(AG$1,'40Trips'!$A$3:$I$42,2,FALSE))&lt;='40Trips'!$K$16,$A25&lt;&gt;AG$1,gamma!AG25=1),(VLOOKUP(AG$1,'40Trips'!$A$3:$I$42,8,FALSE))-(VLOOKUP($A25,'40Trips'!$A$3:$I$42,9,FALSE)),0)</f>
        <v>0</v>
      </c>
      <c r="AH25">
        <f>IF(AND(SUM(VLOOKUP($A25,'40Trips'!$A$3:$I$42,2,FALSE),VLOOKUP(AH$1,'40Trips'!$A$3:$I$42,2,FALSE))&lt;='40Trips'!$K$16,$A25&lt;&gt;AH$1,gamma!AH25=1),(VLOOKUP(AH$1,'40Trips'!$A$3:$I$42,8,FALSE))-(VLOOKUP($A25,'40Trips'!$A$3:$I$42,9,FALSE)),0)</f>
        <v>0</v>
      </c>
      <c r="AI25">
        <f>IF(AND(SUM(VLOOKUP($A25,'40Trips'!$A$3:$I$42,2,FALSE),VLOOKUP(AI$1,'40Trips'!$A$3:$I$42,2,FALSE))&lt;='40Trips'!$K$16,$A25&lt;&gt;AI$1,gamma!AI25=1),(VLOOKUP(AI$1,'40Trips'!$A$3:$I$42,8,FALSE))-(VLOOKUP($A25,'40Trips'!$A$3:$I$42,9,FALSE)),0)</f>
        <v>0</v>
      </c>
      <c r="AJ25">
        <f>IF(AND(SUM(VLOOKUP($A25,'40Trips'!$A$3:$I$42,2,FALSE),VLOOKUP(AJ$1,'40Trips'!$A$3:$I$42,2,FALSE))&lt;='40Trips'!$K$16,$A25&lt;&gt;AJ$1,gamma!AJ25=1),(VLOOKUP(AJ$1,'40Trips'!$A$3:$I$42,8,FALSE))-(VLOOKUP($A25,'40Trips'!$A$3:$I$42,9,FALSE)),0)</f>
        <v>0</v>
      </c>
      <c r="AK25">
        <f>IF(AND(SUM(VLOOKUP($A25,'40Trips'!$A$3:$I$42,2,FALSE),VLOOKUP(AK$1,'40Trips'!$A$3:$I$42,2,FALSE))&lt;='40Trips'!$K$16,$A25&lt;&gt;AK$1,gamma!AK25=1),(VLOOKUP(AK$1,'40Trips'!$A$3:$I$42,8,FALSE))-(VLOOKUP($A25,'40Trips'!$A$3:$I$42,9,FALSE)),0)</f>
        <v>0</v>
      </c>
      <c r="AL25">
        <f>IF(AND(SUM(VLOOKUP($A25,'40Trips'!$A$3:$I$42,2,FALSE),VLOOKUP(AL$1,'40Trips'!$A$3:$I$42,2,FALSE))&lt;='40Trips'!$K$16,$A25&lt;&gt;AL$1,gamma!AL25=1),(VLOOKUP(AL$1,'40Trips'!$A$3:$I$42,8,FALSE))-(VLOOKUP($A25,'40Trips'!$A$3:$I$42,9,FALSE)),0)</f>
        <v>0</v>
      </c>
      <c r="AM25">
        <f>IF(AND(SUM(VLOOKUP($A25,'40Trips'!$A$3:$I$42,2,FALSE),VLOOKUP(AM$1,'40Trips'!$A$3:$I$42,2,FALSE))&lt;='40Trips'!$K$16,$A25&lt;&gt;AM$1,gamma!AM25=1),(VLOOKUP(AM$1,'40Trips'!$A$3:$I$42,8,FALSE))-(VLOOKUP($A25,'40Trips'!$A$3:$I$42,9,FALSE)),0)</f>
        <v>0</v>
      </c>
      <c r="AN25">
        <f>IF(AND(SUM(VLOOKUP($A25,'40Trips'!$A$3:$I$42,2,FALSE),VLOOKUP(AN$1,'40Trips'!$A$3:$I$42,2,FALSE))&lt;='40Trips'!$K$16,$A25&lt;&gt;AN$1,gamma!AN25=1),(VLOOKUP(AN$1,'40Trips'!$A$3:$I$42,8,FALSE))-(VLOOKUP($A25,'40Trips'!$A$3:$I$42,9,FALSE)),0)</f>
        <v>0</v>
      </c>
      <c r="AO25">
        <f>IF(AND(SUM(VLOOKUP($A25,'40Trips'!$A$3:$I$42,2,FALSE),VLOOKUP(AO$1,'40Trips'!$A$3:$I$42,2,FALSE))&lt;='40Trips'!$K$16,$A25&lt;&gt;AO$1,gamma!AO25=1),(VLOOKUP(AO$1,'40Trips'!$A$3:$I$42,8,FALSE))-(VLOOKUP($A25,'40Trips'!$A$3:$I$42,9,FALSE)),0)</f>
        <v>0</v>
      </c>
      <c r="AP25">
        <f>IF(AND(SUM(VLOOKUP($A25,'40Trips'!$A$3:$I$42,2,FALSE),VLOOKUP(AP$1,'40Trips'!$A$3:$I$42,2,FALSE))&lt;='40Trips'!$K$16,$A25&lt;&gt;AP$1,gamma!AP25=1),(VLOOKUP(AP$1,'40Trips'!$A$3:$I$42,8,FALSE))-(VLOOKUP($A25,'40Trips'!$A$3:$I$42,9,FALSE)),0)</f>
        <v>0</v>
      </c>
    </row>
    <row r="26" spans="1:42" x14ac:dyDescent="0.25">
      <c r="A26" t="s">
        <v>37</v>
      </c>
      <c r="B26">
        <v>0</v>
      </c>
      <c r="C26">
        <f>IF(AND(SUM(VLOOKUP($A26,'40Trips'!$A$3:$I$42,2,FALSE),VLOOKUP(C$1,'40Trips'!$A$3:$I$42,2,FALSE))&lt;='40Trips'!$K$16,$A26&lt;&gt;C$1,gamma!C26=1),(VLOOKUP(C$1,'40Trips'!$A$3:$I$42,8,FALSE))-(VLOOKUP($A26,'40Trips'!$A$3:$I$42,9,FALSE)),0)</f>
        <v>0</v>
      </c>
      <c r="D26">
        <f>IF(AND(SUM(VLOOKUP($A26,'40Trips'!$A$3:$I$42,2,FALSE),VLOOKUP(D$1,'40Trips'!$A$3:$I$42,2,FALSE))&lt;='40Trips'!$K$16,$A26&lt;&gt;D$1,gamma!D26=1),(VLOOKUP(D$1,'40Trips'!$A$3:$I$42,8,FALSE))-(VLOOKUP($A26,'40Trips'!$A$3:$I$42,9,FALSE)),0)</f>
        <v>0</v>
      </c>
      <c r="E26">
        <f>IF(AND(SUM(VLOOKUP($A26,'40Trips'!$A$3:$I$42,2,FALSE),VLOOKUP(E$1,'40Trips'!$A$3:$I$42,2,FALSE))&lt;='40Trips'!$K$16,$A26&lt;&gt;E$1,gamma!E26=1),(VLOOKUP(E$1,'40Trips'!$A$3:$I$42,8,FALSE))-(VLOOKUP($A26,'40Trips'!$A$3:$I$42,9,FALSE)),0)</f>
        <v>0</v>
      </c>
      <c r="F26">
        <f>IF(AND(SUM(VLOOKUP($A26,'40Trips'!$A$3:$I$42,2,FALSE),VLOOKUP(F$1,'40Trips'!$A$3:$I$42,2,FALSE))&lt;='40Trips'!$K$16,$A26&lt;&gt;F$1,gamma!F26=1),(VLOOKUP(F$1,'40Trips'!$A$3:$I$42,8,FALSE))-(VLOOKUP($A26,'40Trips'!$A$3:$I$42,9,FALSE)),0)</f>
        <v>0</v>
      </c>
      <c r="G26">
        <f>IF(AND(SUM(VLOOKUP($A26,'40Trips'!$A$3:$I$42,2,FALSE),VLOOKUP(G$1,'40Trips'!$A$3:$I$42,2,FALSE))&lt;='40Trips'!$K$16,$A26&lt;&gt;G$1,gamma!G26=1),(VLOOKUP(G$1,'40Trips'!$A$3:$I$42,8,FALSE))-(VLOOKUP($A26,'40Trips'!$A$3:$I$42,9,FALSE)),0)</f>
        <v>0</v>
      </c>
      <c r="H26">
        <f>IF(AND(SUM(VLOOKUP($A26,'40Trips'!$A$3:$I$42,2,FALSE),VLOOKUP(H$1,'40Trips'!$A$3:$I$42,2,FALSE))&lt;='40Trips'!$K$16,$A26&lt;&gt;H$1,gamma!H26=1),(VLOOKUP(H$1,'40Trips'!$A$3:$I$42,8,FALSE))-(VLOOKUP($A26,'40Trips'!$A$3:$I$42,9,FALSE)),0)</f>
        <v>0</v>
      </c>
      <c r="I26">
        <f>IF(AND(SUM(VLOOKUP($A26,'40Trips'!$A$3:$I$42,2,FALSE),VLOOKUP(I$1,'40Trips'!$A$3:$I$42,2,FALSE))&lt;='40Trips'!$K$16,$A26&lt;&gt;I$1,gamma!I26=1),(VLOOKUP(I$1,'40Trips'!$A$3:$I$42,8,FALSE))-(VLOOKUP($A26,'40Trips'!$A$3:$I$42,9,FALSE)),0)</f>
        <v>0</v>
      </c>
      <c r="J26">
        <f>IF(AND(SUM(VLOOKUP($A26,'40Trips'!$A$3:$I$42,2,FALSE),VLOOKUP(J$1,'40Trips'!$A$3:$I$42,2,FALSE))&lt;='40Trips'!$K$16,$A26&lt;&gt;J$1,gamma!J26=1),(VLOOKUP(J$1,'40Trips'!$A$3:$I$42,8,FALSE))-(VLOOKUP($A26,'40Trips'!$A$3:$I$42,9,FALSE)),0)</f>
        <v>95</v>
      </c>
      <c r="K26">
        <f>IF(AND(SUM(VLOOKUP($A26,'40Trips'!$A$3:$I$42,2,FALSE),VLOOKUP(K$1,'40Trips'!$A$3:$I$42,2,FALSE))&lt;='40Trips'!$K$16,$A26&lt;&gt;K$1,gamma!K26=1),(VLOOKUP(K$1,'40Trips'!$A$3:$I$42,8,FALSE))-(VLOOKUP($A26,'40Trips'!$A$3:$I$42,9,FALSE)),0)</f>
        <v>0</v>
      </c>
      <c r="L26">
        <f>IF(AND(SUM(VLOOKUP($A26,'40Trips'!$A$3:$I$42,2,FALSE),VLOOKUP(L$1,'40Trips'!$A$3:$I$42,2,FALSE))&lt;='40Trips'!$K$16,$A26&lt;&gt;L$1,gamma!L26=1),(VLOOKUP(L$1,'40Trips'!$A$3:$I$42,8,FALSE))-(VLOOKUP($A26,'40Trips'!$A$3:$I$42,9,FALSE)),0)</f>
        <v>0</v>
      </c>
      <c r="M26">
        <f>IF(AND(SUM(VLOOKUP($A26,'40Trips'!$A$3:$I$42,2,FALSE),VLOOKUP(M$1,'40Trips'!$A$3:$I$42,2,FALSE))&lt;='40Trips'!$K$16,$A26&lt;&gt;M$1,gamma!M26=1),(VLOOKUP(M$1,'40Trips'!$A$3:$I$42,8,FALSE))-(VLOOKUP($A26,'40Trips'!$A$3:$I$42,9,FALSE)),0)</f>
        <v>0</v>
      </c>
      <c r="N26">
        <f>IF(AND(SUM(VLOOKUP($A26,'40Trips'!$A$3:$I$42,2,FALSE),VLOOKUP(N$1,'40Trips'!$A$3:$I$42,2,FALSE))&lt;='40Trips'!$K$16,$A26&lt;&gt;N$1,gamma!N26=1),(VLOOKUP(N$1,'40Trips'!$A$3:$I$42,8,FALSE))-(VLOOKUP($A26,'40Trips'!$A$3:$I$42,9,FALSE)),0)</f>
        <v>0</v>
      </c>
      <c r="O26">
        <f>IF(AND(SUM(VLOOKUP($A26,'40Trips'!$A$3:$I$42,2,FALSE),VLOOKUP(O$1,'40Trips'!$A$3:$I$42,2,FALSE))&lt;='40Trips'!$K$16,$A26&lt;&gt;O$1,gamma!O26=1),(VLOOKUP(O$1,'40Trips'!$A$3:$I$42,8,FALSE))-(VLOOKUP($A26,'40Trips'!$A$3:$I$42,9,FALSE)),0)</f>
        <v>0</v>
      </c>
      <c r="P26">
        <f>IF(AND(SUM(VLOOKUP($A26,'40Trips'!$A$3:$I$42,2,FALSE),VLOOKUP(P$1,'40Trips'!$A$3:$I$42,2,FALSE))&lt;='40Trips'!$K$16,$A26&lt;&gt;P$1,gamma!P26=1),(VLOOKUP(P$1,'40Trips'!$A$3:$I$42,8,FALSE))-(VLOOKUP($A26,'40Trips'!$A$3:$I$42,9,FALSE)),0)</f>
        <v>0</v>
      </c>
      <c r="Q26">
        <f>IF(AND(SUM(VLOOKUP($A26,'40Trips'!$A$3:$I$42,2,FALSE),VLOOKUP(Q$1,'40Trips'!$A$3:$I$42,2,FALSE))&lt;='40Trips'!$K$16,$A26&lt;&gt;Q$1,gamma!Q26=1),(VLOOKUP(Q$1,'40Trips'!$A$3:$I$42,8,FALSE))-(VLOOKUP($A26,'40Trips'!$A$3:$I$42,9,FALSE)),0)</f>
        <v>0</v>
      </c>
      <c r="R26">
        <f>IF(AND(SUM(VLOOKUP($A26,'40Trips'!$A$3:$I$42,2,FALSE),VLOOKUP(R$1,'40Trips'!$A$3:$I$42,2,FALSE))&lt;='40Trips'!$K$16,$A26&lt;&gt;R$1,gamma!R26=1),(VLOOKUP(R$1,'40Trips'!$A$3:$I$42,8,FALSE))-(VLOOKUP($A26,'40Trips'!$A$3:$I$42,9,FALSE)),0)</f>
        <v>0</v>
      </c>
      <c r="S26">
        <f>IF(AND(SUM(VLOOKUP($A26,'40Trips'!$A$3:$I$42,2,FALSE),VLOOKUP(S$1,'40Trips'!$A$3:$I$42,2,FALSE))&lt;='40Trips'!$K$16,$A26&lt;&gt;S$1,gamma!S26=1),(VLOOKUP(S$1,'40Trips'!$A$3:$I$42,8,FALSE))-(VLOOKUP($A26,'40Trips'!$A$3:$I$42,9,FALSE)),0)</f>
        <v>0</v>
      </c>
      <c r="T26">
        <f>IF(AND(SUM(VLOOKUP($A26,'40Trips'!$A$3:$I$42,2,FALSE),VLOOKUP(T$1,'40Trips'!$A$3:$I$42,2,FALSE))&lt;='40Trips'!$K$16,$A26&lt;&gt;T$1,gamma!T26=1),(VLOOKUP(T$1,'40Trips'!$A$3:$I$42,8,FALSE))-(VLOOKUP($A26,'40Trips'!$A$3:$I$42,9,FALSE)),0)</f>
        <v>0</v>
      </c>
      <c r="U26">
        <f>IF(AND(SUM(VLOOKUP($A26,'40Trips'!$A$3:$I$42,2,FALSE),VLOOKUP(U$1,'40Trips'!$A$3:$I$42,2,FALSE))&lt;='40Trips'!$K$16,$A26&lt;&gt;U$1,gamma!U26=1),(VLOOKUP(U$1,'40Trips'!$A$3:$I$42,8,FALSE))-(VLOOKUP($A26,'40Trips'!$A$3:$I$42,9,FALSE)),0)</f>
        <v>0</v>
      </c>
      <c r="V26">
        <f>IF(AND(SUM(VLOOKUP($A26,'40Trips'!$A$3:$I$42,2,FALSE),VLOOKUP(V$1,'40Trips'!$A$3:$I$42,2,FALSE))&lt;='40Trips'!$K$16,$A26&lt;&gt;V$1,gamma!V26=1),(VLOOKUP(V$1,'40Trips'!$A$3:$I$42,8,FALSE))-(VLOOKUP($A26,'40Trips'!$A$3:$I$42,9,FALSE)),0)</f>
        <v>0</v>
      </c>
      <c r="W26">
        <f>IF(AND(SUM(VLOOKUP($A26,'40Trips'!$A$3:$I$42,2,FALSE),VLOOKUP(W$1,'40Trips'!$A$3:$I$42,2,FALSE))&lt;='40Trips'!$K$16,$A26&lt;&gt;W$1,gamma!W26=1),(VLOOKUP(W$1,'40Trips'!$A$3:$I$42,8,FALSE))-(VLOOKUP($A26,'40Trips'!$A$3:$I$42,9,FALSE)),0)</f>
        <v>0</v>
      </c>
      <c r="X26">
        <f>IF(AND(SUM(VLOOKUP($A26,'40Trips'!$A$3:$I$42,2,FALSE),VLOOKUP(X$1,'40Trips'!$A$3:$I$42,2,FALSE))&lt;='40Trips'!$K$16,$A26&lt;&gt;X$1,gamma!X26=1),(VLOOKUP(X$1,'40Trips'!$A$3:$I$42,8,FALSE))-(VLOOKUP($A26,'40Trips'!$A$3:$I$42,9,FALSE)),0)</f>
        <v>0</v>
      </c>
      <c r="Y26">
        <f>IF(AND(SUM(VLOOKUP($A26,'40Trips'!$A$3:$I$42,2,FALSE),VLOOKUP(Y$1,'40Trips'!$A$3:$I$42,2,FALSE))&lt;='40Trips'!$K$16,$A26&lt;&gt;Y$1,gamma!Y26=1),(VLOOKUP(Y$1,'40Trips'!$A$3:$I$42,8,FALSE))-(VLOOKUP($A26,'40Trips'!$A$3:$I$42,9,FALSE)),0)</f>
        <v>0</v>
      </c>
      <c r="Z26">
        <f>IF(AND(SUM(VLOOKUP($A26,'40Trips'!$A$3:$I$42,2,FALSE),VLOOKUP(Z$1,'40Trips'!$A$3:$I$42,2,FALSE))&lt;='40Trips'!$K$16,$A26&lt;&gt;Z$1,gamma!Z26=1),(VLOOKUP(Z$1,'40Trips'!$A$3:$I$42,8,FALSE))-(VLOOKUP($A26,'40Trips'!$A$3:$I$42,9,FALSE)),0)</f>
        <v>0</v>
      </c>
      <c r="AA26">
        <f>IF(AND(SUM(VLOOKUP($A26,'40Trips'!$A$3:$I$42,2,FALSE),VLOOKUP(AA$1,'40Trips'!$A$3:$I$42,2,FALSE))&lt;='40Trips'!$K$16,$A26&lt;&gt;AA$1,gamma!AA26=1),(VLOOKUP(AA$1,'40Trips'!$A$3:$I$42,8,FALSE))-(VLOOKUP($A26,'40Trips'!$A$3:$I$42,9,FALSE)),0)</f>
        <v>0</v>
      </c>
      <c r="AB26">
        <f>IF(AND(SUM(VLOOKUP($A26,'40Trips'!$A$3:$I$42,2,FALSE),VLOOKUP(AB$1,'40Trips'!$A$3:$I$42,2,FALSE))&lt;='40Trips'!$K$16,$A26&lt;&gt;AB$1,gamma!AB26=1),(VLOOKUP(AB$1,'40Trips'!$A$3:$I$42,8,FALSE))-(VLOOKUP($A26,'40Trips'!$A$3:$I$42,9,FALSE)),0)</f>
        <v>0</v>
      </c>
      <c r="AC26">
        <f>IF(AND(SUM(VLOOKUP($A26,'40Trips'!$A$3:$I$42,2,FALSE),VLOOKUP(AC$1,'40Trips'!$A$3:$I$42,2,FALSE))&lt;='40Trips'!$K$16,$A26&lt;&gt;AC$1,gamma!AC26=1),(VLOOKUP(AC$1,'40Trips'!$A$3:$I$42,8,FALSE))-(VLOOKUP($A26,'40Trips'!$A$3:$I$42,9,FALSE)),0)</f>
        <v>0</v>
      </c>
      <c r="AD26">
        <f>IF(AND(SUM(VLOOKUP($A26,'40Trips'!$A$3:$I$42,2,FALSE),VLOOKUP(AD$1,'40Trips'!$A$3:$I$42,2,FALSE))&lt;='40Trips'!$K$16,$A26&lt;&gt;AD$1,gamma!AD26=1),(VLOOKUP(AD$1,'40Trips'!$A$3:$I$42,8,FALSE))-(VLOOKUP($A26,'40Trips'!$A$3:$I$42,9,FALSE)),0)</f>
        <v>0</v>
      </c>
      <c r="AE26">
        <f>IF(AND(SUM(VLOOKUP($A26,'40Trips'!$A$3:$I$42,2,FALSE),VLOOKUP(AE$1,'40Trips'!$A$3:$I$42,2,FALSE))&lt;='40Trips'!$K$16,$A26&lt;&gt;AE$1,gamma!AE26=1),(VLOOKUP(AE$1,'40Trips'!$A$3:$I$42,8,FALSE))-(VLOOKUP($A26,'40Trips'!$A$3:$I$42,9,FALSE)),0)</f>
        <v>0</v>
      </c>
      <c r="AF26">
        <f>IF(AND(SUM(VLOOKUP($A26,'40Trips'!$A$3:$I$42,2,FALSE),VLOOKUP(AF$1,'40Trips'!$A$3:$I$42,2,FALSE))&lt;='40Trips'!$K$16,$A26&lt;&gt;AF$1,gamma!AF26=1),(VLOOKUP(AF$1,'40Trips'!$A$3:$I$42,8,FALSE))-(VLOOKUP($A26,'40Trips'!$A$3:$I$42,9,FALSE)),0)</f>
        <v>0</v>
      </c>
      <c r="AG26">
        <f>IF(AND(SUM(VLOOKUP($A26,'40Trips'!$A$3:$I$42,2,FALSE),VLOOKUP(AG$1,'40Trips'!$A$3:$I$42,2,FALSE))&lt;='40Trips'!$K$16,$A26&lt;&gt;AG$1,gamma!AG26=1),(VLOOKUP(AG$1,'40Trips'!$A$3:$I$42,8,FALSE))-(VLOOKUP($A26,'40Trips'!$A$3:$I$42,9,FALSE)),0)</f>
        <v>0</v>
      </c>
      <c r="AH26">
        <f>IF(AND(SUM(VLOOKUP($A26,'40Trips'!$A$3:$I$42,2,FALSE),VLOOKUP(AH$1,'40Trips'!$A$3:$I$42,2,FALSE))&lt;='40Trips'!$K$16,$A26&lt;&gt;AH$1,gamma!AH26=1),(VLOOKUP(AH$1,'40Trips'!$A$3:$I$42,8,FALSE))-(VLOOKUP($A26,'40Trips'!$A$3:$I$42,9,FALSE)),0)</f>
        <v>0</v>
      </c>
      <c r="AI26">
        <f>IF(AND(SUM(VLOOKUP($A26,'40Trips'!$A$3:$I$42,2,FALSE),VLOOKUP(AI$1,'40Trips'!$A$3:$I$42,2,FALSE))&lt;='40Trips'!$K$16,$A26&lt;&gt;AI$1,gamma!AI26=1),(VLOOKUP(AI$1,'40Trips'!$A$3:$I$42,8,FALSE))-(VLOOKUP($A26,'40Trips'!$A$3:$I$42,9,FALSE)),0)</f>
        <v>0</v>
      </c>
      <c r="AJ26">
        <f>IF(AND(SUM(VLOOKUP($A26,'40Trips'!$A$3:$I$42,2,FALSE),VLOOKUP(AJ$1,'40Trips'!$A$3:$I$42,2,FALSE))&lt;='40Trips'!$K$16,$A26&lt;&gt;AJ$1,gamma!AJ26=1),(VLOOKUP(AJ$1,'40Trips'!$A$3:$I$42,8,FALSE))-(VLOOKUP($A26,'40Trips'!$A$3:$I$42,9,FALSE)),0)</f>
        <v>0</v>
      </c>
      <c r="AK26">
        <f>IF(AND(SUM(VLOOKUP($A26,'40Trips'!$A$3:$I$42,2,FALSE),VLOOKUP(AK$1,'40Trips'!$A$3:$I$42,2,FALSE))&lt;='40Trips'!$K$16,$A26&lt;&gt;AK$1,gamma!AK26=1),(VLOOKUP(AK$1,'40Trips'!$A$3:$I$42,8,FALSE))-(VLOOKUP($A26,'40Trips'!$A$3:$I$42,9,FALSE)),0)</f>
        <v>0</v>
      </c>
      <c r="AL26">
        <f>IF(AND(SUM(VLOOKUP($A26,'40Trips'!$A$3:$I$42,2,FALSE),VLOOKUP(AL$1,'40Trips'!$A$3:$I$42,2,FALSE))&lt;='40Trips'!$K$16,$A26&lt;&gt;AL$1,gamma!AL26=1),(VLOOKUP(AL$1,'40Trips'!$A$3:$I$42,8,FALSE))-(VLOOKUP($A26,'40Trips'!$A$3:$I$42,9,FALSE)),0)</f>
        <v>0</v>
      </c>
      <c r="AM26">
        <f>IF(AND(SUM(VLOOKUP($A26,'40Trips'!$A$3:$I$42,2,FALSE),VLOOKUP(AM$1,'40Trips'!$A$3:$I$42,2,FALSE))&lt;='40Trips'!$K$16,$A26&lt;&gt;AM$1,gamma!AM26=1),(VLOOKUP(AM$1,'40Trips'!$A$3:$I$42,8,FALSE))-(VLOOKUP($A26,'40Trips'!$A$3:$I$42,9,FALSE)),0)</f>
        <v>0</v>
      </c>
      <c r="AN26">
        <f>IF(AND(SUM(VLOOKUP($A26,'40Trips'!$A$3:$I$42,2,FALSE),VLOOKUP(AN$1,'40Trips'!$A$3:$I$42,2,FALSE))&lt;='40Trips'!$K$16,$A26&lt;&gt;AN$1,gamma!AN26=1),(VLOOKUP(AN$1,'40Trips'!$A$3:$I$42,8,FALSE))-(VLOOKUP($A26,'40Trips'!$A$3:$I$42,9,FALSE)),0)</f>
        <v>0</v>
      </c>
      <c r="AO26">
        <f>IF(AND(SUM(VLOOKUP($A26,'40Trips'!$A$3:$I$42,2,FALSE),VLOOKUP(AO$1,'40Trips'!$A$3:$I$42,2,FALSE))&lt;='40Trips'!$K$16,$A26&lt;&gt;AO$1,gamma!AO26=1),(VLOOKUP(AO$1,'40Trips'!$A$3:$I$42,8,FALSE))-(VLOOKUP($A26,'40Trips'!$A$3:$I$42,9,FALSE)),0)</f>
        <v>0</v>
      </c>
      <c r="AP26">
        <f>IF(AND(SUM(VLOOKUP($A26,'40Trips'!$A$3:$I$42,2,FALSE),VLOOKUP(AP$1,'40Trips'!$A$3:$I$42,2,FALSE))&lt;='40Trips'!$K$16,$A26&lt;&gt;AP$1,gamma!AP26=1),(VLOOKUP(AP$1,'40Trips'!$A$3:$I$42,8,FALSE))-(VLOOKUP($A26,'40Trips'!$A$3:$I$42,9,FALSE)),0)</f>
        <v>0</v>
      </c>
    </row>
    <row r="27" spans="1:42" x14ac:dyDescent="0.25">
      <c r="A27" t="s">
        <v>79</v>
      </c>
      <c r="B27">
        <v>0</v>
      </c>
      <c r="C27">
        <f>IF(AND(SUM(VLOOKUP($A27,'40Trips'!$A$3:$I$42,2,FALSE),VLOOKUP(C$1,'40Trips'!$A$3:$I$42,2,FALSE))&lt;='40Trips'!$K$16,$A27&lt;&gt;C$1,gamma!C27=1),(VLOOKUP(C$1,'40Trips'!$A$3:$I$42,8,FALSE))-(VLOOKUP($A27,'40Trips'!$A$3:$I$42,9,FALSE)),0)</f>
        <v>0</v>
      </c>
      <c r="D27">
        <f>IF(AND(SUM(VLOOKUP($A27,'40Trips'!$A$3:$I$42,2,FALSE),VLOOKUP(D$1,'40Trips'!$A$3:$I$42,2,FALSE))&lt;='40Trips'!$K$16,$A27&lt;&gt;D$1,gamma!D27=1),(VLOOKUP(D$1,'40Trips'!$A$3:$I$42,8,FALSE))-(VLOOKUP($A27,'40Trips'!$A$3:$I$42,9,FALSE)),0)</f>
        <v>60</v>
      </c>
      <c r="E27">
        <f>IF(AND(SUM(VLOOKUP($A27,'40Trips'!$A$3:$I$42,2,FALSE),VLOOKUP(E$1,'40Trips'!$A$3:$I$42,2,FALSE))&lt;='40Trips'!$K$16,$A27&lt;&gt;E$1,gamma!E27=1),(VLOOKUP(E$1,'40Trips'!$A$3:$I$42,8,FALSE))-(VLOOKUP($A27,'40Trips'!$A$3:$I$42,9,FALSE)),0)</f>
        <v>150</v>
      </c>
      <c r="F27">
        <f>IF(AND(SUM(VLOOKUP($A27,'40Trips'!$A$3:$I$42,2,FALSE),VLOOKUP(F$1,'40Trips'!$A$3:$I$42,2,FALSE))&lt;='40Trips'!$K$16,$A27&lt;&gt;F$1,gamma!F27=1),(VLOOKUP(F$1,'40Trips'!$A$3:$I$42,8,FALSE))-(VLOOKUP($A27,'40Trips'!$A$3:$I$42,9,FALSE)),0)</f>
        <v>240</v>
      </c>
      <c r="G27">
        <f>IF(AND(SUM(VLOOKUP($A27,'40Trips'!$A$3:$I$42,2,FALSE),VLOOKUP(G$1,'40Trips'!$A$3:$I$42,2,FALSE))&lt;='40Trips'!$K$16,$A27&lt;&gt;G$1,gamma!G27=1),(VLOOKUP(G$1,'40Trips'!$A$3:$I$42,8,FALSE))-(VLOOKUP($A27,'40Trips'!$A$3:$I$42,9,FALSE)),0)</f>
        <v>0</v>
      </c>
      <c r="H27">
        <f>IF(AND(SUM(VLOOKUP($A27,'40Trips'!$A$3:$I$42,2,FALSE),VLOOKUP(H$1,'40Trips'!$A$3:$I$42,2,FALSE))&lt;='40Trips'!$K$16,$A27&lt;&gt;H$1,gamma!H27=1),(VLOOKUP(H$1,'40Trips'!$A$3:$I$42,8,FALSE))-(VLOOKUP($A27,'40Trips'!$A$3:$I$42,9,FALSE)),0)</f>
        <v>0</v>
      </c>
      <c r="I27">
        <f>IF(AND(SUM(VLOOKUP($A27,'40Trips'!$A$3:$I$42,2,FALSE),VLOOKUP(I$1,'40Trips'!$A$3:$I$42,2,FALSE))&lt;='40Trips'!$K$16,$A27&lt;&gt;I$1,gamma!I27=1),(VLOOKUP(I$1,'40Trips'!$A$3:$I$42,8,FALSE))-(VLOOKUP($A27,'40Trips'!$A$3:$I$42,9,FALSE)),0)</f>
        <v>115</v>
      </c>
      <c r="J27">
        <f>IF(AND(SUM(VLOOKUP($A27,'40Trips'!$A$3:$I$42,2,FALSE),VLOOKUP(J$1,'40Trips'!$A$3:$I$42,2,FALSE))&lt;='40Trips'!$K$16,$A27&lt;&gt;J$1,gamma!J27=1),(VLOOKUP(J$1,'40Trips'!$A$3:$I$42,8,FALSE))-(VLOOKUP($A27,'40Trips'!$A$3:$I$42,9,FALSE)),0)</f>
        <v>475</v>
      </c>
      <c r="K27">
        <f>IF(AND(SUM(VLOOKUP($A27,'40Trips'!$A$3:$I$42,2,FALSE),VLOOKUP(K$1,'40Trips'!$A$3:$I$42,2,FALSE))&lt;='40Trips'!$K$16,$A27&lt;&gt;K$1,gamma!K27=1),(VLOOKUP(K$1,'40Trips'!$A$3:$I$42,8,FALSE))-(VLOOKUP($A27,'40Trips'!$A$3:$I$42,9,FALSE)),0)</f>
        <v>0</v>
      </c>
      <c r="L27">
        <f>IF(AND(SUM(VLOOKUP($A27,'40Trips'!$A$3:$I$42,2,FALSE),VLOOKUP(L$1,'40Trips'!$A$3:$I$42,2,FALSE))&lt;='40Trips'!$K$16,$A27&lt;&gt;L$1,gamma!L27=1),(VLOOKUP(L$1,'40Trips'!$A$3:$I$42,8,FALSE))-(VLOOKUP($A27,'40Trips'!$A$3:$I$42,9,FALSE)),0)</f>
        <v>0</v>
      </c>
      <c r="M27">
        <f>IF(AND(SUM(VLOOKUP($A27,'40Trips'!$A$3:$I$42,2,FALSE),VLOOKUP(M$1,'40Trips'!$A$3:$I$42,2,FALSE))&lt;='40Trips'!$K$16,$A27&lt;&gt;M$1,gamma!M27=1),(VLOOKUP(M$1,'40Trips'!$A$3:$I$42,8,FALSE))-(VLOOKUP($A27,'40Trips'!$A$3:$I$42,9,FALSE)),0)</f>
        <v>110</v>
      </c>
      <c r="N27">
        <f>IF(AND(SUM(VLOOKUP($A27,'40Trips'!$A$3:$I$42,2,FALSE),VLOOKUP(N$1,'40Trips'!$A$3:$I$42,2,FALSE))&lt;='40Trips'!$K$16,$A27&lt;&gt;N$1,gamma!N27=1),(VLOOKUP(N$1,'40Trips'!$A$3:$I$42,8,FALSE))-(VLOOKUP($A27,'40Trips'!$A$3:$I$42,9,FALSE)),0)</f>
        <v>0</v>
      </c>
      <c r="O27">
        <f>IF(AND(SUM(VLOOKUP($A27,'40Trips'!$A$3:$I$42,2,FALSE),VLOOKUP(O$1,'40Trips'!$A$3:$I$42,2,FALSE))&lt;='40Trips'!$K$16,$A27&lt;&gt;O$1,gamma!O27=1),(VLOOKUP(O$1,'40Trips'!$A$3:$I$42,8,FALSE))-(VLOOKUP($A27,'40Trips'!$A$3:$I$42,9,FALSE)),0)</f>
        <v>0</v>
      </c>
      <c r="P27">
        <f>IF(AND(SUM(VLOOKUP($A27,'40Trips'!$A$3:$I$42,2,FALSE),VLOOKUP(P$1,'40Trips'!$A$3:$I$42,2,FALSE))&lt;='40Trips'!$K$16,$A27&lt;&gt;P$1,gamma!P27=1),(VLOOKUP(P$1,'40Trips'!$A$3:$I$42,8,FALSE))-(VLOOKUP($A27,'40Trips'!$A$3:$I$42,9,FALSE)),0)</f>
        <v>40</v>
      </c>
      <c r="Q27">
        <f>IF(AND(SUM(VLOOKUP($A27,'40Trips'!$A$3:$I$42,2,FALSE),VLOOKUP(Q$1,'40Trips'!$A$3:$I$42,2,FALSE))&lt;='40Trips'!$K$16,$A27&lt;&gt;Q$1,gamma!Q27=1),(VLOOKUP(Q$1,'40Trips'!$A$3:$I$42,8,FALSE))-(VLOOKUP($A27,'40Trips'!$A$3:$I$42,9,FALSE)),0)</f>
        <v>130</v>
      </c>
      <c r="R27">
        <f>IF(AND(SUM(VLOOKUP($A27,'40Trips'!$A$3:$I$42,2,FALSE),VLOOKUP(R$1,'40Trips'!$A$3:$I$42,2,FALSE))&lt;='40Trips'!$K$16,$A27&lt;&gt;R$1,gamma!R27=1),(VLOOKUP(R$1,'40Trips'!$A$3:$I$42,8,FALSE))-(VLOOKUP($A27,'40Trips'!$A$3:$I$42,9,FALSE)),0)</f>
        <v>220</v>
      </c>
      <c r="S27">
        <f>IF(AND(SUM(VLOOKUP($A27,'40Trips'!$A$3:$I$42,2,FALSE),VLOOKUP(S$1,'40Trips'!$A$3:$I$42,2,FALSE))&lt;='40Trips'!$K$16,$A27&lt;&gt;S$1,gamma!S27=1),(VLOOKUP(S$1,'40Trips'!$A$3:$I$42,8,FALSE))-(VLOOKUP($A27,'40Trips'!$A$3:$I$42,9,FALSE)),0)</f>
        <v>0</v>
      </c>
      <c r="T27">
        <f>IF(AND(SUM(VLOOKUP($A27,'40Trips'!$A$3:$I$42,2,FALSE),VLOOKUP(T$1,'40Trips'!$A$3:$I$42,2,FALSE))&lt;='40Trips'!$K$16,$A27&lt;&gt;T$1,gamma!T27=1),(VLOOKUP(T$1,'40Trips'!$A$3:$I$42,8,FALSE))-(VLOOKUP($A27,'40Trips'!$A$3:$I$42,9,FALSE)),0)</f>
        <v>0</v>
      </c>
      <c r="U27">
        <f>IF(AND(SUM(VLOOKUP($A27,'40Trips'!$A$3:$I$42,2,FALSE),VLOOKUP(U$1,'40Trips'!$A$3:$I$42,2,FALSE))&lt;='40Trips'!$K$16,$A27&lt;&gt;U$1,gamma!U27=1),(VLOOKUP(U$1,'40Trips'!$A$3:$I$42,8,FALSE))-(VLOOKUP($A27,'40Trips'!$A$3:$I$42,9,FALSE)),0)</f>
        <v>120</v>
      </c>
      <c r="V27">
        <f>IF(AND(SUM(VLOOKUP($A27,'40Trips'!$A$3:$I$42,2,FALSE),VLOOKUP(V$1,'40Trips'!$A$3:$I$42,2,FALSE))&lt;='40Trips'!$K$16,$A27&lt;&gt;V$1,gamma!V27=1),(VLOOKUP(V$1,'40Trips'!$A$3:$I$42,8,FALSE))-(VLOOKUP($A27,'40Trips'!$A$3:$I$42,9,FALSE)),0)</f>
        <v>270</v>
      </c>
      <c r="W27">
        <f>IF(AND(SUM(VLOOKUP($A27,'40Trips'!$A$3:$I$42,2,FALSE),VLOOKUP(W$1,'40Trips'!$A$3:$I$42,2,FALSE))&lt;='40Trips'!$K$16,$A27&lt;&gt;W$1,gamma!W27=1),(VLOOKUP(W$1,'40Trips'!$A$3:$I$42,8,FALSE))-(VLOOKUP($A27,'40Trips'!$A$3:$I$42,9,FALSE)),0)</f>
        <v>0</v>
      </c>
      <c r="X27">
        <f>IF(AND(SUM(VLOOKUP($A27,'40Trips'!$A$3:$I$42,2,FALSE),VLOOKUP(X$1,'40Trips'!$A$3:$I$42,2,FALSE))&lt;='40Trips'!$K$16,$A27&lt;&gt;X$1,gamma!X27=1),(VLOOKUP(X$1,'40Trips'!$A$3:$I$42,8,FALSE))-(VLOOKUP($A27,'40Trips'!$A$3:$I$42,9,FALSE)),0)</f>
        <v>60</v>
      </c>
      <c r="Y27">
        <f>IF(AND(SUM(VLOOKUP($A27,'40Trips'!$A$3:$I$42,2,FALSE),VLOOKUP(Y$1,'40Trips'!$A$3:$I$42,2,FALSE))&lt;='40Trips'!$K$16,$A27&lt;&gt;Y$1,gamma!Y27=1),(VLOOKUP(Y$1,'40Trips'!$A$3:$I$42,8,FALSE))-(VLOOKUP($A27,'40Trips'!$A$3:$I$42,9,FALSE)),0)</f>
        <v>180</v>
      </c>
      <c r="Z27">
        <f>IF(AND(SUM(VLOOKUP($A27,'40Trips'!$A$3:$I$42,2,FALSE),VLOOKUP(Z$1,'40Trips'!$A$3:$I$42,2,FALSE))&lt;='40Trips'!$K$16,$A27&lt;&gt;Z$1,gamma!Z27=1),(VLOOKUP(Z$1,'40Trips'!$A$3:$I$42,8,FALSE))-(VLOOKUP($A27,'40Trips'!$A$3:$I$42,9,FALSE)),0)</f>
        <v>240</v>
      </c>
      <c r="AA27">
        <f>IF(AND(SUM(VLOOKUP($A27,'40Trips'!$A$3:$I$42,2,FALSE),VLOOKUP(AA$1,'40Trips'!$A$3:$I$42,2,FALSE))&lt;='40Trips'!$K$16,$A27&lt;&gt;AA$1,gamma!AA27=1),(VLOOKUP(AA$1,'40Trips'!$A$3:$I$42,8,FALSE))-(VLOOKUP($A27,'40Trips'!$A$3:$I$42,9,FALSE)),0)</f>
        <v>0</v>
      </c>
      <c r="AB27">
        <f>IF(AND(SUM(VLOOKUP($A27,'40Trips'!$A$3:$I$42,2,FALSE),VLOOKUP(AB$1,'40Trips'!$A$3:$I$42,2,FALSE))&lt;='40Trips'!$K$16,$A27&lt;&gt;AB$1,gamma!AB27=1),(VLOOKUP(AB$1,'40Trips'!$A$3:$I$42,8,FALSE))-(VLOOKUP($A27,'40Trips'!$A$3:$I$42,9,FALSE)),0)</f>
        <v>0</v>
      </c>
      <c r="AC27">
        <f>IF(AND(SUM(VLOOKUP($A27,'40Trips'!$A$3:$I$42,2,FALSE),VLOOKUP(AC$1,'40Trips'!$A$3:$I$42,2,FALSE))&lt;='40Trips'!$K$16,$A27&lt;&gt;AC$1,gamma!AC27=1),(VLOOKUP(AC$1,'40Trips'!$A$3:$I$42,8,FALSE))-(VLOOKUP($A27,'40Trips'!$A$3:$I$42,9,FALSE)),0)</f>
        <v>220</v>
      </c>
      <c r="AD27">
        <f>IF(AND(SUM(VLOOKUP($A27,'40Trips'!$A$3:$I$42,2,FALSE),VLOOKUP(AD$1,'40Trips'!$A$3:$I$42,2,FALSE))&lt;='40Trips'!$K$16,$A27&lt;&gt;AD$1,gamma!AD27=1),(VLOOKUP(AD$1,'40Trips'!$A$3:$I$42,8,FALSE))-(VLOOKUP($A27,'40Trips'!$A$3:$I$42,9,FALSE)),0)</f>
        <v>270</v>
      </c>
      <c r="AE27">
        <f>IF(AND(SUM(VLOOKUP($A27,'40Trips'!$A$3:$I$42,2,FALSE),VLOOKUP(AE$1,'40Trips'!$A$3:$I$42,2,FALSE))&lt;='40Trips'!$K$16,$A27&lt;&gt;AE$1,gamma!AE27=1),(VLOOKUP(AE$1,'40Trips'!$A$3:$I$42,8,FALSE))-(VLOOKUP($A27,'40Trips'!$A$3:$I$42,9,FALSE)),0)</f>
        <v>0</v>
      </c>
      <c r="AF27">
        <f>IF(AND(SUM(VLOOKUP($A27,'40Trips'!$A$3:$I$42,2,FALSE),VLOOKUP(AF$1,'40Trips'!$A$3:$I$42,2,FALSE))&lt;='40Trips'!$K$16,$A27&lt;&gt;AF$1,gamma!AF27=1),(VLOOKUP(AF$1,'40Trips'!$A$3:$I$42,8,FALSE))-(VLOOKUP($A27,'40Trips'!$A$3:$I$42,9,FALSE)),0)</f>
        <v>0</v>
      </c>
      <c r="AG27">
        <f>IF(AND(SUM(VLOOKUP($A27,'40Trips'!$A$3:$I$42,2,FALSE),VLOOKUP(AG$1,'40Trips'!$A$3:$I$42,2,FALSE))&lt;='40Trips'!$K$16,$A27&lt;&gt;AG$1,gamma!AG27=1),(VLOOKUP(AG$1,'40Trips'!$A$3:$I$42,8,FALSE))-(VLOOKUP($A27,'40Trips'!$A$3:$I$42,9,FALSE)),0)</f>
        <v>0</v>
      </c>
      <c r="AH27">
        <f>IF(AND(SUM(VLOOKUP($A27,'40Trips'!$A$3:$I$42,2,FALSE),VLOOKUP(AH$1,'40Trips'!$A$3:$I$42,2,FALSE))&lt;='40Trips'!$K$16,$A27&lt;&gt;AH$1,gamma!AH27=1),(VLOOKUP(AH$1,'40Trips'!$A$3:$I$42,8,FALSE))-(VLOOKUP($A27,'40Trips'!$A$3:$I$42,9,FALSE)),0)</f>
        <v>85</v>
      </c>
      <c r="AI27">
        <f>IF(AND(SUM(VLOOKUP($A27,'40Trips'!$A$3:$I$42,2,FALSE),VLOOKUP(AI$1,'40Trips'!$A$3:$I$42,2,FALSE))&lt;='40Trips'!$K$16,$A27&lt;&gt;AI$1,gamma!AI27=1),(VLOOKUP(AI$1,'40Trips'!$A$3:$I$42,8,FALSE))-(VLOOKUP($A27,'40Trips'!$A$3:$I$42,9,FALSE)),0)</f>
        <v>40</v>
      </c>
      <c r="AJ27">
        <f>IF(AND(SUM(VLOOKUP($A27,'40Trips'!$A$3:$I$42,2,FALSE),VLOOKUP(AJ$1,'40Trips'!$A$3:$I$42,2,FALSE))&lt;='40Trips'!$K$16,$A27&lt;&gt;AJ$1,gamma!AJ27=1),(VLOOKUP(AJ$1,'40Trips'!$A$3:$I$42,8,FALSE))-(VLOOKUP($A27,'40Trips'!$A$3:$I$42,9,FALSE)),0)</f>
        <v>70</v>
      </c>
      <c r="AK27">
        <f>IF(AND(SUM(VLOOKUP($A27,'40Trips'!$A$3:$I$42,2,FALSE),VLOOKUP(AK$1,'40Trips'!$A$3:$I$42,2,FALSE))&lt;='40Trips'!$K$16,$A27&lt;&gt;AK$1,gamma!AK27=1),(VLOOKUP(AK$1,'40Trips'!$A$3:$I$42,8,FALSE))-(VLOOKUP($A27,'40Trips'!$A$3:$I$42,9,FALSE)),0)</f>
        <v>120</v>
      </c>
      <c r="AL27">
        <f>IF(AND(SUM(VLOOKUP($A27,'40Trips'!$A$3:$I$42,2,FALSE),VLOOKUP(AL$1,'40Trips'!$A$3:$I$42,2,FALSE))&lt;='40Trips'!$K$16,$A27&lt;&gt;AL$1,gamma!AL27=1),(VLOOKUP(AL$1,'40Trips'!$A$3:$I$42,8,FALSE))-(VLOOKUP($A27,'40Trips'!$A$3:$I$42,9,FALSE)),0)</f>
        <v>320</v>
      </c>
      <c r="AM27">
        <f>IF(AND(SUM(VLOOKUP($A27,'40Trips'!$A$3:$I$42,2,FALSE),VLOOKUP(AM$1,'40Trips'!$A$3:$I$42,2,FALSE))&lt;='40Trips'!$K$16,$A27&lt;&gt;AM$1,gamma!AM27=1),(VLOOKUP(AM$1,'40Trips'!$A$3:$I$42,8,FALSE))-(VLOOKUP($A27,'40Trips'!$A$3:$I$42,9,FALSE)),0)</f>
        <v>0</v>
      </c>
      <c r="AN27">
        <f>IF(AND(SUM(VLOOKUP($A27,'40Trips'!$A$3:$I$42,2,FALSE),VLOOKUP(AN$1,'40Trips'!$A$3:$I$42,2,FALSE))&lt;='40Trips'!$K$16,$A27&lt;&gt;AN$1,gamma!AN27=1),(VLOOKUP(AN$1,'40Trips'!$A$3:$I$42,8,FALSE))-(VLOOKUP($A27,'40Trips'!$A$3:$I$42,9,FALSE)),0)</f>
        <v>85</v>
      </c>
      <c r="AO27">
        <f>IF(AND(SUM(VLOOKUP($A27,'40Trips'!$A$3:$I$42,2,FALSE),VLOOKUP(AO$1,'40Trips'!$A$3:$I$42,2,FALSE))&lt;='40Trips'!$K$16,$A27&lt;&gt;AO$1,gamma!AO27=1),(VLOOKUP(AO$1,'40Trips'!$A$3:$I$42,8,FALSE))-(VLOOKUP($A27,'40Trips'!$A$3:$I$42,9,FALSE)),0)</f>
        <v>100</v>
      </c>
      <c r="AP27">
        <f>IF(AND(SUM(VLOOKUP($A27,'40Trips'!$A$3:$I$42,2,FALSE),VLOOKUP(AP$1,'40Trips'!$A$3:$I$42,2,FALSE))&lt;='40Trips'!$K$16,$A27&lt;&gt;AP$1,gamma!AP27=1),(VLOOKUP(AP$1,'40Trips'!$A$3:$I$42,8,FALSE))-(VLOOKUP($A27,'40Trips'!$A$3:$I$42,9,FALSE)),0)</f>
        <v>285</v>
      </c>
    </row>
    <row r="28" spans="1:42" x14ac:dyDescent="0.25">
      <c r="A28" t="s">
        <v>80</v>
      </c>
      <c r="B28">
        <v>0</v>
      </c>
      <c r="C28">
        <f>IF(AND(SUM(VLOOKUP($A28,'40Trips'!$A$3:$I$42,2,FALSE),VLOOKUP(C$1,'40Trips'!$A$3:$I$42,2,FALSE))&lt;='40Trips'!$K$16,$A28&lt;&gt;C$1,gamma!C28=1),(VLOOKUP(C$1,'40Trips'!$A$3:$I$42,8,FALSE))-(VLOOKUP($A28,'40Trips'!$A$3:$I$42,9,FALSE)),0)</f>
        <v>0</v>
      </c>
      <c r="D28">
        <f>IF(AND(SUM(VLOOKUP($A28,'40Trips'!$A$3:$I$42,2,FALSE),VLOOKUP(D$1,'40Trips'!$A$3:$I$42,2,FALSE))&lt;='40Trips'!$K$16,$A28&lt;&gt;D$1,gamma!D28=1),(VLOOKUP(D$1,'40Trips'!$A$3:$I$42,8,FALSE))-(VLOOKUP($A28,'40Trips'!$A$3:$I$42,9,FALSE)),0)</f>
        <v>0</v>
      </c>
      <c r="E28">
        <f>IF(AND(SUM(VLOOKUP($A28,'40Trips'!$A$3:$I$42,2,FALSE),VLOOKUP(E$1,'40Trips'!$A$3:$I$42,2,FALSE))&lt;='40Trips'!$K$16,$A28&lt;&gt;E$1,gamma!E28=1),(VLOOKUP(E$1,'40Trips'!$A$3:$I$42,8,FALSE))-(VLOOKUP($A28,'40Trips'!$A$3:$I$42,9,FALSE)),0)</f>
        <v>45</v>
      </c>
      <c r="F28">
        <f>IF(AND(SUM(VLOOKUP($A28,'40Trips'!$A$3:$I$42,2,FALSE),VLOOKUP(F$1,'40Trips'!$A$3:$I$42,2,FALSE))&lt;='40Trips'!$K$16,$A28&lt;&gt;F$1,gamma!F28=1),(VLOOKUP(F$1,'40Trips'!$A$3:$I$42,8,FALSE))-(VLOOKUP($A28,'40Trips'!$A$3:$I$42,9,FALSE)),0)</f>
        <v>135</v>
      </c>
      <c r="G28">
        <f>IF(AND(SUM(VLOOKUP($A28,'40Trips'!$A$3:$I$42,2,FALSE),VLOOKUP(G$1,'40Trips'!$A$3:$I$42,2,FALSE))&lt;='40Trips'!$K$16,$A28&lt;&gt;G$1,gamma!G28=1),(VLOOKUP(G$1,'40Trips'!$A$3:$I$42,8,FALSE))-(VLOOKUP($A28,'40Trips'!$A$3:$I$42,9,FALSE)),0)</f>
        <v>0</v>
      </c>
      <c r="H28">
        <f>IF(AND(SUM(VLOOKUP($A28,'40Trips'!$A$3:$I$42,2,FALSE),VLOOKUP(H$1,'40Trips'!$A$3:$I$42,2,FALSE))&lt;='40Trips'!$K$16,$A28&lt;&gt;H$1,gamma!H28=1),(VLOOKUP(H$1,'40Trips'!$A$3:$I$42,8,FALSE))-(VLOOKUP($A28,'40Trips'!$A$3:$I$42,9,FALSE)),0)</f>
        <v>0</v>
      </c>
      <c r="I28">
        <f>IF(AND(SUM(VLOOKUP($A28,'40Trips'!$A$3:$I$42,2,FALSE),VLOOKUP(I$1,'40Trips'!$A$3:$I$42,2,FALSE))&lt;='40Trips'!$K$16,$A28&lt;&gt;I$1,gamma!I28=1),(VLOOKUP(I$1,'40Trips'!$A$3:$I$42,8,FALSE))-(VLOOKUP($A28,'40Trips'!$A$3:$I$42,9,FALSE)),0)</f>
        <v>0</v>
      </c>
      <c r="J28">
        <f>IF(AND(SUM(VLOOKUP($A28,'40Trips'!$A$3:$I$42,2,FALSE),VLOOKUP(J$1,'40Trips'!$A$3:$I$42,2,FALSE))&lt;='40Trips'!$K$16,$A28&lt;&gt;J$1,gamma!J28=1),(VLOOKUP(J$1,'40Trips'!$A$3:$I$42,8,FALSE))-(VLOOKUP($A28,'40Trips'!$A$3:$I$42,9,FALSE)),0)</f>
        <v>370</v>
      </c>
      <c r="K28">
        <f>IF(AND(SUM(VLOOKUP($A28,'40Trips'!$A$3:$I$42,2,FALSE),VLOOKUP(K$1,'40Trips'!$A$3:$I$42,2,FALSE))&lt;='40Trips'!$K$16,$A28&lt;&gt;K$1,gamma!K28=1),(VLOOKUP(K$1,'40Trips'!$A$3:$I$42,8,FALSE))-(VLOOKUP($A28,'40Trips'!$A$3:$I$42,9,FALSE)),0)</f>
        <v>0</v>
      </c>
      <c r="L28">
        <f>IF(AND(SUM(VLOOKUP($A28,'40Trips'!$A$3:$I$42,2,FALSE),VLOOKUP(L$1,'40Trips'!$A$3:$I$42,2,FALSE))&lt;='40Trips'!$K$16,$A28&lt;&gt;L$1,gamma!L28=1),(VLOOKUP(L$1,'40Trips'!$A$3:$I$42,8,FALSE))-(VLOOKUP($A28,'40Trips'!$A$3:$I$42,9,FALSE)),0)</f>
        <v>0</v>
      </c>
      <c r="M28">
        <f>IF(AND(SUM(VLOOKUP($A28,'40Trips'!$A$3:$I$42,2,FALSE),VLOOKUP(M$1,'40Trips'!$A$3:$I$42,2,FALSE))&lt;='40Trips'!$K$16,$A28&lt;&gt;M$1,gamma!M28=1),(VLOOKUP(M$1,'40Trips'!$A$3:$I$42,8,FALSE))-(VLOOKUP($A28,'40Trips'!$A$3:$I$42,9,FALSE)),0)</f>
        <v>0</v>
      </c>
      <c r="N28">
        <f>IF(AND(SUM(VLOOKUP($A28,'40Trips'!$A$3:$I$42,2,FALSE),VLOOKUP(N$1,'40Trips'!$A$3:$I$42,2,FALSE))&lt;='40Trips'!$K$16,$A28&lt;&gt;N$1,gamma!N28=1),(VLOOKUP(N$1,'40Trips'!$A$3:$I$42,8,FALSE))-(VLOOKUP($A28,'40Trips'!$A$3:$I$42,9,FALSE)),0)</f>
        <v>0</v>
      </c>
      <c r="O28">
        <f>IF(AND(SUM(VLOOKUP($A28,'40Trips'!$A$3:$I$42,2,FALSE),VLOOKUP(O$1,'40Trips'!$A$3:$I$42,2,FALSE))&lt;='40Trips'!$K$16,$A28&lt;&gt;O$1,gamma!O28=1),(VLOOKUP(O$1,'40Trips'!$A$3:$I$42,8,FALSE))-(VLOOKUP($A28,'40Trips'!$A$3:$I$42,9,FALSE)),0)</f>
        <v>0</v>
      </c>
      <c r="P28">
        <f>IF(AND(SUM(VLOOKUP($A28,'40Trips'!$A$3:$I$42,2,FALSE),VLOOKUP(P$1,'40Trips'!$A$3:$I$42,2,FALSE))&lt;='40Trips'!$K$16,$A28&lt;&gt;P$1,gamma!P28=1),(VLOOKUP(P$1,'40Trips'!$A$3:$I$42,8,FALSE))-(VLOOKUP($A28,'40Trips'!$A$3:$I$42,9,FALSE)),0)</f>
        <v>0</v>
      </c>
      <c r="Q28">
        <f>IF(AND(SUM(VLOOKUP($A28,'40Trips'!$A$3:$I$42,2,FALSE),VLOOKUP(Q$1,'40Trips'!$A$3:$I$42,2,FALSE))&lt;='40Trips'!$K$16,$A28&lt;&gt;Q$1,gamma!Q28=1),(VLOOKUP(Q$1,'40Trips'!$A$3:$I$42,8,FALSE))-(VLOOKUP($A28,'40Trips'!$A$3:$I$42,9,FALSE)),0)</f>
        <v>25</v>
      </c>
      <c r="R28">
        <f>IF(AND(SUM(VLOOKUP($A28,'40Trips'!$A$3:$I$42,2,FALSE),VLOOKUP(R$1,'40Trips'!$A$3:$I$42,2,FALSE))&lt;='40Trips'!$K$16,$A28&lt;&gt;R$1,gamma!R28=1),(VLOOKUP(R$1,'40Trips'!$A$3:$I$42,8,FALSE))-(VLOOKUP($A28,'40Trips'!$A$3:$I$42,9,FALSE)),0)</f>
        <v>115</v>
      </c>
      <c r="S28">
        <f>IF(AND(SUM(VLOOKUP($A28,'40Trips'!$A$3:$I$42,2,FALSE),VLOOKUP(S$1,'40Trips'!$A$3:$I$42,2,FALSE))&lt;='40Trips'!$K$16,$A28&lt;&gt;S$1,gamma!S28=1),(VLOOKUP(S$1,'40Trips'!$A$3:$I$42,8,FALSE))-(VLOOKUP($A28,'40Trips'!$A$3:$I$42,9,FALSE)),0)</f>
        <v>0</v>
      </c>
      <c r="T28">
        <f>IF(AND(SUM(VLOOKUP($A28,'40Trips'!$A$3:$I$42,2,FALSE),VLOOKUP(T$1,'40Trips'!$A$3:$I$42,2,FALSE))&lt;='40Trips'!$K$16,$A28&lt;&gt;T$1,gamma!T28=1),(VLOOKUP(T$1,'40Trips'!$A$3:$I$42,8,FALSE))-(VLOOKUP($A28,'40Trips'!$A$3:$I$42,9,FALSE)),0)</f>
        <v>0</v>
      </c>
      <c r="U28">
        <f>IF(AND(SUM(VLOOKUP($A28,'40Trips'!$A$3:$I$42,2,FALSE),VLOOKUP(U$1,'40Trips'!$A$3:$I$42,2,FALSE))&lt;='40Trips'!$K$16,$A28&lt;&gt;U$1,gamma!U28=1),(VLOOKUP(U$1,'40Trips'!$A$3:$I$42,8,FALSE))-(VLOOKUP($A28,'40Trips'!$A$3:$I$42,9,FALSE)),0)</f>
        <v>15</v>
      </c>
      <c r="V28">
        <f>IF(AND(SUM(VLOOKUP($A28,'40Trips'!$A$3:$I$42,2,FALSE),VLOOKUP(V$1,'40Trips'!$A$3:$I$42,2,FALSE))&lt;='40Trips'!$K$16,$A28&lt;&gt;V$1,gamma!V28=1),(VLOOKUP(V$1,'40Trips'!$A$3:$I$42,8,FALSE))-(VLOOKUP($A28,'40Trips'!$A$3:$I$42,9,FALSE)),0)</f>
        <v>165</v>
      </c>
      <c r="W28">
        <f>IF(AND(SUM(VLOOKUP($A28,'40Trips'!$A$3:$I$42,2,FALSE),VLOOKUP(W$1,'40Trips'!$A$3:$I$42,2,FALSE))&lt;='40Trips'!$K$16,$A28&lt;&gt;W$1,gamma!W28=1),(VLOOKUP(W$1,'40Trips'!$A$3:$I$42,8,FALSE))-(VLOOKUP($A28,'40Trips'!$A$3:$I$42,9,FALSE)),0)</f>
        <v>0</v>
      </c>
      <c r="X28">
        <f>IF(AND(SUM(VLOOKUP($A28,'40Trips'!$A$3:$I$42,2,FALSE),VLOOKUP(X$1,'40Trips'!$A$3:$I$42,2,FALSE))&lt;='40Trips'!$K$16,$A28&lt;&gt;X$1,gamma!X28=1),(VLOOKUP(X$1,'40Trips'!$A$3:$I$42,8,FALSE))-(VLOOKUP($A28,'40Trips'!$A$3:$I$42,9,FALSE)),0)</f>
        <v>0</v>
      </c>
      <c r="Y28">
        <f>IF(AND(SUM(VLOOKUP($A28,'40Trips'!$A$3:$I$42,2,FALSE),VLOOKUP(Y$1,'40Trips'!$A$3:$I$42,2,FALSE))&lt;='40Trips'!$K$16,$A28&lt;&gt;Y$1,gamma!Y28=1),(VLOOKUP(Y$1,'40Trips'!$A$3:$I$42,8,FALSE))-(VLOOKUP($A28,'40Trips'!$A$3:$I$42,9,FALSE)),0)</f>
        <v>75</v>
      </c>
      <c r="Z28">
        <f>IF(AND(SUM(VLOOKUP($A28,'40Trips'!$A$3:$I$42,2,FALSE),VLOOKUP(Z$1,'40Trips'!$A$3:$I$42,2,FALSE))&lt;='40Trips'!$K$16,$A28&lt;&gt;Z$1,gamma!Z28=1),(VLOOKUP(Z$1,'40Trips'!$A$3:$I$42,8,FALSE))-(VLOOKUP($A28,'40Trips'!$A$3:$I$42,9,FALSE)),0)</f>
        <v>135</v>
      </c>
      <c r="AA28">
        <f>IF(AND(SUM(VLOOKUP($A28,'40Trips'!$A$3:$I$42,2,FALSE),VLOOKUP(AA$1,'40Trips'!$A$3:$I$42,2,FALSE))&lt;='40Trips'!$K$16,$A28&lt;&gt;AA$1,gamma!AA28=1),(VLOOKUP(AA$1,'40Trips'!$A$3:$I$42,8,FALSE))-(VLOOKUP($A28,'40Trips'!$A$3:$I$42,9,FALSE)),0)</f>
        <v>0</v>
      </c>
      <c r="AB28">
        <f>IF(AND(SUM(VLOOKUP($A28,'40Trips'!$A$3:$I$42,2,FALSE),VLOOKUP(AB$1,'40Trips'!$A$3:$I$42,2,FALSE))&lt;='40Trips'!$K$16,$A28&lt;&gt;AB$1,gamma!AB28=1),(VLOOKUP(AB$1,'40Trips'!$A$3:$I$42,8,FALSE))-(VLOOKUP($A28,'40Trips'!$A$3:$I$42,9,FALSE)),0)</f>
        <v>0</v>
      </c>
      <c r="AC28">
        <f>IF(AND(SUM(VLOOKUP($A28,'40Trips'!$A$3:$I$42,2,FALSE),VLOOKUP(AC$1,'40Trips'!$A$3:$I$42,2,FALSE))&lt;='40Trips'!$K$16,$A28&lt;&gt;AC$1,gamma!AC28=1),(VLOOKUP(AC$1,'40Trips'!$A$3:$I$42,8,FALSE))-(VLOOKUP($A28,'40Trips'!$A$3:$I$42,9,FALSE)),0)</f>
        <v>115</v>
      </c>
      <c r="AD28">
        <f>IF(AND(SUM(VLOOKUP($A28,'40Trips'!$A$3:$I$42,2,FALSE),VLOOKUP(AD$1,'40Trips'!$A$3:$I$42,2,FALSE))&lt;='40Trips'!$K$16,$A28&lt;&gt;AD$1,gamma!AD28=1),(VLOOKUP(AD$1,'40Trips'!$A$3:$I$42,8,FALSE))-(VLOOKUP($A28,'40Trips'!$A$3:$I$42,9,FALSE)),0)</f>
        <v>165</v>
      </c>
      <c r="AE28">
        <f>IF(AND(SUM(VLOOKUP($A28,'40Trips'!$A$3:$I$42,2,FALSE),VLOOKUP(AE$1,'40Trips'!$A$3:$I$42,2,FALSE))&lt;='40Trips'!$K$16,$A28&lt;&gt;AE$1,gamma!AE28=1),(VLOOKUP(AE$1,'40Trips'!$A$3:$I$42,8,FALSE))-(VLOOKUP($A28,'40Trips'!$A$3:$I$42,9,FALSE)),0)</f>
        <v>0</v>
      </c>
      <c r="AF28">
        <f>IF(AND(SUM(VLOOKUP($A28,'40Trips'!$A$3:$I$42,2,FALSE),VLOOKUP(AF$1,'40Trips'!$A$3:$I$42,2,FALSE))&lt;='40Trips'!$K$16,$A28&lt;&gt;AF$1,gamma!AF28=1),(VLOOKUP(AF$1,'40Trips'!$A$3:$I$42,8,FALSE))-(VLOOKUP($A28,'40Trips'!$A$3:$I$42,9,FALSE)),0)</f>
        <v>0</v>
      </c>
      <c r="AG28">
        <f>IF(AND(SUM(VLOOKUP($A28,'40Trips'!$A$3:$I$42,2,FALSE),VLOOKUP(AG$1,'40Trips'!$A$3:$I$42,2,FALSE))&lt;='40Trips'!$K$16,$A28&lt;&gt;AG$1,gamma!AG28=1),(VLOOKUP(AG$1,'40Trips'!$A$3:$I$42,8,FALSE))-(VLOOKUP($A28,'40Trips'!$A$3:$I$42,9,FALSE)),0)</f>
        <v>0</v>
      </c>
      <c r="AH28">
        <f>IF(AND(SUM(VLOOKUP($A28,'40Trips'!$A$3:$I$42,2,FALSE),VLOOKUP(AH$1,'40Trips'!$A$3:$I$42,2,FALSE))&lt;='40Trips'!$K$16,$A28&lt;&gt;AH$1,gamma!AH28=1),(VLOOKUP(AH$1,'40Trips'!$A$3:$I$42,8,FALSE))-(VLOOKUP($A28,'40Trips'!$A$3:$I$42,9,FALSE)),0)</f>
        <v>0</v>
      </c>
      <c r="AI28">
        <f>IF(AND(SUM(VLOOKUP($A28,'40Trips'!$A$3:$I$42,2,FALSE),VLOOKUP(AI$1,'40Trips'!$A$3:$I$42,2,FALSE))&lt;='40Trips'!$K$16,$A28&lt;&gt;AI$1,gamma!AI28=1),(VLOOKUP(AI$1,'40Trips'!$A$3:$I$42,8,FALSE))-(VLOOKUP($A28,'40Trips'!$A$3:$I$42,9,FALSE)),0)</f>
        <v>0</v>
      </c>
      <c r="AJ28">
        <f>IF(AND(SUM(VLOOKUP($A28,'40Trips'!$A$3:$I$42,2,FALSE),VLOOKUP(AJ$1,'40Trips'!$A$3:$I$42,2,FALSE))&lt;='40Trips'!$K$16,$A28&lt;&gt;AJ$1,gamma!AJ28=1),(VLOOKUP(AJ$1,'40Trips'!$A$3:$I$42,8,FALSE))-(VLOOKUP($A28,'40Trips'!$A$3:$I$42,9,FALSE)),0)</f>
        <v>0</v>
      </c>
      <c r="AK28">
        <f>IF(AND(SUM(VLOOKUP($A28,'40Trips'!$A$3:$I$42,2,FALSE),VLOOKUP(AK$1,'40Trips'!$A$3:$I$42,2,FALSE))&lt;='40Trips'!$K$16,$A28&lt;&gt;AK$1,gamma!AK28=1),(VLOOKUP(AK$1,'40Trips'!$A$3:$I$42,8,FALSE))-(VLOOKUP($A28,'40Trips'!$A$3:$I$42,9,FALSE)),0)</f>
        <v>15</v>
      </c>
      <c r="AL28">
        <f>IF(AND(SUM(VLOOKUP($A28,'40Trips'!$A$3:$I$42,2,FALSE),VLOOKUP(AL$1,'40Trips'!$A$3:$I$42,2,FALSE))&lt;='40Trips'!$K$16,$A28&lt;&gt;AL$1,gamma!AL28=1),(VLOOKUP(AL$1,'40Trips'!$A$3:$I$42,8,FALSE))-(VLOOKUP($A28,'40Trips'!$A$3:$I$42,9,FALSE)),0)</f>
        <v>215</v>
      </c>
      <c r="AM28">
        <f>IF(AND(SUM(VLOOKUP($A28,'40Trips'!$A$3:$I$42,2,FALSE),VLOOKUP(AM$1,'40Trips'!$A$3:$I$42,2,FALSE))&lt;='40Trips'!$K$16,$A28&lt;&gt;AM$1,gamma!AM28=1),(VLOOKUP(AM$1,'40Trips'!$A$3:$I$42,8,FALSE))-(VLOOKUP($A28,'40Trips'!$A$3:$I$42,9,FALSE)),0)</f>
        <v>0</v>
      </c>
      <c r="AN28">
        <f>IF(AND(SUM(VLOOKUP($A28,'40Trips'!$A$3:$I$42,2,FALSE),VLOOKUP(AN$1,'40Trips'!$A$3:$I$42,2,FALSE))&lt;='40Trips'!$K$16,$A28&lt;&gt;AN$1,gamma!AN28=1),(VLOOKUP(AN$1,'40Trips'!$A$3:$I$42,8,FALSE))-(VLOOKUP($A28,'40Trips'!$A$3:$I$42,9,FALSE)),0)</f>
        <v>0</v>
      </c>
      <c r="AO28">
        <f>IF(AND(SUM(VLOOKUP($A28,'40Trips'!$A$3:$I$42,2,FALSE),VLOOKUP(AO$1,'40Trips'!$A$3:$I$42,2,FALSE))&lt;='40Trips'!$K$16,$A28&lt;&gt;AO$1,gamma!AO28=1),(VLOOKUP(AO$1,'40Trips'!$A$3:$I$42,8,FALSE))-(VLOOKUP($A28,'40Trips'!$A$3:$I$42,9,FALSE)),0)</f>
        <v>0</v>
      </c>
      <c r="AP28">
        <f>IF(AND(SUM(VLOOKUP($A28,'40Trips'!$A$3:$I$42,2,FALSE),VLOOKUP(AP$1,'40Trips'!$A$3:$I$42,2,FALSE))&lt;='40Trips'!$K$16,$A28&lt;&gt;AP$1,gamma!AP28=1),(VLOOKUP(AP$1,'40Trips'!$A$3:$I$42,8,FALSE))-(VLOOKUP($A28,'40Trips'!$A$3:$I$42,9,FALSE)),0)</f>
        <v>180</v>
      </c>
    </row>
    <row r="29" spans="1:42" x14ac:dyDescent="0.25">
      <c r="A29" t="s">
        <v>81</v>
      </c>
      <c r="B29">
        <v>0</v>
      </c>
      <c r="C29">
        <f>IF(AND(SUM(VLOOKUP($A29,'40Trips'!$A$3:$I$42,2,FALSE),VLOOKUP(C$1,'40Trips'!$A$3:$I$42,2,FALSE))&lt;='40Trips'!$K$16,$A29&lt;&gt;C$1,gamma!C29=1),(VLOOKUP(C$1,'40Trips'!$A$3:$I$42,8,FALSE))-(VLOOKUP($A29,'40Trips'!$A$3:$I$42,9,FALSE)),0)</f>
        <v>0</v>
      </c>
      <c r="D29">
        <f>IF(AND(SUM(VLOOKUP($A29,'40Trips'!$A$3:$I$42,2,FALSE),VLOOKUP(D$1,'40Trips'!$A$3:$I$42,2,FALSE))&lt;='40Trips'!$K$16,$A29&lt;&gt;D$1,gamma!D29=1),(VLOOKUP(D$1,'40Trips'!$A$3:$I$42,8,FALSE))-(VLOOKUP($A29,'40Trips'!$A$3:$I$42,9,FALSE)),0)</f>
        <v>0</v>
      </c>
      <c r="E29">
        <f>IF(AND(SUM(VLOOKUP($A29,'40Trips'!$A$3:$I$42,2,FALSE),VLOOKUP(E$1,'40Trips'!$A$3:$I$42,2,FALSE))&lt;='40Trips'!$K$16,$A29&lt;&gt;E$1,gamma!E29=1),(VLOOKUP(E$1,'40Trips'!$A$3:$I$42,8,FALSE))-(VLOOKUP($A29,'40Trips'!$A$3:$I$42,9,FALSE)),0)</f>
        <v>0</v>
      </c>
      <c r="F29">
        <f>IF(AND(SUM(VLOOKUP($A29,'40Trips'!$A$3:$I$42,2,FALSE),VLOOKUP(F$1,'40Trips'!$A$3:$I$42,2,FALSE))&lt;='40Trips'!$K$16,$A29&lt;&gt;F$1,gamma!F29=1),(VLOOKUP(F$1,'40Trips'!$A$3:$I$42,8,FALSE))-(VLOOKUP($A29,'40Trips'!$A$3:$I$42,9,FALSE)),0)</f>
        <v>0</v>
      </c>
      <c r="G29">
        <f>IF(AND(SUM(VLOOKUP($A29,'40Trips'!$A$3:$I$42,2,FALSE),VLOOKUP(G$1,'40Trips'!$A$3:$I$42,2,FALSE))&lt;='40Trips'!$K$16,$A29&lt;&gt;G$1,gamma!G29=1),(VLOOKUP(G$1,'40Trips'!$A$3:$I$42,8,FALSE))-(VLOOKUP($A29,'40Trips'!$A$3:$I$42,9,FALSE)),0)</f>
        <v>0</v>
      </c>
      <c r="H29">
        <f>IF(AND(SUM(VLOOKUP($A29,'40Trips'!$A$3:$I$42,2,FALSE),VLOOKUP(H$1,'40Trips'!$A$3:$I$42,2,FALSE))&lt;='40Trips'!$K$16,$A29&lt;&gt;H$1,gamma!H29=1),(VLOOKUP(H$1,'40Trips'!$A$3:$I$42,8,FALSE))-(VLOOKUP($A29,'40Trips'!$A$3:$I$42,9,FALSE)),0)</f>
        <v>0</v>
      </c>
      <c r="I29">
        <f>IF(AND(SUM(VLOOKUP($A29,'40Trips'!$A$3:$I$42,2,FALSE),VLOOKUP(I$1,'40Trips'!$A$3:$I$42,2,FALSE))&lt;='40Trips'!$K$16,$A29&lt;&gt;I$1,gamma!I29=1),(VLOOKUP(I$1,'40Trips'!$A$3:$I$42,8,FALSE))-(VLOOKUP($A29,'40Trips'!$A$3:$I$42,9,FALSE)),0)</f>
        <v>0</v>
      </c>
      <c r="J29">
        <f>IF(AND(SUM(VLOOKUP($A29,'40Trips'!$A$3:$I$42,2,FALSE),VLOOKUP(J$1,'40Trips'!$A$3:$I$42,2,FALSE))&lt;='40Trips'!$K$16,$A29&lt;&gt;J$1,gamma!J29=1),(VLOOKUP(J$1,'40Trips'!$A$3:$I$42,8,FALSE))-(VLOOKUP($A29,'40Trips'!$A$3:$I$42,9,FALSE)),0)</f>
        <v>135</v>
      </c>
      <c r="K29">
        <f>IF(AND(SUM(VLOOKUP($A29,'40Trips'!$A$3:$I$42,2,FALSE),VLOOKUP(K$1,'40Trips'!$A$3:$I$42,2,FALSE))&lt;='40Trips'!$K$16,$A29&lt;&gt;K$1,gamma!K29=1),(VLOOKUP(K$1,'40Trips'!$A$3:$I$42,8,FALSE))-(VLOOKUP($A29,'40Trips'!$A$3:$I$42,9,FALSE)),0)</f>
        <v>0</v>
      </c>
      <c r="L29">
        <f>IF(AND(SUM(VLOOKUP($A29,'40Trips'!$A$3:$I$42,2,FALSE),VLOOKUP(L$1,'40Trips'!$A$3:$I$42,2,FALSE))&lt;='40Trips'!$K$16,$A29&lt;&gt;L$1,gamma!L29=1),(VLOOKUP(L$1,'40Trips'!$A$3:$I$42,8,FALSE))-(VLOOKUP($A29,'40Trips'!$A$3:$I$42,9,FALSE)),0)</f>
        <v>0</v>
      </c>
      <c r="M29">
        <f>IF(AND(SUM(VLOOKUP($A29,'40Trips'!$A$3:$I$42,2,FALSE),VLOOKUP(M$1,'40Trips'!$A$3:$I$42,2,FALSE))&lt;='40Trips'!$K$16,$A29&lt;&gt;M$1,gamma!M29=1),(VLOOKUP(M$1,'40Trips'!$A$3:$I$42,8,FALSE))-(VLOOKUP($A29,'40Trips'!$A$3:$I$42,9,FALSE)),0)</f>
        <v>0</v>
      </c>
      <c r="N29">
        <f>IF(AND(SUM(VLOOKUP($A29,'40Trips'!$A$3:$I$42,2,FALSE),VLOOKUP(N$1,'40Trips'!$A$3:$I$42,2,FALSE))&lt;='40Trips'!$K$16,$A29&lt;&gt;N$1,gamma!N29=1),(VLOOKUP(N$1,'40Trips'!$A$3:$I$42,8,FALSE))-(VLOOKUP($A29,'40Trips'!$A$3:$I$42,9,FALSE)),0)</f>
        <v>0</v>
      </c>
      <c r="O29">
        <f>IF(AND(SUM(VLOOKUP($A29,'40Trips'!$A$3:$I$42,2,FALSE),VLOOKUP(O$1,'40Trips'!$A$3:$I$42,2,FALSE))&lt;='40Trips'!$K$16,$A29&lt;&gt;O$1,gamma!O29=1),(VLOOKUP(O$1,'40Trips'!$A$3:$I$42,8,FALSE))-(VLOOKUP($A29,'40Trips'!$A$3:$I$42,9,FALSE)),0)</f>
        <v>0</v>
      </c>
      <c r="P29">
        <f>IF(AND(SUM(VLOOKUP($A29,'40Trips'!$A$3:$I$42,2,FALSE),VLOOKUP(P$1,'40Trips'!$A$3:$I$42,2,FALSE))&lt;='40Trips'!$K$16,$A29&lt;&gt;P$1,gamma!P29=1),(VLOOKUP(P$1,'40Trips'!$A$3:$I$42,8,FALSE))-(VLOOKUP($A29,'40Trips'!$A$3:$I$42,9,FALSE)),0)</f>
        <v>0</v>
      </c>
      <c r="Q29">
        <f>IF(AND(SUM(VLOOKUP($A29,'40Trips'!$A$3:$I$42,2,FALSE),VLOOKUP(Q$1,'40Trips'!$A$3:$I$42,2,FALSE))&lt;='40Trips'!$K$16,$A29&lt;&gt;Q$1,gamma!Q29=1),(VLOOKUP(Q$1,'40Trips'!$A$3:$I$42,8,FALSE))-(VLOOKUP($A29,'40Trips'!$A$3:$I$42,9,FALSE)),0)</f>
        <v>0</v>
      </c>
      <c r="R29">
        <f>IF(AND(SUM(VLOOKUP($A29,'40Trips'!$A$3:$I$42,2,FALSE),VLOOKUP(R$1,'40Trips'!$A$3:$I$42,2,FALSE))&lt;='40Trips'!$K$16,$A29&lt;&gt;R$1,gamma!R29=1),(VLOOKUP(R$1,'40Trips'!$A$3:$I$42,8,FALSE))-(VLOOKUP($A29,'40Trips'!$A$3:$I$42,9,FALSE)),0)</f>
        <v>0</v>
      </c>
      <c r="S29">
        <f>IF(AND(SUM(VLOOKUP($A29,'40Trips'!$A$3:$I$42,2,FALSE),VLOOKUP(S$1,'40Trips'!$A$3:$I$42,2,FALSE))&lt;='40Trips'!$K$16,$A29&lt;&gt;S$1,gamma!S29=1),(VLOOKUP(S$1,'40Trips'!$A$3:$I$42,8,FALSE))-(VLOOKUP($A29,'40Trips'!$A$3:$I$42,9,FALSE)),0)</f>
        <v>0</v>
      </c>
      <c r="T29">
        <f>IF(AND(SUM(VLOOKUP($A29,'40Trips'!$A$3:$I$42,2,FALSE),VLOOKUP(T$1,'40Trips'!$A$3:$I$42,2,FALSE))&lt;='40Trips'!$K$16,$A29&lt;&gt;T$1,gamma!T29=1),(VLOOKUP(T$1,'40Trips'!$A$3:$I$42,8,FALSE))-(VLOOKUP($A29,'40Trips'!$A$3:$I$42,9,FALSE)),0)</f>
        <v>0</v>
      </c>
      <c r="U29">
        <f>IF(AND(SUM(VLOOKUP($A29,'40Trips'!$A$3:$I$42,2,FALSE),VLOOKUP(U$1,'40Trips'!$A$3:$I$42,2,FALSE))&lt;='40Trips'!$K$16,$A29&lt;&gt;U$1,gamma!U29=1),(VLOOKUP(U$1,'40Trips'!$A$3:$I$42,8,FALSE))-(VLOOKUP($A29,'40Trips'!$A$3:$I$42,9,FALSE)),0)</f>
        <v>0</v>
      </c>
      <c r="V29">
        <f>IF(AND(SUM(VLOOKUP($A29,'40Trips'!$A$3:$I$42,2,FALSE),VLOOKUP(V$1,'40Trips'!$A$3:$I$42,2,FALSE))&lt;='40Trips'!$K$16,$A29&lt;&gt;V$1,gamma!V29=1),(VLOOKUP(V$1,'40Trips'!$A$3:$I$42,8,FALSE))-(VLOOKUP($A29,'40Trips'!$A$3:$I$42,9,FALSE)),0)</f>
        <v>0</v>
      </c>
      <c r="W29">
        <f>IF(AND(SUM(VLOOKUP($A29,'40Trips'!$A$3:$I$42,2,FALSE),VLOOKUP(W$1,'40Trips'!$A$3:$I$42,2,FALSE))&lt;='40Trips'!$K$16,$A29&lt;&gt;W$1,gamma!W29=1),(VLOOKUP(W$1,'40Trips'!$A$3:$I$42,8,FALSE))-(VLOOKUP($A29,'40Trips'!$A$3:$I$42,9,FALSE)),0)</f>
        <v>0</v>
      </c>
      <c r="X29">
        <f>IF(AND(SUM(VLOOKUP($A29,'40Trips'!$A$3:$I$42,2,FALSE),VLOOKUP(X$1,'40Trips'!$A$3:$I$42,2,FALSE))&lt;='40Trips'!$K$16,$A29&lt;&gt;X$1,gamma!X29=1),(VLOOKUP(X$1,'40Trips'!$A$3:$I$42,8,FALSE))-(VLOOKUP($A29,'40Trips'!$A$3:$I$42,9,FALSE)),0)</f>
        <v>0</v>
      </c>
      <c r="Y29">
        <f>IF(AND(SUM(VLOOKUP($A29,'40Trips'!$A$3:$I$42,2,FALSE),VLOOKUP(Y$1,'40Trips'!$A$3:$I$42,2,FALSE))&lt;='40Trips'!$K$16,$A29&lt;&gt;Y$1,gamma!Y29=1),(VLOOKUP(Y$1,'40Trips'!$A$3:$I$42,8,FALSE))-(VLOOKUP($A29,'40Trips'!$A$3:$I$42,9,FALSE)),0)</f>
        <v>0</v>
      </c>
      <c r="Z29">
        <f>IF(AND(SUM(VLOOKUP($A29,'40Trips'!$A$3:$I$42,2,FALSE),VLOOKUP(Z$1,'40Trips'!$A$3:$I$42,2,FALSE))&lt;='40Trips'!$K$16,$A29&lt;&gt;Z$1,gamma!Z29=1),(VLOOKUP(Z$1,'40Trips'!$A$3:$I$42,8,FALSE))-(VLOOKUP($A29,'40Trips'!$A$3:$I$42,9,FALSE)),0)</f>
        <v>0</v>
      </c>
      <c r="AA29">
        <f>IF(AND(SUM(VLOOKUP($A29,'40Trips'!$A$3:$I$42,2,FALSE),VLOOKUP(AA$1,'40Trips'!$A$3:$I$42,2,FALSE))&lt;='40Trips'!$K$16,$A29&lt;&gt;AA$1,gamma!AA29=1),(VLOOKUP(AA$1,'40Trips'!$A$3:$I$42,8,FALSE))-(VLOOKUP($A29,'40Trips'!$A$3:$I$42,9,FALSE)),0)</f>
        <v>0</v>
      </c>
      <c r="AB29">
        <f>IF(AND(SUM(VLOOKUP($A29,'40Trips'!$A$3:$I$42,2,FALSE),VLOOKUP(AB$1,'40Trips'!$A$3:$I$42,2,FALSE))&lt;='40Trips'!$K$16,$A29&lt;&gt;AB$1,gamma!AB29=1),(VLOOKUP(AB$1,'40Trips'!$A$3:$I$42,8,FALSE))-(VLOOKUP($A29,'40Trips'!$A$3:$I$42,9,FALSE)),0)</f>
        <v>0</v>
      </c>
      <c r="AC29">
        <f>IF(AND(SUM(VLOOKUP($A29,'40Trips'!$A$3:$I$42,2,FALSE),VLOOKUP(AC$1,'40Trips'!$A$3:$I$42,2,FALSE))&lt;='40Trips'!$K$16,$A29&lt;&gt;AC$1,gamma!AC29=1),(VLOOKUP(AC$1,'40Trips'!$A$3:$I$42,8,FALSE))-(VLOOKUP($A29,'40Trips'!$A$3:$I$42,9,FALSE)),0)</f>
        <v>0</v>
      </c>
      <c r="AD29">
        <f>IF(AND(SUM(VLOOKUP($A29,'40Trips'!$A$3:$I$42,2,FALSE),VLOOKUP(AD$1,'40Trips'!$A$3:$I$42,2,FALSE))&lt;='40Trips'!$K$16,$A29&lt;&gt;AD$1,gamma!AD29=1),(VLOOKUP(AD$1,'40Trips'!$A$3:$I$42,8,FALSE))-(VLOOKUP($A29,'40Trips'!$A$3:$I$42,9,FALSE)),0)</f>
        <v>0</v>
      </c>
      <c r="AE29">
        <f>IF(AND(SUM(VLOOKUP($A29,'40Trips'!$A$3:$I$42,2,FALSE),VLOOKUP(AE$1,'40Trips'!$A$3:$I$42,2,FALSE))&lt;='40Trips'!$K$16,$A29&lt;&gt;AE$1,gamma!AE29=1),(VLOOKUP(AE$1,'40Trips'!$A$3:$I$42,8,FALSE))-(VLOOKUP($A29,'40Trips'!$A$3:$I$42,9,FALSE)),0)</f>
        <v>0</v>
      </c>
      <c r="AF29">
        <f>IF(AND(SUM(VLOOKUP($A29,'40Trips'!$A$3:$I$42,2,FALSE),VLOOKUP(AF$1,'40Trips'!$A$3:$I$42,2,FALSE))&lt;='40Trips'!$K$16,$A29&lt;&gt;AF$1,gamma!AF29=1),(VLOOKUP(AF$1,'40Trips'!$A$3:$I$42,8,FALSE))-(VLOOKUP($A29,'40Trips'!$A$3:$I$42,9,FALSE)),0)</f>
        <v>0</v>
      </c>
      <c r="AG29">
        <f>IF(AND(SUM(VLOOKUP($A29,'40Trips'!$A$3:$I$42,2,FALSE),VLOOKUP(AG$1,'40Trips'!$A$3:$I$42,2,FALSE))&lt;='40Trips'!$K$16,$A29&lt;&gt;AG$1,gamma!AG29=1),(VLOOKUP(AG$1,'40Trips'!$A$3:$I$42,8,FALSE))-(VLOOKUP($A29,'40Trips'!$A$3:$I$42,9,FALSE)),0)</f>
        <v>0</v>
      </c>
      <c r="AH29">
        <f>IF(AND(SUM(VLOOKUP($A29,'40Trips'!$A$3:$I$42,2,FALSE),VLOOKUP(AH$1,'40Trips'!$A$3:$I$42,2,FALSE))&lt;='40Trips'!$K$16,$A29&lt;&gt;AH$1,gamma!AH29=1),(VLOOKUP(AH$1,'40Trips'!$A$3:$I$42,8,FALSE))-(VLOOKUP($A29,'40Trips'!$A$3:$I$42,9,FALSE)),0)</f>
        <v>0</v>
      </c>
      <c r="AI29">
        <f>IF(AND(SUM(VLOOKUP($A29,'40Trips'!$A$3:$I$42,2,FALSE),VLOOKUP(AI$1,'40Trips'!$A$3:$I$42,2,FALSE))&lt;='40Trips'!$K$16,$A29&lt;&gt;AI$1,gamma!AI29=1),(VLOOKUP(AI$1,'40Trips'!$A$3:$I$42,8,FALSE))-(VLOOKUP($A29,'40Trips'!$A$3:$I$42,9,FALSE)),0)</f>
        <v>0</v>
      </c>
      <c r="AJ29">
        <f>IF(AND(SUM(VLOOKUP($A29,'40Trips'!$A$3:$I$42,2,FALSE),VLOOKUP(AJ$1,'40Trips'!$A$3:$I$42,2,FALSE))&lt;='40Trips'!$K$16,$A29&lt;&gt;AJ$1,gamma!AJ29=1),(VLOOKUP(AJ$1,'40Trips'!$A$3:$I$42,8,FALSE))-(VLOOKUP($A29,'40Trips'!$A$3:$I$42,9,FALSE)),0)</f>
        <v>0</v>
      </c>
      <c r="AK29">
        <f>IF(AND(SUM(VLOOKUP($A29,'40Trips'!$A$3:$I$42,2,FALSE),VLOOKUP(AK$1,'40Trips'!$A$3:$I$42,2,FALSE))&lt;='40Trips'!$K$16,$A29&lt;&gt;AK$1,gamma!AK29=1),(VLOOKUP(AK$1,'40Trips'!$A$3:$I$42,8,FALSE))-(VLOOKUP($A29,'40Trips'!$A$3:$I$42,9,FALSE)),0)</f>
        <v>0</v>
      </c>
      <c r="AL29">
        <f>IF(AND(SUM(VLOOKUP($A29,'40Trips'!$A$3:$I$42,2,FALSE),VLOOKUP(AL$1,'40Trips'!$A$3:$I$42,2,FALSE))&lt;='40Trips'!$K$16,$A29&lt;&gt;AL$1,gamma!AL29=1),(VLOOKUP(AL$1,'40Trips'!$A$3:$I$42,8,FALSE))-(VLOOKUP($A29,'40Trips'!$A$3:$I$42,9,FALSE)),0)</f>
        <v>0</v>
      </c>
      <c r="AM29">
        <f>IF(AND(SUM(VLOOKUP($A29,'40Trips'!$A$3:$I$42,2,FALSE),VLOOKUP(AM$1,'40Trips'!$A$3:$I$42,2,FALSE))&lt;='40Trips'!$K$16,$A29&lt;&gt;AM$1,gamma!AM29=1),(VLOOKUP(AM$1,'40Trips'!$A$3:$I$42,8,FALSE))-(VLOOKUP($A29,'40Trips'!$A$3:$I$42,9,FALSE)),0)</f>
        <v>0</v>
      </c>
      <c r="AN29">
        <f>IF(AND(SUM(VLOOKUP($A29,'40Trips'!$A$3:$I$42,2,FALSE),VLOOKUP(AN$1,'40Trips'!$A$3:$I$42,2,FALSE))&lt;='40Trips'!$K$16,$A29&lt;&gt;AN$1,gamma!AN29=1),(VLOOKUP(AN$1,'40Trips'!$A$3:$I$42,8,FALSE))-(VLOOKUP($A29,'40Trips'!$A$3:$I$42,9,FALSE)),0)</f>
        <v>0</v>
      </c>
      <c r="AO29">
        <f>IF(AND(SUM(VLOOKUP($A29,'40Trips'!$A$3:$I$42,2,FALSE),VLOOKUP(AO$1,'40Trips'!$A$3:$I$42,2,FALSE))&lt;='40Trips'!$K$16,$A29&lt;&gt;AO$1,gamma!AO29=1),(VLOOKUP(AO$1,'40Trips'!$A$3:$I$42,8,FALSE))-(VLOOKUP($A29,'40Trips'!$A$3:$I$42,9,FALSE)),0)</f>
        <v>0</v>
      </c>
      <c r="AP29">
        <f>IF(AND(SUM(VLOOKUP($A29,'40Trips'!$A$3:$I$42,2,FALSE),VLOOKUP(AP$1,'40Trips'!$A$3:$I$42,2,FALSE))&lt;='40Trips'!$K$16,$A29&lt;&gt;AP$1,gamma!AP29=1),(VLOOKUP(AP$1,'40Trips'!$A$3:$I$42,8,FALSE))-(VLOOKUP($A29,'40Trips'!$A$3:$I$42,9,FALSE)),0)</f>
        <v>0</v>
      </c>
    </row>
    <row r="30" spans="1:42" x14ac:dyDescent="0.25">
      <c r="A30" t="s">
        <v>82</v>
      </c>
      <c r="B30">
        <v>0</v>
      </c>
      <c r="C30">
        <f>IF(AND(SUM(VLOOKUP($A30,'40Trips'!$A$3:$I$42,2,FALSE),VLOOKUP(C$1,'40Trips'!$A$3:$I$42,2,FALSE))&lt;='40Trips'!$K$16,$A30&lt;&gt;C$1,gamma!C30=1),(VLOOKUP(C$1,'40Trips'!$A$3:$I$42,8,FALSE))-(VLOOKUP($A30,'40Trips'!$A$3:$I$42,9,FALSE)),0)</f>
        <v>0</v>
      </c>
      <c r="D30">
        <f>IF(AND(SUM(VLOOKUP($A30,'40Trips'!$A$3:$I$42,2,FALSE),VLOOKUP(D$1,'40Trips'!$A$3:$I$42,2,FALSE))&lt;='40Trips'!$K$16,$A30&lt;&gt;D$1,gamma!D30=1),(VLOOKUP(D$1,'40Trips'!$A$3:$I$42,8,FALSE))-(VLOOKUP($A30,'40Trips'!$A$3:$I$42,9,FALSE)),0)</f>
        <v>0</v>
      </c>
      <c r="E30">
        <f>IF(AND(SUM(VLOOKUP($A30,'40Trips'!$A$3:$I$42,2,FALSE),VLOOKUP(E$1,'40Trips'!$A$3:$I$42,2,FALSE))&lt;='40Trips'!$K$16,$A30&lt;&gt;E$1,gamma!E30=1),(VLOOKUP(E$1,'40Trips'!$A$3:$I$42,8,FALSE))-(VLOOKUP($A30,'40Trips'!$A$3:$I$42,9,FALSE)),0)</f>
        <v>0</v>
      </c>
      <c r="F30">
        <f>IF(AND(SUM(VLOOKUP($A30,'40Trips'!$A$3:$I$42,2,FALSE),VLOOKUP(F$1,'40Trips'!$A$3:$I$42,2,FALSE))&lt;='40Trips'!$K$16,$A30&lt;&gt;F$1,gamma!F30=1),(VLOOKUP(F$1,'40Trips'!$A$3:$I$42,8,FALSE))-(VLOOKUP($A30,'40Trips'!$A$3:$I$42,9,FALSE)),0)</f>
        <v>0</v>
      </c>
      <c r="G30">
        <f>IF(AND(SUM(VLOOKUP($A30,'40Trips'!$A$3:$I$42,2,FALSE),VLOOKUP(G$1,'40Trips'!$A$3:$I$42,2,FALSE))&lt;='40Trips'!$K$16,$A30&lt;&gt;G$1,gamma!G30=1),(VLOOKUP(G$1,'40Trips'!$A$3:$I$42,8,FALSE))-(VLOOKUP($A30,'40Trips'!$A$3:$I$42,9,FALSE)),0)</f>
        <v>0</v>
      </c>
      <c r="H30">
        <f>IF(AND(SUM(VLOOKUP($A30,'40Trips'!$A$3:$I$42,2,FALSE),VLOOKUP(H$1,'40Trips'!$A$3:$I$42,2,FALSE))&lt;='40Trips'!$K$16,$A30&lt;&gt;H$1,gamma!H30=1),(VLOOKUP(H$1,'40Trips'!$A$3:$I$42,8,FALSE))-(VLOOKUP($A30,'40Trips'!$A$3:$I$42,9,FALSE)),0)</f>
        <v>0</v>
      </c>
      <c r="I30">
        <f>IF(AND(SUM(VLOOKUP($A30,'40Trips'!$A$3:$I$42,2,FALSE),VLOOKUP(I$1,'40Trips'!$A$3:$I$42,2,FALSE))&lt;='40Trips'!$K$16,$A30&lt;&gt;I$1,gamma!I30=1),(VLOOKUP(I$1,'40Trips'!$A$3:$I$42,8,FALSE))-(VLOOKUP($A30,'40Trips'!$A$3:$I$42,9,FALSE)),0)</f>
        <v>0</v>
      </c>
      <c r="J30">
        <f>IF(AND(SUM(VLOOKUP($A30,'40Trips'!$A$3:$I$42,2,FALSE),VLOOKUP(J$1,'40Trips'!$A$3:$I$42,2,FALSE))&lt;='40Trips'!$K$16,$A30&lt;&gt;J$1,gamma!J30=1),(VLOOKUP(J$1,'40Trips'!$A$3:$I$42,8,FALSE))-(VLOOKUP($A30,'40Trips'!$A$3:$I$42,9,FALSE)),0)</f>
        <v>75</v>
      </c>
      <c r="K30">
        <f>IF(AND(SUM(VLOOKUP($A30,'40Trips'!$A$3:$I$42,2,FALSE),VLOOKUP(K$1,'40Trips'!$A$3:$I$42,2,FALSE))&lt;='40Trips'!$K$16,$A30&lt;&gt;K$1,gamma!K30=1),(VLOOKUP(K$1,'40Trips'!$A$3:$I$42,8,FALSE))-(VLOOKUP($A30,'40Trips'!$A$3:$I$42,9,FALSE)),0)</f>
        <v>0</v>
      </c>
      <c r="L30">
        <f>IF(AND(SUM(VLOOKUP($A30,'40Trips'!$A$3:$I$42,2,FALSE),VLOOKUP(L$1,'40Trips'!$A$3:$I$42,2,FALSE))&lt;='40Trips'!$K$16,$A30&lt;&gt;L$1,gamma!L30=1),(VLOOKUP(L$1,'40Trips'!$A$3:$I$42,8,FALSE))-(VLOOKUP($A30,'40Trips'!$A$3:$I$42,9,FALSE)),0)</f>
        <v>0</v>
      </c>
      <c r="M30">
        <f>IF(AND(SUM(VLOOKUP($A30,'40Trips'!$A$3:$I$42,2,FALSE),VLOOKUP(M$1,'40Trips'!$A$3:$I$42,2,FALSE))&lt;='40Trips'!$K$16,$A30&lt;&gt;M$1,gamma!M30=1),(VLOOKUP(M$1,'40Trips'!$A$3:$I$42,8,FALSE))-(VLOOKUP($A30,'40Trips'!$A$3:$I$42,9,FALSE)),0)</f>
        <v>0</v>
      </c>
      <c r="N30">
        <f>IF(AND(SUM(VLOOKUP($A30,'40Trips'!$A$3:$I$42,2,FALSE),VLOOKUP(N$1,'40Trips'!$A$3:$I$42,2,FALSE))&lt;='40Trips'!$K$16,$A30&lt;&gt;N$1,gamma!N30=1),(VLOOKUP(N$1,'40Trips'!$A$3:$I$42,8,FALSE))-(VLOOKUP($A30,'40Trips'!$A$3:$I$42,9,FALSE)),0)</f>
        <v>0</v>
      </c>
      <c r="O30">
        <f>IF(AND(SUM(VLOOKUP($A30,'40Trips'!$A$3:$I$42,2,FALSE),VLOOKUP(O$1,'40Trips'!$A$3:$I$42,2,FALSE))&lt;='40Trips'!$K$16,$A30&lt;&gt;O$1,gamma!O30=1),(VLOOKUP(O$1,'40Trips'!$A$3:$I$42,8,FALSE))-(VLOOKUP($A30,'40Trips'!$A$3:$I$42,9,FALSE)),0)</f>
        <v>0</v>
      </c>
      <c r="P30">
        <f>IF(AND(SUM(VLOOKUP($A30,'40Trips'!$A$3:$I$42,2,FALSE),VLOOKUP(P$1,'40Trips'!$A$3:$I$42,2,FALSE))&lt;='40Trips'!$K$16,$A30&lt;&gt;P$1,gamma!P30=1),(VLOOKUP(P$1,'40Trips'!$A$3:$I$42,8,FALSE))-(VLOOKUP($A30,'40Trips'!$A$3:$I$42,9,FALSE)),0)</f>
        <v>0</v>
      </c>
      <c r="Q30">
        <f>IF(AND(SUM(VLOOKUP($A30,'40Trips'!$A$3:$I$42,2,FALSE),VLOOKUP(Q$1,'40Trips'!$A$3:$I$42,2,FALSE))&lt;='40Trips'!$K$16,$A30&lt;&gt;Q$1,gamma!Q30=1),(VLOOKUP(Q$1,'40Trips'!$A$3:$I$42,8,FALSE))-(VLOOKUP($A30,'40Trips'!$A$3:$I$42,9,FALSE)),0)</f>
        <v>0</v>
      </c>
      <c r="R30">
        <f>IF(AND(SUM(VLOOKUP($A30,'40Trips'!$A$3:$I$42,2,FALSE),VLOOKUP(R$1,'40Trips'!$A$3:$I$42,2,FALSE))&lt;='40Trips'!$K$16,$A30&lt;&gt;R$1,gamma!R30=1),(VLOOKUP(R$1,'40Trips'!$A$3:$I$42,8,FALSE))-(VLOOKUP($A30,'40Trips'!$A$3:$I$42,9,FALSE)),0)</f>
        <v>0</v>
      </c>
      <c r="S30">
        <f>IF(AND(SUM(VLOOKUP($A30,'40Trips'!$A$3:$I$42,2,FALSE),VLOOKUP(S$1,'40Trips'!$A$3:$I$42,2,FALSE))&lt;='40Trips'!$K$16,$A30&lt;&gt;S$1,gamma!S30=1),(VLOOKUP(S$1,'40Trips'!$A$3:$I$42,8,FALSE))-(VLOOKUP($A30,'40Trips'!$A$3:$I$42,9,FALSE)),0)</f>
        <v>0</v>
      </c>
      <c r="T30">
        <f>IF(AND(SUM(VLOOKUP($A30,'40Trips'!$A$3:$I$42,2,FALSE),VLOOKUP(T$1,'40Trips'!$A$3:$I$42,2,FALSE))&lt;='40Trips'!$K$16,$A30&lt;&gt;T$1,gamma!T30=1),(VLOOKUP(T$1,'40Trips'!$A$3:$I$42,8,FALSE))-(VLOOKUP($A30,'40Trips'!$A$3:$I$42,9,FALSE)),0)</f>
        <v>0</v>
      </c>
      <c r="U30">
        <f>IF(AND(SUM(VLOOKUP($A30,'40Trips'!$A$3:$I$42,2,FALSE),VLOOKUP(U$1,'40Trips'!$A$3:$I$42,2,FALSE))&lt;='40Trips'!$K$16,$A30&lt;&gt;U$1,gamma!U30=1),(VLOOKUP(U$1,'40Trips'!$A$3:$I$42,8,FALSE))-(VLOOKUP($A30,'40Trips'!$A$3:$I$42,9,FALSE)),0)</f>
        <v>0</v>
      </c>
      <c r="V30">
        <f>IF(AND(SUM(VLOOKUP($A30,'40Trips'!$A$3:$I$42,2,FALSE),VLOOKUP(V$1,'40Trips'!$A$3:$I$42,2,FALSE))&lt;='40Trips'!$K$16,$A30&lt;&gt;V$1,gamma!V30=1),(VLOOKUP(V$1,'40Trips'!$A$3:$I$42,8,FALSE))-(VLOOKUP($A30,'40Trips'!$A$3:$I$42,9,FALSE)),0)</f>
        <v>0</v>
      </c>
      <c r="W30">
        <f>IF(AND(SUM(VLOOKUP($A30,'40Trips'!$A$3:$I$42,2,FALSE),VLOOKUP(W$1,'40Trips'!$A$3:$I$42,2,FALSE))&lt;='40Trips'!$K$16,$A30&lt;&gt;W$1,gamma!W30=1),(VLOOKUP(W$1,'40Trips'!$A$3:$I$42,8,FALSE))-(VLOOKUP($A30,'40Trips'!$A$3:$I$42,9,FALSE)),0)</f>
        <v>0</v>
      </c>
      <c r="X30">
        <f>IF(AND(SUM(VLOOKUP($A30,'40Trips'!$A$3:$I$42,2,FALSE),VLOOKUP(X$1,'40Trips'!$A$3:$I$42,2,FALSE))&lt;='40Trips'!$K$16,$A30&lt;&gt;X$1,gamma!X30=1),(VLOOKUP(X$1,'40Trips'!$A$3:$I$42,8,FALSE))-(VLOOKUP($A30,'40Trips'!$A$3:$I$42,9,FALSE)),0)</f>
        <v>0</v>
      </c>
      <c r="Y30">
        <f>IF(AND(SUM(VLOOKUP($A30,'40Trips'!$A$3:$I$42,2,FALSE),VLOOKUP(Y$1,'40Trips'!$A$3:$I$42,2,FALSE))&lt;='40Trips'!$K$16,$A30&lt;&gt;Y$1,gamma!Y30=1),(VLOOKUP(Y$1,'40Trips'!$A$3:$I$42,8,FALSE))-(VLOOKUP($A30,'40Trips'!$A$3:$I$42,9,FALSE)),0)</f>
        <v>0</v>
      </c>
      <c r="Z30">
        <f>IF(AND(SUM(VLOOKUP($A30,'40Trips'!$A$3:$I$42,2,FALSE),VLOOKUP(Z$1,'40Trips'!$A$3:$I$42,2,FALSE))&lt;='40Trips'!$K$16,$A30&lt;&gt;Z$1,gamma!Z30=1),(VLOOKUP(Z$1,'40Trips'!$A$3:$I$42,8,FALSE))-(VLOOKUP($A30,'40Trips'!$A$3:$I$42,9,FALSE)),0)</f>
        <v>0</v>
      </c>
      <c r="AA30">
        <f>IF(AND(SUM(VLOOKUP($A30,'40Trips'!$A$3:$I$42,2,FALSE),VLOOKUP(AA$1,'40Trips'!$A$3:$I$42,2,FALSE))&lt;='40Trips'!$K$16,$A30&lt;&gt;AA$1,gamma!AA30=1),(VLOOKUP(AA$1,'40Trips'!$A$3:$I$42,8,FALSE))-(VLOOKUP($A30,'40Trips'!$A$3:$I$42,9,FALSE)),0)</f>
        <v>0</v>
      </c>
      <c r="AB30">
        <f>IF(AND(SUM(VLOOKUP($A30,'40Trips'!$A$3:$I$42,2,FALSE),VLOOKUP(AB$1,'40Trips'!$A$3:$I$42,2,FALSE))&lt;='40Trips'!$K$16,$A30&lt;&gt;AB$1,gamma!AB30=1),(VLOOKUP(AB$1,'40Trips'!$A$3:$I$42,8,FALSE))-(VLOOKUP($A30,'40Trips'!$A$3:$I$42,9,FALSE)),0)</f>
        <v>0</v>
      </c>
      <c r="AC30">
        <f>IF(AND(SUM(VLOOKUP($A30,'40Trips'!$A$3:$I$42,2,FALSE),VLOOKUP(AC$1,'40Trips'!$A$3:$I$42,2,FALSE))&lt;='40Trips'!$K$16,$A30&lt;&gt;AC$1,gamma!AC30=1),(VLOOKUP(AC$1,'40Trips'!$A$3:$I$42,8,FALSE))-(VLOOKUP($A30,'40Trips'!$A$3:$I$42,9,FALSE)),0)</f>
        <v>0</v>
      </c>
      <c r="AD30">
        <f>IF(AND(SUM(VLOOKUP($A30,'40Trips'!$A$3:$I$42,2,FALSE),VLOOKUP(AD$1,'40Trips'!$A$3:$I$42,2,FALSE))&lt;='40Trips'!$K$16,$A30&lt;&gt;AD$1,gamma!AD30=1),(VLOOKUP(AD$1,'40Trips'!$A$3:$I$42,8,FALSE))-(VLOOKUP($A30,'40Trips'!$A$3:$I$42,9,FALSE)),0)</f>
        <v>0</v>
      </c>
      <c r="AE30">
        <f>IF(AND(SUM(VLOOKUP($A30,'40Trips'!$A$3:$I$42,2,FALSE),VLOOKUP(AE$1,'40Trips'!$A$3:$I$42,2,FALSE))&lt;='40Trips'!$K$16,$A30&lt;&gt;AE$1,gamma!AE30=1),(VLOOKUP(AE$1,'40Trips'!$A$3:$I$42,8,FALSE))-(VLOOKUP($A30,'40Trips'!$A$3:$I$42,9,FALSE)),0)</f>
        <v>0</v>
      </c>
      <c r="AF30">
        <f>IF(AND(SUM(VLOOKUP($A30,'40Trips'!$A$3:$I$42,2,FALSE),VLOOKUP(AF$1,'40Trips'!$A$3:$I$42,2,FALSE))&lt;='40Trips'!$K$16,$A30&lt;&gt;AF$1,gamma!AF30=1),(VLOOKUP(AF$1,'40Trips'!$A$3:$I$42,8,FALSE))-(VLOOKUP($A30,'40Trips'!$A$3:$I$42,9,FALSE)),0)</f>
        <v>0</v>
      </c>
      <c r="AG30">
        <f>IF(AND(SUM(VLOOKUP($A30,'40Trips'!$A$3:$I$42,2,FALSE),VLOOKUP(AG$1,'40Trips'!$A$3:$I$42,2,FALSE))&lt;='40Trips'!$K$16,$A30&lt;&gt;AG$1,gamma!AG30=1),(VLOOKUP(AG$1,'40Trips'!$A$3:$I$42,8,FALSE))-(VLOOKUP($A30,'40Trips'!$A$3:$I$42,9,FALSE)),0)</f>
        <v>0</v>
      </c>
      <c r="AH30">
        <f>IF(AND(SUM(VLOOKUP($A30,'40Trips'!$A$3:$I$42,2,FALSE),VLOOKUP(AH$1,'40Trips'!$A$3:$I$42,2,FALSE))&lt;='40Trips'!$K$16,$A30&lt;&gt;AH$1,gamma!AH30=1),(VLOOKUP(AH$1,'40Trips'!$A$3:$I$42,8,FALSE))-(VLOOKUP($A30,'40Trips'!$A$3:$I$42,9,FALSE)),0)</f>
        <v>0</v>
      </c>
      <c r="AI30">
        <f>IF(AND(SUM(VLOOKUP($A30,'40Trips'!$A$3:$I$42,2,FALSE),VLOOKUP(AI$1,'40Trips'!$A$3:$I$42,2,FALSE))&lt;='40Trips'!$K$16,$A30&lt;&gt;AI$1,gamma!AI30=1),(VLOOKUP(AI$1,'40Trips'!$A$3:$I$42,8,FALSE))-(VLOOKUP($A30,'40Trips'!$A$3:$I$42,9,FALSE)),0)</f>
        <v>0</v>
      </c>
      <c r="AJ30">
        <f>IF(AND(SUM(VLOOKUP($A30,'40Trips'!$A$3:$I$42,2,FALSE),VLOOKUP(AJ$1,'40Trips'!$A$3:$I$42,2,FALSE))&lt;='40Trips'!$K$16,$A30&lt;&gt;AJ$1,gamma!AJ30=1),(VLOOKUP(AJ$1,'40Trips'!$A$3:$I$42,8,FALSE))-(VLOOKUP($A30,'40Trips'!$A$3:$I$42,9,FALSE)),0)</f>
        <v>0</v>
      </c>
      <c r="AK30">
        <f>IF(AND(SUM(VLOOKUP($A30,'40Trips'!$A$3:$I$42,2,FALSE),VLOOKUP(AK$1,'40Trips'!$A$3:$I$42,2,FALSE))&lt;='40Trips'!$K$16,$A30&lt;&gt;AK$1,gamma!AK30=1),(VLOOKUP(AK$1,'40Trips'!$A$3:$I$42,8,FALSE))-(VLOOKUP($A30,'40Trips'!$A$3:$I$42,9,FALSE)),0)</f>
        <v>0</v>
      </c>
      <c r="AL30">
        <f>IF(AND(SUM(VLOOKUP($A30,'40Trips'!$A$3:$I$42,2,FALSE),VLOOKUP(AL$1,'40Trips'!$A$3:$I$42,2,FALSE))&lt;='40Trips'!$K$16,$A30&lt;&gt;AL$1,gamma!AL30=1),(VLOOKUP(AL$1,'40Trips'!$A$3:$I$42,8,FALSE))-(VLOOKUP($A30,'40Trips'!$A$3:$I$42,9,FALSE)),0)</f>
        <v>0</v>
      </c>
      <c r="AM30">
        <f>IF(AND(SUM(VLOOKUP($A30,'40Trips'!$A$3:$I$42,2,FALSE),VLOOKUP(AM$1,'40Trips'!$A$3:$I$42,2,FALSE))&lt;='40Trips'!$K$16,$A30&lt;&gt;AM$1,gamma!AM30=1),(VLOOKUP(AM$1,'40Trips'!$A$3:$I$42,8,FALSE))-(VLOOKUP($A30,'40Trips'!$A$3:$I$42,9,FALSE)),0)</f>
        <v>0</v>
      </c>
      <c r="AN30">
        <f>IF(AND(SUM(VLOOKUP($A30,'40Trips'!$A$3:$I$42,2,FALSE),VLOOKUP(AN$1,'40Trips'!$A$3:$I$42,2,FALSE))&lt;='40Trips'!$K$16,$A30&lt;&gt;AN$1,gamma!AN30=1),(VLOOKUP(AN$1,'40Trips'!$A$3:$I$42,8,FALSE))-(VLOOKUP($A30,'40Trips'!$A$3:$I$42,9,FALSE)),0)</f>
        <v>0</v>
      </c>
      <c r="AO30">
        <f>IF(AND(SUM(VLOOKUP($A30,'40Trips'!$A$3:$I$42,2,FALSE),VLOOKUP(AO$1,'40Trips'!$A$3:$I$42,2,FALSE))&lt;='40Trips'!$K$16,$A30&lt;&gt;AO$1,gamma!AO30=1),(VLOOKUP(AO$1,'40Trips'!$A$3:$I$42,8,FALSE))-(VLOOKUP($A30,'40Trips'!$A$3:$I$42,9,FALSE)),0)</f>
        <v>0</v>
      </c>
      <c r="AP30">
        <f>IF(AND(SUM(VLOOKUP($A30,'40Trips'!$A$3:$I$42,2,FALSE),VLOOKUP(AP$1,'40Trips'!$A$3:$I$42,2,FALSE))&lt;='40Trips'!$K$16,$A30&lt;&gt;AP$1,gamma!AP30=1),(VLOOKUP(AP$1,'40Trips'!$A$3:$I$42,8,FALSE))-(VLOOKUP($A30,'40Trips'!$A$3:$I$42,9,FALSE)),0)</f>
        <v>0</v>
      </c>
    </row>
    <row r="31" spans="1:42" x14ac:dyDescent="0.25">
      <c r="A31" t="s">
        <v>39</v>
      </c>
      <c r="B31">
        <v>0</v>
      </c>
      <c r="C31">
        <f>IF(AND(SUM(VLOOKUP($A31,'40Trips'!$A$3:$I$42,2,FALSE),VLOOKUP(C$1,'40Trips'!$A$3:$I$42,2,FALSE))&lt;='40Trips'!$K$16,$A31&lt;&gt;C$1,gamma!C31=1),(VLOOKUP(C$1,'40Trips'!$A$3:$I$42,8,FALSE))-(VLOOKUP($A31,'40Trips'!$A$3:$I$42,9,FALSE)),0)</f>
        <v>0</v>
      </c>
      <c r="D31">
        <f>IF(AND(SUM(VLOOKUP($A31,'40Trips'!$A$3:$I$42,2,FALSE),VLOOKUP(D$1,'40Trips'!$A$3:$I$42,2,FALSE))&lt;='40Trips'!$K$16,$A31&lt;&gt;D$1,gamma!D31=1),(VLOOKUP(D$1,'40Trips'!$A$3:$I$42,8,FALSE))-(VLOOKUP($A31,'40Trips'!$A$3:$I$42,9,FALSE)),0)</f>
        <v>155</v>
      </c>
      <c r="E31">
        <f>IF(AND(SUM(VLOOKUP($A31,'40Trips'!$A$3:$I$42,2,FALSE),VLOOKUP(E$1,'40Trips'!$A$3:$I$42,2,FALSE))&lt;='40Trips'!$K$16,$A31&lt;&gt;E$1,gamma!E31=1),(VLOOKUP(E$1,'40Trips'!$A$3:$I$42,8,FALSE))-(VLOOKUP($A31,'40Trips'!$A$3:$I$42,9,FALSE)),0)</f>
        <v>245</v>
      </c>
      <c r="F31">
        <f>IF(AND(SUM(VLOOKUP($A31,'40Trips'!$A$3:$I$42,2,FALSE),VLOOKUP(F$1,'40Trips'!$A$3:$I$42,2,FALSE))&lt;='40Trips'!$K$16,$A31&lt;&gt;F$1,gamma!F31=1),(VLOOKUP(F$1,'40Trips'!$A$3:$I$42,8,FALSE))-(VLOOKUP($A31,'40Trips'!$A$3:$I$42,9,FALSE)),0)</f>
        <v>335</v>
      </c>
      <c r="G31">
        <f>IF(AND(SUM(VLOOKUP($A31,'40Trips'!$A$3:$I$42,2,FALSE),VLOOKUP(G$1,'40Trips'!$A$3:$I$42,2,FALSE))&lt;='40Trips'!$K$16,$A31&lt;&gt;G$1,gamma!G31=1),(VLOOKUP(G$1,'40Trips'!$A$3:$I$42,8,FALSE))-(VLOOKUP($A31,'40Trips'!$A$3:$I$42,9,FALSE)),0)</f>
        <v>0</v>
      </c>
      <c r="H31">
        <f>IF(AND(SUM(VLOOKUP($A31,'40Trips'!$A$3:$I$42,2,FALSE),VLOOKUP(H$1,'40Trips'!$A$3:$I$42,2,FALSE))&lt;='40Trips'!$K$16,$A31&lt;&gt;H$1,gamma!H31=1),(VLOOKUP(H$1,'40Trips'!$A$3:$I$42,8,FALSE))-(VLOOKUP($A31,'40Trips'!$A$3:$I$42,9,FALSE)),0)</f>
        <v>90</v>
      </c>
      <c r="I31">
        <f>IF(AND(SUM(VLOOKUP($A31,'40Trips'!$A$3:$I$42,2,FALSE),VLOOKUP(I$1,'40Trips'!$A$3:$I$42,2,FALSE))&lt;='40Trips'!$K$16,$A31&lt;&gt;I$1,gamma!I31=1),(VLOOKUP(I$1,'40Trips'!$A$3:$I$42,8,FALSE))-(VLOOKUP($A31,'40Trips'!$A$3:$I$42,9,FALSE)),0)</f>
        <v>210</v>
      </c>
      <c r="J31">
        <f>IF(AND(SUM(VLOOKUP($A31,'40Trips'!$A$3:$I$42,2,FALSE),VLOOKUP(J$1,'40Trips'!$A$3:$I$42,2,FALSE))&lt;='40Trips'!$K$16,$A31&lt;&gt;J$1,gamma!J31=1),(VLOOKUP(J$1,'40Trips'!$A$3:$I$42,8,FALSE))-(VLOOKUP($A31,'40Trips'!$A$3:$I$42,9,FALSE)),0)</f>
        <v>570</v>
      </c>
      <c r="K31">
        <f>IF(AND(SUM(VLOOKUP($A31,'40Trips'!$A$3:$I$42,2,FALSE),VLOOKUP(K$1,'40Trips'!$A$3:$I$42,2,FALSE))&lt;='40Trips'!$K$16,$A31&lt;&gt;K$1,gamma!K31=1),(VLOOKUP(K$1,'40Trips'!$A$3:$I$42,8,FALSE))-(VLOOKUP($A31,'40Trips'!$A$3:$I$42,9,FALSE)),0)</f>
        <v>0</v>
      </c>
      <c r="L31">
        <f>IF(AND(SUM(VLOOKUP($A31,'40Trips'!$A$3:$I$42,2,FALSE),VLOOKUP(L$1,'40Trips'!$A$3:$I$42,2,FALSE))&lt;='40Trips'!$K$16,$A31&lt;&gt;L$1,gamma!L31=1),(VLOOKUP(L$1,'40Trips'!$A$3:$I$42,8,FALSE))-(VLOOKUP($A31,'40Trips'!$A$3:$I$42,9,FALSE)),0)</f>
        <v>45</v>
      </c>
      <c r="M31">
        <f>IF(AND(SUM(VLOOKUP($A31,'40Trips'!$A$3:$I$42,2,FALSE),VLOOKUP(M$1,'40Trips'!$A$3:$I$42,2,FALSE))&lt;='40Trips'!$K$16,$A31&lt;&gt;M$1,gamma!M31=1),(VLOOKUP(M$1,'40Trips'!$A$3:$I$42,8,FALSE))-(VLOOKUP($A31,'40Trips'!$A$3:$I$42,9,FALSE)),0)</f>
        <v>205</v>
      </c>
      <c r="N31">
        <f>IF(AND(SUM(VLOOKUP($A31,'40Trips'!$A$3:$I$42,2,FALSE),VLOOKUP(N$1,'40Trips'!$A$3:$I$42,2,FALSE))&lt;='40Trips'!$K$16,$A31&lt;&gt;N$1,gamma!N31=1),(VLOOKUP(N$1,'40Trips'!$A$3:$I$42,8,FALSE))-(VLOOKUP($A31,'40Trips'!$A$3:$I$42,9,FALSE)),0)</f>
        <v>0</v>
      </c>
      <c r="O31">
        <f>IF(AND(SUM(VLOOKUP($A31,'40Trips'!$A$3:$I$42,2,FALSE),VLOOKUP(O$1,'40Trips'!$A$3:$I$42,2,FALSE))&lt;='40Trips'!$K$16,$A31&lt;&gt;O$1,gamma!O31=1),(VLOOKUP(O$1,'40Trips'!$A$3:$I$42,8,FALSE))-(VLOOKUP($A31,'40Trips'!$A$3:$I$42,9,FALSE)),0)</f>
        <v>45</v>
      </c>
      <c r="P31">
        <f>IF(AND(SUM(VLOOKUP($A31,'40Trips'!$A$3:$I$42,2,FALSE),VLOOKUP(P$1,'40Trips'!$A$3:$I$42,2,FALSE))&lt;='40Trips'!$K$16,$A31&lt;&gt;P$1,gamma!P31=1),(VLOOKUP(P$1,'40Trips'!$A$3:$I$42,8,FALSE))-(VLOOKUP($A31,'40Trips'!$A$3:$I$42,9,FALSE)),0)</f>
        <v>135</v>
      </c>
      <c r="Q31">
        <f>IF(AND(SUM(VLOOKUP($A31,'40Trips'!$A$3:$I$42,2,FALSE),VLOOKUP(Q$1,'40Trips'!$A$3:$I$42,2,FALSE))&lt;='40Trips'!$K$16,$A31&lt;&gt;Q$1,gamma!Q31=1),(VLOOKUP(Q$1,'40Trips'!$A$3:$I$42,8,FALSE))-(VLOOKUP($A31,'40Trips'!$A$3:$I$42,9,FALSE)),0)</f>
        <v>225</v>
      </c>
      <c r="R31">
        <f>IF(AND(SUM(VLOOKUP($A31,'40Trips'!$A$3:$I$42,2,FALSE),VLOOKUP(R$1,'40Trips'!$A$3:$I$42,2,FALSE))&lt;='40Trips'!$K$16,$A31&lt;&gt;R$1,gamma!R31=1),(VLOOKUP(R$1,'40Trips'!$A$3:$I$42,8,FALSE))-(VLOOKUP($A31,'40Trips'!$A$3:$I$42,9,FALSE)),0)</f>
        <v>315</v>
      </c>
      <c r="S31">
        <f>IF(AND(SUM(VLOOKUP($A31,'40Trips'!$A$3:$I$42,2,FALSE),VLOOKUP(S$1,'40Trips'!$A$3:$I$42,2,FALSE))&lt;='40Trips'!$K$16,$A31&lt;&gt;S$1,gamma!S31=1),(VLOOKUP(S$1,'40Trips'!$A$3:$I$42,8,FALSE))-(VLOOKUP($A31,'40Trips'!$A$3:$I$42,9,FALSE)),0)</f>
        <v>0</v>
      </c>
      <c r="T31">
        <f>IF(AND(SUM(VLOOKUP($A31,'40Trips'!$A$3:$I$42,2,FALSE),VLOOKUP(T$1,'40Trips'!$A$3:$I$42,2,FALSE))&lt;='40Trips'!$K$16,$A31&lt;&gt;T$1,gamma!T31=1),(VLOOKUP(T$1,'40Trips'!$A$3:$I$42,8,FALSE))-(VLOOKUP($A31,'40Trips'!$A$3:$I$42,9,FALSE)),0)</f>
        <v>0</v>
      </c>
      <c r="U31">
        <f>IF(AND(SUM(VLOOKUP($A31,'40Trips'!$A$3:$I$42,2,FALSE),VLOOKUP(U$1,'40Trips'!$A$3:$I$42,2,FALSE))&lt;='40Trips'!$K$16,$A31&lt;&gt;U$1,gamma!U31=1),(VLOOKUP(U$1,'40Trips'!$A$3:$I$42,8,FALSE))-(VLOOKUP($A31,'40Trips'!$A$3:$I$42,9,FALSE)),0)</f>
        <v>215</v>
      </c>
      <c r="V31">
        <f>IF(AND(SUM(VLOOKUP($A31,'40Trips'!$A$3:$I$42,2,FALSE),VLOOKUP(V$1,'40Trips'!$A$3:$I$42,2,FALSE))&lt;='40Trips'!$K$16,$A31&lt;&gt;V$1,gamma!V31=1),(VLOOKUP(V$1,'40Trips'!$A$3:$I$42,8,FALSE))-(VLOOKUP($A31,'40Trips'!$A$3:$I$42,9,FALSE)),0)</f>
        <v>365</v>
      </c>
      <c r="W31">
        <f>IF(AND(SUM(VLOOKUP($A31,'40Trips'!$A$3:$I$42,2,FALSE),VLOOKUP(W$1,'40Trips'!$A$3:$I$42,2,FALSE))&lt;='40Trips'!$K$16,$A31&lt;&gt;W$1,gamma!W31=1),(VLOOKUP(W$1,'40Trips'!$A$3:$I$42,8,FALSE))-(VLOOKUP($A31,'40Trips'!$A$3:$I$42,9,FALSE)),0)</f>
        <v>0</v>
      </c>
      <c r="X31">
        <f>IF(AND(SUM(VLOOKUP($A31,'40Trips'!$A$3:$I$42,2,FALSE),VLOOKUP(X$1,'40Trips'!$A$3:$I$42,2,FALSE))&lt;='40Trips'!$K$16,$A31&lt;&gt;X$1,gamma!X31=1),(VLOOKUP(X$1,'40Trips'!$A$3:$I$42,8,FALSE))-(VLOOKUP($A31,'40Trips'!$A$3:$I$42,9,FALSE)),0)</f>
        <v>155</v>
      </c>
      <c r="Y31">
        <f>IF(AND(SUM(VLOOKUP($A31,'40Trips'!$A$3:$I$42,2,FALSE),VLOOKUP(Y$1,'40Trips'!$A$3:$I$42,2,FALSE))&lt;='40Trips'!$K$16,$A31&lt;&gt;Y$1,gamma!Y31=1),(VLOOKUP(Y$1,'40Trips'!$A$3:$I$42,8,FALSE))-(VLOOKUP($A31,'40Trips'!$A$3:$I$42,9,FALSE)),0)</f>
        <v>275</v>
      </c>
      <c r="Z31">
        <f>IF(AND(SUM(VLOOKUP($A31,'40Trips'!$A$3:$I$42,2,FALSE),VLOOKUP(Z$1,'40Trips'!$A$3:$I$42,2,FALSE))&lt;='40Trips'!$K$16,$A31&lt;&gt;Z$1,gamma!Z31=1),(VLOOKUP(Z$1,'40Trips'!$A$3:$I$42,8,FALSE))-(VLOOKUP($A31,'40Trips'!$A$3:$I$42,9,FALSE)),0)</f>
        <v>335</v>
      </c>
      <c r="AA31">
        <f>IF(AND(SUM(VLOOKUP($A31,'40Trips'!$A$3:$I$42,2,FALSE),VLOOKUP(AA$1,'40Trips'!$A$3:$I$42,2,FALSE))&lt;='40Trips'!$K$16,$A31&lt;&gt;AA$1,gamma!AA31=1),(VLOOKUP(AA$1,'40Trips'!$A$3:$I$42,8,FALSE))-(VLOOKUP($A31,'40Trips'!$A$3:$I$42,9,FALSE)),0)</f>
        <v>0</v>
      </c>
      <c r="AB31">
        <f>IF(AND(SUM(VLOOKUP($A31,'40Trips'!$A$3:$I$42,2,FALSE),VLOOKUP(AB$1,'40Trips'!$A$3:$I$42,2,FALSE))&lt;='40Trips'!$K$16,$A31&lt;&gt;AB$1,gamma!AB31=1),(VLOOKUP(AB$1,'40Trips'!$A$3:$I$42,8,FALSE))-(VLOOKUP($A31,'40Trips'!$A$3:$I$42,9,FALSE)),0)</f>
        <v>60</v>
      </c>
      <c r="AC31">
        <f>IF(AND(SUM(VLOOKUP($A31,'40Trips'!$A$3:$I$42,2,FALSE),VLOOKUP(AC$1,'40Trips'!$A$3:$I$42,2,FALSE))&lt;='40Trips'!$K$16,$A31&lt;&gt;AC$1,gamma!AC31=1),(VLOOKUP(AC$1,'40Trips'!$A$3:$I$42,8,FALSE))-(VLOOKUP($A31,'40Trips'!$A$3:$I$42,9,FALSE)),0)</f>
        <v>315</v>
      </c>
      <c r="AD31">
        <f>IF(AND(SUM(VLOOKUP($A31,'40Trips'!$A$3:$I$42,2,FALSE),VLOOKUP(AD$1,'40Trips'!$A$3:$I$42,2,FALSE))&lt;='40Trips'!$K$16,$A31&lt;&gt;AD$1,gamma!AD31=1),(VLOOKUP(AD$1,'40Trips'!$A$3:$I$42,8,FALSE))-(VLOOKUP($A31,'40Trips'!$A$3:$I$42,9,FALSE)),0)</f>
        <v>365</v>
      </c>
      <c r="AE31">
        <f>IF(AND(SUM(VLOOKUP($A31,'40Trips'!$A$3:$I$42,2,FALSE),VLOOKUP(AE$1,'40Trips'!$A$3:$I$42,2,FALSE))&lt;='40Trips'!$K$16,$A31&lt;&gt;AE$1,gamma!AE31=1),(VLOOKUP(AE$1,'40Trips'!$A$3:$I$42,8,FALSE))-(VLOOKUP($A31,'40Trips'!$A$3:$I$42,9,FALSE)),0)</f>
        <v>0</v>
      </c>
      <c r="AF31">
        <f>IF(AND(SUM(VLOOKUP($A31,'40Trips'!$A$3:$I$42,2,FALSE),VLOOKUP(AF$1,'40Trips'!$A$3:$I$42,2,FALSE))&lt;='40Trips'!$K$16,$A31&lt;&gt;AF$1,gamma!AF31=1),(VLOOKUP(AF$1,'40Trips'!$A$3:$I$42,8,FALSE))-(VLOOKUP($A31,'40Trips'!$A$3:$I$42,9,FALSE)),0)</f>
        <v>0</v>
      </c>
      <c r="AG31">
        <f>IF(AND(SUM(VLOOKUP($A31,'40Trips'!$A$3:$I$42,2,FALSE),VLOOKUP(AG$1,'40Trips'!$A$3:$I$42,2,FALSE))&lt;='40Trips'!$K$16,$A31&lt;&gt;AG$1,gamma!AG31=1),(VLOOKUP(AG$1,'40Trips'!$A$3:$I$42,8,FALSE))-(VLOOKUP($A31,'40Trips'!$A$3:$I$42,9,FALSE)),0)</f>
        <v>15</v>
      </c>
      <c r="AH31">
        <f>IF(AND(SUM(VLOOKUP($A31,'40Trips'!$A$3:$I$42,2,FALSE),VLOOKUP(AH$1,'40Trips'!$A$3:$I$42,2,FALSE))&lt;='40Trips'!$K$16,$A31&lt;&gt;AH$1,gamma!AH31=1),(VLOOKUP(AH$1,'40Trips'!$A$3:$I$42,8,FALSE))-(VLOOKUP($A31,'40Trips'!$A$3:$I$42,9,FALSE)),0)</f>
        <v>180</v>
      </c>
      <c r="AI31">
        <f>IF(AND(SUM(VLOOKUP($A31,'40Trips'!$A$3:$I$42,2,FALSE),VLOOKUP(AI$1,'40Trips'!$A$3:$I$42,2,FALSE))&lt;='40Trips'!$K$16,$A31&lt;&gt;AI$1,gamma!AI31=1),(VLOOKUP(AI$1,'40Trips'!$A$3:$I$42,8,FALSE))-(VLOOKUP($A31,'40Trips'!$A$3:$I$42,9,FALSE)),0)</f>
        <v>135</v>
      </c>
      <c r="AJ31">
        <f>IF(AND(SUM(VLOOKUP($A31,'40Trips'!$A$3:$I$42,2,FALSE),VLOOKUP(AJ$1,'40Trips'!$A$3:$I$42,2,FALSE))&lt;='40Trips'!$K$16,$A31&lt;&gt;AJ$1,gamma!AJ31=1),(VLOOKUP(AJ$1,'40Trips'!$A$3:$I$42,8,FALSE))-(VLOOKUP($A31,'40Trips'!$A$3:$I$42,9,FALSE)),0)</f>
        <v>165</v>
      </c>
      <c r="AK31">
        <f>IF(AND(SUM(VLOOKUP($A31,'40Trips'!$A$3:$I$42,2,FALSE),VLOOKUP(AK$1,'40Trips'!$A$3:$I$42,2,FALSE))&lt;='40Trips'!$K$16,$A31&lt;&gt;AK$1,gamma!AK31=1),(VLOOKUP(AK$1,'40Trips'!$A$3:$I$42,8,FALSE))-(VLOOKUP($A31,'40Trips'!$A$3:$I$42,9,FALSE)),0)</f>
        <v>215</v>
      </c>
      <c r="AL31">
        <f>IF(AND(SUM(VLOOKUP($A31,'40Trips'!$A$3:$I$42,2,FALSE),VLOOKUP(AL$1,'40Trips'!$A$3:$I$42,2,FALSE))&lt;='40Trips'!$K$16,$A31&lt;&gt;AL$1,gamma!AL31=1),(VLOOKUP(AL$1,'40Trips'!$A$3:$I$42,8,FALSE))-(VLOOKUP($A31,'40Trips'!$A$3:$I$42,9,FALSE)),0)</f>
        <v>415</v>
      </c>
      <c r="AM31">
        <f>IF(AND(SUM(VLOOKUP($A31,'40Trips'!$A$3:$I$42,2,FALSE),VLOOKUP(AM$1,'40Trips'!$A$3:$I$42,2,FALSE))&lt;='40Trips'!$K$16,$A31&lt;&gt;AM$1,gamma!AM31=1),(VLOOKUP(AM$1,'40Trips'!$A$3:$I$42,8,FALSE))-(VLOOKUP($A31,'40Trips'!$A$3:$I$42,9,FALSE)),0)</f>
        <v>15</v>
      </c>
      <c r="AN31">
        <f>IF(AND(SUM(VLOOKUP($A31,'40Trips'!$A$3:$I$42,2,FALSE),VLOOKUP(AN$1,'40Trips'!$A$3:$I$42,2,FALSE))&lt;='40Trips'!$K$16,$A31&lt;&gt;AN$1,gamma!AN31=1),(VLOOKUP(AN$1,'40Trips'!$A$3:$I$42,8,FALSE))-(VLOOKUP($A31,'40Trips'!$A$3:$I$42,9,FALSE)),0)</f>
        <v>180</v>
      </c>
      <c r="AO31">
        <f>IF(AND(SUM(VLOOKUP($A31,'40Trips'!$A$3:$I$42,2,FALSE),VLOOKUP(AO$1,'40Trips'!$A$3:$I$42,2,FALSE))&lt;='40Trips'!$K$16,$A31&lt;&gt;AO$1,gamma!AO31=1),(VLOOKUP(AO$1,'40Trips'!$A$3:$I$42,8,FALSE))-(VLOOKUP($A31,'40Trips'!$A$3:$I$42,9,FALSE)),0)</f>
        <v>195</v>
      </c>
      <c r="AP31">
        <f>IF(AND(SUM(VLOOKUP($A31,'40Trips'!$A$3:$I$42,2,FALSE),VLOOKUP(AP$1,'40Trips'!$A$3:$I$42,2,FALSE))&lt;='40Trips'!$K$16,$A31&lt;&gt;AP$1,gamma!AP31=1),(VLOOKUP(AP$1,'40Trips'!$A$3:$I$42,8,FALSE))-(VLOOKUP($A31,'40Trips'!$A$3:$I$42,9,FALSE)),0)</f>
        <v>380</v>
      </c>
    </row>
    <row r="32" spans="1:42" x14ac:dyDescent="0.25">
      <c r="A32" t="s">
        <v>83</v>
      </c>
      <c r="B32">
        <v>0</v>
      </c>
      <c r="C32">
        <f>IF(AND(SUM(VLOOKUP($A32,'40Trips'!$A$3:$I$42,2,FALSE),VLOOKUP(C$1,'40Trips'!$A$3:$I$42,2,FALSE))&lt;='40Trips'!$K$16,$A32&lt;&gt;C$1,gamma!C32=1),(VLOOKUP(C$1,'40Trips'!$A$3:$I$42,8,FALSE))-(VLOOKUP($A32,'40Trips'!$A$3:$I$42,9,FALSE)),0)</f>
        <v>0</v>
      </c>
      <c r="D32">
        <f>IF(AND(SUM(VLOOKUP($A32,'40Trips'!$A$3:$I$42,2,FALSE),VLOOKUP(D$1,'40Trips'!$A$3:$I$42,2,FALSE))&lt;='40Trips'!$K$16,$A32&lt;&gt;D$1,gamma!D32=1),(VLOOKUP(D$1,'40Trips'!$A$3:$I$42,8,FALSE))-(VLOOKUP($A32,'40Trips'!$A$3:$I$42,9,FALSE)),0)</f>
        <v>55</v>
      </c>
      <c r="E32">
        <f>IF(AND(SUM(VLOOKUP($A32,'40Trips'!$A$3:$I$42,2,FALSE),VLOOKUP(E$1,'40Trips'!$A$3:$I$42,2,FALSE))&lt;='40Trips'!$K$16,$A32&lt;&gt;E$1,gamma!E32=1),(VLOOKUP(E$1,'40Trips'!$A$3:$I$42,8,FALSE))-(VLOOKUP($A32,'40Trips'!$A$3:$I$42,9,FALSE)),0)</f>
        <v>145</v>
      </c>
      <c r="F32">
        <f>IF(AND(SUM(VLOOKUP($A32,'40Trips'!$A$3:$I$42,2,FALSE),VLOOKUP(F$1,'40Trips'!$A$3:$I$42,2,FALSE))&lt;='40Trips'!$K$16,$A32&lt;&gt;F$1,gamma!F32=1),(VLOOKUP(F$1,'40Trips'!$A$3:$I$42,8,FALSE))-(VLOOKUP($A32,'40Trips'!$A$3:$I$42,9,FALSE)),0)</f>
        <v>235</v>
      </c>
      <c r="G32">
        <f>IF(AND(SUM(VLOOKUP($A32,'40Trips'!$A$3:$I$42,2,FALSE),VLOOKUP(G$1,'40Trips'!$A$3:$I$42,2,FALSE))&lt;='40Trips'!$K$16,$A32&lt;&gt;G$1,gamma!G32=1),(VLOOKUP(G$1,'40Trips'!$A$3:$I$42,8,FALSE))-(VLOOKUP($A32,'40Trips'!$A$3:$I$42,9,FALSE)),0)</f>
        <v>0</v>
      </c>
      <c r="H32">
        <f>IF(AND(SUM(VLOOKUP($A32,'40Trips'!$A$3:$I$42,2,FALSE),VLOOKUP(H$1,'40Trips'!$A$3:$I$42,2,FALSE))&lt;='40Trips'!$K$16,$A32&lt;&gt;H$1,gamma!H32=1),(VLOOKUP(H$1,'40Trips'!$A$3:$I$42,8,FALSE))-(VLOOKUP($A32,'40Trips'!$A$3:$I$42,9,FALSE)),0)</f>
        <v>0</v>
      </c>
      <c r="I32">
        <f>IF(AND(SUM(VLOOKUP($A32,'40Trips'!$A$3:$I$42,2,FALSE),VLOOKUP(I$1,'40Trips'!$A$3:$I$42,2,FALSE))&lt;='40Trips'!$K$16,$A32&lt;&gt;I$1,gamma!I32=1),(VLOOKUP(I$1,'40Trips'!$A$3:$I$42,8,FALSE))-(VLOOKUP($A32,'40Trips'!$A$3:$I$42,9,FALSE)),0)</f>
        <v>110</v>
      </c>
      <c r="J32">
        <f>IF(AND(SUM(VLOOKUP($A32,'40Trips'!$A$3:$I$42,2,FALSE),VLOOKUP(J$1,'40Trips'!$A$3:$I$42,2,FALSE))&lt;='40Trips'!$K$16,$A32&lt;&gt;J$1,gamma!J32=1),(VLOOKUP(J$1,'40Trips'!$A$3:$I$42,8,FALSE))-(VLOOKUP($A32,'40Trips'!$A$3:$I$42,9,FALSE)),0)</f>
        <v>470</v>
      </c>
      <c r="K32">
        <f>IF(AND(SUM(VLOOKUP($A32,'40Trips'!$A$3:$I$42,2,FALSE),VLOOKUP(K$1,'40Trips'!$A$3:$I$42,2,FALSE))&lt;='40Trips'!$K$16,$A32&lt;&gt;K$1,gamma!K32=1),(VLOOKUP(K$1,'40Trips'!$A$3:$I$42,8,FALSE))-(VLOOKUP($A32,'40Trips'!$A$3:$I$42,9,FALSE)),0)</f>
        <v>0</v>
      </c>
      <c r="L32">
        <f>IF(AND(SUM(VLOOKUP($A32,'40Trips'!$A$3:$I$42,2,FALSE),VLOOKUP(L$1,'40Trips'!$A$3:$I$42,2,FALSE))&lt;='40Trips'!$K$16,$A32&lt;&gt;L$1,gamma!L32=1),(VLOOKUP(L$1,'40Trips'!$A$3:$I$42,8,FALSE))-(VLOOKUP($A32,'40Trips'!$A$3:$I$42,9,FALSE)),0)</f>
        <v>0</v>
      </c>
      <c r="M32">
        <f>IF(AND(SUM(VLOOKUP($A32,'40Trips'!$A$3:$I$42,2,FALSE),VLOOKUP(M$1,'40Trips'!$A$3:$I$42,2,FALSE))&lt;='40Trips'!$K$16,$A32&lt;&gt;M$1,gamma!M32=1),(VLOOKUP(M$1,'40Trips'!$A$3:$I$42,8,FALSE))-(VLOOKUP($A32,'40Trips'!$A$3:$I$42,9,FALSE)),0)</f>
        <v>105</v>
      </c>
      <c r="N32">
        <f>IF(AND(SUM(VLOOKUP($A32,'40Trips'!$A$3:$I$42,2,FALSE),VLOOKUP(N$1,'40Trips'!$A$3:$I$42,2,FALSE))&lt;='40Trips'!$K$16,$A32&lt;&gt;N$1,gamma!N32=1),(VLOOKUP(N$1,'40Trips'!$A$3:$I$42,8,FALSE))-(VLOOKUP($A32,'40Trips'!$A$3:$I$42,9,FALSE)),0)</f>
        <v>0</v>
      </c>
      <c r="O32">
        <f>IF(AND(SUM(VLOOKUP($A32,'40Trips'!$A$3:$I$42,2,FALSE),VLOOKUP(O$1,'40Trips'!$A$3:$I$42,2,FALSE))&lt;='40Trips'!$K$16,$A32&lt;&gt;O$1,gamma!O32=1),(VLOOKUP(O$1,'40Trips'!$A$3:$I$42,8,FALSE))-(VLOOKUP($A32,'40Trips'!$A$3:$I$42,9,FALSE)),0)</f>
        <v>0</v>
      </c>
      <c r="P32">
        <f>IF(AND(SUM(VLOOKUP($A32,'40Trips'!$A$3:$I$42,2,FALSE),VLOOKUP(P$1,'40Trips'!$A$3:$I$42,2,FALSE))&lt;='40Trips'!$K$16,$A32&lt;&gt;P$1,gamma!P32=1),(VLOOKUP(P$1,'40Trips'!$A$3:$I$42,8,FALSE))-(VLOOKUP($A32,'40Trips'!$A$3:$I$42,9,FALSE)),0)</f>
        <v>35</v>
      </c>
      <c r="Q32">
        <f>IF(AND(SUM(VLOOKUP($A32,'40Trips'!$A$3:$I$42,2,FALSE),VLOOKUP(Q$1,'40Trips'!$A$3:$I$42,2,FALSE))&lt;='40Trips'!$K$16,$A32&lt;&gt;Q$1,gamma!Q32=1),(VLOOKUP(Q$1,'40Trips'!$A$3:$I$42,8,FALSE))-(VLOOKUP($A32,'40Trips'!$A$3:$I$42,9,FALSE)),0)</f>
        <v>125</v>
      </c>
      <c r="R32">
        <f>IF(AND(SUM(VLOOKUP($A32,'40Trips'!$A$3:$I$42,2,FALSE),VLOOKUP(R$1,'40Trips'!$A$3:$I$42,2,FALSE))&lt;='40Trips'!$K$16,$A32&lt;&gt;R$1,gamma!R32=1),(VLOOKUP(R$1,'40Trips'!$A$3:$I$42,8,FALSE))-(VLOOKUP($A32,'40Trips'!$A$3:$I$42,9,FALSE)),0)</f>
        <v>215</v>
      </c>
      <c r="S32">
        <f>IF(AND(SUM(VLOOKUP($A32,'40Trips'!$A$3:$I$42,2,FALSE),VLOOKUP(S$1,'40Trips'!$A$3:$I$42,2,FALSE))&lt;='40Trips'!$K$16,$A32&lt;&gt;S$1,gamma!S32=1),(VLOOKUP(S$1,'40Trips'!$A$3:$I$42,8,FALSE))-(VLOOKUP($A32,'40Trips'!$A$3:$I$42,9,FALSE)),0)</f>
        <v>0</v>
      </c>
      <c r="T32">
        <f>IF(AND(SUM(VLOOKUP($A32,'40Trips'!$A$3:$I$42,2,FALSE),VLOOKUP(T$1,'40Trips'!$A$3:$I$42,2,FALSE))&lt;='40Trips'!$K$16,$A32&lt;&gt;T$1,gamma!T32=1),(VLOOKUP(T$1,'40Trips'!$A$3:$I$42,8,FALSE))-(VLOOKUP($A32,'40Trips'!$A$3:$I$42,9,FALSE)),0)</f>
        <v>0</v>
      </c>
      <c r="U32">
        <f>IF(AND(SUM(VLOOKUP($A32,'40Trips'!$A$3:$I$42,2,FALSE),VLOOKUP(U$1,'40Trips'!$A$3:$I$42,2,FALSE))&lt;='40Trips'!$K$16,$A32&lt;&gt;U$1,gamma!U32=1),(VLOOKUP(U$1,'40Trips'!$A$3:$I$42,8,FALSE))-(VLOOKUP($A32,'40Trips'!$A$3:$I$42,9,FALSE)),0)</f>
        <v>115</v>
      </c>
      <c r="V32">
        <f>IF(AND(SUM(VLOOKUP($A32,'40Trips'!$A$3:$I$42,2,FALSE),VLOOKUP(V$1,'40Trips'!$A$3:$I$42,2,FALSE))&lt;='40Trips'!$K$16,$A32&lt;&gt;V$1,gamma!V32=1),(VLOOKUP(V$1,'40Trips'!$A$3:$I$42,8,FALSE))-(VLOOKUP($A32,'40Trips'!$A$3:$I$42,9,FALSE)),0)</f>
        <v>265</v>
      </c>
      <c r="W32">
        <f>IF(AND(SUM(VLOOKUP($A32,'40Trips'!$A$3:$I$42,2,FALSE),VLOOKUP(W$1,'40Trips'!$A$3:$I$42,2,FALSE))&lt;='40Trips'!$K$16,$A32&lt;&gt;W$1,gamma!W32=1),(VLOOKUP(W$1,'40Trips'!$A$3:$I$42,8,FALSE))-(VLOOKUP($A32,'40Trips'!$A$3:$I$42,9,FALSE)),0)</f>
        <v>0</v>
      </c>
      <c r="X32">
        <f>IF(AND(SUM(VLOOKUP($A32,'40Trips'!$A$3:$I$42,2,FALSE),VLOOKUP(X$1,'40Trips'!$A$3:$I$42,2,FALSE))&lt;='40Trips'!$K$16,$A32&lt;&gt;X$1,gamma!X32=1),(VLOOKUP(X$1,'40Trips'!$A$3:$I$42,8,FALSE))-(VLOOKUP($A32,'40Trips'!$A$3:$I$42,9,FALSE)),0)</f>
        <v>55</v>
      </c>
      <c r="Y32">
        <f>IF(AND(SUM(VLOOKUP($A32,'40Trips'!$A$3:$I$42,2,FALSE),VLOOKUP(Y$1,'40Trips'!$A$3:$I$42,2,FALSE))&lt;='40Trips'!$K$16,$A32&lt;&gt;Y$1,gamma!Y32=1),(VLOOKUP(Y$1,'40Trips'!$A$3:$I$42,8,FALSE))-(VLOOKUP($A32,'40Trips'!$A$3:$I$42,9,FALSE)),0)</f>
        <v>175</v>
      </c>
      <c r="Z32">
        <f>IF(AND(SUM(VLOOKUP($A32,'40Trips'!$A$3:$I$42,2,FALSE),VLOOKUP(Z$1,'40Trips'!$A$3:$I$42,2,FALSE))&lt;='40Trips'!$K$16,$A32&lt;&gt;Z$1,gamma!Z32=1),(VLOOKUP(Z$1,'40Trips'!$A$3:$I$42,8,FALSE))-(VLOOKUP($A32,'40Trips'!$A$3:$I$42,9,FALSE)),0)</f>
        <v>235</v>
      </c>
      <c r="AA32">
        <f>IF(AND(SUM(VLOOKUP($A32,'40Trips'!$A$3:$I$42,2,FALSE),VLOOKUP(AA$1,'40Trips'!$A$3:$I$42,2,FALSE))&lt;='40Trips'!$K$16,$A32&lt;&gt;AA$1,gamma!AA32=1),(VLOOKUP(AA$1,'40Trips'!$A$3:$I$42,8,FALSE))-(VLOOKUP($A32,'40Trips'!$A$3:$I$42,9,FALSE)),0)</f>
        <v>0</v>
      </c>
      <c r="AB32">
        <f>IF(AND(SUM(VLOOKUP($A32,'40Trips'!$A$3:$I$42,2,FALSE),VLOOKUP(AB$1,'40Trips'!$A$3:$I$42,2,FALSE))&lt;='40Trips'!$K$16,$A32&lt;&gt;AB$1,gamma!AB32=1),(VLOOKUP(AB$1,'40Trips'!$A$3:$I$42,8,FALSE))-(VLOOKUP($A32,'40Trips'!$A$3:$I$42,9,FALSE)),0)</f>
        <v>0</v>
      </c>
      <c r="AC32">
        <f>IF(AND(SUM(VLOOKUP($A32,'40Trips'!$A$3:$I$42,2,FALSE),VLOOKUP(AC$1,'40Trips'!$A$3:$I$42,2,FALSE))&lt;='40Trips'!$K$16,$A32&lt;&gt;AC$1,gamma!AC32=1),(VLOOKUP(AC$1,'40Trips'!$A$3:$I$42,8,FALSE))-(VLOOKUP($A32,'40Trips'!$A$3:$I$42,9,FALSE)),0)</f>
        <v>215</v>
      </c>
      <c r="AD32">
        <f>IF(AND(SUM(VLOOKUP($A32,'40Trips'!$A$3:$I$42,2,FALSE),VLOOKUP(AD$1,'40Trips'!$A$3:$I$42,2,FALSE))&lt;='40Trips'!$K$16,$A32&lt;&gt;AD$1,gamma!AD32=1),(VLOOKUP(AD$1,'40Trips'!$A$3:$I$42,8,FALSE))-(VLOOKUP($A32,'40Trips'!$A$3:$I$42,9,FALSE)),0)</f>
        <v>265</v>
      </c>
      <c r="AE32">
        <f>IF(AND(SUM(VLOOKUP($A32,'40Trips'!$A$3:$I$42,2,FALSE),VLOOKUP(AE$1,'40Trips'!$A$3:$I$42,2,FALSE))&lt;='40Trips'!$K$16,$A32&lt;&gt;AE$1,gamma!AE32=1),(VLOOKUP(AE$1,'40Trips'!$A$3:$I$42,8,FALSE))-(VLOOKUP($A32,'40Trips'!$A$3:$I$42,9,FALSE)),0)</f>
        <v>0</v>
      </c>
      <c r="AF32">
        <f>IF(AND(SUM(VLOOKUP($A32,'40Trips'!$A$3:$I$42,2,FALSE),VLOOKUP(AF$1,'40Trips'!$A$3:$I$42,2,FALSE))&lt;='40Trips'!$K$16,$A32&lt;&gt;AF$1,gamma!AF32=1),(VLOOKUP(AF$1,'40Trips'!$A$3:$I$42,8,FALSE))-(VLOOKUP($A32,'40Trips'!$A$3:$I$42,9,FALSE)),0)</f>
        <v>0</v>
      </c>
      <c r="AG32">
        <f>IF(AND(SUM(VLOOKUP($A32,'40Trips'!$A$3:$I$42,2,FALSE),VLOOKUP(AG$1,'40Trips'!$A$3:$I$42,2,FALSE))&lt;='40Trips'!$K$16,$A32&lt;&gt;AG$1,gamma!AG32=1),(VLOOKUP(AG$1,'40Trips'!$A$3:$I$42,8,FALSE))-(VLOOKUP($A32,'40Trips'!$A$3:$I$42,9,FALSE)),0)</f>
        <v>0</v>
      </c>
      <c r="AH32">
        <f>IF(AND(SUM(VLOOKUP($A32,'40Trips'!$A$3:$I$42,2,FALSE),VLOOKUP(AH$1,'40Trips'!$A$3:$I$42,2,FALSE))&lt;='40Trips'!$K$16,$A32&lt;&gt;AH$1,gamma!AH32=1),(VLOOKUP(AH$1,'40Trips'!$A$3:$I$42,8,FALSE))-(VLOOKUP($A32,'40Trips'!$A$3:$I$42,9,FALSE)),0)</f>
        <v>80</v>
      </c>
      <c r="AI32">
        <f>IF(AND(SUM(VLOOKUP($A32,'40Trips'!$A$3:$I$42,2,FALSE),VLOOKUP(AI$1,'40Trips'!$A$3:$I$42,2,FALSE))&lt;='40Trips'!$K$16,$A32&lt;&gt;AI$1,gamma!AI32=1),(VLOOKUP(AI$1,'40Trips'!$A$3:$I$42,8,FALSE))-(VLOOKUP($A32,'40Trips'!$A$3:$I$42,9,FALSE)),0)</f>
        <v>35</v>
      </c>
      <c r="AJ32">
        <f>IF(AND(SUM(VLOOKUP($A32,'40Trips'!$A$3:$I$42,2,FALSE),VLOOKUP(AJ$1,'40Trips'!$A$3:$I$42,2,FALSE))&lt;='40Trips'!$K$16,$A32&lt;&gt;AJ$1,gamma!AJ32=1),(VLOOKUP(AJ$1,'40Trips'!$A$3:$I$42,8,FALSE))-(VLOOKUP($A32,'40Trips'!$A$3:$I$42,9,FALSE)),0)</f>
        <v>65</v>
      </c>
      <c r="AK32">
        <f>IF(AND(SUM(VLOOKUP($A32,'40Trips'!$A$3:$I$42,2,FALSE),VLOOKUP(AK$1,'40Trips'!$A$3:$I$42,2,FALSE))&lt;='40Trips'!$K$16,$A32&lt;&gt;AK$1,gamma!AK32=1),(VLOOKUP(AK$1,'40Trips'!$A$3:$I$42,8,FALSE))-(VLOOKUP($A32,'40Trips'!$A$3:$I$42,9,FALSE)),0)</f>
        <v>115</v>
      </c>
      <c r="AL32">
        <f>IF(AND(SUM(VLOOKUP($A32,'40Trips'!$A$3:$I$42,2,FALSE),VLOOKUP(AL$1,'40Trips'!$A$3:$I$42,2,FALSE))&lt;='40Trips'!$K$16,$A32&lt;&gt;AL$1,gamma!AL32=1),(VLOOKUP(AL$1,'40Trips'!$A$3:$I$42,8,FALSE))-(VLOOKUP($A32,'40Trips'!$A$3:$I$42,9,FALSE)),0)</f>
        <v>315</v>
      </c>
      <c r="AM32">
        <f>IF(AND(SUM(VLOOKUP($A32,'40Trips'!$A$3:$I$42,2,FALSE),VLOOKUP(AM$1,'40Trips'!$A$3:$I$42,2,FALSE))&lt;='40Trips'!$K$16,$A32&lt;&gt;AM$1,gamma!AM32=1),(VLOOKUP(AM$1,'40Trips'!$A$3:$I$42,8,FALSE))-(VLOOKUP($A32,'40Trips'!$A$3:$I$42,9,FALSE)),0)</f>
        <v>0</v>
      </c>
      <c r="AN32">
        <f>IF(AND(SUM(VLOOKUP($A32,'40Trips'!$A$3:$I$42,2,FALSE),VLOOKUP(AN$1,'40Trips'!$A$3:$I$42,2,FALSE))&lt;='40Trips'!$K$16,$A32&lt;&gt;AN$1,gamma!AN32=1),(VLOOKUP(AN$1,'40Trips'!$A$3:$I$42,8,FALSE))-(VLOOKUP($A32,'40Trips'!$A$3:$I$42,9,FALSE)),0)</f>
        <v>80</v>
      </c>
      <c r="AO32">
        <f>IF(AND(SUM(VLOOKUP($A32,'40Trips'!$A$3:$I$42,2,FALSE),VLOOKUP(AO$1,'40Trips'!$A$3:$I$42,2,FALSE))&lt;='40Trips'!$K$16,$A32&lt;&gt;AO$1,gamma!AO32=1),(VLOOKUP(AO$1,'40Trips'!$A$3:$I$42,8,FALSE))-(VLOOKUP($A32,'40Trips'!$A$3:$I$42,9,FALSE)),0)</f>
        <v>95</v>
      </c>
      <c r="AP32">
        <f>IF(AND(SUM(VLOOKUP($A32,'40Trips'!$A$3:$I$42,2,FALSE),VLOOKUP(AP$1,'40Trips'!$A$3:$I$42,2,FALSE))&lt;='40Trips'!$K$16,$A32&lt;&gt;AP$1,gamma!AP32=1),(VLOOKUP(AP$1,'40Trips'!$A$3:$I$42,8,FALSE))-(VLOOKUP($A32,'40Trips'!$A$3:$I$42,9,FALSE)),0)</f>
        <v>280</v>
      </c>
    </row>
    <row r="33" spans="1:42" x14ac:dyDescent="0.25">
      <c r="A33" t="s">
        <v>84</v>
      </c>
      <c r="B33">
        <v>0</v>
      </c>
      <c r="C33">
        <f>IF(AND(SUM(VLOOKUP($A33,'40Trips'!$A$3:$I$42,2,FALSE),VLOOKUP(C$1,'40Trips'!$A$3:$I$42,2,FALSE))&lt;='40Trips'!$K$16,$A33&lt;&gt;C$1,gamma!C33=1),(VLOOKUP(C$1,'40Trips'!$A$3:$I$42,8,FALSE))-(VLOOKUP($A33,'40Trips'!$A$3:$I$42,9,FALSE)),0)</f>
        <v>0</v>
      </c>
      <c r="D33">
        <f>IF(AND(SUM(VLOOKUP($A33,'40Trips'!$A$3:$I$42,2,FALSE),VLOOKUP(D$1,'40Trips'!$A$3:$I$42,2,FALSE))&lt;='40Trips'!$K$16,$A33&lt;&gt;D$1,gamma!D33=1),(VLOOKUP(D$1,'40Trips'!$A$3:$I$42,8,FALSE))-(VLOOKUP($A33,'40Trips'!$A$3:$I$42,9,FALSE)),0)</f>
        <v>0</v>
      </c>
      <c r="E33">
        <f>IF(AND(SUM(VLOOKUP($A33,'40Trips'!$A$3:$I$42,2,FALSE),VLOOKUP(E$1,'40Trips'!$A$3:$I$42,2,FALSE))&lt;='40Trips'!$K$16,$A33&lt;&gt;E$1,gamma!E33=1),(VLOOKUP(E$1,'40Trips'!$A$3:$I$42,8,FALSE))-(VLOOKUP($A33,'40Trips'!$A$3:$I$42,9,FALSE)),0)</f>
        <v>95</v>
      </c>
      <c r="F33">
        <f>IF(AND(SUM(VLOOKUP($A33,'40Trips'!$A$3:$I$42,2,FALSE),VLOOKUP(F$1,'40Trips'!$A$3:$I$42,2,FALSE))&lt;='40Trips'!$K$16,$A33&lt;&gt;F$1,gamma!F33=1),(VLOOKUP(F$1,'40Trips'!$A$3:$I$42,8,FALSE))-(VLOOKUP($A33,'40Trips'!$A$3:$I$42,9,FALSE)),0)</f>
        <v>185</v>
      </c>
      <c r="G33">
        <f>IF(AND(SUM(VLOOKUP($A33,'40Trips'!$A$3:$I$42,2,FALSE),VLOOKUP(G$1,'40Trips'!$A$3:$I$42,2,FALSE))&lt;='40Trips'!$K$16,$A33&lt;&gt;G$1,gamma!G33=1),(VLOOKUP(G$1,'40Trips'!$A$3:$I$42,8,FALSE))-(VLOOKUP($A33,'40Trips'!$A$3:$I$42,9,FALSE)),0)</f>
        <v>0</v>
      </c>
      <c r="H33">
        <f>IF(AND(SUM(VLOOKUP($A33,'40Trips'!$A$3:$I$42,2,FALSE),VLOOKUP(H$1,'40Trips'!$A$3:$I$42,2,FALSE))&lt;='40Trips'!$K$16,$A33&lt;&gt;H$1,gamma!H33=1),(VLOOKUP(H$1,'40Trips'!$A$3:$I$42,8,FALSE))-(VLOOKUP($A33,'40Trips'!$A$3:$I$42,9,FALSE)),0)</f>
        <v>0</v>
      </c>
      <c r="I33">
        <f>IF(AND(SUM(VLOOKUP($A33,'40Trips'!$A$3:$I$42,2,FALSE),VLOOKUP(I$1,'40Trips'!$A$3:$I$42,2,FALSE))&lt;='40Trips'!$K$16,$A33&lt;&gt;I$1,gamma!I33=1),(VLOOKUP(I$1,'40Trips'!$A$3:$I$42,8,FALSE))-(VLOOKUP($A33,'40Trips'!$A$3:$I$42,9,FALSE)),0)</f>
        <v>60</v>
      </c>
      <c r="J33">
        <f>IF(AND(SUM(VLOOKUP($A33,'40Trips'!$A$3:$I$42,2,FALSE),VLOOKUP(J$1,'40Trips'!$A$3:$I$42,2,FALSE))&lt;='40Trips'!$K$16,$A33&lt;&gt;J$1,gamma!J33=1),(VLOOKUP(J$1,'40Trips'!$A$3:$I$42,8,FALSE))-(VLOOKUP($A33,'40Trips'!$A$3:$I$42,9,FALSE)),0)</f>
        <v>420</v>
      </c>
      <c r="K33">
        <f>IF(AND(SUM(VLOOKUP($A33,'40Trips'!$A$3:$I$42,2,FALSE),VLOOKUP(K$1,'40Trips'!$A$3:$I$42,2,FALSE))&lt;='40Trips'!$K$16,$A33&lt;&gt;K$1,gamma!K33=1),(VLOOKUP(K$1,'40Trips'!$A$3:$I$42,8,FALSE))-(VLOOKUP($A33,'40Trips'!$A$3:$I$42,9,FALSE)),0)</f>
        <v>0</v>
      </c>
      <c r="L33">
        <f>IF(AND(SUM(VLOOKUP($A33,'40Trips'!$A$3:$I$42,2,FALSE),VLOOKUP(L$1,'40Trips'!$A$3:$I$42,2,FALSE))&lt;='40Trips'!$K$16,$A33&lt;&gt;L$1,gamma!L33=1),(VLOOKUP(L$1,'40Trips'!$A$3:$I$42,8,FALSE))-(VLOOKUP($A33,'40Trips'!$A$3:$I$42,9,FALSE)),0)</f>
        <v>0</v>
      </c>
      <c r="M33">
        <f>IF(AND(SUM(VLOOKUP($A33,'40Trips'!$A$3:$I$42,2,FALSE),VLOOKUP(M$1,'40Trips'!$A$3:$I$42,2,FALSE))&lt;='40Trips'!$K$16,$A33&lt;&gt;M$1,gamma!M33=1),(VLOOKUP(M$1,'40Trips'!$A$3:$I$42,8,FALSE))-(VLOOKUP($A33,'40Trips'!$A$3:$I$42,9,FALSE)),0)</f>
        <v>55</v>
      </c>
      <c r="N33">
        <f>IF(AND(SUM(VLOOKUP($A33,'40Trips'!$A$3:$I$42,2,FALSE),VLOOKUP(N$1,'40Trips'!$A$3:$I$42,2,FALSE))&lt;='40Trips'!$K$16,$A33&lt;&gt;N$1,gamma!N33=1),(VLOOKUP(N$1,'40Trips'!$A$3:$I$42,8,FALSE))-(VLOOKUP($A33,'40Trips'!$A$3:$I$42,9,FALSE)),0)</f>
        <v>0</v>
      </c>
      <c r="O33">
        <f>IF(AND(SUM(VLOOKUP($A33,'40Trips'!$A$3:$I$42,2,FALSE),VLOOKUP(O$1,'40Trips'!$A$3:$I$42,2,FALSE))&lt;='40Trips'!$K$16,$A33&lt;&gt;O$1,gamma!O33=1),(VLOOKUP(O$1,'40Trips'!$A$3:$I$42,8,FALSE))-(VLOOKUP($A33,'40Trips'!$A$3:$I$42,9,FALSE)),0)</f>
        <v>0</v>
      </c>
      <c r="P33">
        <f>IF(AND(SUM(VLOOKUP($A33,'40Trips'!$A$3:$I$42,2,FALSE),VLOOKUP(P$1,'40Trips'!$A$3:$I$42,2,FALSE))&lt;='40Trips'!$K$16,$A33&lt;&gt;P$1,gamma!P33=1),(VLOOKUP(P$1,'40Trips'!$A$3:$I$42,8,FALSE))-(VLOOKUP($A33,'40Trips'!$A$3:$I$42,9,FALSE)),0)</f>
        <v>0</v>
      </c>
      <c r="Q33">
        <f>IF(AND(SUM(VLOOKUP($A33,'40Trips'!$A$3:$I$42,2,FALSE),VLOOKUP(Q$1,'40Trips'!$A$3:$I$42,2,FALSE))&lt;='40Trips'!$K$16,$A33&lt;&gt;Q$1,gamma!Q33=1),(VLOOKUP(Q$1,'40Trips'!$A$3:$I$42,8,FALSE))-(VLOOKUP($A33,'40Trips'!$A$3:$I$42,9,FALSE)),0)</f>
        <v>75</v>
      </c>
      <c r="R33">
        <f>IF(AND(SUM(VLOOKUP($A33,'40Trips'!$A$3:$I$42,2,FALSE),VLOOKUP(R$1,'40Trips'!$A$3:$I$42,2,FALSE))&lt;='40Trips'!$K$16,$A33&lt;&gt;R$1,gamma!R33=1),(VLOOKUP(R$1,'40Trips'!$A$3:$I$42,8,FALSE))-(VLOOKUP($A33,'40Trips'!$A$3:$I$42,9,FALSE)),0)</f>
        <v>165</v>
      </c>
      <c r="S33">
        <f>IF(AND(SUM(VLOOKUP($A33,'40Trips'!$A$3:$I$42,2,FALSE),VLOOKUP(S$1,'40Trips'!$A$3:$I$42,2,FALSE))&lt;='40Trips'!$K$16,$A33&lt;&gt;S$1,gamma!S33=1),(VLOOKUP(S$1,'40Trips'!$A$3:$I$42,8,FALSE))-(VLOOKUP($A33,'40Trips'!$A$3:$I$42,9,FALSE)),0)</f>
        <v>0</v>
      </c>
      <c r="T33">
        <f>IF(AND(SUM(VLOOKUP($A33,'40Trips'!$A$3:$I$42,2,FALSE),VLOOKUP(T$1,'40Trips'!$A$3:$I$42,2,FALSE))&lt;='40Trips'!$K$16,$A33&lt;&gt;T$1,gamma!T33=1),(VLOOKUP(T$1,'40Trips'!$A$3:$I$42,8,FALSE))-(VLOOKUP($A33,'40Trips'!$A$3:$I$42,9,FALSE)),0)</f>
        <v>0</v>
      </c>
      <c r="U33">
        <f>IF(AND(SUM(VLOOKUP($A33,'40Trips'!$A$3:$I$42,2,FALSE),VLOOKUP(U$1,'40Trips'!$A$3:$I$42,2,FALSE))&lt;='40Trips'!$K$16,$A33&lt;&gt;U$1,gamma!U33=1),(VLOOKUP(U$1,'40Trips'!$A$3:$I$42,8,FALSE))-(VLOOKUP($A33,'40Trips'!$A$3:$I$42,9,FALSE)),0)</f>
        <v>65</v>
      </c>
      <c r="V33">
        <f>IF(AND(SUM(VLOOKUP($A33,'40Trips'!$A$3:$I$42,2,FALSE),VLOOKUP(V$1,'40Trips'!$A$3:$I$42,2,FALSE))&lt;='40Trips'!$K$16,$A33&lt;&gt;V$1,gamma!V33=1),(VLOOKUP(V$1,'40Trips'!$A$3:$I$42,8,FALSE))-(VLOOKUP($A33,'40Trips'!$A$3:$I$42,9,FALSE)),0)</f>
        <v>215</v>
      </c>
      <c r="W33">
        <f>IF(AND(SUM(VLOOKUP($A33,'40Trips'!$A$3:$I$42,2,FALSE),VLOOKUP(W$1,'40Trips'!$A$3:$I$42,2,FALSE))&lt;='40Trips'!$K$16,$A33&lt;&gt;W$1,gamma!W33=1),(VLOOKUP(W$1,'40Trips'!$A$3:$I$42,8,FALSE))-(VLOOKUP($A33,'40Trips'!$A$3:$I$42,9,FALSE)),0)</f>
        <v>0</v>
      </c>
      <c r="X33">
        <f>IF(AND(SUM(VLOOKUP($A33,'40Trips'!$A$3:$I$42,2,FALSE),VLOOKUP(X$1,'40Trips'!$A$3:$I$42,2,FALSE))&lt;='40Trips'!$K$16,$A33&lt;&gt;X$1,gamma!X33=1),(VLOOKUP(X$1,'40Trips'!$A$3:$I$42,8,FALSE))-(VLOOKUP($A33,'40Trips'!$A$3:$I$42,9,FALSE)),0)</f>
        <v>0</v>
      </c>
      <c r="Y33">
        <f>IF(AND(SUM(VLOOKUP($A33,'40Trips'!$A$3:$I$42,2,FALSE),VLOOKUP(Y$1,'40Trips'!$A$3:$I$42,2,FALSE))&lt;='40Trips'!$K$16,$A33&lt;&gt;Y$1,gamma!Y33=1),(VLOOKUP(Y$1,'40Trips'!$A$3:$I$42,8,FALSE))-(VLOOKUP($A33,'40Trips'!$A$3:$I$42,9,FALSE)),0)</f>
        <v>125</v>
      </c>
      <c r="Z33">
        <f>IF(AND(SUM(VLOOKUP($A33,'40Trips'!$A$3:$I$42,2,FALSE),VLOOKUP(Z$1,'40Trips'!$A$3:$I$42,2,FALSE))&lt;='40Trips'!$K$16,$A33&lt;&gt;Z$1,gamma!Z33=1),(VLOOKUP(Z$1,'40Trips'!$A$3:$I$42,8,FALSE))-(VLOOKUP($A33,'40Trips'!$A$3:$I$42,9,FALSE)),0)</f>
        <v>185</v>
      </c>
      <c r="AA33">
        <f>IF(AND(SUM(VLOOKUP($A33,'40Trips'!$A$3:$I$42,2,FALSE),VLOOKUP(AA$1,'40Trips'!$A$3:$I$42,2,FALSE))&lt;='40Trips'!$K$16,$A33&lt;&gt;AA$1,gamma!AA33=1),(VLOOKUP(AA$1,'40Trips'!$A$3:$I$42,8,FALSE))-(VLOOKUP($A33,'40Trips'!$A$3:$I$42,9,FALSE)),0)</f>
        <v>0</v>
      </c>
      <c r="AB33">
        <f>IF(AND(SUM(VLOOKUP($A33,'40Trips'!$A$3:$I$42,2,FALSE),VLOOKUP(AB$1,'40Trips'!$A$3:$I$42,2,FALSE))&lt;='40Trips'!$K$16,$A33&lt;&gt;AB$1,gamma!AB33=1),(VLOOKUP(AB$1,'40Trips'!$A$3:$I$42,8,FALSE))-(VLOOKUP($A33,'40Trips'!$A$3:$I$42,9,FALSE)),0)</f>
        <v>0</v>
      </c>
      <c r="AC33">
        <f>IF(AND(SUM(VLOOKUP($A33,'40Trips'!$A$3:$I$42,2,FALSE),VLOOKUP(AC$1,'40Trips'!$A$3:$I$42,2,FALSE))&lt;='40Trips'!$K$16,$A33&lt;&gt;AC$1,gamma!AC33=1),(VLOOKUP(AC$1,'40Trips'!$A$3:$I$42,8,FALSE))-(VLOOKUP($A33,'40Trips'!$A$3:$I$42,9,FALSE)),0)</f>
        <v>165</v>
      </c>
      <c r="AD33">
        <f>IF(AND(SUM(VLOOKUP($A33,'40Trips'!$A$3:$I$42,2,FALSE),VLOOKUP(AD$1,'40Trips'!$A$3:$I$42,2,FALSE))&lt;='40Trips'!$K$16,$A33&lt;&gt;AD$1,gamma!AD33=1),(VLOOKUP(AD$1,'40Trips'!$A$3:$I$42,8,FALSE))-(VLOOKUP($A33,'40Trips'!$A$3:$I$42,9,FALSE)),0)</f>
        <v>215</v>
      </c>
      <c r="AE33">
        <f>IF(AND(SUM(VLOOKUP($A33,'40Trips'!$A$3:$I$42,2,FALSE),VLOOKUP(AE$1,'40Trips'!$A$3:$I$42,2,FALSE))&lt;='40Trips'!$K$16,$A33&lt;&gt;AE$1,gamma!AE33=1),(VLOOKUP(AE$1,'40Trips'!$A$3:$I$42,8,FALSE))-(VLOOKUP($A33,'40Trips'!$A$3:$I$42,9,FALSE)),0)</f>
        <v>0</v>
      </c>
      <c r="AF33">
        <f>IF(AND(SUM(VLOOKUP($A33,'40Trips'!$A$3:$I$42,2,FALSE),VLOOKUP(AF$1,'40Trips'!$A$3:$I$42,2,FALSE))&lt;='40Trips'!$K$16,$A33&lt;&gt;AF$1,gamma!AF33=1),(VLOOKUP(AF$1,'40Trips'!$A$3:$I$42,8,FALSE))-(VLOOKUP($A33,'40Trips'!$A$3:$I$42,9,FALSE)),0)</f>
        <v>0</v>
      </c>
      <c r="AG33">
        <f>IF(AND(SUM(VLOOKUP($A33,'40Trips'!$A$3:$I$42,2,FALSE),VLOOKUP(AG$1,'40Trips'!$A$3:$I$42,2,FALSE))&lt;='40Trips'!$K$16,$A33&lt;&gt;AG$1,gamma!AG33=1),(VLOOKUP(AG$1,'40Trips'!$A$3:$I$42,8,FALSE))-(VLOOKUP($A33,'40Trips'!$A$3:$I$42,9,FALSE)),0)</f>
        <v>0</v>
      </c>
      <c r="AH33">
        <f>IF(AND(SUM(VLOOKUP($A33,'40Trips'!$A$3:$I$42,2,FALSE),VLOOKUP(AH$1,'40Trips'!$A$3:$I$42,2,FALSE))&lt;='40Trips'!$K$16,$A33&lt;&gt;AH$1,gamma!AH33=1),(VLOOKUP(AH$1,'40Trips'!$A$3:$I$42,8,FALSE))-(VLOOKUP($A33,'40Trips'!$A$3:$I$42,9,FALSE)),0)</f>
        <v>30</v>
      </c>
      <c r="AI33">
        <f>IF(AND(SUM(VLOOKUP($A33,'40Trips'!$A$3:$I$42,2,FALSE),VLOOKUP(AI$1,'40Trips'!$A$3:$I$42,2,FALSE))&lt;='40Trips'!$K$16,$A33&lt;&gt;AI$1,gamma!AI33=1),(VLOOKUP(AI$1,'40Trips'!$A$3:$I$42,8,FALSE))-(VLOOKUP($A33,'40Trips'!$A$3:$I$42,9,FALSE)),0)</f>
        <v>0</v>
      </c>
      <c r="AJ33">
        <f>IF(AND(SUM(VLOOKUP($A33,'40Trips'!$A$3:$I$42,2,FALSE),VLOOKUP(AJ$1,'40Trips'!$A$3:$I$42,2,FALSE))&lt;='40Trips'!$K$16,$A33&lt;&gt;AJ$1,gamma!AJ33=1),(VLOOKUP(AJ$1,'40Trips'!$A$3:$I$42,8,FALSE))-(VLOOKUP($A33,'40Trips'!$A$3:$I$42,9,FALSE)),0)</f>
        <v>15</v>
      </c>
      <c r="AK33">
        <f>IF(AND(SUM(VLOOKUP($A33,'40Trips'!$A$3:$I$42,2,FALSE),VLOOKUP(AK$1,'40Trips'!$A$3:$I$42,2,FALSE))&lt;='40Trips'!$K$16,$A33&lt;&gt;AK$1,gamma!AK33=1),(VLOOKUP(AK$1,'40Trips'!$A$3:$I$42,8,FALSE))-(VLOOKUP($A33,'40Trips'!$A$3:$I$42,9,FALSE)),0)</f>
        <v>65</v>
      </c>
      <c r="AL33">
        <f>IF(AND(SUM(VLOOKUP($A33,'40Trips'!$A$3:$I$42,2,FALSE),VLOOKUP(AL$1,'40Trips'!$A$3:$I$42,2,FALSE))&lt;='40Trips'!$K$16,$A33&lt;&gt;AL$1,gamma!AL33=1),(VLOOKUP(AL$1,'40Trips'!$A$3:$I$42,8,FALSE))-(VLOOKUP($A33,'40Trips'!$A$3:$I$42,9,FALSE)),0)</f>
        <v>265</v>
      </c>
      <c r="AM33">
        <f>IF(AND(SUM(VLOOKUP($A33,'40Trips'!$A$3:$I$42,2,FALSE),VLOOKUP(AM$1,'40Trips'!$A$3:$I$42,2,FALSE))&lt;='40Trips'!$K$16,$A33&lt;&gt;AM$1,gamma!AM33=1),(VLOOKUP(AM$1,'40Trips'!$A$3:$I$42,8,FALSE))-(VLOOKUP($A33,'40Trips'!$A$3:$I$42,9,FALSE)),0)</f>
        <v>0</v>
      </c>
      <c r="AN33">
        <f>IF(AND(SUM(VLOOKUP($A33,'40Trips'!$A$3:$I$42,2,FALSE),VLOOKUP(AN$1,'40Trips'!$A$3:$I$42,2,FALSE))&lt;='40Trips'!$K$16,$A33&lt;&gt;AN$1,gamma!AN33=1),(VLOOKUP(AN$1,'40Trips'!$A$3:$I$42,8,FALSE))-(VLOOKUP($A33,'40Trips'!$A$3:$I$42,9,FALSE)),0)</f>
        <v>30</v>
      </c>
      <c r="AO33">
        <f>IF(AND(SUM(VLOOKUP($A33,'40Trips'!$A$3:$I$42,2,FALSE),VLOOKUP(AO$1,'40Trips'!$A$3:$I$42,2,FALSE))&lt;='40Trips'!$K$16,$A33&lt;&gt;AO$1,gamma!AO33=1),(VLOOKUP(AO$1,'40Trips'!$A$3:$I$42,8,FALSE))-(VLOOKUP($A33,'40Trips'!$A$3:$I$42,9,FALSE)),0)</f>
        <v>45</v>
      </c>
      <c r="AP33">
        <f>IF(AND(SUM(VLOOKUP($A33,'40Trips'!$A$3:$I$42,2,FALSE),VLOOKUP(AP$1,'40Trips'!$A$3:$I$42,2,FALSE))&lt;='40Trips'!$K$16,$A33&lt;&gt;AP$1,gamma!AP33=1),(VLOOKUP(AP$1,'40Trips'!$A$3:$I$42,8,FALSE))-(VLOOKUP($A33,'40Trips'!$A$3:$I$42,9,FALSE)),0)</f>
        <v>230</v>
      </c>
    </row>
    <row r="34" spans="1:42" x14ac:dyDescent="0.25">
      <c r="A34" t="s">
        <v>85</v>
      </c>
      <c r="B34">
        <v>0</v>
      </c>
      <c r="C34">
        <f>IF(AND(SUM(VLOOKUP($A34,'40Trips'!$A$3:$I$42,2,FALSE),VLOOKUP(C$1,'40Trips'!$A$3:$I$42,2,FALSE))&lt;='40Trips'!$K$16,$A34&lt;&gt;C$1,gamma!C34=1),(VLOOKUP(C$1,'40Trips'!$A$3:$I$42,8,FALSE))-(VLOOKUP($A34,'40Trips'!$A$3:$I$42,9,FALSE)),0)</f>
        <v>0</v>
      </c>
      <c r="D34">
        <f>IF(AND(SUM(VLOOKUP($A34,'40Trips'!$A$3:$I$42,2,FALSE),VLOOKUP(D$1,'40Trips'!$A$3:$I$42,2,FALSE))&lt;='40Trips'!$K$16,$A34&lt;&gt;D$1,gamma!D34=1),(VLOOKUP(D$1,'40Trips'!$A$3:$I$42,8,FALSE))-(VLOOKUP($A34,'40Trips'!$A$3:$I$42,9,FALSE)),0)</f>
        <v>0</v>
      </c>
      <c r="E34">
        <f>IF(AND(SUM(VLOOKUP($A34,'40Trips'!$A$3:$I$42,2,FALSE),VLOOKUP(E$1,'40Trips'!$A$3:$I$42,2,FALSE))&lt;='40Trips'!$K$16,$A34&lt;&gt;E$1,gamma!E34=1),(VLOOKUP(E$1,'40Trips'!$A$3:$I$42,8,FALSE))-(VLOOKUP($A34,'40Trips'!$A$3:$I$42,9,FALSE)),0)</f>
        <v>0</v>
      </c>
      <c r="F34">
        <f>IF(AND(SUM(VLOOKUP($A34,'40Trips'!$A$3:$I$42,2,FALSE),VLOOKUP(F$1,'40Trips'!$A$3:$I$42,2,FALSE))&lt;='40Trips'!$K$16,$A34&lt;&gt;F$1,gamma!F34=1),(VLOOKUP(F$1,'40Trips'!$A$3:$I$42,8,FALSE))-(VLOOKUP($A34,'40Trips'!$A$3:$I$42,9,FALSE)),0)</f>
        <v>20</v>
      </c>
      <c r="G34">
        <f>IF(AND(SUM(VLOOKUP($A34,'40Trips'!$A$3:$I$42,2,FALSE),VLOOKUP(G$1,'40Trips'!$A$3:$I$42,2,FALSE))&lt;='40Trips'!$K$16,$A34&lt;&gt;G$1,gamma!G34=1),(VLOOKUP(G$1,'40Trips'!$A$3:$I$42,8,FALSE))-(VLOOKUP($A34,'40Trips'!$A$3:$I$42,9,FALSE)),0)</f>
        <v>0</v>
      </c>
      <c r="H34">
        <f>IF(AND(SUM(VLOOKUP($A34,'40Trips'!$A$3:$I$42,2,FALSE),VLOOKUP(H$1,'40Trips'!$A$3:$I$42,2,FALSE))&lt;='40Trips'!$K$16,$A34&lt;&gt;H$1,gamma!H34=1),(VLOOKUP(H$1,'40Trips'!$A$3:$I$42,8,FALSE))-(VLOOKUP($A34,'40Trips'!$A$3:$I$42,9,FALSE)),0)</f>
        <v>0</v>
      </c>
      <c r="I34">
        <f>IF(AND(SUM(VLOOKUP($A34,'40Trips'!$A$3:$I$42,2,FALSE),VLOOKUP(I$1,'40Trips'!$A$3:$I$42,2,FALSE))&lt;='40Trips'!$K$16,$A34&lt;&gt;I$1,gamma!I34=1),(VLOOKUP(I$1,'40Trips'!$A$3:$I$42,8,FALSE))-(VLOOKUP($A34,'40Trips'!$A$3:$I$42,9,FALSE)),0)</f>
        <v>0</v>
      </c>
      <c r="J34">
        <f>IF(AND(SUM(VLOOKUP($A34,'40Trips'!$A$3:$I$42,2,FALSE),VLOOKUP(J$1,'40Trips'!$A$3:$I$42,2,FALSE))&lt;='40Trips'!$K$16,$A34&lt;&gt;J$1,gamma!J34=1),(VLOOKUP(J$1,'40Trips'!$A$3:$I$42,8,FALSE))-(VLOOKUP($A34,'40Trips'!$A$3:$I$42,9,FALSE)),0)</f>
        <v>255</v>
      </c>
      <c r="K34">
        <f>IF(AND(SUM(VLOOKUP($A34,'40Trips'!$A$3:$I$42,2,FALSE),VLOOKUP(K$1,'40Trips'!$A$3:$I$42,2,FALSE))&lt;='40Trips'!$K$16,$A34&lt;&gt;K$1,gamma!K34=1),(VLOOKUP(K$1,'40Trips'!$A$3:$I$42,8,FALSE))-(VLOOKUP($A34,'40Trips'!$A$3:$I$42,9,FALSE)),0)</f>
        <v>0</v>
      </c>
      <c r="L34">
        <f>IF(AND(SUM(VLOOKUP($A34,'40Trips'!$A$3:$I$42,2,FALSE),VLOOKUP(L$1,'40Trips'!$A$3:$I$42,2,FALSE))&lt;='40Trips'!$K$16,$A34&lt;&gt;L$1,gamma!L34=1),(VLOOKUP(L$1,'40Trips'!$A$3:$I$42,8,FALSE))-(VLOOKUP($A34,'40Trips'!$A$3:$I$42,9,FALSE)),0)</f>
        <v>0</v>
      </c>
      <c r="M34">
        <f>IF(AND(SUM(VLOOKUP($A34,'40Trips'!$A$3:$I$42,2,FALSE),VLOOKUP(M$1,'40Trips'!$A$3:$I$42,2,FALSE))&lt;='40Trips'!$K$16,$A34&lt;&gt;M$1,gamma!M34=1),(VLOOKUP(M$1,'40Trips'!$A$3:$I$42,8,FALSE))-(VLOOKUP($A34,'40Trips'!$A$3:$I$42,9,FALSE)),0)</f>
        <v>0</v>
      </c>
      <c r="N34">
        <f>IF(AND(SUM(VLOOKUP($A34,'40Trips'!$A$3:$I$42,2,FALSE),VLOOKUP(N$1,'40Trips'!$A$3:$I$42,2,FALSE))&lt;='40Trips'!$K$16,$A34&lt;&gt;N$1,gamma!N34=1),(VLOOKUP(N$1,'40Trips'!$A$3:$I$42,8,FALSE))-(VLOOKUP($A34,'40Trips'!$A$3:$I$42,9,FALSE)),0)</f>
        <v>0</v>
      </c>
      <c r="O34">
        <f>IF(AND(SUM(VLOOKUP($A34,'40Trips'!$A$3:$I$42,2,FALSE),VLOOKUP(O$1,'40Trips'!$A$3:$I$42,2,FALSE))&lt;='40Trips'!$K$16,$A34&lt;&gt;O$1,gamma!O34=1),(VLOOKUP(O$1,'40Trips'!$A$3:$I$42,8,FALSE))-(VLOOKUP($A34,'40Trips'!$A$3:$I$42,9,FALSE)),0)</f>
        <v>0</v>
      </c>
      <c r="P34">
        <f>IF(AND(SUM(VLOOKUP($A34,'40Trips'!$A$3:$I$42,2,FALSE),VLOOKUP(P$1,'40Trips'!$A$3:$I$42,2,FALSE))&lt;='40Trips'!$K$16,$A34&lt;&gt;P$1,gamma!P34=1),(VLOOKUP(P$1,'40Trips'!$A$3:$I$42,8,FALSE))-(VLOOKUP($A34,'40Trips'!$A$3:$I$42,9,FALSE)),0)</f>
        <v>0</v>
      </c>
      <c r="Q34">
        <f>IF(AND(SUM(VLOOKUP($A34,'40Trips'!$A$3:$I$42,2,FALSE),VLOOKUP(Q$1,'40Trips'!$A$3:$I$42,2,FALSE))&lt;='40Trips'!$K$16,$A34&lt;&gt;Q$1,gamma!Q34=1),(VLOOKUP(Q$1,'40Trips'!$A$3:$I$42,8,FALSE))-(VLOOKUP($A34,'40Trips'!$A$3:$I$42,9,FALSE)),0)</f>
        <v>0</v>
      </c>
      <c r="R34">
        <f>IF(AND(SUM(VLOOKUP($A34,'40Trips'!$A$3:$I$42,2,FALSE),VLOOKUP(R$1,'40Trips'!$A$3:$I$42,2,FALSE))&lt;='40Trips'!$K$16,$A34&lt;&gt;R$1,gamma!R34=1),(VLOOKUP(R$1,'40Trips'!$A$3:$I$42,8,FALSE))-(VLOOKUP($A34,'40Trips'!$A$3:$I$42,9,FALSE)),0)</f>
        <v>0</v>
      </c>
      <c r="S34">
        <f>IF(AND(SUM(VLOOKUP($A34,'40Trips'!$A$3:$I$42,2,FALSE),VLOOKUP(S$1,'40Trips'!$A$3:$I$42,2,FALSE))&lt;='40Trips'!$K$16,$A34&lt;&gt;S$1,gamma!S34=1),(VLOOKUP(S$1,'40Trips'!$A$3:$I$42,8,FALSE))-(VLOOKUP($A34,'40Trips'!$A$3:$I$42,9,FALSE)),0)</f>
        <v>0</v>
      </c>
      <c r="T34">
        <f>IF(AND(SUM(VLOOKUP($A34,'40Trips'!$A$3:$I$42,2,FALSE),VLOOKUP(T$1,'40Trips'!$A$3:$I$42,2,FALSE))&lt;='40Trips'!$K$16,$A34&lt;&gt;T$1,gamma!T34=1),(VLOOKUP(T$1,'40Trips'!$A$3:$I$42,8,FALSE))-(VLOOKUP($A34,'40Trips'!$A$3:$I$42,9,FALSE)),0)</f>
        <v>0</v>
      </c>
      <c r="U34">
        <f>IF(AND(SUM(VLOOKUP($A34,'40Trips'!$A$3:$I$42,2,FALSE),VLOOKUP(U$1,'40Trips'!$A$3:$I$42,2,FALSE))&lt;='40Trips'!$K$16,$A34&lt;&gt;U$1,gamma!U34=1),(VLOOKUP(U$1,'40Trips'!$A$3:$I$42,8,FALSE))-(VLOOKUP($A34,'40Trips'!$A$3:$I$42,9,FALSE)),0)</f>
        <v>0</v>
      </c>
      <c r="V34">
        <f>IF(AND(SUM(VLOOKUP($A34,'40Trips'!$A$3:$I$42,2,FALSE),VLOOKUP(V$1,'40Trips'!$A$3:$I$42,2,FALSE))&lt;='40Trips'!$K$16,$A34&lt;&gt;V$1,gamma!V34=1),(VLOOKUP(V$1,'40Trips'!$A$3:$I$42,8,FALSE))-(VLOOKUP($A34,'40Trips'!$A$3:$I$42,9,FALSE)),0)</f>
        <v>50</v>
      </c>
      <c r="W34">
        <f>IF(AND(SUM(VLOOKUP($A34,'40Trips'!$A$3:$I$42,2,FALSE),VLOOKUP(W$1,'40Trips'!$A$3:$I$42,2,FALSE))&lt;='40Trips'!$K$16,$A34&lt;&gt;W$1,gamma!W34=1),(VLOOKUP(W$1,'40Trips'!$A$3:$I$42,8,FALSE))-(VLOOKUP($A34,'40Trips'!$A$3:$I$42,9,FALSE)),0)</f>
        <v>0</v>
      </c>
      <c r="X34">
        <f>IF(AND(SUM(VLOOKUP($A34,'40Trips'!$A$3:$I$42,2,FALSE),VLOOKUP(X$1,'40Trips'!$A$3:$I$42,2,FALSE))&lt;='40Trips'!$K$16,$A34&lt;&gt;X$1,gamma!X34=1),(VLOOKUP(X$1,'40Trips'!$A$3:$I$42,8,FALSE))-(VLOOKUP($A34,'40Trips'!$A$3:$I$42,9,FALSE)),0)</f>
        <v>0</v>
      </c>
      <c r="Y34">
        <f>IF(AND(SUM(VLOOKUP($A34,'40Trips'!$A$3:$I$42,2,FALSE),VLOOKUP(Y$1,'40Trips'!$A$3:$I$42,2,FALSE))&lt;='40Trips'!$K$16,$A34&lt;&gt;Y$1,gamma!Y34=1),(VLOOKUP(Y$1,'40Trips'!$A$3:$I$42,8,FALSE))-(VLOOKUP($A34,'40Trips'!$A$3:$I$42,9,FALSE)),0)</f>
        <v>0</v>
      </c>
      <c r="Z34">
        <f>IF(AND(SUM(VLOOKUP($A34,'40Trips'!$A$3:$I$42,2,FALSE),VLOOKUP(Z$1,'40Trips'!$A$3:$I$42,2,FALSE))&lt;='40Trips'!$K$16,$A34&lt;&gt;Z$1,gamma!Z34=1),(VLOOKUP(Z$1,'40Trips'!$A$3:$I$42,8,FALSE))-(VLOOKUP($A34,'40Trips'!$A$3:$I$42,9,FALSE)),0)</f>
        <v>20</v>
      </c>
      <c r="AA34">
        <f>IF(AND(SUM(VLOOKUP($A34,'40Trips'!$A$3:$I$42,2,FALSE),VLOOKUP(AA$1,'40Trips'!$A$3:$I$42,2,FALSE))&lt;='40Trips'!$K$16,$A34&lt;&gt;AA$1,gamma!AA34=1),(VLOOKUP(AA$1,'40Trips'!$A$3:$I$42,8,FALSE))-(VLOOKUP($A34,'40Trips'!$A$3:$I$42,9,FALSE)),0)</f>
        <v>0</v>
      </c>
      <c r="AB34">
        <f>IF(AND(SUM(VLOOKUP($A34,'40Trips'!$A$3:$I$42,2,FALSE),VLOOKUP(AB$1,'40Trips'!$A$3:$I$42,2,FALSE))&lt;='40Trips'!$K$16,$A34&lt;&gt;AB$1,gamma!AB34=1),(VLOOKUP(AB$1,'40Trips'!$A$3:$I$42,8,FALSE))-(VLOOKUP($A34,'40Trips'!$A$3:$I$42,9,FALSE)),0)</f>
        <v>0</v>
      </c>
      <c r="AC34">
        <f>IF(AND(SUM(VLOOKUP($A34,'40Trips'!$A$3:$I$42,2,FALSE),VLOOKUP(AC$1,'40Trips'!$A$3:$I$42,2,FALSE))&lt;='40Trips'!$K$16,$A34&lt;&gt;AC$1,gamma!AC34=1),(VLOOKUP(AC$1,'40Trips'!$A$3:$I$42,8,FALSE))-(VLOOKUP($A34,'40Trips'!$A$3:$I$42,9,FALSE)),0)</f>
        <v>0</v>
      </c>
      <c r="AD34">
        <f>IF(AND(SUM(VLOOKUP($A34,'40Trips'!$A$3:$I$42,2,FALSE),VLOOKUP(AD$1,'40Trips'!$A$3:$I$42,2,FALSE))&lt;='40Trips'!$K$16,$A34&lt;&gt;AD$1,gamma!AD34=1),(VLOOKUP(AD$1,'40Trips'!$A$3:$I$42,8,FALSE))-(VLOOKUP($A34,'40Trips'!$A$3:$I$42,9,FALSE)),0)</f>
        <v>50</v>
      </c>
      <c r="AE34">
        <f>IF(AND(SUM(VLOOKUP($A34,'40Trips'!$A$3:$I$42,2,FALSE),VLOOKUP(AE$1,'40Trips'!$A$3:$I$42,2,FALSE))&lt;='40Trips'!$K$16,$A34&lt;&gt;AE$1,gamma!AE34=1),(VLOOKUP(AE$1,'40Trips'!$A$3:$I$42,8,FALSE))-(VLOOKUP($A34,'40Trips'!$A$3:$I$42,9,FALSE)),0)</f>
        <v>0</v>
      </c>
      <c r="AF34">
        <f>IF(AND(SUM(VLOOKUP($A34,'40Trips'!$A$3:$I$42,2,FALSE),VLOOKUP(AF$1,'40Trips'!$A$3:$I$42,2,FALSE))&lt;='40Trips'!$K$16,$A34&lt;&gt;AF$1,gamma!AF34=1),(VLOOKUP(AF$1,'40Trips'!$A$3:$I$42,8,FALSE))-(VLOOKUP($A34,'40Trips'!$A$3:$I$42,9,FALSE)),0)</f>
        <v>0</v>
      </c>
      <c r="AG34">
        <f>IF(AND(SUM(VLOOKUP($A34,'40Trips'!$A$3:$I$42,2,FALSE),VLOOKUP(AG$1,'40Trips'!$A$3:$I$42,2,FALSE))&lt;='40Trips'!$K$16,$A34&lt;&gt;AG$1,gamma!AG34=1),(VLOOKUP(AG$1,'40Trips'!$A$3:$I$42,8,FALSE))-(VLOOKUP($A34,'40Trips'!$A$3:$I$42,9,FALSE)),0)</f>
        <v>0</v>
      </c>
      <c r="AH34">
        <f>IF(AND(SUM(VLOOKUP($A34,'40Trips'!$A$3:$I$42,2,FALSE),VLOOKUP(AH$1,'40Trips'!$A$3:$I$42,2,FALSE))&lt;='40Trips'!$K$16,$A34&lt;&gt;AH$1,gamma!AH34=1),(VLOOKUP(AH$1,'40Trips'!$A$3:$I$42,8,FALSE))-(VLOOKUP($A34,'40Trips'!$A$3:$I$42,9,FALSE)),0)</f>
        <v>0</v>
      </c>
      <c r="AI34">
        <f>IF(AND(SUM(VLOOKUP($A34,'40Trips'!$A$3:$I$42,2,FALSE),VLOOKUP(AI$1,'40Trips'!$A$3:$I$42,2,FALSE))&lt;='40Trips'!$K$16,$A34&lt;&gt;AI$1,gamma!AI34=1),(VLOOKUP(AI$1,'40Trips'!$A$3:$I$42,8,FALSE))-(VLOOKUP($A34,'40Trips'!$A$3:$I$42,9,FALSE)),0)</f>
        <v>0</v>
      </c>
      <c r="AJ34">
        <f>IF(AND(SUM(VLOOKUP($A34,'40Trips'!$A$3:$I$42,2,FALSE),VLOOKUP(AJ$1,'40Trips'!$A$3:$I$42,2,FALSE))&lt;='40Trips'!$K$16,$A34&lt;&gt;AJ$1,gamma!AJ34=1),(VLOOKUP(AJ$1,'40Trips'!$A$3:$I$42,8,FALSE))-(VLOOKUP($A34,'40Trips'!$A$3:$I$42,9,FALSE)),0)</f>
        <v>0</v>
      </c>
      <c r="AK34">
        <f>IF(AND(SUM(VLOOKUP($A34,'40Trips'!$A$3:$I$42,2,FALSE),VLOOKUP(AK$1,'40Trips'!$A$3:$I$42,2,FALSE))&lt;='40Trips'!$K$16,$A34&lt;&gt;AK$1,gamma!AK34=1),(VLOOKUP(AK$1,'40Trips'!$A$3:$I$42,8,FALSE))-(VLOOKUP($A34,'40Trips'!$A$3:$I$42,9,FALSE)),0)</f>
        <v>0</v>
      </c>
      <c r="AL34">
        <f>IF(AND(SUM(VLOOKUP($A34,'40Trips'!$A$3:$I$42,2,FALSE),VLOOKUP(AL$1,'40Trips'!$A$3:$I$42,2,FALSE))&lt;='40Trips'!$K$16,$A34&lt;&gt;AL$1,gamma!AL34=1),(VLOOKUP(AL$1,'40Trips'!$A$3:$I$42,8,FALSE))-(VLOOKUP($A34,'40Trips'!$A$3:$I$42,9,FALSE)),0)</f>
        <v>100</v>
      </c>
      <c r="AM34">
        <f>IF(AND(SUM(VLOOKUP($A34,'40Trips'!$A$3:$I$42,2,FALSE),VLOOKUP(AM$1,'40Trips'!$A$3:$I$42,2,FALSE))&lt;='40Trips'!$K$16,$A34&lt;&gt;AM$1,gamma!AM34=1),(VLOOKUP(AM$1,'40Trips'!$A$3:$I$42,8,FALSE))-(VLOOKUP($A34,'40Trips'!$A$3:$I$42,9,FALSE)),0)</f>
        <v>0</v>
      </c>
      <c r="AN34">
        <f>IF(AND(SUM(VLOOKUP($A34,'40Trips'!$A$3:$I$42,2,FALSE),VLOOKUP(AN$1,'40Trips'!$A$3:$I$42,2,FALSE))&lt;='40Trips'!$K$16,$A34&lt;&gt;AN$1,gamma!AN34=1),(VLOOKUP(AN$1,'40Trips'!$A$3:$I$42,8,FALSE))-(VLOOKUP($A34,'40Trips'!$A$3:$I$42,9,FALSE)),0)</f>
        <v>0</v>
      </c>
      <c r="AO34">
        <f>IF(AND(SUM(VLOOKUP($A34,'40Trips'!$A$3:$I$42,2,FALSE),VLOOKUP(AO$1,'40Trips'!$A$3:$I$42,2,FALSE))&lt;='40Trips'!$K$16,$A34&lt;&gt;AO$1,gamma!AO34=1),(VLOOKUP(AO$1,'40Trips'!$A$3:$I$42,8,FALSE))-(VLOOKUP($A34,'40Trips'!$A$3:$I$42,9,FALSE)),0)</f>
        <v>0</v>
      </c>
      <c r="AP34">
        <f>IF(AND(SUM(VLOOKUP($A34,'40Trips'!$A$3:$I$42,2,FALSE),VLOOKUP(AP$1,'40Trips'!$A$3:$I$42,2,FALSE))&lt;='40Trips'!$K$16,$A34&lt;&gt;AP$1,gamma!AP34=1),(VLOOKUP(AP$1,'40Trips'!$A$3:$I$42,8,FALSE))-(VLOOKUP($A34,'40Trips'!$A$3:$I$42,9,FALSE)),0)</f>
        <v>65</v>
      </c>
    </row>
    <row r="35" spans="1:42" x14ac:dyDescent="0.25">
      <c r="A35" t="s">
        <v>40</v>
      </c>
      <c r="B35">
        <v>0</v>
      </c>
      <c r="C35">
        <f>IF(AND(SUM(VLOOKUP($A35,'40Trips'!$A$3:$I$42,2,FALSE),VLOOKUP(C$1,'40Trips'!$A$3:$I$42,2,FALSE))&lt;='40Trips'!$K$16,$A35&lt;&gt;C$1,gamma!C35=1),(VLOOKUP(C$1,'40Trips'!$A$3:$I$42,8,FALSE))-(VLOOKUP($A35,'40Trips'!$A$3:$I$42,9,FALSE)),0)</f>
        <v>0</v>
      </c>
      <c r="D35">
        <f>IF(AND(SUM(VLOOKUP($A35,'40Trips'!$A$3:$I$42,2,FALSE),VLOOKUP(D$1,'40Trips'!$A$3:$I$42,2,FALSE))&lt;='40Trips'!$K$16,$A35&lt;&gt;D$1,gamma!D35=1),(VLOOKUP(D$1,'40Trips'!$A$3:$I$42,8,FALSE))-(VLOOKUP($A35,'40Trips'!$A$3:$I$42,9,FALSE)),0)</f>
        <v>0</v>
      </c>
      <c r="E35">
        <f>IF(AND(SUM(VLOOKUP($A35,'40Trips'!$A$3:$I$42,2,FALSE),VLOOKUP(E$1,'40Trips'!$A$3:$I$42,2,FALSE))&lt;='40Trips'!$K$16,$A35&lt;&gt;E$1,gamma!E35=1),(VLOOKUP(E$1,'40Trips'!$A$3:$I$42,8,FALSE))-(VLOOKUP($A35,'40Trips'!$A$3:$I$42,9,FALSE)),0)</f>
        <v>0</v>
      </c>
      <c r="F35">
        <f>IF(AND(SUM(VLOOKUP($A35,'40Trips'!$A$3:$I$42,2,FALSE),VLOOKUP(F$1,'40Trips'!$A$3:$I$42,2,FALSE))&lt;='40Trips'!$K$16,$A35&lt;&gt;F$1,gamma!F35=1),(VLOOKUP(F$1,'40Trips'!$A$3:$I$42,8,FALSE))-(VLOOKUP($A35,'40Trips'!$A$3:$I$42,9,FALSE)),0)</f>
        <v>60</v>
      </c>
      <c r="G35">
        <f>IF(AND(SUM(VLOOKUP($A35,'40Trips'!$A$3:$I$42,2,FALSE),VLOOKUP(G$1,'40Trips'!$A$3:$I$42,2,FALSE))&lt;='40Trips'!$K$16,$A35&lt;&gt;G$1,gamma!G35=1),(VLOOKUP(G$1,'40Trips'!$A$3:$I$42,8,FALSE))-(VLOOKUP($A35,'40Trips'!$A$3:$I$42,9,FALSE)),0)</f>
        <v>0</v>
      </c>
      <c r="H35">
        <f>IF(AND(SUM(VLOOKUP($A35,'40Trips'!$A$3:$I$42,2,FALSE),VLOOKUP(H$1,'40Trips'!$A$3:$I$42,2,FALSE))&lt;='40Trips'!$K$16,$A35&lt;&gt;H$1,gamma!H35=1),(VLOOKUP(H$1,'40Trips'!$A$3:$I$42,8,FALSE))-(VLOOKUP($A35,'40Trips'!$A$3:$I$42,9,FALSE)),0)</f>
        <v>0</v>
      </c>
      <c r="I35">
        <f>IF(AND(SUM(VLOOKUP($A35,'40Trips'!$A$3:$I$42,2,FALSE),VLOOKUP(I$1,'40Trips'!$A$3:$I$42,2,FALSE))&lt;='40Trips'!$K$16,$A35&lt;&gt;I$1,gamma!I35=1),(VLOOKUP(I$1,'40Trips'!$A$3:$I$42,8,FALSE))-(VLOOKUP($A35,'40Trips'!$A$3:$I$42,9,FALSE)),0)</f>
        <v>0</v>
      </c>
      <c r="J35">
        <f>IF(AND(SUM(VLOOKUP($A35,'40Trips'!$A$3:$I$42,2,FALSE),VLOOKUP(J$1,'40Trips'!$A$3:$I$42,2,FALSE))&lt;='40Trips'!$K$16,$A35&lt;&gt;J$1,gamma!J35=1),(VLOOKUP(J$1,'40Trips'!$A$3:$I$42,8,FALSE))-(VLOOKUP($A35,'40Trips'!$A$3:$I$42,9,FALSE)),0)</f>
        <v>295</v>
      </c>
      <c r="K35">
        <f>IF(AND(SUM(VLOOKUP($A35,'40Trips'!$A$3:$I$42,2,FALSE),VLOOKUP(K$1,'40Trips'!$A$3:$I$42,2,FALSE))&lt;='40Trips'!$K$16,$A35&lt;&gt;K$1,gamma!K35=1),(VLOOKUP(K$1,'40Trips'!$A$3:$I$42,8,FALSE))-(VLOOKUP($A35,'40Trips'!$A$3:$I$42,9,FALSE)),0)</f>
        <v>0</v>
      </c>
      <c r="L35">
        <f>IF(AND(SUM(VLOOKUP($A35,'40Trips'!$A$3:$I$42,2,FALSE),VLOOKUP(L$1,'40Trips'!$A$3:$I$42,2,FALSE))&lt;='40Trips'!$K$16,$A35&lt;&gt;L$1,gamma!L35=1),(VLOOKUP(L$1,'40Trips'!$A$3:$I$42,8,FALSE))-(VLOOKUP($A35,'40Trips'!$A$3:$I$42,9,FALSE)),0)</f>
        <v>0</v>
      </c>
      <c r="M35">
        <f>IF(AND(SUM(VLOOKUP($A35,'40Trips'!$A$3:$I$42,2,FALSE),VLOOKUP(M$1,'40Trips'!$A$3:$I$42,2,FALSE))&lt;='40Trips'!$K$16,$A35&lt;&gt;M$1,gamma!M35=1),(VLOOKUP(M$1,'40Trips'!$A$3:$I$42,8,FALSE))-(VLOOKUP($A35,'40Trips'!$A$3:$I$42,9,FALSE)),0)</f>
        <v>0</v>
      </c>
      <c r="N35">
        <f>IF(AND(SUM(VLOOKUP($A35,'40Trips'!$A$3:$I$42,2,FALSE),VLOOKUP(N$1,'40Trips'!$A$3:$I$42,2,FALSE))&lt;='40Trips'!$K$16,$A35&lt;&gt;N$1,gamma!N35=1),(VLOOKUP(N$1,'40Trips'!$A$3:$I$42,8,FALSE))-(VLOOKUP($A35,'40Trips'!$A$3:$I$42,9,FALSE)),0)</f>
        <v>0</v>
      </c>
      <c r="O35">
        <f>IF(AND(SUM(VLOOKUP($A35,'40Trips'!$A$3:$I$42,2,FALSE),VLOOKUP(O$1,'40Trips'!$A$3:$I$42,2,FALSE))&lt;='40Trips'!$K$16,$A35&lt;&gt;O$1,gamma!O35=1),(VLOOKUP(O$1,'40Trips'!$A$3:$I$42,8,FALSE))-(VLOOKUP($A35,'40Trips'!$A$3:$I$42,9,FALSE)),0)</f>
        <v>0</v>
      </c>
      <c r="P35">
        <f>IF(AND(SUM(VLOOKUP($A35,'40Trips'!$A$3:$I$42,2,FALSE),VLOOKUP(P$1,'40Trips'!$A$3:$I$42,2,FALSE))&lt;='40Trips'!$K$16,$A35&lt;&gt;P$1,gamma!P35=1),(VLOOKUP(P$1,'40Trips'!$A$3:$I$42,8,FALSE))-(VLOOKUP($A35,'40Trips'!$A$3:$I$42,9,FALSE)),0)</f>
        <v>0</v>
      </c>
      <c r="Q35">
        <f>IF(AND(SUM(VLOOKUP($A35,'40Trips'!$A$3:$I$42,2,FALSE),VLOOKUP(Q$1,'40Trips'!$A$3:$I$42,2,FALSE))&lt;='40Trips'!$K$16,$A35&lt;&gt;Q$1,gamma!Q35=1),(VLOOKUP(Q$1,'40Trips'!$A$3:$I$42,8,FALSE))-(VLOOKUP($A35,'40Trips'!$A$3:$I$42,9,FALSE)),0)</f>
        <v>0</v>
      </c>
      <c r="R35">
        <f>IF(AND(SUM(VLOOKUP($A35,'40Trips'!$A$3:$I$42,2,FALSE),VLOOKUP(R$1,'40Trips'!$A$3:$I$42,2,FALSE))&lt;='40Trips'!$K$16,$A35&lt;&gt;R$1,gamma!R35=1),(VLOOKUP(R$1,'40Trips'!$A$3:$I$42,8,FALSE))-(VLOOKUP($A35,'40Trips'!$A$3:$I$42,9,FALSE)),0)</f>
        <v>40</v>
      </c>
      <c r="S35">
        <f>IF(AND(SUM(VLOOKUP($A35,'40Trips'!$A$3:$I$42,2,FALSE),VLOOKUP(S$1,'40Trips'!$A$3:$I$42,2,FALSE))&lt;='40Trips'!$K$16,$A35&lt;&gt;S$1,gamma!S35=1),(VLOOKUP(S$1,'40Trips'!$A$3:$I$42,8,FALSE))-(VLOOKUP($A35,'40Trips'!$A$3:$I$42,9,FALSE)),0)</f>
        <v>0</v>
      </c>
      <c r="T35">
        <f>IF(AND(SUM(VLOOKUP($A35,'40Trips'!$A$3:$I$42,2,FALSE),VLOOKUP(T$1,'40Trips'!$A$3:$I$42,2,FALSE))&lt;='40Trips'!$K$16,$A35&lt;&gt;T$1,gamma!T35=1),(VLOOKUP(T$1,'40Trips'!$A$3:$I$42,8,FALSE))-(VLOOKUP($A35,'40Trips'!$A$3:$I$42,9,FALSE)),0)</f>
        <v>0</v>
      </c>
      <c r="U35">
        <f>IF(AND(SUM(VLOOKUP($A35,'40Trips'!$A$3:$I$42,2,FALSE),VLOOKUP(U$1,'40Trips'!$A$3:$I$42,2,FALSE))&lt;='40Trips'!$K$16,$A35&lt;&gt;U$1,gamma!U35=1),(VLOOKUP(U$1,'40Trips'!$A$3:$I$42,8,FALSE))-(VLOOKUP($A35,'40Trips'!$A$3:$I$42,9,FALSE)),0)</f>
        <v>0</v>
      </c>
      <c r="V35">
        <f>IF(AND(SUM(VLOOKUP($A35,'40Trips'!$A$3:$I$42,2,FALSE),VLOOKUP(V$1,'40Trips'!$A$3:$I$42,2,FALSE))&lt;='40Trips'!$K$16,$A35&lt;&gt;V$1,gamma!V35=1),(VLOOKUP(V$1,'40Trips'!$A$3:$I$42,8,FALSE))-(VLOOKUP($A35,'40Trips'!$A$3:$I$42,9,FALSE)),0)</f>
        <v>90</v>
      </c>
      <c r="W35">
        <f>IF(AND(SUM(VLOOKUP($A35,'40Trips'!$A$3:$I$42,2,FALSE),VLOOKUP(W$1,'40Trips'!$A$3:$I$42,2,FALSE))&lt;='40Trips'!$K$16,$A35&lt;&gt;W$1,gamma!W35=1),(VLOOKUP(W$1,'40Trips'!$A$3:$I$42,8,FALSE))-(VLOOKUP($A35,'40Trips'!$A$3:$I$42,9,FALSE)),0)</f>
        <v>0</v>
      </c>
      <c r="X35">
        <f>IF(AND(SUM(VLOOKUP($A35,'40Trips'!$A$3:$I$42,2,FALSE),VLOOKUP(X$1,'40Trips'!$A$3:$I$42,2,FALSE))&lt;='40Trips'!$K$16,$A35&lt;&gt;X$1,gamma!X35=1),(VLOOKUP(X$1,'40Trips'!$A$3:$I$42,8,FALSE))-(VLOOKUP($A35,'40Trips'!$A$3:$I$42,9,FALSE)),0)</f>
        <v>0</v>
      </c>
      <c r="Y35">
        <f>IF(AND(SUM(VLOOKUP($A35,'40Trips'!$A$3:$I$42,2,FALSE),VLOOKUP(Y$1,'40Trips'!$A$3:$I$42,2,FALSE))&lt;='40Trips'!$K$16,$A35&lt;&gt;Y$1,gamma!Y35=1),(VLOOKUP(Y$1,'40Trips'!$A$3:$I$42,8,FALSE))-(VLOOKUP($A35,'40Trips'!$A$3:$I$42,9,FALSE)),0)</f>
        <v>0</v>
      </c>
      <c r="Z35">
        <f>IF(AND(SUM(VLOOKUP($A35,'40Trips'!$A$3:$I$42,2,FALSE),VLOOKUP(Z$1,'40Trips'!$A$3:$I$42,2,FALSE))&lt;='40Trips'!$K$16,$A35&lt;&gt;Z$1,gamma!Z35=1),(VLOOKUP(Z$1,'40Trips'!$A$3:$I$42,8,FALSE))-(VLOOKUP($A35,'40Trips'!$A$3:$I$42,9,FALSE)),0)</f>
        <v>60</v>
      </c>
      <c r="AA35">
        <f>IF(AND(SUM(VLOOKUP($A35,'40Trips'!$A$3:$I$42,2,FALSE),VLOOKUP(AA$1,'40Trips'!$A$3:$I$42,2,FALSE))&lt;='40Trips'!$K$16,$A35&lt;&gt;AA$1,gamma!AA35=1),(VLOOKUP(AA$1,'40Trips'!$A$3:$I$42,8,FALSE))-(VLOOKUP($A35,'40Trips'!$A$3:$I$42,9,FALSE)),0)</f>
        <v>0</v>
      </c>
      <c r="AB35">
        <f>IF(AND(SUM(VLOOKUP($A35,'40Trips'!$A$3:$I$42,2,FALSE),VLOOKUP(AB$1,'40Trips'!$A$3:$I$42,2,FALSE))&lt;='40Trips'!$K$16,$A35&lt;&gt;AB$1,gamma!AB35=1),(VLOOKUP(AB$1,'40Trips'!$A$3:$I$42,8,FALSE))-(VLOOKUP($A35,'40Trips'!$A$3:$I$42,9,FALSE)),0)</f>
        <v>0</v>
      </c>
      <c r="AC35">
        <f>IF(AND(SUM(VLOOKUP($A35,'40Trips'!$A$3:$I$42,2,FALSE),VLOOKUP(AC$1,'40Trips'!$A$3:$I$42,2,FALSE))&lt;='40Trips'!$K$16,$A35&lt;&gt;AC$1,gamma!AC35=1),(VLOOKUP(AC$1,'40Trips'!$A$3:$I$42,8,FALSE))-(VLOOKUP($A35,'40Trips'!$A$3:$I$42,9,FALSE)),0)</f>
        <v>40</v>
      </c>
      <c r="AD35">
        <f>IF(AND(SUM(VLOOKUP($A35,'40Trips'!$A$3:$I$42,2,FALSE),VLOOKUP(AD$1,'40Trips'!$A$3:$I$42,2,FALSE))&lt;='40Trips'!$K$16,$A35&lt;&gt;AD$1,gamma!AD35=1),(VLOOKUP(AD$1,'40Trips'!$A$3:$I$42,8,FALSE))-(VLOOKUP($A35,'40Trips'!$A$3:$I$42,9,FALSE)),0)</f>
        <v>90</v>
      </c>
      <c r="AE35">
        <f>IF(AND(SUM(VLOOKUP($A35,'40Trips'!$A$3:$I$42,2,FALSE),VLOOKUP(AE$1,'40Trips'!$A$3:$I$42,2,FALSE))&lt;='40Trips'!$K$16,$A35&lt;&gt;AE$1,gamma!AE35=1),(VLOOKUP(AE$1,'40Trips'!$A$3:$I$42,8,FALSE))-(VLOOKUP($A35,'40Trips'!$A$3:$I$42,9,FALSE)),0)</f>
        <v>0</v>
      </c>
      <c r="AF35">
        <f>IF(AND(SUM(VLOOKUP($A35,'40Trips'!$A$3:$I$42,2,FALSE),VLOOKUP(AF$1,'40Trips'!$A$3:$I$42,2,FALSE))&lt;='40Trips'!$K$16,$A35&lt;&gt;AF$1,gamma!AF35=1),(VLOOKUP(AF$1,'40Trips'!$A$3:$I$42,8,FALSE))-(VLOOKUP($A35,'40Trips'!$A$3:$I$42,9,FALSE)),0)</f>
        <v>0</v>
      </c>
      <c r="AG35">
        <f>IF(AND(SUM(VLOOKUP($A35,'40Trips'!$A$3:$I$42,2,FALSE),VLOOKUP(AG$1,'40Trips'!$A$3:$I$42,2,FALSE))&lt;='40Trips'!$K$16,$A35&lt;&gt;AG$1,gamma!AG35=1),(VLOOKUP(AG$1,'40Trips'!$A$3:$I$42,8,FALSE))-(VLOOKUP($A35,'40Trips'!$A$3:$I$42,9,FALSE)),0)</f>
        <v>0</v>
      </c>
      <c r="AH35">
        <f>IF(AND(SUM(VLOOKUP($A35,'40Trips'!$A$3:$I$42,2,FALSE),VLOOKUP(AH$1,'40Trips'!$A$3:$I$42,2,FALSE))&lt;='40Trips'!$K$16,$A35&lt;&gt;AH$1,gamma!AH35=1),(VLOOKUP(AH$1,'40Trips'!$A$3:$I$42,8,FALSE))-(VLOOKUP($A35,'40Trips'!$A$3:$I$42,9,FALSE)),0)</f>
        <v>0</v>
      </c>
      <c r="AI35">
        <f>IF(AND(SUM(VLOOKUP($A35,'40Trips'!$A$3:$I$42,2,FALSE),VLOOKUP(AI$1,'40Trips'!$A$3:$I$42,2,FALSE))&lt;='40Trips'!$K$16,$A35&lt;&gt;AI$1,gamma!AI35=1),(VLOOKUP(AI$1,'40Trips'!$A$3:$I$42,8,FALSE))-(VLOOKUP($A35,'40Trips'!$A$3:$I$42,9,FALSE)),0)</f>
        <v>0</v>
      </c>
      <c r="AJ35">
        <f>IF(AND(SUM(VLOOKUP($A35,'40Trips'!$A$3:$I$42,2,FALSE),VLOOKUP(AJ$1,'40Trips'!$A$3:$I$42,2,FALSE))&lt;='40Trips'!$K$16,$A35&lt;&gt;AJ$1,gamma!AJ35=1),(VLOOKUP(AJ$1,'40Trips'!$A$3:$I$42,8,FALSE))-(VLOOKUP($A35,'40Trips'!$A$3:$I$42,9,FALSE)),0)</f>
        <v>0</v>
      </c>
      <c r="AK35">
        <f>IF(AND(SUM(VLOOKUP($A35,'40Trips'!$A$3:$I$42,2,FALSE),VLOOKUP(AK$1,'40Trips'!$A$3:$I$42,2,FALSE))&lt;='40Trips'!$K$16,$A35&lt;&gt;AK$1,gamma!AK35=1),(VLOOKUP(AK$1,'40Trips'!$A$3:$I$42,8,FALSE))-(VLOOKUP($A35,'40Trips'!$A$3:$I$42,9,FALSE)),0)</f>
        <v>0</v>
      </c>
      <c r="AL35">
        <f>IF(AND(SUM(VLOOKUP($A35,'40Trips'!$A$3:$I$42,2,FALSE),VLOOKUP(AL$1,'40Trips'!$A$3:$I$42,2,FALSE))&lt;='40Trips'!$K$16,$A35&lt;&gt;AL$1,gamma!AL35=1),(VLOOKUP(AL$1,'40Trips'!$A$3:$I$42,8,FALSE))-(VLOOKUP($A35,'40Trips'!$A$3:$I$42,9,FALSE)),0)</f>
        <v>140</v>
      </c>
      <c r="AM35">
        <f>IF(AND(SUM(VLOOKUP($A35,'40Trips'!$A$3:$I$42,2,FALSE),VLOOKUP(AM$1,'40Trips'!$A$3:$I$42,2,FALSE))&lt;='40Trips'!$K$16,$A35&lt;&gt;AM$1,gamma!AM35=1),(VLOOKUP(AM$1,'40Trips'!$A$3:$I$42,8,FALSE))-(VLOOKUP($A35,'40Trips'!$A$3:$I$42,9,FALSE)),0)</f>
        <v>0</v>
      </c>
      <c r="AN35">
        <f>IF(AND(SUM(VLOOKUP($A35,'40Trips'!$A$3:$I$42,2,FALSE),VLOOKUP(AN$1,'40Trips'!$A$3:$I$42,2,FALSE))&lt;='40Trips'!$K$16,$A35&lt;&gt;AN$1,gamma!AN35=1),(VLOOKUP(AN$1,'40Trips'!$A$3:$I$42,8,FALSE))-(VLOOKUP($A35,'40Trips'!$A$3:$I$42,9,FALSE)),0)</f>
        <v>0</v>
      </c>
      <c r="AO35">
        <f>IF(AND(SUM(VLOOKUP($A35,'40Trips'!$A$3:$I$42,2,FALSE),VLOOKUP(AO$1,'40Trips'!$A$3:$I$42,2,FALSE))&lt;='40Trips'!$K$16,$A35&lt;&gt;AO$1,gamma!AO35=1),(VLOOKUP(AO$1,'40Trips'!$A$3:$I$42,8,FALSE))-(VLOOKUP($A35,'40Trips'!$A$3:$I$42,9,FALSE)),0)</f>
        <v>0</v>
      </c>
      <c r="AP35">
        <f>IF(AND(SUM(VLOOKUP($A35,'40Trips'!$A$3:$I$42,2,FALSE),VLOOKUP(AP$1,'40Trips'!$A$3:$I$42,2,FALSE))&lt;='40Trips'!$K$16,$A35&lt;&gt;AP$1,gamma!AP35=1),(VLOOKUP(AP$1,'40Trips'!$A$3:$I$42,8,FALSE))-(VLOOKUP($A35,'40Trips'!$A$3:$I$42,9,FALSE)),0)</f>
        <v>105</v>
      </c>
    </row>
    <row r="36" spans="1:42" x14ac:dyDescent="0.25">
      <c r="A36" t="s">
        <v>86</v>
      </c>
      <c r="B36">
        <v>0</v>
      </c>
      <c r="C36">
        <f>IF(AND(SUM(VLOOKUP($A36,'40Trips'!$A$3:$I$42,2,FALSE),VLOOKUP(C$1,'40Trips'!$A$3:$I$42,2,FALSE))&lt;='40Trips'!$K$16,$A36&lt;&gt;C$1,gamma!C36=1),(VLOOKUP(C$1,'40Trips'!$A$3:$I$42,8,FALSE))-(VLOOKUP($A36,'40Trips'!$A$3:$I$42,9,FALSE)),0)</f>
        <v>0</v>
      </c>
      <c r="D36">
        <f>IF(AND(SUM(VLOOKUP($A36,'40Trips'!$A$3:$I$42,2,FALSE),VLOOKUP(D$1,'40Trips'!$A$3:$I$42,2,FALSE))&lt;='40Trips'!$K$16,$A36&lt;&gt;D$1,gamma!D36=1),(VLOOKUP(D$1,'40Trips'!$A$3:$I$42,8,FALSE))-(VLOOKUP($A36,'40Trips'!$A$3:$I$42,9,FALSE)),0)</f>
        <v>0</v>
      </c>
      <c r="E36">
        <f>IF(AND(SUM(VLOOKUP($A36,'40Trips'!$A$3:$I$42,2,FALSE),VLOOKUP(E$1,'40Trips'!$A$3:$I$42,2,FALSE))&lt;='40Trips'!$K$16,$A36&lt;&gt;E$1,gamma!E36=1),(VLOOKUP(E$1,'40Trips'!$A$3:$I$42,8,FALSE))-(VLOOKUP($A36,'40Trips'!$A$3:$I$42,9,FALSE)),0)</f>
        <v>0</v>
      </c>
      <c r="F36">
        <f>IF(AND(SUM(VLOOKUP($A36,'40Trips'!$A$3:$I$42,2,FALSE),VLOOKUP(F$1,'40Trips'!$A$3:$I$42,2,FALSE))&lt;='40Trips'!$K$16,$A36&lt;&gt;F$1,gamma!F36=1),(VLOOKUP(F$1,'40Trips'!$A$3:$I$42,8,FALSE))-(VLOOKUP($A36,'40Trips'!$A$3:$I$42,9,FALSE)),0)</f>
        <v>35</v>
      </c>
      <c r="G36">
        <f>IF(AND(SUM(VLOOKUP($A36,'40Trips'!$A$3:$I$42,2,FALSE),VLOOKUP(G$1,'40Trips'!$A$3:$I$42,2,FALSE))&lt;='40Trips'!$K$16,$A36&lt;&gt;G$1,gamma!G36=1),(VLOOKUP(G$1,'40Trips'!$A$3:$I$42,8,FALSE))-(VLOOKUP($A36,'40Trips'!$A$3:$I$42,9,FALSE)),0)</f>
        <v>0</v>
      </c>
      <c r="H36">
        <f>IF(AND(SUM(VLOOKUP($A36,'40Trips'!$A$3:$I$42,2,FALSE),VLOOKUP(H$1,'40Trips'!$A$3:$I$42,2,FALSE))&lt;='40Trips'!$K$16,$A36&lt;&gt;H$1,gamma!H36=1),(VLOOKUP(H$1,'40Trips'!$A$3:$I$42,8,FALSE))-(VLOOKUP($A36,'40Trips'!$A$3:$I$42,9,FALSE)),0)</f>
        <v>0</v>
      </c>
      <c r="I36">
        <f>IF(AND(SUM(VLOOKUP($A36,'40Trips'!$A$3:$I$42,2,FALSE),VLOOKUP(I$1,'40Trips'!$A$3:$I$42,2,FALSE))&lt;='40Trips'!$K$16,$A36&lt;&gt;I$1,gamma!I36=1),(VLOOKUP(I$1,'40Trips'!$A$3:$I$42,8,FALSE))-(VLOOKUP($A36,'40Trips'!$A$3:$I$42,9,FALSE)),0)</f>
        <v>0</v>
      </c>
      <c r="J36">
        <f>IF(AND(SUM(VLOOKUP($A36,'40Trips'!$A$3:$I$42,2,FALSE),VLOOKUP(J$1,'40Trips'!$A$3:$I$42,2,FALSE))&lt;='40Trips'!$K$16,$A36&lt;&gt;J$1,gamma!J36=1),(VLOOKUP(J$1,'40Trips'!$A$3:$I$42,8,FALSE))-(VLOOKUP($A36,'40Trips'!$A$3:$I$42,9,FALSE)),0)</f>
        <v>270</v>
      </c>
      <c r="K36">
        <f>IF(AND(SUM(VLOOKUP($A36,'40Trips'!$A$3:$I$42,2,FALSE),VLOOKUP(K$1,'40Trips'!$A$3:$I$42,2,FALSE))&lt;='40Trips'!$K$16,$A36&lt;&gt;K$1,gamma!K36=1),(VLOOKUP(K$1,'40Trips'!$A$3:$I$42,8,FALSE))-(VLOOKUP($A36,'40Trips'!$A$3:$I$42,9,FALSE)),0)</f>
        <v>0</v>
      </c>
      <c r="L36">
        <f>IF(AND(SUM(VLOOKUP($A36,'40Trips'!$A$3:$I$42,2,FALSE),VLOOKUP(L$1,'40Trips'!$A$3:$I$42,2,FALSE))&lt;='40Trips'!$K$16,$A36&lt;&gt;L$1,gamma!L36=1),(VLOOKUP(L$1,'40Trips'!$A$3:$I$42,8,FALSE))-(VLOOKUP($A36,'40Trips'!$A$3:$I$42,9,FALSE)),0)</f>
        <v>0</v>
      </c>
      <c r="M36">
        <f>IF(AND(SUM(VLOOKUP($A36,'40Trips'!$A$3:$I$42,2,FALSE),VLOOKUP(M$1,'40Trips'!$A$3:$I$42,2,FALSE))&lt;='40Trips'!$K$16,$A36&lt;&gt;M$1,gamma!M36=1),(VLOOKUP(M$1,'40Trips'!$A$3:$I$42,8,FALSE))-(VLOOKUP($A36,'40Trips'!$A$3:$I$42,9,FALSE)),0)</f>
        <v>0</v>
      </c>
      <c r="N36">
        <f>IF(AND(SUM(VLOOKUP($A36,'40Trips'!$A$3:$I$42,2,FALSE),VLOOKUP(N$1,'40Trips'!$A$3:$I$42,2,FALSE))&lt;='40Trips'!$K$16,$A36&lt;&gt;N$1,gamma!N36=1),(VLOOKUP(N$1,'40Trips'!$A$3:$I$42,8,FALSE))-(VLOOKUP($A36,'40Trips'!$A$3:$I$42,9,FALSE)),0)</f>
        <v>0</v>
      </c>
      <c r="O36">
        <f>IF(AND(SUM(VLOOKUP($A36,'40Trips'!$A$3:$I$42,2,FALSE),VLOOKUP(O$1,'40Trips'!$A$3:$I$42,2,FALSE))&lt;='40Trips'!$K$16,$A36&lt;&gt;O$1,gamma!O36=1),(VLOOKUP(O$1,'40Trips'!$A$3:$I$42,8,FALSE))-(VLOOKUP($A36,'40Trips'!$A$3:$I$42,9,FALSE)),0)</f>
        <v>0</v>
      </c>
      <c r="P36">
        <f>IF(AND(SUM(VLOOKUP($A36,'40Trips'!$A$3:$I$42,2,FALSE),VLOOKUP(P$1,'40Trips'!$A$3:$I$42,2,FALSE))&lt;='40Trips'!$K$16,$A36&lt;&gt;P$1,gamma!P36=1),(VLOOKUP(P$1,'40Trips'!$A$3:$I$42,8,FALSE))-(VLOOKUP($A36,'40Trips'!$A$3:$I$42,9,FALSE)),0)</f>
        <v>0</v>
      </c>
      <c r="Q36">
        <f>IF(AND(SUM(VLOOKUP($A36,'40Trips'!$A$3:$I$42,2,FALSE),VLOOKUP(Q$1,'40Trips'!$A$3:$I$42,2,FALSE))&lt;='40Trips'!$K$16,$A36&lt;&gt;Q$1,gamma!Q36=1),(VLOOKUP(Q$1,'40Trips'!$A$3:$I$42,8,FALSE))-(VLOOKUP($A36,'40Trips'!$A$3:$I$42,9,FALSE)),0)</f>
        <v>0</v>
      </c>
      <c r="R36">
        <f>IF(AND(SUM(VLOOKUP($A36,'40Trips'!$A$3:$I$42,2,FALSE),VLOOKUP(R$1,'40Trips'!$A$3:$I$42,2,FALSE))&lt;='40Trips'!$K$16,$A36&lt;&gt;R$1,gamma!R36=1),(VLOOKUP(R$1,'40Trips'!$A$3:$I$42,8,FALSE))-(VLOOKUP($A36,'40Trips'!$A$3:$I$42,9,FALSE)),0)</f>
        <v>15</v>
      </c>
      <c r="S36">
        <f>IF(AND(SUM(VLOOKUP($A36,'40Trips'!$A$3:$I$42,2,FALSE),VLOOKUP(S$1,'40Trips'!$A$3:$I$42,2,FALSE))&lt;='40Trips'!$K$16,$A36&lt;&gt;S$1,gamma!S36=1),(VLOOKUP(S$1,'40Trips'!$A$3:$I$42,8,FALSE))-(VLOOKUP($A36,'40Trips'!$A$3:$I$42,9,FALSE)),0)</f>
        <v>0</v>
      </c>
      <c r="T36">
        <f>IF(AND(SUM(VLOOKUP($A36,'40Trips'!$A$3:$I$42,2,FALSE),VLOOKUP(T$1,'40Trips'!$A$3:$I$42,2,FALSE))&lt;='40Trips'!$K$16,$A36&lt;&gt;T$1,gamma!T36=1),(VLOOKUP(T$1,'40Trips'!$A$3:$I$42,8,FALSE))-(VLOOKUP($A36,'40Trips'!$A$3:$I$42,9,FALSE)),0)</f>
        <v>0</v>
      </c>
      <c r="U36">
        <f>IF(AND(SUM(VLOOKUP($A36,'40Trips'!$A$3:$I$42,2,FALSE),VLOOKUP(U$1,'40Trips'!$A$3:$I$42,2,FALSE))&lt;='40Trips'!$K$16,$A36&lt;&gt;U$1,gamma!U36=1),(VLOOKUP(U$1,'40Trips'!$A$3:$I$42,8,FALSE))-(VLOOKUP($A36,'40Trips'!$A$3:$I$42,9,FALSE)),0)</f>
        <v>0</v>
      </c>
      <c r="V36">
        <f>IF(AND(SUM(VLOOKUP($A36,'40Trips'!$A$3:$I$42,2,FALSE),VLOOKUP(V$1,'40Trips'!$A$3:$I$42,2,FALSE))&lt;='40Trips'!$K$16,$A36&lt;&gt;V$1,gamma!V36=1),(VLOOKUP(V$1,'40Trips'!$A$3:$I$42,8,FALSE))-(VLOOKUP($A36,'40Trips'!$A$3:$I$42,9,FALSE)),0)</f>
        <v>65</v>
      </c>
      <c r="W36">
        <f>IF(AND(SUM(VLOOKUP($A36,'40Trips'!$A$3:$I$42,2,FALSE),VLOOKUP(W$1,'40Trips'!$A$3:$I$42,2,FALSE))&lt;='40Trips'!$K$16,$A36&lt;&gt;W$1,gamma!W36=1),(VLOOKUP(W$1,'40Trips'!$A$3:$I$42,8,FALSE))-(VLOOKUP($A36,'40Trips'!$A$3:$I$42,9,FALSE)),0)</f>
        <v>0</v>
      </c>
      <c r="X36">
        <f>IF(AND(SUM(VLOOKUP($A36,'40Trips'!$A$3:$I$42,2,FALSE),VLOOKUP(X$1,'40Trips'!$A$3:$I$42,2,FALSE))&lt;='40Trips'!$K$16,$A36&lt;&gt;X$1,gamma!X36=1),(VLOOKUP(X$1,'40Trips'!$A$3:$I$42,8,FALSE))-(VLOOKUP($A36,'40Trips'!$A$3:$I$42,9,FALSE)),0)</f>
        <v>0</v>
      </c>
      <c r="Y36">
        <f>IF(AND(SUM(VLOOKUP($A36,'40Trips'!$A$3:$I$42,2,FALSE),VLOOKUP(Y$1,'40Trips'!$A$3:$I$42,2,FALSE))&lt;='40Trips'!$K$16,$A36&lt;&gt;Y$1,gamma!Y36=1),(VLOOKUP(Y$1,'40Trips'!$A$3:$I$42,8,FALSE))-(VLOOKUP($A36,'40Trips'!$A$3:$I$42,9,FALSE)),0)</f>
        <v>0</v>
      </c>
      <c r="Z36">
        <f>IF(AND(SUM(VLOOKUP($A36,'40Trips'!$A$3:$I$42,2,FALSE),VLOOKUP(Z$1,'40Trips'!$A$3:$I$42,2,FALSE))&lt;='40Trips'!$K$16,$A36&lt;&gt;Z$1,gamma!Z36=1),(VLOOKUP(Z$1,'40Trips'!$A$3:$I$42,8,FALSE))-(VLOOKUP($A36,'40Trips'!$A$3:$I$42,9,FALSE)),0)</f>
        <v>35</v>
      </c>
      <c r="AA36">
        <f>IF(AND(SUM(VLOOKUP($A36,'40Trips'!$A$3:$I$42,2,FALSE),VLOOKUP(AA$1,'40Trips'!$A$3:$I$42,2,FALSE))&lt;='40Trips'!$K$16,$A36&lt;&gt;AA$1,gamma!AA36=1),(VLOOKUP(AA$1,'40Trips'!$A$3:$I$42,8,FALSE))-(VLOOKUP($A36,'40Trips'!$A$3:$I$42,9,FALSE)),0)</f>
        <v>0</v>
      </c>
      <c r="AB36">
        <f>IF(AND(SUM(VLOOKUP($A36,'40Trips'!$A$3:$I$42,2,FALSE),VLOOKUP(AB$1,'40Trips'!$A$3:$I$42,2,FALSE))&lt;='40Trips'!$K$16,$A36&lt;&gt;AB$1,gamma!AB36=1),(VLOOKUP(AB$1,'40Trips'!$A$3:$I$42,8,FALSE))-(VLOOKUP($A36,'40Trips'!$A$3:$I$42,9,FALSE)),0)</f>
        <v>0</v>
      </c>
      <c r="AC36">
        <f>IF(AND(SUM(VLOOKUP($A36,'40Trips'!$A$3:$I$42,2,FALSE),VLOOKUP(AC$1,'40Trips'!$A$3:$I$42,2,FALSE))&lt;='40Trips'!$K$16,$A36&lt;&gt;AC$1,gamma!AC36=1),(VLOOKUP(AC$1,'40Trips'!$A$3:$I$42,8,FALSE))-(VLOOKUP($A36,'40Trips'!$A$3:$I$42,9,FALSE)),0)</f>
        <v>15</v>
      </c>
      <c r="AD36">
        <f>IF(AND(SUM(VLOOKUP($A36,'40Trips'!$A$3:$I$42,2,FALSE),VLOOKUP(AD$1,'40Trips'!$A$3:$I$42,2,FALSE))&lt;='40Trips'!$K$16,$A36&lt;&gt;AD$1,gamma!AD36=1),(VLOOKUP(AD$1,'40Trips'!$A$3:$I$42,8,FALSE))-(VLOOKUP($A36,'40Trips'!$A$3:$I$42,9,FALSE)),0)</f>
        <v>65</v>
      </c>
      <c r="AE36">
        <f>IF(AND(SUM(VLOOKUP($A36,'40Trips'!$A$3:$I$42,2,FALSE),VLOOKUP(AE$1,'40Trips'!$A$3:$I$42,2,FALSE))&lt;='40Trips'!$K$16,$A36&lt;&gt;AE$1,gamma!AE36=1),(VLOOKUP(AE$1,'40Trips'!$A$3:$I$42,8,FALSE))-(VLOOKUP($A36,'40Trips'!$A$3:$I$42,9,FALSE)),0)</f>
        <v>0</v>
      </c>
      <c r="AF36">
        <f>IF(AND(SUM(VLOOKUP($A36,'40Trips'!$A$3:$I$42,2,FALSE),VLOOKUP(AF$1,'40Trips'!$A$3:$I$42,2,FALSE))&lt;='40Trips'!$K$16,$A36&lt;&gt;AF$1,gamma!AF36=1),(VLOOKUP(AF$1,'40Trips'!$A$3:$I$42,8,FALSE))-(VLOOKUP($A36,'40Trips'!$A$3:$I$42,9,FALSE)),0)</f>
        <v>0</v>
      </c>
      <c r="AG36">
        <f>IF(AND(SUM(VLOOKUP($A36,'40Trips'!$A$3:$I$42,2,FALSE),VLOOKUP(AG$1,'40Trips'!$A$3:$I$42,2,FALSE))&lt;='40Trips'!$K$16,$A36&lt;&gt;AG$1,gamma!AG36=1),(VLOOKUP(AG$1,'40Trips'!$A$3:$I$42,8,FALSE))-(VLOOKUP($A36,'40Trips'!$A$3:$I$42,9,FALSE)),0)</f>
        <v>0</v>
      </c>
      <c r="AH36">
        <f>IF(AND(SUM(VLOOKUP($A36,'40Trips'!$A$3:$I$42,2,FALSE),VLOOKUP(AH$1,'40Trips'!$A$3:$I$42,2,FALSE))&lt;='40Trips'!$K$16,$A36&lt;&gt;AH$1,gamma!AH36=1),(VLOOKUP(AH$1,'40Trips'!$A$3:$I$42,8,FALSE))-(VLOOKUP($A36,'40Trips'!$A$3:$I$42,9,FALSE)),0)</f>
        <v>0</v>
      </c>
      <c r="AI36">
        <f>IF(AND(SUM(VLOOKUP($A36,'40Trips'!$A$3:$I$42,2,FALSE),VLOOKUP(AI$1,'40Trips'!$A$3:$I$42,2,FALSE))&lt;='40Trips'!$K$16,$A36&lt;&gt;AI$1,gamma!AI36=1),(VLOOKUP(AI$1,'40Trips'!$A$3:$I$42,8,FALSE))-(VLOOKUP($A36,'40Trips'!$A$3:$I$42,9,FALSE)),0)</f>
        <v>0</v>
      </c>
      <c r="AJ36">
        <f>IF(AND(SUM(VLOOKUP($A36,'40Trips'!$A$3:$I$42,2,FALSE),VLOOKUP(AJ$1,'40Trips'!$A$3:$I$42,2,FALSE))&lt;='40Trips'!$K$16,$A36&lt;&gt;AJ$1,gamma!AJ36=1),(VLOOKUP(AJ$1,'40Trips'!$A$3:$I$42,8,FALSE))-(VLOOKUP($A36,'40Trips'!$A$3:$I$42,9,FALSE)),0)</f>
        <v>0</v>
      </c>
      <c r="AK36">
        <f>IF(AND(SUM(VLOOKUP($A36,'40Trips'!$A$3:$I$42,2,FALSE),VLOOKUP(AK$1,'40Trips'!$A$3:$I$42,2,FALSE))&lt;='40Trips'!$K$16,$A36&lt;&gt;AK$1,gamma!AK36=1),(VLOOKUP(AK$1,'40Trips'!$A$3:$I$42,8,FALSE))-(VLOOKUP($A36,'40Trips'!$A$3:$I$42,9,FALSE)),0)</f>
        <v>0</v>
      </c>
      <c r="AL36">
        <f>IF(AND(SUM(VLOOKUP($A36,'40Trips'!$A$3:$I$42,2,FALSE),VLOOKUP(AL$1,'40Trips'!$A$3:$I$42,2,FALSE))&lt;='40Trips'!$K$16,$A36&lt;&gt;AL$1,gamma!AL36=1),(VLOOKUP(AL$1,'40Trips'!$A$3:$I$42,8,FALSE))-(VLOOKUP($A36,'40Trips'!$A$3:$I$42,9,FALSE)),0)</f>
        <v>115</v>
      </c>
      <c r="AM36">
        <f>IF(AND(SUM(VLOOKUP($A36,'40Trips'!$A$3:$I$42,2,FALSE),VLOOKUP(AM$1,'40Trips'!$A$3:$I$42,2,FALSE))&lt;='40Trips'!$K$16,$A36&lt;&gt;AM$1,gamma!AM36=1),(VLOOKUP(AM$1,'40Trips'!$A$3:$I$42,8,FALSE))-(VLOOKUP($A36,'40Trips'!$A$3:$I$42,9,FALSE)),0)</f>
        <v>0</v>
      </c>
      <c r="AN36">
        <f>IF(AND(SUM(VLOOKUP($A36,'40Trips'!$A$3:$I$42,2,FALSE),VLOOKUP(AN$1,'40Trips'!$A$3:$I$42,2,FALSE))&lt;='40Trips'!$K$16,$A36&lt;&gt;AN$1,gamma!AN36=1),(VLOOKUP(AN$1,'40Trips'!$A$3:$I$42,8,FALSE))-(VLOOKUP($A36,'40Trips'!$A$3:$I$42,9,FALSE)),0)</f>
        <v>0</v>
      </c>
      <c r="AO36">
        <f>IF(AND(SUM(VLOOKUP($A36,'40Trips'!$A$3:$I$42,2,FALSE),VLOOKUP(AO$1,'40Trips'!$A$3:$I$42,2,FALSE))&lt;='40Trips'!$K$16,$A36&lt;&gt;AO$1,gamma!AO36=1),(VLOOKUP(AO$1,'40Trips'!$A$3:$I$42,8,FALSE))-(VLOOKUP($A36,'40Trips'!$A$3:$I$42,9,FALSE)),0)</f>
        <v>0</v>
      </c>
      <c r="AP36">
        <f>IF(AND(SUM(VLOOKUP($A36,'40Trips'!$A$3:$I$42,2,FALSE),VLOOKUP(AP$1,'40Trips'!$A$3:$I$42,2,FALSE))&lt;='40Trips'!$K$16,$A36&lt;&gt;AP$1,gamma!AP36=1),(VLOOKUP(AP$1,'40Trips'!$A$3:$I$42,8,FALSE))-(VLOOKUP($A36,'40Trips'!$A$3:$I$42,9,FALSE)),0)</f>
        <v>80</v>
      </c>
    </row>
    <row r="37" spans="1:42" x14ac:dyDescent="0.25">
      <c r="A37" t="s">
        <v>87</v>
      </c>
      <c r="B37">
        <v>0</v>
      </c>
      <c r="C37">
        <f>IF(AND(SUM(VLOOKUP($A37,'40Trips'!$A$3:$I$42,2,FALSE),VLOOKUP(C$1,'40Trips'!$A$3:$I$42,2,FALSE))&lt;='40Trips'!$K$16,$A37&lt;&gt;C$1,gamma!C37=1),(VLOOKUP(C$1,'40Trips'!$A$3:$I$42,8,FALSE))-(VLOOKUP($A37,'40Trips'!$A$3:$I$42,9,FALSE)),0)</f>
        <v>0</v>
      </c>
      <c r="D37">
        <f>IF(AND(SUM(VLOOKUP($A37,'40Trips'!$A$3:$I$42,2,FALSE),VLOOKUP(D$1,'40Trips'!$A$3:$I$42,2,FALSE))&lt;='40Trips'!$K$16,$A37&lt;&gt;D$1,gamma!D37=1),(VLOOKUP(D$1,'40Trips'!$A$3:$I$42,8,FALSE))-(VLOOKUP($A37,'40Trips'!$A$3:$I$42,9,FALSE)),0)</f>
        <v>0</v>
      </c>
      <c r="E37">
        <f>IF(AND(SUM(VLOOKUP($A37,'40Trips'!$A$3:$I$42,2,FALSE),VLOOKUP(E$1,'40Trips'!$A$3:$I$42,2,FALSE))&lt;='40Trips'!$K$16,$A37&lt;&gt;E$1,gamma!E37=1),(VLOOKUP(E$1,'40Trips'!$A$3:$I$42,8,FALSE))-(VLOOKUP($A37,'40Trips'!$A$3:$I$42,9,FALSE)),0)</f>
        <v>0</v>
      </c>
      <c r="F37">
        <f>IF(AND(SUM(VLOOKUP($A37,'40Trips'!$A$3:$I$42,2,FALSE),VLOOKUP(F$1,'40Trips'!$A$3:$I$42,2,FALSE))&lt;='40Trips'!$K$16,$A37&lt;&gt;F$1,gamma!F37=1),(VLOOKUP(F$1,'40Trips'!$A$3:$I$42,8,FALSE))-(VLOOKUP($A37,'40Trips'!$A$3:$I$42,9,FALSE)),0)</f>
        <v>0</v>
      </c>
      <c r="G37">
        <f>IF(AND(SUM(VLOOKUP($A37,'40Trips'!$A$3:$I$42,2,FALSE),VLOOKUP(G$1,'40Trips'!$A$3:$I$42,2,FALSE))&lt;='40Trips'!$K$16,$A37&lt;&gt;G$1,gamma!G37=1),(VLOOKUP(G$1,'40Trips'!$A$3:$I$42,8,FALSE))-(VLOOKUP($A37,'40Trips'!$A$3:$I$42,9,FALSE)),0)</f>
        <v>0</v>
      </c>
      <c r="H37">
        <f>IF(AND(SUM(VLOOKUP($A37,'40Trips'!$A$3:$I$42,2,FALSE),VLOOKUP(H$1,'40Trips'!$A$3:$I$42,2,FALSE))&lt;='40Trips'!$K$16,$A37&lt;&gt;H$1,gamma!H37=1),(VLOOKUP(H$1,'40Trips'!$A$3:$I$42,8,FALSE))-(VLOOKUP($A37,'40Trips'!$A$3:$I$42,9,FALSE)),0)</f>
        <v>0</v>
      </c>
      <c r="I37">
        <f>IF(AND(SUM(VLOOKUP($A37,'40Trips'!$A$3:$I$42,2,FALSE),VLOOKUP(I$1,'40Trips'!$A$3:$I$42,2,FALSE))&lt;='40Trips'!$K$16,$A37&lt;&gt;I$1,gamma!I37=1),(VLOOKUP(I$1,'40Trips'!$A$3:$I$42,8,FALSE))-(VLOOKUP($A37,'40Trips'!$A$3:$I$42,9,FALSE)),0)</f>
        <v>0</v>
      </c>
      <c r="J37">
        <f>IF(AND(SUM(VLOOKUP($A37,'40Trips'!$A$3:$I$42,2,FALSE),VLOOKUP(J$1,'40Trips'!$A$3:$I$42,2,FALSE))&lt;='40Trips'!$K$16,$A37&lt;&gt;J$1,gamma!J37=1),(VLOOKUP(J$1,'40Trips'!$A$3:$I$42,8,FALSE))-(VLOOKUP($A37,'40Trips'!$A$3:$I$42,9,FALSE)),0)</f>
        <v>215</v>
      </c>
      <c r="K37">
        <f>IF(AND(SUM(VLOOKUP($A37,'40Trips'!$A$3:$I$42,2,FALSE),VLOOKUP(K$1,'40Trips'!$A$3:$I$42,2,FALSE))&lt;='40Trips'!$K$16,$A37&lt;&gt;K$1,gamma!K37=1),(VLOOKUP(K$1,'40Trips'!$A$3:$I$42,8,FALSE))-(VLOOKUP($A37,'40Trips'!$A$3:$I$42,9,FALSE)),0)</f>
        <v>0</v>
      </c>
      <c r="L37">
        <f>IF(AND(SUM(VLOOKUP($A37,'40Trips'!$A$3:$I$42,2,FALSE),VLOOKUP(L$1,'40Trips'!$A$3:$I$42,2,FALSE))&lt;='40Trips'!$K$16,$A37&lt;&gt;L$1,gamma!L37=1),(VLOOKUP(L$1,'40Trips'!$A$3:$I$42,8,FALSE))-(VLOOKUP($A37,'40Trips'!$A$3:$I$42,9,FALSE)),0)</f>
        <v>0</v>
      </c>
      <c r="M37">
        <f>IF(AND(SUM(VLOOKUP($A37,'40Trips'!$A$3:$I$42,2,FALSE),VLOOKUP(M$1,'40Trips'!$A$3:$I$42,2,FALSE))&lt;='40Trips'!$K$16,$A37&lt;&gt;M$1,gamma!M37=1),(VLOOKUP(M$1,'40Trips'!$A$3:$I$42,8,FALSE))-(VLOOKUP($A37,'40Trips'!$A$3:$I$42,9,FALSE)),0)</f>
        <v>0</v>
      </c>
      <c r="N37">
        <f>IF(AND(SUM(VLOOKUP($A37,'40Trips'!$A$3:$I$42,2,FALSE),VLOOKUP(N$1,'40Trips'!$A$3:$I$42,2,FALSE))&lt;='40Trips'!$K$16,$A37&lt;&gt;N$1,gamma!N37=1),(VLOOKUP(N$1,'40Trips'!$A$3:$I$42,8,FALSE))-(VLOOKUP($A37,'40Trips'!$A$3:$I$42,9,FALSE)),0)</f>
        <v>0</v>
      </c>
      <c r="O37">
        <f>IF(AND(SUM(VLOOKUP($A37,'40Trips'!$A$3:$I$42,2,FALSE),VLOOKUP(O$1,'40Trips'!$A$3:$I$42,2,FALSE))&lt;='40Trips'!$K$16,$A37&lt;&gt;O$1,gamma!O37=1),(VLOOKUP(O$1,'40Trips'!$A$3:$I$42,8,FALSE))-(VLOOKUP($A37,'40Trips'!$A$3:$I$42,9,FALSE)),0)</f>
        <v>0</v>
      </c>
      <c r="P37">
        <f>IF(AND(SUM(VLOOKUP($A37,'40Trips'!$A$3:$I$42,2,FALSE),VLOOKUP(P$1,'40Trips'!$A$3:$I$42,2,FALSE))&lt;='40Trips'!$K$16,$A37&lt;&gt;P$1,gamma!P37=1),(VLOOKUP(P$1,'40Trips'!$A$3:$I$42,8,FALSE))-(VLOOKUP($A37,'40Trips'!$A$3:$I$42,9,FALSE)),0)</f>
        <v>0</v>
      </c>
      <c r="Q37">
        <f>IF(AND(SUM(VLOOKUP($A37,'40Trips'!$A$3:$I$42,2,FALSE),VLOOKUP(Q$1,'40Trips'!$A$3:$I$42,2,FALSE))&lt;='40Trips'!$K$16,$A37&lt;&gt;Q$1,gamma!Q37=1),(VLOOKUP(Q$1,'40Trips'!$A$3:$I$42,8,FALSE))-(VLOOKUP($A37,'40Trips'!$A$3:$I$42,9,FALSE)),0)</f>
        <v>0</v>
      </c>
      <c r="R37">
        <f>IF(AND(SUM(VLOOKUP($A37,'40Trips'!$A$3:$I$42,2,FALSE),VLOOKUP(R$1,'40Trips'!$A$3:$I$42,2,FALSE))&lt;='40Trips'!$K$16,$A37&lt;&gt;R$1,gamma!R37=1),(VLOOKUP(R$1,'40Trips'!$A$3:$I$42,8,FALSE))-(VLOOKUP($A37,'40Trips'!$A$3:$I$42,9,FALSE)),0)</f>
        <v>0</v>
      </c>
      <c r="S37">
        <f>IF(AND(SUM(VLOOKUP($A37,'40Trips'!$A$3:$I$42,2,FALSE),VLOOKUP(S$1,'40Trips'!$A$3:$I$42,2,FALSE))&lt;='40Trips'!$K$16,$A37&lt;&gt;S$1,gamma!S37=1),(VLOOKUP(S$1,'40Trips'!$A$3:$I$42,8,FALSE))-(VLOOKUP($A37,'40Trips'!$A$3:$I$42,9,FALSE)),0)</f>
        <v>0</v>
      </c>
      <c r="T37">
        <f>IF(AND(SUM(VLOOKUP($A37,'40Trips'!$A$3:$I$42,2,FALSE),VLOOKUP(T$1,'40Trips'!$A$3:$I$42,2,FALSE))&lt;='40Trips'!$K$16,$A37&lt;&gt;T$1,gamma!T37=1),(VLOOKUP(T$1,'40Trips'!$A$3:$I$42,8,FALSE))-(VLOOKUP($A37,'40Trips'!$A$3:$I$42,9,FALSE)),0)</f>
        <v>0</v>
      </c>
      <c r="U37">
        <f>IF(AND(SUM(VLOOKUP($A37,'40Trips'!$A$3:$I$42,2,FALSE),VLOOKUP(U$1,'40Trips'!$A$3:$I$42,2,FALSE))&lt;='40Trips'!$K$16,$A37&lt;&gt;U$1,gamma!U37=1),(VLOOKUP(U$1,'40Trips'!$A$3:$I$42,8,FALSE))-(VLOOKUP($A37,'40Trips'!$A$3:$I$42,9,FALSE)),0)</f>
        <v>0</v>
      </c>
      <c r="V37">
        <f>IF(AND(SUM(VLOOKUP($A37,'40Trips'!$A$3:$I$42,2,FALSE),VLOOKUP(V$1,'40Trips'!$A$3:$I$42,2,FALSE))&lt;='40Trips'!$K$16,$A37&lt;&gt;V$1,gamma!V37=1),(VLOOKUP(V$1,'40Trips'!$A$3:$I$42,8,FALSE))-(VLOOKUP($A37,'40Trips'!$A$3:$I$42,9,FALSE)),0)</f>
        <v>0</v>
      </c>
      <c r="W37">
        <f>IF(AND(SUM(VLOOKUP($A37,'40Trips'!$A$3:$I$42,2,FALSE),VLOOKUP(W$1,'40Trips'!$A$3:$I$42,2,FALSE))&lt;='40Trips'!$K$16,$A37&lt;&gt;W$1,gamma!W37=1),(VLOOKUP(W$1,'40Trips'!$A$3:$I$42,8,FALSE))-(VLOOKUP($A37,'40Trips'!$A$3:$I$42,9,FALSE)),0)</f>
        <v>0</v>
      </c>
      <c r="X37">
        <f>IF(AND(SUM(VLOOKUP($A37,'40Trips'!$A$3:$I$42,2,FALSE),VLOOKUP(X$1,'40Trips'!$A$3:$I$42,2,FALSE))&lt;='40Trips'!$K$16,$A37&lt;&gt;X$1,gamma!X37=1),(VLOOKUP(X$1,'40Trips'!$A$3:$I$42,8,FALSE))-(VLOOKUP($A37,'40Trips'!$A$3:$I$42,9,FALSE)),0)</f>
        <v>0</v>
      </c>
      <c r="Y37">
        <f>IF(AND(SUM(VLOOKUP($A37,'40Trips'!$A$3:$I$42,2,FALSE),VLOOKUP(Y$1,'40Trips'!$A$3:$I$42,2,FALSE))&lt;='40Trips'!$K$16,$A37&lt;&gt;Y$1,gamma!Y37=1),(VLOOKUP(Y$1,'40Trips'!$A$3:$I$42,8,FALSE))-(VLOOKUP($A37,'40Trips'!$A$3:$I$42,9,FALSE)),0)</f>
        <v>0</v>
      </c>
      <c r="Z37">
        <f>IF(AND(SUM(VLOOKUP($A37,'40Trips'!$A$3:$I$42,2,FALSE),VLOOKUP(Z$1,'40Trips'!$A$3:$I$42,2,FALSE))&lt;='40Trips'!$K$16,$A37&lt;&gt;Z$1,gamma!Z37=1),(VLOOKUP(Z$1,'40Trips'!$A$3:$I$42,8,FALSE))-(VLOOKUP($A37,'40Trips'!$A$3:$I$42,9,FALSE)),0)</f>
        <v>0</v>
      </c>
      <c r="AA37">
        <f>IF(AND(SUM(VLOOKUP($A37,'40Trips'!$A$3:$I$42,2,FALSE),VLOOKUP(AA$1,'40Trips'!$A$3:$I$42,2,FALSE))&lt;='40Trips'!$K$16,$A37&lt;&gt;AA$1,gamma!AA37=1),(VLOOKUP(AA$1,'40Trips'!$A$3:$I$42,8,FALSE))-(VLOOKUP($A37,'40Trips'!$A$3:$I$42,9,FALSE)),0)</f>
        <v>0</v>
      </c>
      <c r="AB37">
        <f>IF(AND(SUM(VLOOKUP($A37,'40Trips'!$A$3:$I$42,2,FALSE),VLOOKUP(AB$1,'40Trips'!$A$3:$I$42,2,FALSE))&lt;='40Trips'!$K$16,$A37&lt;&gt;AB$1,gamma!AB37=1),(VLOOKUP(AB$1,'40Trips'!$A$3:$I$42,8,FALSE))-(VLOOKUP($A37,'40Trips'!$A$3:$I$42,9,FALSE)),0)</f>
        <v>0</v>
      </c>
      <c r="AC37">
        <f>IF(AND(SUM(VLOOKUP($A37,'40Trips'!$A$3:$I$42,2,FALSE),VLOOKUP(AC$1,'40Trips'!$A$3:$I$42,2,FALSE))&lt;='40Trips'!$K$16,$A37&lt;&gt;AC$1,gamma!AC37=1),(VLOOKUP(AC$1,'40Trips'!$A$3:$I$42,8,FALSE))-(VLOOKUP($A37,'40Trips'!$A$3:$I$42,9,FALSE)),0)</f>
        <v>0</v>
      </c>
      <c r="AD37">
        <f>IF(AND(SUM(VLOOKUP($A37,'40Trips'!$A$3:$I$42,2,FALSE),VLOOKUP(AD$1,'40Trips'!$A$3:$I$42,2,FALSE))&lt;='40Trips'!$K$16,$A37&lt;&gt;AD$1,gamma!AD37=1),(VLOOKUP(AD$1,'40Trips'!$A$3:$I$42,8,FALSE))-(VLOOKUP($A37,'40Trips'!$A$3:$I$42,9,FALSE)),0)</f>
        <v>0</v>
      </c>
      <c r="AE37">
        <f>IF(AND(SUM(VLOOKUP($A37,'40Trips'!$A$3:$I$42,2,FALSE),VLOOKUP(AE$1,'40Trips'!$A$3:$I$42,2,FALSE))&lt;='40Trips'!$K$16,$A37&lt;&gt;AE$1,gamma!AE37=1),(VLOOKUP(AE$1,'40Trips'!$A$3:$I$42,8,FALSE))-(VLOOKUP($A37,'40Trips'!$A$3:$I$42,9,FALSE)),0)</f>
        <v>0</v>
      </c>
      <c r="AF37">
        <f>IF(AND(SUM(VLOOKUP($A37,'40Trips'!$A$3:$I$42,2,FALSE),VLOOKUP(AF$1,'40Trips'!$A$3:$I$42,2,FALSE))&lt;='40Trips'!$K$16,$A37&lt;&gt;AF$1,gamma!AF37=1),(VLOOKUP(AF$1,'40Trips'!$A$3:$I$42,8,FALSE))-(VLOOKUP($A37,'40Trips'!$A$3:$I$42,9,FALSE)),0)</f>
        <v>0</v>
      </c>
      <c r="AG37">
        <f>IF(AND(SUM(VLOOKUP($A37,'40Trips'!$A$3:$I$42,2,FALSE),VLOOKUP(AG$1,'40Trips'!$A$3:$I$42,2,FALSE))&lt;='40Trips'!$K$16,$A37&lt;&gt;AG$1,gamma!AG37=1),(VLOOKUP(AG$1,'40Trips'!$A$3:$I$42,8,FALSE))-(VLOOKUP($A37,'40Trips'!$A$3:$I$42,9,FALSE)),0)</f>
        <v>0</v>
      </c>
      <c r="AH37">
        <f>IF(AND(SUM(VLOOKUP($A37,'40Trips'!$A$3:$I$42,2,FALSE),VLOOKUP(AH$1,'40Trips'!$A$3:$I$42,2,FALSE))&lt;='40Trips'!$K$16,$A37&lt;&gt;AH$1,gamma!AH37=1),(VLOOKUP(AH$1,'40Trips'!$A$3:$I$42,8,FALSE))-(VLOOKUP($A37,'40Trips'!$A$3:$I$42,9,FALSE)),0)</f>
        <v>0</v>
      </c>
      <c r="AI37">
        <f>IF(AND(SUM(VLOOKUP($A37,'40Trips'!$A$3:$I$42,2,FALSE),VLOOKUP(AI$1,'40Trips'!$A$3:$I$42,2,FALSE))&lt;='40Trips'!$K$16,$A37&lt;&gt;AI$1,gamma!AI37=1),(VLOOKUP(AI$1,'40Trips'!$A$3:$I$42,8,FALSE))-(VLOOKUP($A37,'40Trips'!$A$3:$I$42,9,FALSE)),0)</f>
        <v>0</v>
      </c>
      <c r="AJ37">
        <f>IF(AND(SUM(VLOOKUP($A37,'40Trips'!$A$3:$I$42,2,FALSE),VLOOKUP(AJ$1,'40Trips'!$A$3:$I$42,2,FALSE))&lt;='40Trips'!$K$16,$A37&lt;&gt;AJ$1,gamma!AJ37=1),(VLOOKUP(AJ$1,'40Trips'!$A$3:$I$42,8,FALSE))-(VLOOKUP($A37,'40Trips'!$A$3:$I$42,9,FALSE)),0)</f>
        <v>0</v>
      </c>
      <c r="AK37">
        <f>IF(AND(SUM(VLOOKUP($A37,'40Trips'!$A$3:$I$42,2,FALSE),VLOOKUP(AK$1,'40Trips'!$A$3:$I$42,2,FALSE))&lt;='40Trips'!$K$16,$A37&lt;&gt;AK$1,gamma!AK37=1),(VLOOKUP(AK$1,'40Trips'!$A$3:$I$42,8,FALSE))-(VLOOKUP($A37,'40Trips'!$A$3:$I$42,9,FALSE)),0)</f>
        <v>0</v>
      </c>
      <c r="AL37">
        <f>IF(AND(SUM(VLOOKUP($A37,'40Trips'!$A$3:$I$42,2,FALSE),VLOOKUP(AL$1,'40Trips'!$A$3:$I$42,2,FALSE))&lt;='40Trips'!$K$16,$A37&lt;&gt;AL$1,gamma!AL37=1),(VLOOKUP(AL$1,'40Trips'!$A$3:$I$42,8,FALSE))-(VLOOKUP($A37,'40Trips'!$A$3:$I$42,9,FALSE)),0)</f>
        <v>60</v>
      </c>
      <c r="AM37">
        <f>IF(AND(SUM(VLOOKUP($A37,'40Trips'!$A$3:$I$42,2,FALSE),VLOOKUP(AM$1,'40Trips'!$A$3:$I$42,2,FALSE))&lt;='40Trips'!$K$16,$A37&lt;&gt;AM$1,gamma!AM37=1),(VLOOKUP(AM$1,'40Trips'!$A$3:$I$42,8,FALSE))-(VLOOKUP($A37,'40Trips'!$A$3:$I$42,9,FALSE)),0)</f>
        <v>0</v>
      </c>
      <c r="AN37">
        <f>IF(AND(SUM(VLOOKUP($A37,'40Trips'!$A$3:$I$42,2,FALSE),VLOOKUP(AN$1,'40Trips'!$A$3:$I$42,2,FALSE))&lt;='40Trips'!$K$16,$A37&lt;&gt;AN$1,gamma!AN37=1),(VLOOKUP(AN$1,'40Trips'!$A$3:$I$42,8,FALSE))-(VLOOKUP($A37,'40Trips'!$A$3:$I$42,9,FALSE)),0)</f>
        <v>0</v>
      </c>
      <c r="AO37">
        <f>IF(AND(SUM(VLOOKUP($A37,'40Trips'!$A$3:$I$42,2,FALSE),VLOOKUP(AO$1,'40Trips'!$A$3:$I$42,2,FALSE))&lt;='40Trips'!$K$16,$A37&lt;&gt;AO$1,gamma!AO37=1),(VLOOKUP(AO$1,'40Trips'!$A$3:$I$42,8,FALSE))-(VLOOKUP($A37,'40Trips'!$A$3:$I$42,9,FALSE)),0)</f>
        <v>0</v>
      </c>
      <c r="AP37">
        <f>IF(AND(SUM(VLOOKUP($A37,'40Trips'!$A$3:$I$42,2,FALSE),VLOOKUP(AP$1,'40Trips'!$A$3:$I$42,2,FALSE))&lt;='40Trips'!$K$16,$A37&lt;&gt;AP$1,gamma!AP37=1),(VLOOKUP(AP$1,'40Trips'!$A$3:$I$42,8,FALSE))-(VLOOKUP($A37,'40Trips'!$A$3:$I$42,9,FALSE)),0)</f>
        <v>25</v>
      </c>
    </row>
    <row r="38" spans="1:42" x14ac:dyDescent="0.25">
      <c r="A38" t="s">
        <v>88</v>
      </c>
      <c r="B38">
        <v>0</v>
      </c>
      <c r="C38">
        <f>IF(AND(SUM(VLOOKUP($A38,'40Trips'!$A$3:$I$42,2,FALSE),VLOOKUP(C$1,'40Trips'!$A$3:$I$42,2,FALSE))&lt;='40Trips'!$K$16,$A38&lt;&gt;C$1,gamma!C38=1),(VLOOKUP(C$1,'40Trips'!$A$3:$I$42,8,FALSE))-(VLOOKUP($A38,'40Trips'!$A$3:$I$42,9,FALSE)),0)</f>
        <v>0</v>
      </c>
      <c r="D38">
        <f>IF(AND(SUM(VLOOKUP($A38,'40Trips'!$A$3:$I$42,2,FALSE),VLOOKUP(D$1,'40Trips'!$A$3:$I$42,2,FALSE))&lt;='40Trips'!$K$16,$A38&lt;&gt;D$1,gamma!D38=1),(VLOOKUP(D$1,'40Trips'!$A$3:$I$42,8,FALSE))-(VLOOKUP($A38,'40Trips'!$A$3:$I$42,9,FALSE)),0)</f>
        <v>0</v>
      </c>
      <c r="E38">
        <f>IF(AND(SUM(VLOOKUP($A38,'40Trips'!$A$3:$I$42,2,FALSE),VLOOKUP(E$1,'40Trips'!$A$3:$I$42,2,FALSE))&lt;='40Trips'!$K$16,$A38&lt;&gt;E$1,gamma!E38=1),(VLOOKUP(E$1,'40Trips'!$A$3:$I$42,8,FALSE))-(VLOOKUP($A38,'40Trips'!$A$3:$I$42,9,FALSE)),0)</f>
        <v>0</v>
      </c>
      <c r="F38">
        <f>IF(AND(SUM(VLOOKUP($A38,'40Trips'!$A$3:$I$42,2,FALSE),VLOOKUP(F$1,'40Trips'!$A$3:$I$42,2,FALSE))&lt;='40Trips'!$K$16,$A38&lt;&gt;F$1,gamma!F38=1),(VLOOKUP(F$1,'40Trips'!$A$3:$I$42,8,FALSE))-(VLOOKUP($A38,'40Trips'!$A$3:$I$42,9,FALSE)),0)</f>
        <v>0</v>
      </c>
      <c r="G38">
        <f>IF(AND(SUM(VLOOKUP($A38,'40Trips'!$A$3:$I$42,2,FALSE),VLOOKUP(G$1,'40Trips'!$A$3:$I$42,2,FALSE))&lt;='40Trips'!$K$16,$A38&lt;&gt;G$1,gamma!G38=1),(VLOOKUP(G$1,'40Trips'!$A$3:$I$42,8,FALSE))-(VLOOKUP($A38,'40Trips'!$A$3:$I$42,9,FALSE)),0)</f>
        <v>0</v>
      </c>
      <c r="H38">
        <f>IF(AND(SUM(VLOOKUP($A38,'40Trips'!$A$3:$I$42,2,FALSE),VLOOKUP(H$1,'40Trips'!$A$3:$I$42,2,FALSE))&lt;='40Trips'!$K$16,$A38&lt;&gt;H$1,gamma!H38=1),(VLOOKUP(H$1,'40Trips'!$A$3:$I$42,8,FALSE))-(VLOOKUP($A38,'40Trips'!$A$3:$I$42,9,FALSE)),0)</f>
        <v>0</v>
      </c>
      <c r="I38">
        <f>IF(AND(SUM(VLOOKUP($A38,'40Trips'!$A$3:$I$42,2,FALSE),VLOOKUP(I$1,'40Trips'!$A$3:$I$42,2,FALSE))&lt;='40Trips'!$K$16,$A38&lt;&gt;I$1,gamma!I38=1),(VLOOKUP(I$1,'40Trips'!$A$3:$I$42,8,FALSE))-(VLOOKUP($A38,'40Trips'!$A$3:$I$42,9,FALSE)),0)</f>
        <v>0</v>
      </c>
      <c r="J38">
        <f>IF(AND(SUM(VLOOKUP($A38,'40Trips'!$A$3:$I$42,2,FALSE),VLOOKUP(J$1,'40Trips'!$A$3:$I$42,2,FALSE))&lt;='40Trips'!$K$16,$A38&lt;&gt;J$1,gamma!J38=1),(VLOOKUP(J$1,'40Trips'!$A$3:$I$42,8,FALSE))-(VLOOKUP($A38,'40Trips'!$A$3:$I$42,9,FALSE)),0)</f>
        <v>15</v>
      </c>
      <c r="K38">
        <f>IF(AND(SUM(VLOOKUP($A38,'40Trips'!$A$3:$I$42,2,FALSE),VLOOKUP(K$1,'40Trips'!$A$3:$I$42,2,FALSE))&lt;='40Trips'!$K$16,$A38&lt;&gt;K$1,gamma!K38=1),(VLOOKUP(K$1,'40Trips'!$A$3:$I$42,8,FALSE))-(VLOOKUP($A38,'40Trips'!$A$3:$I$42,9,FALSE)),0)</f>
        <v>0</v>
      </c>
      <c r="L38">
        <f>IF(AND(SUM(VLOOKUP($A38,'40Trips'!$A$3:$I$42,2,FALSE),VLOOKUP(L$1,'40Trips'!$A$3:$I$42,2,FALSE))&lt;='40Trips'!$K$16,$A38&lt;&gt;L$1,gamma!L38=1),(VLOOKUP(L$1,'40Trips'!$A$3:$I$42,8,FALSE))-(VLOOKUP($A38,'40Trips'!$A$3:$I$42,9,FALSE)),0)</f>
        <v>0</v>
      </c>
      <c r="M38">
        <f>IF(AND(SUM(VLOOKUP($A38,'40Trips'!$A$3:$I$42,2,FALSE),VLOOKUP(M$1,'40Trips'!$A$3:$I$42,2,FALSE))&lt;='40Trips'!$K$16,$A38&lt;&gt;M$1,gamma!M38=1),(VLOOKUP(M$1,'40Trips'!$A$3:$I$42,8,FALSE))-(VLOOKUP($A38,'40Trips'!$A$3:$I$42,9,FALSE)),0)</f>
        <v>0</v>
      </c>
      <c r="N38">
        <f>IF(AND(SUM(VLOOKUP($A38,'40Trips'!$A$3:$I$42,2,FALSE),VLOOKUP(N$1,'40Trips'!$A$3:$I$42,2,FALSE))&lt;='40Trips'!$K$16,$A38&lt;&gt;N$1,gamma!N38=1),(VLOOKUP(N$1,'40Trips'!$A$3:$I$42,8,FALSE))-(VLOOKUP($A38,'40Trips'!$A$3:$I$42,9,FALSE)),0)</f>
        <v>0</v>
      </c>
      <c r="O38">
        <f>IF(AND(SUM(VLOOKUP($A38,'40Trips'!$A$3:$I$42,2,FALSE),VLOOKUP(O$1,'40Trips'!$A$3:$I$42,2,FALSE))&lt;='40Trips'!$K$16,$A38&lt;&gt;O$1,gamma!O38=1),(VLOOKUP(O$1,'40Trips'!$A$3:$I$42,8,FALSE))-(VLOOKUP($A38,'40Trips'!$A$3:$I$42,9,FALSE)),0)</f>
        <v>0</v>
      </c>
      <c r="P38">
        <f>IF(AND(SUM(VLOOKUP($A38,'40Trips'!$A$3:$I$42,2,FALSE),VLOOKUP(P$1,'40Trips'!$A$3:$I$42,2,FALSE))&lt;='40Trips'!$K$16,$A38&lt;&gt;P$1,gamma!P38=1),(VLOOKUP(P$1,'40Trips'!$A$3:$I$42,8,FALSE))-(VLOOKUP($A38,'40Trips'!$A$3:$I$42,9,FALSE)),0)</f>
        <v>0</v>
      </c>
      <c r="Q38">
        <f>IF(AND(SUM(VLOOKUP($A38,'40Trips'!$A$3:$I$42,2,FALSE),VLOOKUP(Q$1,'40Trips'!$A$3:$I$42,2,FALSE))&lt;='40Trips'!$K$16,$A38&lt;&gt;Q$1,gamma!Q38=1),(VLOOKUP(Q$1,'40Trips'!$A$3:$I$42,8,FALSE))-(VLOOKUP($A38,'40Trips'!$A$3:$I$42,9,FALSE)),0)</f>
        <v>0</v>
      </c>
      <c r="R38">
        <f>IF(AND(SUM(VLOOKUP($A38,'40Trips'!$A$3:$I$42,2,FALSE),VLOOKUP(R$1,'40Trips'!$A$3:$I$42,2,FALSE))&lt;='40Trips'!$K$16,$A38&lt;&gt;R$1,gamma!R38=1),(VLOOKUP(R$1,'40Trips'!$A$3:$I$42,8,FALSE))-(VLOOKUP($A38,'40Trips'!$A$3:$I$42,9,FALSE)),0)</f>
        <v>0</v>
      </c>
      <c r="S38">
        <f>IF(AND(SUM(VLOOKUP($A38,'40Trips'!$A$3:$I$42,2,FALSE),VLOOKUP(S$1,'40Trips'!$A$3:$I$42,2,FALSE))&lt;='40Trips'!$K$16,$A38&lt;&gt;S$1,gamma!S38=1),(VLOOKUP(S$1,'40Trips'!$A$3:$I$42,8,FALSE))-(VLOOKUP($A38,'40Trips'!$A$3:$I$42,9,FALSE)),0)</f>
        <v>0</v>
      </c>
      <c r="T38">
        <f>IF(AND(SUM(VLOOKUP($A38,'40Trips'!$A$3:$I$42,2,FALSE),VLOOKUP(T$1,'40Trips'!$A$3:$I$42,2,FALSE))&lt;='40Trips'!$K$16,$A38&lt;&gt;T$1,gamma!T38=1),(VLOOKUP(T$1,'40Trips'!$A$3:$I$42,8,FALSE))-(VLOOKUP($A38,'40Trips'!$A$3:$I$42,9,FALSE)),0)</f>
        <v>0</v>
      </c>
      <c r="U38">
        <f>IF(AND(SUM(VLOOKUP($A38,'40Trips'!$A$3:$I$42,2,FALSE),VLOOKUP(U$1,'40Trips'!$A$3:$I$42,2,FALSE))&lt;='40Trips'!$K$16,$A38&lt;&gt;U$1,gamma!U38=1),(VLOOKUP(U$1,'40Trips'!$A$3:$I$42,8,FALSE))-(VLOOKUP($A38,'40Trips'!$A$3:$I$42,9,FALSE)),0)</f>
        <v>0</v>
      </c>
      <c r="V38">
        <f>IF(AND(SUM(VLOOKUP($A38,'40Trips'!$A$3:$I$42,2,FALSE),VLOOKUP(V$1,'40Trips'!$A$3:$I$42,2,FALSE))&lt;='40Trips'!$K$16,$A38&lt;&gt;V$1,gamma!V38=1),(VLOOKUP(V$1,'40Trips'!$A$3:$I$42,8,FALSE))-(VLOOKUP($A38,'40Trips'!$A$3:$I$42,9,FALSE)),0)</f>
        <v>0</v>
      </c>
      <c r="W38">
        <f>IF(AND(SUM(VLOOKUP($A38,'40Trips'!$A$3:$I$42,2,FALSE),VLOOKUP(W$1,'40Trips'!$A$3:$I$42,2,FALSE))&lt;='40Trips'!$K$16,$A38&lt;&gt;W$1,gamma!W38=1),(VLOOKUP(W$1,'40Trips'!$A$3:$I$42,8,FALSE))-(VLOOKUP($A38,'40Trips'!$A$3:$I$42,9,FALSE)),0)</f>
        <v>0</v>
      </c>
      <c r="X38">
        <f>IF(AND(SUM(VLOOKUP($A38,'40Trips'!$A$3:$I$42,2,FALSE),VLOOKUP(X$1,'40Trips'!$A$3:$I$42,2,FALSE))&lt;='40Trips'!$K$16,$A38&lt;&gt;X$1,gamma!X38=1),(VLOOKUP(X$1,'40Trips'!$A$3:$I$42,8,FALSE))-(VLOOKUP($A38,'40Trips'!$A$3:$I$42,9,FALSE)),0)</f>
        <v>0</v>
      </c>
      <c r="Y38">
        <f>IF(AND(SUM(VLOOKUP($A38,'40Trips'!$A$3:$I$42,2,FALSE),VLOOKUP(Y$1,'40Trips'!$A$3:$I$42,2,FALSE))&lt;='40Trips'!$K$16,$A38&lt;&gt;Y$1,gamma!Y38=1),(VLOOKUP(Y$1,'40Trips'!$A$3:$I$42,8,FALSE))-(VLOOKUP($A38,'40Trips'!$A$3:$I$42,9,FALSE)),0)</f>
        <v>0</v>
      </c>
      <c r="Z38">
        <f>IF(AND(SUM(VLOOKUP($A38,'40Trips'!$A$3:$I$42,2,FALSE),VLOOKUP(Z$1,'40Trips'!$A$3:$I$42,2,FALSE))&lt;='40Trips'!$K$16,$A38&lt;&gt;Z$1,gamma!Z38=1),(VLOOKUP(Z$1,'40Trips'!$A$3:$I$42,8,FALSE))-(VLOOKUP($A38,'40Trips'!$A$3:$I$42,9,FALSE)),0)</f>
        <v>0</v>
      </c>
      <c r="AA38">
        <f>IF(AND(SUM(VLOOKUP($A38,'40Trips'!$A$3:$I$42,2,FALSE),VLOOKUP(AA$1,'40Trips'!$A$3:$I$42,2,FALSE))&lt;='40Trips'!$K$16,$A38&lt;&gt;AA$1,gamma!AA38=1),(VLOOKUP(AA$1,'40Trips'!$A$3:$I$42,8,FALSE))-(VLOOKUP($A38,'40Trips'!$A$3:$I$42,9,FALSE)),0)</f>
        <v>0</v>
      </c>
      <c r="AB38">
        <f>IF(AND(SUM(VLOOKUP($A38,'40Trips'!$A$3:$I$42,2,FALSE),VLOOKUP(AB$1,'40Trips'!$A$3:$I$42,2,FALSE))&lt;='40Trips'!$K$16,$A38&lt;&gt;AB$1,gamma!AB38=1),(VLOOKUP(AB$1,'40Trips'!$A$3:$I$42,8,FALSE))-(VLOOKUP($A38,'40Trips'!$A$3:$I$42,9,FALSE)),0)</f>
        <v>0</v>
      </c>
      <c r="AC38">
        <f>IF(AND(SUM(VLOOKUP($A38,'40Trips'!$A$3:$I$42,2,FALSE),VLOOKUP(AC$1,'40Trips'!$A$3:$I$42,2,FALSE))&lt;='40Trips'!$K$16,$A38&lt;&gt;AC$1,gamma!AC38=1),(VLOOKUP(AC$1,'40Trips'!$A$3:$I$42,8,FALSE))-(VLOOKUP($A38,'40Trips'!$A$3:$I$42,9,FALSE)),0)</f>
        <v>0</v>
      </c>
      <c r="AD38">
        <f>IF(AND(SUM(VLOOKUP($A38,'40Trips'!$A$3:$I$42,2,FALSE),VLOOKUP(AD$1,'40Trips'!$A$3:$I$42,2,FALSE))&lt;='40Trips'!$K$16,$A38&lt;&gt;AD$1,gamma!AD38=1),(VLOOKUP(AD$1,'40Trips'!$A$3:$I$42,8,FALSE))-(VLOOKUP($A38,'40Trips'!$A$3:$I$42,9,FALSE)),0)</f>
        <v>0</v>
      </c>
      <c r="AE38">
        <f>IF(AND(SUM(VLOOKUP($A38,'40Trips'!$A$3:$I$42,2,FALSE),VLOOKUP(AE$1,'40Trips'!$A$3:$I$42,2,FALSE))&lt;='40Trips'!$K$16,$A38&lt;&gt;AE$1,gamma!AE38=1),(VLOOKUP(AE$1,'40Trips'!$A$3:$I$42,8,FALSE))-(VLOOKUP($A38,'40Trips'!$A$3:$I$42,9,FALSE)),0)</f>
        <v>0</v>
      </c>
      <c r="AF38">
        <f>IF(AND(SUM(VLOOKUP($A38,'40Trips'!$A$3:$I$42,2,FALSE),VLOOKUP(AF$1,'40Trips'!$A$3:$I$42,2,FALSE))&lt;='40Trips'!$K$16,$A38&lt;&gt;AF$1,gamma!AF38=1),(VLOOKUP(AF$1,'40Trips'!$A$3:$I$42,8,FALSE))-(VLOOKUP($A38,'40Trips'!$A$3:$I$42,9,FALSE)),0)</f>
        <v>0</v>
      </c>
      <c r="AG38">
        <f>IF(AND(SUM(VLOOKUP($A38,'40Trips'!$A$3:$I$42,2,FALSE),VLOOKUP(AG$1,'40Trips'!$A$3:$I$42,2,FALSE))&lt;='40Trips'!$K$16,$A38&lt;&gt;AG$1,gamma!AG38=1),(VLOOKUP(AG$1,'40Trips'!$A$3:$I$42,8,FALSE))-(VLOOKUP($A38,'40Trips'!$A$3:$I$42,9,FALSE)),0)</f>
        <v>0</v>
      </c>
      <c r="AH38">
        <f>IF(AND(SUM(VLOOKUP($A38,'40Trips'!$A$3:$I$42,2,FALSE),VLOOKUP(AH$1,'40Trips'!$A$3:$I$42,2,FALSE))&lt;='40Trips'!$K$16,$A38&lt;&gt;AH$1,gamma!AH38=1),(VLOOKUP(AH$1,'40Trips'!$A$3:$I$42,8,FALSE))-(VLOOKUP($A38,'40Trips'!$A$3:$I$42,9,FALSE)),0)</f>
        <v>0</v>
      </c>
      <c r="AI38">
        <f>IF(AND(SUM(VLOOKUP($A38,'40Trips'!$A$3:$I$42,2,FALSE),VLOOKUP(AI$1,'40Trips'!$A$3:$I$42,2,FALSE))&lt;='40Trips'!$K$16,$A38&lt;&gt;AI$1,gamma!AI38=1),(VLOOKUP(AI$1,'40Trips'!$A$3:$I$42,8,FALSE))-(VLOOKUP($A38,'40Trips'!$A$3:$I$42,9,FALSE)),0)</f>
        <v>0</v>
      </c>
      <c r="AJ38">
        <f>IF(AND(SUM(VLOOKUP($A38,'40Trips'!$A$3:$I$42,2,FALSE),VLOOKUP(AJ$1,'40Trips'!$A$3:$I$42,2,FALSE))&lt;='40Trips'!$K$16,$A38&lt;&gt;AJ$1,gamma!AJ38=1),(VLOOKUP(AJ$1,'40Trips'!$A$3:$I$42,8,FALSE))-(VLOOKUP($A38,'40Trips'!$A$3:$I$42,9,FALSE)),0)</f>
        <v>0</v>
      </c>
      <c r="AK38">
        <f>IF(AND(SUM(VLOOKUP($A38,'40Trips'!$A$3:$I$42,2,FALSE),VLOOKUP(AK$1,'40Trips'!$A$3:$I$42,2,FALSE))&lt;='40Trips'!$K$16,$A38&lt;&gt;AK$1,gamma!AK38=1),(VLOOKUP(AK$1,'40Trips'!$A$3:$I$42,8,FALSE))-(VLOOKUP($A38,'40Trips'!$A$3:$I$42,9,FALSE)),0)</f>
        <v>0</v>
      </c>
      <c r="AL38">
        <f>IF(AND(SUM(VLOOKUP($A38,'40Trips'!$A$3:$I$42,2,FALSE),VLOOKUP(AL$1,'40Trips'!$A$3:$I$42,2,FALSE))&lt;='40Trips'!$K$16,$A38&lt;&gt;AL$1,gamma!AL38=1),(VLOOKUP(AL$1,'40Trips'!$A$3:$I$42,8,FALSE))-(VLOOKUP($A38,'40Trips'!$A$3:$I$42,9,FALSE)),0)</f>
        <v>0</v>
      </c>
      <c r="AM38">
        <f>IF(AND(SUM(VLOOKUP($A38,'40Trips'!$A$3:$I$42,2,FALSE),VLOOKUP(AM$1,'40Trips'!$A$3:$I$42,2,FALSE))&lt;='40Trips'!$K$16,$A38&lt;&gt;AM$1,gamma!AM38=1),(VLOOKUP(AM$1,'40Trips'!$A$3:$I$42,8,FALSE))-(VLOOKUP($A38,'40Trips'!$A$3:$I$42,9,FALSE)),0)</f>
        <v>0</v>
      </c>
      <c r="AN38">
        <f>IF(AND(SUM(VLOOKUP($A38,'40Trips'!$A$3:$I$42,2,FALSE),VLOOKUP(AN$1,'40Trips'!$A$3:$I$42,2,FALSE))&lt;='40Trips'!$K$16,$A38&lt;&gt;AN$1,gamma!AN38=1),(VLOOKUP(AN$1,'40Trips'!$A$3:$I$42,8,FALSE))-(VLOOKUP($A38,'40Trips'!$A$3:$I$42,9,FALSE)),0)</f>
        <v>0</v>
      </c>
      <c r="AO38">
        <f>IF(AND(SUM(VLOOKUP($A38,'40Trips'!$A$3:$I$42,2,FALSE),VLOOKUP(AO$1,'40Trips'!$A$3:$I$42,2,FALSE))&lt;='40Trips'!$K$16,$A38&lt;&gt;AO$1,gamma!AO38=1),(VLOOKUP(AO$1,'40Trips'!$A$3:$I$42,8,FALSE))-(VLOOKUP($A38,'40Trips'!$A$3:$I$42,9,FALSE)),0)</f>
        <v>0</v>
      </c>
      <c r="AP38">
        <f>IF(AND(SUM(VLOOKUP($A38,'40Trips'!$A$3:$I$42,2,FALSE),VLOOKUP(AP$1,'40Trips'!$A$3:$I$42,2,FALSE))&lt;='40Trips'!$K$16,$A38&lt;&gt;AP$1,gamma!AP38=1),(VLOOKUP(AP$1,'40Trips'!$A$3:$I$42,8,FALSE))-(VLOOKUP($A38,'40Trips'!$A$3:$I$42,9,FALSE)),0)</f>
        <v>0</v>
      </c>
    </row>
    <row r="39" spans="1:42" x14ac:dyDescent="0.25">
      <c r="A39" t="s">
        <v>41</v>
      </c>
      <c r="B39">
        <v>0</v>
      </c>
      <c r="C39">
        <f>IF(AND(SUM(VLOOKUP($A39,'40Trips'!$A$3:$I$42,2,FALSE),VLOOKUP(C$1,'40Trips'!$A$3:$I$42,2,FALSE))&lt;='40Trips'!$K$16,$A39&lt;&gt;C$1,gamma!C39=1),(VLOOKUP(C$1,'40Trips'!$A$3:$I$42,8,FALSE))-(VLOOKUP($A39,'40Trips'!$A$3:$I$42,9,FALSE)),0)</f>
        <v>0</v>
      </c>
      <c r="D39">
        <f>IF(AND(SUM(VLOOKUP($A39,'40Trips'!$A$3:$I$42,2,FALSE),VLOOKUP(D$1,'40Trips'!$A$3:$I$42,2,FALSE))&lt;='40Trips'!$K$16,$A39&lt;&gt;D$1,gamma!D39=1),(VLOOKUP(D$1,'40Trips'!$A$3:$I$42,8,FALSE))-(VLOOKUP($A39,'40Trips'!$A$3:$I$42,9,FALSE)),0)</f>
        <v>0</v>
      </c>
      <c r="E39">
        <f>IF(AND(SUM(VLOOKUP($A39,'40Trips'!$A$3:$I$42,2,FALSE),VLOOKUP(E$1,'40Trips'!$A$3:$I$42,2,FALSE))&lt;='40Trips'!$K$16,$A39&lt;&gt;E$1,gamma!E39=1),(VLOOKUP(E$1,'40Trips'!$A$3:$I$42,8,FALSE))-(VLOOKUP($A39,'40Trips'!$A$3:$I$42,9,FALSE)),0)</f>
        <v>90</v>
      </c>
      <c r="F39">
        <f>IF(AND(SUM(VLOOKUP($A39,'40Trips'!$A$3:$I$42,2,FALSE),VLOOKUP(F$1,'40Trips'!$A$3:$I$42,2,FALSE))&lt;='40Trips'!$K$16,$A39&lt;&gt;F$1,gamma!F39=1),(VLOOKUP(F$1,'40Trips'!$A$3:$I$42,8,FALSE))-(VLOOKUP($A39,'40Trips'!$A$3:$I$42,9,FALSE)),0)</f>
        <v>180</v>
      </c>
      <c r="G39">
        <f>IF(AND(SUM(VLOOKUP($A39,'40Trips'!$A$3:$I$42,2,FALSE),VLOOKUP(G$1,'40Trips'!$A$3:$I$42,2,FALSE))&lt;='40Trips'!$K$16,$A39&lt;&gt;G$1,gamma!G39=1),(VLOOKUP(G$1,'40Trips'!$A$3:$I$42,8,FALSE))-(VLOOKUP($A39,'40Trips'!$A$3:$I$42,9,FALSE)),0)</f>
        <v>0</v>
      </c>
      <c r="H39">
        <f>IF(AND(SUM(VLOOKUP($A39,'40Trips'!$A$3:$I$42,2,FALSE),VLOOKUP(H$1,'40Trips'!$A$3:$I$42,2,FALSE))&lt;='40Trips'!$K$16,$A39&lt;&gt;H$1,gamma!H39=1),(VLOOKUP(H$1,'40Trips'!$A$3:$I$42,8,FALSE))-(VLOOKUP($A39,'40Trips'!$A$3:$I$42,9,FALSE)),0)</f>
        <v>0</v>
      </c>
      <c r="I39">
        <f>IF(AND(SUM(VLOOKUP($A39,'40Trips'!$A$3:$I$42,2,FALSE),VLOOKUP(I$1,'40Trips'!$A$3:$I$42,2,FALSE))&lt;='40Trips'!$K$16,$A39&lt;&gt;I$1,gamma!I39=1),(VLOOKUP(I$1,'40Trips'!$A$3:$I$42,8,FALSE))-(VLOOKUP($A39,'40Trips'!$A$3:$I$42,9,FALSE)),0)</f>
        <v>55</v>
      </c>
      <c r="J39">
        <f>IF(AND(SUM(VLOOKUP($A39,'40Trips'!$A$3:$I$42,2,FALSE),VLOOKUP(J$1,'40Trips'!$A$3:$I$42,2,FALSE))&lt;='40Trips'!$K$16,$A39&lt;&gt;J$1,gamma!J39=1),(VLOOKUP(J$1,'40Trips'!$A$3:$I$42,8,FALSE))-(VLOOKUP($A39,'40Trips'!$A$3:$I$42,9,FALSE)),0)</f>
        <v>415</v>
      </c>
      <c r="K39">
        <f>IF(AND(SUM(VLOOKUP($A39,'40Trips'!$A$3:$I$42,2,FALSE),VLOOKUP(K$1,'40Trips'!$A$3:$I$42,2,FALSE))&lt;='40Trips'!$K$16,$A39&lt;&gt;K$1,gamma!K39=1),(VLOOKUP(K$1,'40Trips'!$A$3:$I$42,8,FALSE))-(VLOOKUP($A39,'40Trips'!$A$3:$I$42,9,FALSE)),0)</f>
        <v>0</v>
      </c>
      <c r="L39">
        <f>IF(AND(SUM(VLOOKUP($A39,'40Trips'!$A$3:$I$42,2,FALSE),VLOOKUP(L$1,'40Trips'!$A$3:$I$42,2,FALSE))&lt;='40Trips'!$K$16,$A39&lt;&gt;L$1,gamma!L39=1),(VLOOKUP(L$1,'40Trips'!$A$3:$I$42,8,FALSE))-(VLOOKUP($A39,'40Trips'!$A$3:$I$42,9,FALSE)),0)</f>
        <v>0</v>
      </c>
      <c r="M39">
        <f>IF(AND(SUM(VLOOKUP($A39,'40Trips'!$A$3:$I$42,2,FALSE),VLOOKUP(M$1,'40Trips'!$A$3:$I$42,2,FALSE))&lt;='40Trips'!$K$16,$A39&lt;&gt;M$1,gamma!M39=1),(VLOOKUP(M$1,'40Trips'!$A$3:$I$42,8,FALSE))-(VLOOKUP($A39,'40Trips'!$A$3:$I$42,9,FALSE)),0)</f>
        <v>50</v>
      </c>
      <c r="N39">
        <f>IF(AND(SUM(VLOOKUP($A39,'40Trips'!$A$3:$I$42,2,FALSE),VLOOKUP(N$1,'40Trips'!$A$3:$I$42,2,FALSE))&lt;='40Trips'!$K$16,$A39&lt;&gt;N$1,gamma!N39=1),(VLOOKUP(N$1,'40Trips'!$A$3:$I$42,8,FALSE))-(VLOOKUP($A39,'40Trips'!$A$3:$I$42,9,FALSE)),0)</f>
        <v>0</v>
      </c>
      <c r="O39">
        <f>IF(AND(SUM(VLOOKUP($A39,'40Trips'!$A$3:$I$42,2,FALSE),VLOOKUP(O$1,'40Trips'!$A$3:$I$42,2,FALSE))&lt;='40Trips'!$K$16,$A39&lt;&gt;O$1,gamma!O39=1),(VLOOKUP(O$1,'40Trips'!$A$3:$I$42,8,FALSE))-(VLOOKUP($A39,'40Trips'!$A$3:$I$42,9,FALSE)),0)</f>
        <v>0</v>
      </c>
      <c r="P39">
        <f>IF(AND(SUM(VLOOKUP($A39,'40Trips'!$A$3:$I$42,2,FALSE),VLOOKUP(P$1,'40Trips'!$A$3:$I$42,2,FALSE))&lt;='40Trips'!$K$16,$A39&lt;&gt;P$1,gamma!P39=1),(VLOOKUP(P$1,'40Trips'!$A$3:$I$42,8,FALSE))-(VLOOKUP($A39,'40Trips'!$A$3:$I$42,9,FALSE)),0)</f>
        <v>0</v>
      </c>
      <c r="Q39">
        <f>IF(AND(SUM(VLOOKUP($A39,'40Trips'!$A$3:$I$42,2,FALSE),VLOOKUP(Q$1,'40Trips'!$A$3:$I$42,2,FALSE))&lt;='40Trips'!$K$16,$A39&lt;&gt;Q$1,gamma!Q39=1),(VLOOKUP(Q$1,'40Trips'!$A$3:$I$42,8,FALSE))-(VLOOKUP($A39,'40Trips'!$A$3:$I$42,9,FALSE)),0)</f>
        <v>70</v>
      </c>
      <c r="R39">
        <f>IF(AND(SUM(VLOOKUP($A39,'40Trips'!$A$3:$I$42,2,FALSE),VLOOKUP(R$1,'40Trips'!$A$3:$I$42,2,FALSE))&lt;='40Trips'!$K$16,$A39&lt;&gt;R$1,gamma!R39=1),(VLOOKUP(R$1,'40Trips'!$A$3:$I$42,8,FALSE))-(VLOOKUP($A39,'40Trips'!$A$3:$I$42,9,FALSE)),0)</f>
        <v>160</v>
      </c>
      <c r="S39">
        <f>IF(AND(SUM(VLOOKUP($A39,'40Trips'!$A$3:$I$42,2,FALSE),VLOOKUP(S$1,'40Trips'!$A$3:$I$42,2,FALSE))&lt;='40Trips'!$K$16,$A39&lt;&gt;S$1,gamma!S39=1),(VLOOKUP(S$1,'40Trips'!$A$3:$I$42,8,FALSE))-(VLOOKUP($A39,'40Trips'!$A$3:$I$42,9,FALSE)),0)</f>
        <v>0</v>
      </c>
      <c r="T39">
        <f>IF(AND(SUM(VLOOKUP($A39,'40Trips'!$A$3:$I$42,2,FALSE),VLOOKUP(T$1,'40Trips'!$A$3:$I$42,2,FALSE))&lt;='40Trips'!$K$16,$A39&lt;&gt;T$1,gamma!T39=1),(VLOOKUP(T$1,'40Trips'!$A$3:$I$42,8,FALSE))-(VLOOKUP($A39,'40Trips'!$A$3:$I$42,9,FALSE)),0)</f>
        <v>0</v>
      </c>
      <c r="U39">
        <f>IF(AND(SUM(VLOOKUP($A39,'40Trips'!$A$3:$I$42,2,FALSE),VLOOKUP(U$1,'40Trips'!$A$3:$I$42,2,FALSE))&lt;='40Trips'!$K$16,$A39&lt;&gt;U$1,gamma!U39=1),(VLOOKUP(U$1,'40Trips'!$A$3:$I$42,8,FALSE))-(VLOOKUP($A39,'40Trips'!$A$3:$I$42,9,FALSE)),0)</f>
        <v>60</v>
      </c>
      <c r="V39">
        <f>IF(AND(SUM(VLOOKUP($A39,'40Trips'!$A$3:$I$42,2,FALSE),VLOOKUP(V$1,'40Trips'!$A$3:$I$42,2,FALSE))&lt;='40Trips'!$K$16,$A39&lt;&gt;V$1,gamma!V39=1),(VLOOKUP(V$1,'40Trips'!$A$3:$I$42,8,FALSE))-(VLOOKUP($A39,'40Trips'!$A$3:$I$42,9,FALSE)),0)</f>
        <v>210</v>
      </c>
      <c r="W39">
        <f>IF(AND(SUM(VLOOKUP($A39,'40Trips'!$A$3:$I$42,2,FALSE),VLOOKUP(W$1,'40Trips'!$A$3:$I$42,2,FALSE))&lt;='40Trips'!$K$16,$A39&lt;&gt;W$1,gamma!W39=1),(VLOOKUP(W$1,'40Trips'!$A$3:$I$42,8,FALSE))-(VLOOKUP($A39,'40Trips'!$A$3:$I$42,9,FALSE)),0)</f>
        <v>0</v>
      </c>
      <c r="X39">
        <f>IF(AND(SUM(VLOOKUP($A39,'40Trips'!$A$3:$I$42,2,FALSE),VLOOKUP(X$1,'40Trips'!$A$3:$I$42,2,FALSE))&lt;='40Trips'!$K$16,$A39&lt;&gt;X$1,gamma!X39=1),(VLOOKUP(X$1,'40Trips'!$A$3:$I$42,8,FALSE))-(VLOOKUP($A39,'40Trips'!$A$3:$I$42,9,FALSE)),0)</f>
        <v>0</v>
      </c>
      <c r="Y39">
        <f>IF(AND(SUM(VLOOKUP($A39,'40Trips'!$A$3:$I$42,2,FALSE),VLOOKUP(Y$1,'40Trips'!$A$3:$I$42,2,FALSE))&lt;='40Trips'!$K$16,$A39&lt;&gt;Y$1,gamma!Y39=1),(VLOOKUP(Y$1,'40Trips'!$A$3:$I$42,8,FALSE))-(VLOOKUP($A39,'40Trips'!$A$3:$I$42,9,FALSE)),0)</f>
        <v>120</v>
      </c>
      <c r="Z39">
        <f>IF(AND(SUM(VLOOKUP($A39,'40Trips'!$A$3:$I$42,2,FALSE),VLOOKUP(Z$1,'40Trips'!$A$3:$I$42,2,FALSE))&lt;='40Trips'!$K$16,$A39&lt;&gt;Z$1,gamma!Z39=1),(VLOOKUP(Z$1,'40Trips'!$A$3:$I$42,8,FALSE))-(VLOOKUP($A39,'40Trips'!$A$3:$I$42,9,FALSE)),0)</f>
        <v>180</v>
      </c>
      <c r="AA39">
        <f>IF(AND(SUM(VLOOKUP($A39,'40Trips'!$A$3:$I$42,2,FALSE),VLOOKUP(AA$1,'40Trips'!$A$3:$I$42,2,FALSE))&lt;='40Trips'!$K$16,$A39&lt;&gt;AA$1,gamma!AA39=1),(VLOOKUP(AA$1,'40Trips'!$A$3:$I$42,8,FALSE))-(VLOOKUP($A39,'40Trips'!$A$3:$I$42,9,FALSE)),0)</f>
        <v>0</v>
      </c>
      <c r="AB39">
        <f>IF(AND(SUM(VLOOKUP($A39,'40Trips'!$A$3:$I$42,2,FALSE),VLOOKUP(AB$1,'40Trips'!$A$3:$I$42,2,FALSE))&lt;='40Trips'!$K$16,$A39&lt;&gt;AB$1,gamma!AB39=1),(VLOOKUP(AB$1,'40Trips'!$A$3:$I$42,8,FALSE))-(VLOOKUP($A39,'40Trips'!$A$3:$I$42,9,FALSE)),0)</f>
        <v>0</v>
      </c>
      <c r="AC39">
        <f>IF(AND(SUM(VLOOKUP($A39,'40Trips'!$A$3:$I$42,2,FALSE),VLOOKUP(AC$1,'40Trips'!$A$3:$I$42,2,FALSE))&lt;='40Trips'!$K$16,$A39&lt;&gt;AC$1,gamma!AC39=1),(VLOOKUP(AC$1,'40Trips'!$A$3:$I$42,8,FALSE))-(VLOOKUP($A39,'40Trips'!$A$3:$I$42,9,FALSE)),0)</f>
        <v>160</v>
      </c>
      <c r="AD39">
        <f>IF(AND(SUM(VLOOKUP($A39,'40Trips'!$A$3:$I$42,2,FALSE),VLOOKUP(AD$1,'40Trips'!$A$3:$I$42,2,FALSE))&lt;='40Trips'!$K$16,$A39&lt;&gt;AD$1,gamma!AD39=1),(VLOOKUP(AD$1,'40Trips'!$A$3:$I$42,8,FALSE))-(VLOOKUP($A39,'40Trips'!$A$3:$I$42,9,FALSE)),0)</f>
        <v>210</v>
      </c>
      <c r="AE39">
        <f>IF(AND(SUM(VLOOKUP($A39,'40Trips'!$A$3:$I$42,2,FALSE),VLOOKUP(AE$1,'40Trips'!$A$3:$I$42,2,FALSE))&lt;='40Trips'!$K$16,$A39&lt;&gt;AE$1,gamma!AE39=1),(VLOOKUP(AE$1,'40Trips'!$A$3:$I$42,8,FALSE))-(VLOOKUP($A39,'40Trips'!$A$3:$I$42,9,FALSE)),0)</f>
        <v>0</v>
      </c>
      <c r="AF39">
        <f>IF(AND(SUM(VLOOKUP($A39,'40Trips'!$A$3:$I$42,2,FALSE),VLOOKUP(AF$1,'40Trips'!$A$3:$I$42,2,FALSE))&lt;='40Trips'!$K$16,$A39&lt;&gt;AF$1,gamma!AF39=1),(VLOOKUP(AF$1,'40Trips'!$A$3:$I$42,8,FALSE))-(VLOOKUP($A39,'40Trips'!$A$3:$I$42,9,FALSE)),0)</f>
        <v>0</v>
      </c>
      <c r="AG39">
        <f>IF(AND(SUM(VLOOKUP($A39,'40Trips'!$A$3:$I$42,2,FALSE),VLOOKUP(AG$1,'40Trips'!$A$3:$I$42,2,FALSE))&lt;='40Trips'!$K$16,$A39&lt;&gt;AG$1,gamma!AG39=1),(VLOOKUP(AG$1,'40Trips'!$A$3:$I$42,8,FALSE))-(VLOOKUP($A39,'40Trips'!$A$3:$I$42,9,FALSE)),0)</f>
        <v>0</v>
      </c>
      <c r="AH39">
        <f>IF(AND(SUM(VLOOKUP($A39,'40Trips'!$A$3:$I$42,2,FALSE),VLOOKUP(AH$1,'40Trips'!$A$3:$I$42,2,FALSE))&lt;='40Trips'!$K$16,$A39&lt;&gt;AH$1,gamma!AH39=1),(VLOOKUP(AH$1,'40Trips'!$A$3:$I$42,8,FALSE))-(VLOOKUP($A39,'40Trips'!$A$3:$I$42,9,FALSE)),0)</f>
        <v>25</v>
      </c>
      <c r="AI39">
        <f>IF(AND(SUM(VLOOKUP($A39,'40Trips'!$A$3:$I$42,2,FALSE),VLOOKUP(AI$1,'40Trips'!$A$3:$I$42,2,FALSE))&lt;='40Trips'!$K$16,$A39&lt;&gt;AI$1,gamma!AI39=1),(VLOOKUP(AI$1,'40Trips'!$A$3:$I$42,8,FALSE))-(VLOOKUP($A39,'40Trips'!$A$3:$I$42,9,FALSE)),0)</f>
        <v>0</v>
      </c>
      <c r="AJ39">
        <f>IF(AND(SUM(VLOOKUP($A39,'40Trips'!$A$3:$I$42,2,FALSE),VLOOKUP(AJ$1,'40Trips'!$A$3:$I$42,2,FALSE))&lt;='40Trips'!$K$16,$A39&lt;&gt;AJ$1,gamma!AJ39=1),(VLOOKUP(AJ$1,'40Trips'!$A$3:$I$42,8,FALSE))-(VLOOKUP($A39,'40Trips'!$A$3:$I$42,9,FALSE)),0)</f>
        <v>0</v>
      </c>
      <c r="AK39">
        <f>IF(AND(SUM(VLOOKUP($A39,'40Trips'!$A$3:$I$42,2,FALSE),VLOOKUP(AK$1,'40Trips'!$A$3:$I$42,2,FALSE))&lt;='40Trips'!$K$16,$A39&lt;&gt;AK$1,gamma!AK39=1),(VLOOKUP(AK$1,'40Trips'!$A$3:$I$42,8,FALSE))-(VLOOKUP($A39,'40Trips'!$A$3:$I$42,9,FALSE)),0)</f>
        <v>60</v>
      </c>
      <c r="AL39">
        <f>IF(AND(SUM(VLOOKUP($A39,'40Trips'!$A$3:$I$42,2,FALSE),VLOOKUP(AL$1,'40Trips'!$A$3:$I$42,2,FALSE))&lt;='40Trips'!$K$16,$A39&lt;&gt;AL$1,gamma!AL39=1),(VLOOKUP(AL$1,'40Trips'!$A$3:$I$42,8,FALSE))-(VLOOKUP($A39,'40Trips'!$A$3:$I$42,9,FALSE)),0)</f>
        <v>260</v>
      </c>
      <c r="AM39">
        <f>IF(AND(SUM(VLOOKUP($A39,'40Trips'!$A$3:$I$42,2,FALSE),VLOOKUP(AM$1,'40Trips'!$A$3:$I$42,2,FALSE))&lt;='40Trips'!$K$16,$A39&lt;&gt;AM$1,gamma!AM39=1),(VLOOKUP(AM$1,'40Trips'!$A$3:$I$42,8,FALSE))-(VLOOKUP($A39,'40Trips'!$A$3:$I$42,9,FALSE)),0)</f>
        <v>0</v>
      </c>
      <c r="AN39">
        <f>IF(AND(SUM(VLOOKUP($A39,'40Trips'!$A$3:$I$42,2,FALSE),VLOOKUP(AN$1,'40Trips'!$A$3:$I$42,2,FALSE))&lt;='40Trips'!$K$16,$A39&lt;&gt;AN$1,gamma!AN39=1),(VLOOKUP(AN$1,'40Trips'!$A$3:$I$42,8,FALSE))-(VLOOKUP($A39,'40Trips'!$A$3:$I$42,9,FALSE)),0)</f>
        <v>25</v>
      </c>
      <c r="AO39">
        <f>IF(AND(SUM(VLOOKUP($A39,'40Trips'!$A$3:$I$42,2,FALSE),VLOOKUP(AO$1,'40Trips'!$A$3:$I$42,2,FALSE))&lt;='40Trips'!$K$16,$A39&lt;&gt;AO$1,gamma!AO39=1),(VLOOKUP(AO$1,'40Trips'!$A$3:$I$42,8,FALSE))-(VLOOKUP($A39,'40Trips'!$A$3:$I$42,9,FALSE)),0)</f>
        <v>40</v>
      </c>
      <c r="AP39">
        <f>IF(AND(SUM(VLOOKUP($A39,'40Trips'!$A$3:$I$42,2,FALSE),VLOOKUP(AP$1,'40Trips'!$A$3:$I$42,2,FALSE))&lt;='40Trips'!$K$16,$A39&lt;&gt;AP$1,gamma!AP39=1),(VLOOKUP(AP$1,'40Trips'!$A$3:$I$42,8,FALSE))-(VLOOKUP($A39,'40Trips'!$A$3:$I$42,9,FALSE)),0)</f>
        <v>225</v>
      </c>
    </row>
    <row r="40" spans="1:42" x14ac:dyDescent="0.25">
      <c r="A40" t="s">
        <v>89</v>
      </c>
      <c r="B40">
        <v>0</v>
      </c>
      <c r="C40">
        <f>IF(AND(SUM(VLOOKUP($A40,'40Trips'!$A$3:$I$42,2,FALSE),VLOOKUP(C$1,'40Trips'!$A$3:$I$42,2,FALSE))&lt;='40Trips'!$K$16,$A40&lt;&gt;C$1,gamma!C40=1),(VLOOKUP(C$1,'40Trips'!$A$3:$I$42,8,FALSE))-(VLOOKUP($A40,'40Trips'!$A$3:$I$42,9,FALSE)),0)</f>
        <v>0</v>
      </c>
      <c r="D40">
        <f>IF(AND(SUM(VLOOKUP($A40,'40Trips'!$A$3:$I$42,2,FALSE),VLOOKUP(D$1,'40Trips'!$A$3:$I$42,2,FALSE))&lt;='40Trips'!$K$16,$A40&lt;&gt;D$1,gamma!D40=1),(VLOOKUP(D$1,'40Trips'!$A$3:$I$42,8,FALSE))-(VLOOKUP($A40,'40Trips'!$A$3:$I$42,9,FALSE)),0)</f>
        <v>0</v>
      </c>
      <c r="E40">
        <f>IF(AND(SUM(VLOOKUP($A40,'40Trips'!$A$3:$I$42,2,FALSE),VLOOKUP(E$1,'40Trips'!$A$3:$I$42,2,FALSE))&lt;='40Trips'!$K$16,$A40&lt;&gt;E$1,gamma!E40=1),(VLOOKUP(E$1,'40Trips'!$A$3:$I$42,8,FALSE))-(VLOOKUP($A40,'40Trips'!$A$3:$I$42,9,FALSE)),0)</f>
        <v>0</v>
      </c>
      <c r="F40">
        <f>IF(AND(SUM(VLOOKUP($A40,'40Trips'!$A$3:$I$42,2,FALSE),VLOOKUP(F$1,'40Trips'!$A$3:$I$42,2,FALSE))&lt;='40Trips'!$K$16,$A40&lt;&gt;F$1,gamma!F40=1),(VLOOKUP(F$1,'40Trips'!$A$3:$I$42,8,FALSE))-(VLOOKUP($A40,'40Trips'!$A$3:$I$42,9,FALSE)),0)</f>
        <v>35</v>
      </c>
      <c r="G40">
        <f>IF(AND(SUM(VLOOKUP($A40,'40Trips'!$A$3:$I$42,2,FALSE),VLOOKUP(G$1,'40Trips'!$A$3:$I$42,2,FALSE))&lt;='40Trips'!$K$16,$A40&lt;&gt;G$1,gamma!G40=1),(VLOOKUP(G$1,'40Trips'!$A$3:$I$42,8,FALSE))-(VLOOKUP($A40,'40Trips'!$A$3:$I$42,9,FALSE)),0)</f>
        <v>0</v>
      </c>
      <c r="H40">
        <f>IF(AND(SUM(VLOOKUP($A40,'40Trips'!$A$3:$I$42,2,FALSE),VLOOKUP(H$1,'40Trips'!$A$3:$I$42,2,FALSE))&lt;='40Trips'!$K$16,$A40&lt;&gt;H$1,gamma!H40=1),(VLOOKUP(H$1,'40Trips'!$A$3:$I$42,8,FALSE))-(VLOOKUP($A40,'40Trips'!$A$3:$I$42,9,FALSE)),0)</f>
        <v>0</v>
      </c>
      <c r="I40">
        <f>IF(AND(SUM(VLOOKUP($A40,'40Trips'!$A$3:$I$42,2,FALSE),VLOOKUP(I$1,'40Trips'!$A$3:$I$42,2,FALSE))&lt;='40Trips'!$K$16,$A40&lt;&gt;I$1,gamma!I40=1),(VLOOKUP(I$1,'40Trips'!$A$3:$I$42,8,FALSE))-(VLOOKUP($A40,'40Trips'!$A$3:$I$42,9,FALSE)),0)</f>
        <v>0</v>
      </c>
      <c r="J40">
        <f>IF(AND(SUM(VLOOKUP($A40,'40Trips'!$A$3:$I$42,2,FALSE),VLOOKUP(J$1,'40Trips'!$A$3:$I$42,2,FALSE))&lt;='40Trips'!$K$16,$A40&lt;&gt;J$1,gamma!J40=1),(VLOOKUP(J$1,'40Trips'!$A$3:$I$42,8,FALSE))-(VLOOKUP($A40,'40Trips'!$A$3:$I$42,9,FALSE)),0)</f>
        <v>270</v>
      </c>
      <c r="K40">
        <f>IF(AND(SUM(VLOOKUP($A40,'40Trips'!$A$3:$I$42,2,FALSE),VLOOKUP(K$1,'40Trips'!$A$3:$I$42,2,FALSE))&lt;='40Trips'!$K$16,$A40&lt;&gt;K$1,gamma!K40=1),(VLOOKUP(K$1,'40Trips'!$A$3:$I$42,8,FALSE))-(VLOOKUP($A40,'40Trips'!$A$3:$I$42,9,FALSE)),0)</f>
        <v>0</v>
      </c>
      <c r="L40">
        <f>IF(AND(SUM(VLOOKUP($A40,'40Trips'!$A$3:$I$42,2,FALSE),VLOOKUP(L$1,'40Trips'!$A$3:$I$42,2,FALSE))&lt;='40Trips'!$K$16,$A40&lt;&gt;L$1,gamma!L40=1),(VLOOKUP(L$1,'40Trips'!$A$3:$I$42,8,FALSE))-(VLOOKUP($A40,'40Trips'!$A$3:$I$42,9,FALSE)),0)</f>
        <v>0</v>
      </c>
      <c r="M40">
        <f>IF(AND(SUM(VLOOKUP($A40,'40Trips'!$A$3:$I$42,2,FALSE),VLOOKUP(M$1,'40Trips'!$A$3:$I$42,2,FALSE))&lt;='40Trips'!$K$16,$A40&lt;&gt;M$1,gamma!M40=1),(VLOOKUP(M$1,'40Trips'!$A$3:$I$42,8,FALSE))-(VLOOKUP($A40,'40Trips'!$A$3:$I$42,9,FALSE)),0)</f>
        <v>0</v>
      </c>
      <c r="N40">
        <f>IF(AND(SUM(VLOOKUP($A40,'40Trips'!$A$3:$I$42,2,FALSE),VLOOKUP(N$1,'40Trips'!$A$3:$I$42,2,FALSE))&lt;='40Trips'!$K$16,$A40&lt;&gt;N$1,gamma!N40=1),(VLOOKUP(N$1,'40Trips'!$A$3:$I$42,8,FALSE))-(VLOOKUP($A40,'40Trips'!$A$3:$I$42,9,FALSE)),0)</f>
        <v>0</v>
      </c>
      <c r="O40">
        <f>IF(AND(SUM(VLOOKUP($A40,'40Trips'!$A$3:$I$42,2,FALSE),VLOOKUP(O$1,'40Trips'!$A$3:$I$42,2,FALSE))&lt;='40Trips'!$K$16,$A40&lt;&gt;O$1,gamma!O40=1),(VLOOKUP(O$1,'40Trips'!$A$3:$I$42,8,FALSE))-(VLOOKUP($A40,'40Trips'!$A$3:$I$42,9,FALSE)),0)</f>
        <v>0</v>
      </c>
      <c r="P40">
        <f>IF(AND(SUM(VLOOKUP($A40,'40Trips'!$A$3:$I$42,2,FALSE),VLOOKUP(P$1,'40Trips'!$A$3:$I$42,2,FALSE))&lt;='40Trips'!$K$16,$A40&lt;&gt;P$1,gamma!P40=1),(VLOOKUP(P$1,'40Trips'!$A$3:$I$42,8,FALSE))-(VLOOKUP($A40,'40Trips'!$A$3:$I$42,9,FALSE)),0)</f>
        <v>0</v>
      </c>
      <c r="Q40">
        <f>IF(AND(SUM(VLOOKUP($A40,'40Trips'!$A$3:$I$42,2,FALSE),VLOOKUP(Q$1,'40Trips'!$A$3:$I$42,2,FALSE))&lt;='40Trips'!$K$16,$A40&lt;&gt;Q$1,gamma!Q40=1),(VLOOKUP(Q$1,'40Trips'!$A$3:$I$42,8,FALSE))-(VLOOKUP($A40,'40Trips'!$A$3:$I$42,9,FALSE)),0)</f>
        <v>0</v>
      </c>
      <c r="R40">
        <f>IF(AND(SUM(VLOOKUP($A40,'40Trips'!$A$3:$I$42,2,FALSE),VLOOKUP(R$1,'40Trips'!$A$3:$I$42,2,FALSE))&lt;='40Trips'!$K$16,$A40&lt;&gt;R$1,gamma!R40=1),(VLOOKUP(R$1,'40Trips'!$A$3:$I$42,8,FALSE))-(VLOOKUP($A40,'40Trips'!$A$3:$I$42,9,FALSE)),0)</f>
        <v>15</v>
      </c>
      <c r="S40">
        <f>IF(AND(SUM(VLOOKUP($A40,'40Trips'!$A$3:$I$42,2,FALSE),VLOOKUP(S$1,'40Trips'!$A$3:$I$42,2,FALSE))&lt;='40Trips'!$K$16,$A40&lt;&gt;S$1,gamma!S40=1),(VLOOKUP(S$1,'40Trips'!$A$3:$I$42,8,FALSE))-(VLOOKUP($A40,'40Trips'!$A$3:$I$42,9,FALSE)),0)</f>
        <v>0</v>
      </c>
      <c r="T40">
        <f>IF(AND(SUM(VLOOKUP($A40,'40Trips'!$A$3:$I$42,2,FALSE),VLOOKUP(T$1,'40Trips'!$A$3:$I$42,2,FALSE))&lt;='40Trips'!$K$16,$A40&lt;&gt;T$1,gamma!T40=1),(VLOOKUP(T$1,'40Trips'!$A$3:$I$42,8,FALSE))-(VLOOKUP($A40,'40Trips'!$A$3:$I$42,9,FALSE)),0)</f>
        <v>0</v>
      </c>
      <c r="U40">
        <f>IF(AND(SUM(VLOOKUP($A40,'40Trips'!$A$3:$I$42,2,FALSE),VLOOKUP(U$1,'40Trips'!$A$3:$I$42,2,FALSE))&lt;='40Trips'!$K$16,$A40&lt;&gt;U$1,gamma!U40=1),(VLOOKUP(U$1,'40Trips'!$A$3:$I$42,8,FALSE))-(VLOOKUP($A40,'40Trips'!$A$3:$I$42,9,FALSE)),0)</f>
        <v>0</v>
      </c>
      <c r="V40">
        <f>IF(AND(SUM(VLOOKUP($A40,'40Trips'!$A$3:$I$42,2,FALSE),VLOOKUP(V$1,'40Trips'!$A$3:$I$42,2,FALSE))&lt;='40Trips'!$K$16,$A40&lt;&gt;V$1,gamma!V40=1),(VLOOKUP(V$1,'40Trips'!$A$3:$I$42,8,FALSE))-(VLOOKUP($A40,'40Trips'!$A$3:$I$42,9,FALSE)),0)</f>
        <v>65</v>
      </c>
      <c r="W40">
        <f>IF(AND(SUM(VLOOKUP($A40,'40Trips'!$A$3:$I$42,2,FALSE),VLOOKUP(W$1,'40Trips'!$A$3:$I$42,2,FALSE))&lt;='40Trips'!$K$16,$A40&lt;&gt;W$1,gamma!W40=1),(VLOOKUP(W$1,'40Trips'!$A$3:$I$42,8,FALSE))-(VLOOKUP($A40,'40Trips'!$A$3:$I$42,9,FALSE)),0)</f>
        <v>0</v>
      </c>
      <c r="X40">
        <f>IF(AND(SUM(VLOOKUP($A40,'40Trips'!$A$3:$I$42,2,FALSE),VLOOKUP(X$1,'40Trips'!$A$3:$I$42,2,FALSE))&lt;='40Trips'!$K$16,$A40&lt;&gt;X$1,gamma!X40=1),(VLOOKUP(X$1,'40Trips'!$A$3:$I$42,8,FALSE))-(VLOOKUP($A40,'40Trips'!$A$3:$I$42,9,FALSE)),0)</f>
        <v>0</v>
      </c>
      <c r="Y40">
        <f>IF(AND(SUM(VLOOKUP($A40,'40Trips'!$A$3:$I$42,2,FALSE),VLOOKUP(Y$1,'40Trips'!$A$3:$I$42,2,FALSE))&lt;='40Trips'!$K$16,$A40&lt;&gt;Y$1,gamma!Y40=1),(VLOOKUP(Y$1,'40Trips'!$A$3:$I$42,8,FALSE))-(VLOOKUP($A40,'40Trips'!$A$3:$I$42,9,FALSE)),0)</f>
        <v>0</v>
      </c>
      <c r="Z40">
        <f>IF(AND(SUM(VLOOKUP($A40,'40Trips'!$A$3:$I$42,2,FALSE),VLOOKUP(Z$1,'40Trips'!$A$3:$I$42,2,FALSE))&lt;='40Trips'!$K$16,$A40&lt;&gt;Z$1,gamma!Z40=1),(VLOOKUP(Z$1,'40Trips'!$A$3:$I$42,8,FALSE))-(VLOOKUP($A40,'40Trips'!$A$3:$I$42,9,FALSE)),0)</f>
        <v>35</v>
      </c>
      <c r="AA40">
        <f>IF(AND(SUM(VLOOKUP($A40,'40Trips'!$A$3:$I$42,2,FALSE),VLOOKUP(AA$1,'40Trips'!$A$3:$I$42,2,FALSE))&lt;='40Trips'!$K$16,$A40&lt;&gt;AA$1,gamma!AA40=1),(VLOOKUP(AA$1,'40Trips'!$A$3:$I$42,8,FALSE))-(VLOOKUP($A40,'40Trips'!$A$3:$I$42,9,FALSE)),0)</f>
        <v>0</v>
      </c>
      <c r="AB40">
        <f>IF(AND(SUM(VLOOKUP($A40,'40Trips'!$A$3:$I$42,2,FALSE),VLOOKUP(AB$1,'40Trips'!$A$3:$I$42,2,FALSE))&lt;='40Trips'!$K$16,$A40&lt;&gt;AB$1,gamma!AB40=1),(VLOOKUP(AB$1,'40Trips'!$A$3:$I$42,8,FALSE))-(VLOOKUP($A40,'40Trips'!$A$3:$I$42,9,FALSE)),0)</f>
        <v>0</v>
      </c>
      <c r="AC40">
        <f>IF(AND(SUM(VLOOKUP($A40,'40Trips'!$A$3:$I$42,2,FALSE),VLOOKUP(AC$1,'40Trips'!$A$3:$I$42,2,FALSE))&lt;='40Trips'!$K$16,$A40&lt;&gt;AC$1,gamma!AC40=1),(VLOOKUP(AC$1,'40Trips'!$A$3:$I$42,8,FALSE))-(VLOOKUP($A40,'40Trips'!$A$3:$I$42,9,FALSE)),0)</f>
        <v>15</v>
      </c>
      <c r="AD40">
        <f>IF(AND(SUM(VLOOKUP($A40,'40Trips'!$A$3:$I$42,2,FALSE),VLOOKUP(AD$1,'40Trips'!$A$3:$I$42,2,FALSE))&lt;='40Trips'!$K$16,$A40&lt;&gt;AD$1,gamma!AD40=1),(VLOOKUP(AD$1,'40Trips'!$A$3:$I$42,8,FALSE))-(VLOOKUP($A40,'40Trips'!$A$3:$I$42,9,FALSE)),0)</f>
        <v>65</v>
      </c>
      <c r="AE40">
        <f>IF(AND(SUM(VLOOKUP($A40,'40Trips'!$A$3:$I$42,2,FALSE),VLOOKUP(AE$1,'40Trips'!$A$3:$I$42,2,FALSE))&lt;='40Trips'!$K$16,$A40&lt;&gt;AE$1,gamma!AE40=1),(VLOOKUP(AE$1,'40Trips'!$A$3:$I$42,8,FALSE))-(VLOOKUP($A40,'40Trips'!$A$3:$I$42,9,FALSE)),0)</f>
        <v>0</v>
      </c>
      <c r="AF40">
        <f>IF(AND(SUM(VLOOKUP($A40,'40Trips'!$A$3:$I$42,2,FALSE),VLOOKUP(AF$1,'40Trips'!$A$3:$I$42,2,FALSE))&lt;='40Trips'!$K$16,$A40&lt;&gt;AF$1,gamma!AF40=1),(VLOOKUP(AF$1,'40Trips'!$A$3:$I$42,8,FALSE))-(VLOOKUP($A40,'40Trips'!$A$3:$I$42,9,FALSE)),0)</f>
        <v>0</v>
      </c>
      <c r="AG40">
        <f>IF(AND(SUM(VLOOKUP($A40,'40Trips'!$A$3:$I$42,2,FALSE),VLOOKUP(AG$1,'40Trips'!$A$3:$I$42,2,FALSE))&lt;='40Trips'!$K$16,$A40&lt;&gt;AG$1,gamma!AG40=1),(VLOOKUP(AG$1,'40Trips'!$A$3:$I$42,8,FALSE))-(VLOOKUP($A40,'40Trips'!$A$3:$I$42,9,FALSE)),0)</f>
        <v>0</v>
      </c>
      <c r="AH40">
        <f>IF(AND(SUM(VLOOKUP($A40,'40Trips'!$A$3:$I$42,2,FALSE),VLOOKUP(AH$1,'40Trips'!$A$3:$I$42,2,FALSE))&lt;='40Trips'!$K$16,$A40&lt;&gt;AH$1,gamma!AH40=1),(VLOOKUP(AH$1,'40Trips'!$A$3:$I$42,8,FALSE))-(VLOOKUP($A40,'40Trips'!$A$3:$I$42,9,FALSE)),0)</f>
        <v>0</v>
      </c>
      <c r="AI40">
        <f>IF(AND(SUM(VLOOKUP($A40,'40Trips'!$A$3:$I$42,2,FALSE),VLOOKUP(AI$1,'40Trips'!$A$3:$I$42,2,FALSE))&lt;='40Trips'!$K$16,$A40&lt;&gt;AI$1,gamma!AI40=1),(VLOOKUP(AI$1,'40Trips'!$A$3:$I$42,8,FALSE))-(VLOOKUP($A40,'40Trips'!$A$3:$I$42,9,FALSE)),0)</f>
        <v>0</v>
      </c>
      <c r="AJ40">
        <f>IF(AND(SUM(VLOOKUP($A40,'40Trips'!$A$3:$I$42,2,FALSE),VLOOKUP(AJ$1,'40Trips'!$A$3:$I$42,2,FALSE))&lt;='40Trips'!$K$16,$A40&lt;&gt;AJ$1,gamma!AJ40=1),(VLOOKUP(AJ$1,'40Trips'!$A$3:$I$42,8,FALSE))-(VLOOKUP($A40,'40Trips'!$A$3:$I$42,9,FALSE)),0)</f>
        <v>0</v>
      </c>
      <c r="AK40">
        <f>IF(AND(SUM(VLOOKUP($A40,'40Trips'!$A$3:$I$42,2,FALSE),VLOOKUP(AK$1,'40Trips'!$A$3:$I$42,2,FALSE))&lt;='40Trips'!$K$16,$A40&lt;&gt;AK$1,gamma!AK40=1),(VLOOKUP(AK$1,'40Trips'!$A$3:$I$42,8,FALSE))-(VLOOKUP($A40,'40Trips'!$A$3:$I$42,9,FALSE)),0)</f>
        <v>0</v>
      </c>
      <c r="AL40">
        <f>IF(AND(SUM(VLOOKUP($A40,'40Trips'!$A$3:$I$42,2,FALSE),VLOOKUP(AL$1,'40Trips'!$A$3:$I$42,2,FALSE))&lt;='40Trips'!$K$16,$A40&lt;&gt;AL$1,gamma!AL40=1),(VLOOKUP(AL$1,'40Trips'!$A$3:$I$42,8,FALSE))-(VLOOKUP($A40,'40Trips'!$A$3:$I$42,9,FALSE)),0)</f>
        <v>115</v>
      </c>
      <c r="AM40">
        <f>IF(AND(SUM(VLOOKUP($A40,'40Trips'!$A$3:$I$42,2,FALSE),VLOOKUP(AM$1,'40Trips'!$A$3:$I$42,2,FALSE))&lt;='40Trips'!$K$16,$A40&lt;&gt;AM$1,gamma!AM40=1),(VLOOKUP(AM$1,'40Trips'!$A$3:$I$42,8,FALSE))-(VLOOKUP($A40,'40Trips'!$A$3:$I$42,9,FALSE)),0)</f>
        <v>0</v>
      </c>
      <c r="AN40">
        <f>IF(AND(SUM(VLOOKUP($A40,'40Trips'!$A$3:$I$42,2,FALSE),VLOOKUP(AN$1,'40Trips'!$A$3:$I$42,2,FALSE))&lt;='40Trips'!$K$16,$A40&lt;&gt;AN$1,gamma!AN40=1),(VLOOKUP(AN$1,'40Trips'!$A$3:$I$42,8,FALSE))-(VLOOKUP($A40,'40Trips'!$A$3:$I$42,9,FALSE)),0)</f>
        <v>0</v>
      </c>
      <c r="AO40">
        <f>IF(AND(SUM(VLOOKUP($A40,'40Trips'!$A$3:$I$42,2,FALSE),VLOOKUP(AO$1,'40Trips'!$A$3:$I$42,2,FALSE))&lt;='40Trips'!$K$16,$A40&lt;&gt;AO$1,gamma!AO40=1),(VLOOKUP(AO$1,'40Trips'!$A$3:$I$42,8,FALSE))-(VLOOKUP($A40,'40Trips'!$A$3:$I$42,9,FALSE)),0)</f>
        <v>0</v>
      </c>
      <c r="AP40">
        <f>IF(AND(SUM(VLOOKUP($A40,'40Trips'!$A$3:$I$42,2,FALSE),VLOOKUP(AP$1,'40Trips'!$A$3:$I$42,2,FALSE))&lt;='40Trips'!$K$16,$A40&lt;&gt;AP$1,gamma!AP40=1),(VLOOKUP(AP$1,'40Trips'!$A$3:$I$42,8,FALSE))-(VLOOKUP($A40,'40Trips'!$A$3:$I$42,9,FALSE)),0)</f>
        <v>80</v>
      </c>
    </row>
    <row r="41" spans="1:42" x14ac:dyDescent="0.25">
      <c r="A41" t="s">
        <v>90</v>
      </c>
      <c r="B41">
        <v>0</v>
      </c>
      <c r="C41">
        <f>IF(AND(SUM(VLOOKUP($A41,'40Trips'!$A$3:$I$42,2,FALSE),VLOOKUP(C$1,'40Trips'!$A$3:$I$42,2,FALSE))&lt;='40Trips'!$K$16,$A41&lt;&gt;C$1,gamma!C41=1),(VLOOKUP(C$1,'40Trips'!$A$3:$I$42,8,FALSE))-(VLOOKUP($A41,'40Trips'!$A$3:$I$42,9,FALSE)),0)</f>
        <v>0</v>
      </c>
      <c r="D41">
        <f>IF(AND(SUM(VLOOKUP($A41,'40Trips'!$A$3:$I$42,2,FALSE),VLOOKUP(D$1,'40Trips'!$A$3:$I$42,2,FALSE))&lt;='40Trips'!$K$16,$A41&lt;&gt;D$1,gamma!D41=1),(VLOOKUP(D$1,'40Trips'!$A$3:$I$42,8,FALSE))-(VLOOKUP($A41,'40Trips'!$A$3:$I$42,9,FALSE)),0)</f>
        <v>0</v>
      </c>
      <c r="E41">
        <f>IF(AND(SUM(VLOOKUP($A41,'40Trips'!$A$3:$I$42,2,FALSE),VLOOKUP(E$1,'40Trips'!$A$3:$I$42,2,FALSE))&lt;='40Trips'!$K$16,$A41&lt;&gt;E$1,gamma!E41=1),(VLOOKUP(E$1,'40Trips'!$A$3:$I$42,8,FALSE))-(VLOOKUP($A41,'40Trips'!$A$3:$I$42,9,FALSE)),0)</f>
        <v>0</v>
      </c>
      <c r="F41">
        <f>IF(AND(SUM(VLOOKUP($A41,'40Trips'!$A$3:$I$42,2,FALSE),VLOOKUP(F$1,'40Trips'!$A$3:$I$42,2,FALSE))&lt;='40Trips'!$K$16,$A41&lt;&gt;F$1,gamma!F41=1),(VLOOKUP(F$1,'40Trips'!$A$3:$I$42,8,FALSE))-(VLOOKUP($A41,'40Trips'!$A$3:$I$42,9,FALSE)),0)</f>
        <v>20</v>
      </c>
      <c r="G41">
        <f>IF(AND(SUM(VLOOKUP($A41,'40Trips'!$A$3:$I$42,2,FALSE),VLOOKUP(G$1,'40Trips'!$A$3:$I$42,2,FALSE))&lt;='40Trips'!$K$16,$A41&lt;&gt;G$1,gamma!G41=1),(VLOOKUP(G$1,'40Trips'!$A$3:$I$42,8,FALSE))-(VLOOKUP($A41,'40Trips'!$A$3:$I$42,9,FALSE)),0)</f>
        <v>0</v>
      </c>
      <c r="H41">
        <f>IF(AND(SUM(VLOOKUP($A41,'40Trips'!$A$3:$I$42,2,FALSE),VLOOKUP(H$1,'40Trips'!$A$3:$I$42,2,FALSE))&lt;='40Trips'!$K$16,$A41&lt;&gt;H$1,gamma!H41=1),(VLOOKUP(H$1,'40Trips'!$A$3:$I$42,8,FALSE))-(VLOOKUP($A41,'40Trips'!$A$3:$I$42,9,FALSE)),0)</f>
        <v>0</v>
      </c>
      <c r="I41">
        <f>IF(AND(SUM(VLOOKUP($A41,'40Trips'!$A$3:$I$42,2,FALSE),VLOOKUP(I$1,'40Trips'!$A$3:$I$42,2,FALSE))&lt;='40Trips'!$K$16,$A41&lt;&gt;I$1,gamma!I41=1),(VLOOKUP(I$1,'40Trips'!$A$3:$I$42,8,FALSE))-(VLOOKUP($A41,'40Trips'!$A$3:$I$42,9,FALSE)),0)</f>
        <v>0</v>
      </c>
      <c r="J41">
        <f>IF(AND(SUM(VLOOKUP($A41,'40Trips'!$A$3:$I$42,2,FALSE),VLOOKUP(J$1,'40Trips'!$A$3:$I$42,2,FALSE))&lt;='40Trips'!$K$16,$A41&lt;&gt;J$1,gamma!J41=1),(VLOOKUP(J$1,'40Trips'!$A$3:$I$42,8,FALSE))-(VLOOKUP($A41,'40Trips'!$A$3:$I$42,9,FALSE)),0)</f>
        <v>255</v>
      </c>
      <c r="K41">
        <f>IF(AND(SUM(VLOOKUP($A41,'40Trips'!$A$3:$I$42,2,FALSE),VLOOKUP(K$1,'40Trips'!$A$3:$I$42,2,FALSE))&lt;='40Trips'!$K$16,$A41&lt;&gt;K$1,gamma!K41=1),(VLOOKUP(K$1,'40Trips'!$A$3:$I$42,8,FALSE))-(VLOOKUP($A41,'40Trips'!$A$3:$I$42,9,FALSE)),0)</f>
        <v>0</v>
      </c>
      <c r="L41">
        <f>IF(AND(SUM(VLOOKUP($A41,'40Trips'!$A$3:$I$42,2,FALSE),VLOOKUP(L$1,'40Trips'!$A$3:$I$42,2,FALSE))&lt;='40Trips'!$K$16,$A41&lt;&gt;L$1,gamma!L41=1),(VLOOKUP(L$1,'40Trips'!$A$3:$I$42,8,FALSE))-(VLOOKUP($A41,'40Trips'!$A$3:$I$42,9,FALSE)),0)</f>
        <v>0</v>
      </c>
      <c r="M41">
        <f>IF(AND(SUM(VLOOKUP($A41,'40Trips'!$A$3:$I$42,2,FALSE),VLOOKUP(M$1,'40Trips'!$A$3:$I$42,2,FALSE))&lt;='40Trips'!$K$16,$A41&lt;&gt;M$1,gamma!M41=1),(VLOOKUP(M$1,'40Trips'!$A$3:$I$42,8,FALSE))-(VLOOKUP($A41,'40Trips'!$A$3:$I$42,9,FALSE)),0)</f>
        <v>0</v>
      </c>
      <c r="N41">
        <f>IF(AND(SUM(VLOOKUP($A41,'40Trips'!$A$3:$I$42,2,FALSE),VLOOKUP(N$1,'40Trips'!$A$3:$I$42,2,FALSE))&lt;='40Trips'!$K$16,$A41&lt;&gt;N$1,gamma!N41=1),(VLOOKUP(N$1,'40Trips'!$A$3:$I$42,8,FALSE))-(VLOOKUP($A41,'40Trips'!$A$3:$I$42,9,FALSE)),0)</f>
        <v>0</v>
      </c>
      <c r="O41">
        <f>IF(AND(SUM(VLOOKUP($A41,'40Trips'!$A$3:$I$42,2,FALSE),VLOOKUP(O$1,'40Trips'!$A$3:$I$42,2,FALSE))&lt;='40Trips'!$K$16,$A41&lt;&gt;O$1,gamma!O41=1),(VLOOKUP(O$1,'40Trips'!$A$3:$I$42,8,FALSE))-(VLOOKUP($A41,'40Trips'!$A$3:$I$42,9,FALSE)),0)</f>
        <v>0</v>
      </c>
      <c r="P41">
        <f>IF(AND(SUM(VLOOKUP($A41,'40Trips'!$A$3:$I$42,2,FALSE),VLOOKUP(P$1,'40Trips'!$A$3:$I$42,2,FALSE))&lt;='40Trips'!$K$16,$A41&lt;&gt;P$1,gamma!P41=1),(VLOOKUP(P$1,'40Trips'!$A$3:$I$42,8,FALSE))-(VLOOKUP($A41,'40Trips'!$A$3:$I$42,9,FALSE)),0)</f>
        <v>0</v>
      </c>
      <c r="Q41">
        <f>IF(AND(SUM(VLOOKUP($A41,'40Trips'!$A$3:$I$42,2,FALSE),VLOOKUP(Q$1,'40Trips'!$A$3:$I$42,2,FALSE))&lt;='40Trips'!$K$16,$A41&lt;&gt;Q$1,gamma!Q41=1),(VLOOKUP(Q$1,'40Trips'!$A$3:$I$42,8,FALSE))-(VLOOKUP($A41,'40Trips'!$A$3:$I$42,9,FALSE)),0)</f>
        <v>0</v>
      </c>
      <c r="R41">
        <f>IF(AND(SUM(VLOOKUP($A41,'40Trips'!$A$3:$I$42,2,FALSE),VLOOKUP(R$1,'40Trips'!$A$3:$I$42,2,FALSE))&lt;='40Trips'!$K$16,$A41&lt;&gt;R$1,gamma!R41=1),(VLOOKUP(R$1,'40Trips'!$A$3:$I$42,8,FALSE))-(VLOOKUP($A41,'40Trips'!$A$3:$I$42,9,FALSE)),0)</f>
        <v>0</v>
      </c>
      <c r="S41">
        <f>IF(AND(SUM(VLOOKUP($A41,'40Trips'!$A$3:$I$42,2,FALSE),VLOOKUP(S$1,'40Trips'!$A$3:$I$42,2,FALSE))&lt;='40Trips'!$K$16,$A41&lt;&gt;S$1,gamma!S41=1),(VLOOKUP(S$1,'40Trips'!$A$3:$I$42,8,FALSE))-(VLOOKUP($A41,'40Trips'!$A$3:$I$42,9,FALSE)),0)</f>
        <v>0</v>
      </c>
      <c r="T41">
        <f>IF(AND(SUM(VLOOKUP($A41,'40Trips'!$A$3:$I$42,2,FALSE),VLOOKUP(T$1,'40Trips'!$A$3:$I$42,2,FALSE))&lt;='40Trips'!$K$16,$A41&lt;&gt;T$1,gamma!T41=1),(VLOOKUP(T$1,'40Trips'!$A$3:$I$42,8,FALSE))-(VLOOKUP($A41,'40Trips'!$A$3:$I$42,9,FALSE)),0)</f>
        <v>0</v>
      </c>
      <c r="U41">
        <f>IF(AND(SUM(VLOOKUP($A41,'40Trips'!$A$3:$I$42,2,FALSE),VLOOKUP(U$1,'40Trips'!$A$3:$I$42,2,FALSE))&lt;='40Trips'!$K$16,$A41&lt;&gt;U$1,gamma!U41=1),(VLOOKUP(U$1,'40Trips'!$A$3:$I$42,8,FALSE))-(VLOOKUP($A41,'40Trips'!$A$3:$I$42,9,FALSE)),0)</f>
        <v>0</v>
      </c>
      <c r="V41">
        <f>IF(AND(SUM(VLOOKUP($A41,'40Trips'!$A$3:$I$42,2,FALSE),VLOOKUP(V$1,'40Trips'!$A$3:$I$42,2,FALSE))&lt;='40Trips'!$K$16,$A41&lt;&gt;V$1,gamma!V41=1),(VLOOKUP(V$1,'40Trips'!$A$3:$I$42,8,FALSE))-(VLOOKUP($A41,'40Trips'!$A$3:$I$42,9,FALSE)),0)</f>
        <v>50</v>
      </c>
      <c r="W41">
        <f>IF(AND(SUM(VLOOKUP($A41,'40Trips'!$A$3:$I$42,2,FALSE),VLOOKUP(W$1,'40Trips'!$A$3:$I$42,2,FALSE))&lt;='40Trips'!$K$16,$A41&lt;&gt;W$1,gamma!W41=1),(VLOOKUP(W$1,'40Trips'!$A$3:$I$42,8,FALSE))-(VLOOKUP($A41,'40Trips'!$A$3:$I$42,9,FALSE)),0)</f>
        <v>0</v>
      </c>
      <c r="X41">
        <f>IF(AND(SUM(VLOOKUP($A41,'40Trips'!$A$3:$I$42,2,FALSE),VLOOKUP(X$1,'40Trips'!$A$3:$I$42,2,FALSE))&lt;='40Trips'!$K$16,$A41&lt;&gt;X$1,gamma!X41=1),(VLOOKUP(X$1,'40Trips'!$A$3:$I$42,8,FALSE))-(VLOOKUP($A41,'40Trips'!$A$3:$I$42,9,FALSE)),0)</f>
        <v>0</v>
      </c>
      <c r="Y41">
        <f>IF(AND(SUM(VLOOKUP($A41,'40Trips'!$A$3:$I$42,2,FALSE),VLOOKUP(Y$1,'40Trips'!$A$3:$I$42,2,FALSE))&lt;='40Trips'!$K$16,$A41&lt;&gt;Y$1,gamma!Y41=1),(VLOOKUP(Y$1,'40Trips'!$A$3:$I$42,8,FALSE))-(VLOOKUP($A41,'40Trips'!$A$3:$I$42,9,FALSE)),0)</f>
        <v>0</v>
      </c>
      <c r="Z41">
        <f>IF(AND(SUM(VLOOKUP($A41,'40Trips'!$A$3:$I$42,2,FALSE),VLOOKUP(Z$1,'40Trips'!$A$3:$I$42,2,FALSE))&lt;='40Trips'!$K$16,$A41&lt;&gt;Z$1,gamma!Z41=1),(VLOOKUP(Z$1,'40Trips'!$A$3:$I$42,8,FALSE))-(VLOOKUP($A41,'40Trips'!$A$3:$I$42,9,FALSE)),0)</f>
        <v>20</v>
      </c>
      <c r="AA41">
        <f>IF(AND(SUM(VLOOKUP($A41,'40Trips'!$A$3:$I$42,2,FALSE),VLOOKUP(AA$1,'40Trips'!$A$3:$I$42,2,FALSE))&lt;='40Trips'!$K$16,$A41&lt;&gt;AA$1,gamma!AA41=1),(VLOOKUP(AA$1,'40Trips'!$A$3:$I$42,8,FALSE))-(VLOOKUP($A41,'40Trips'!$A$3:$I$42,9,FALSE)),0)</f>
        <v>0</v>
      </c>
      <c r="AB41">
        <f>IF(AND(SUM(VLOOKUP($A41,'40Trips'!$A$3:$I$42,2,FALSE),VLOOKUP(AB$1,'40Trips'!$A$3:$I$42,2,FALSE))&lt;='40Trips'!$K$16,$A41&lt;&gt;AB$1,gamma!AB41=1),(VLOOKUP(AB$1,'40Trips'!$A$3:$I$42,8,FALSE))-(VLOOKUP($A41,'40Trips'!$A$3:$I$42,9,FALSE)),0)</f>
        <v>0</v>
      </c>
      <c r="AC41">
        <f>IF(AND(SUM(VLOOKUP($A41,'40Trips'!$A$3:$I$42,2,FALSE),VLOOKUP(AC$1,'40Trips'!$A$3:$I$42,2,FALSE))&lt;='40Trips'!$K$16,$A41&lt;&gt;AC$1,gamma!AC41=1),(VLOOKUP(AC$1,'40Trips'!$A$3:$I$42,8,FALSE))-(VLOOKUP($A41,'40Trips'!$A$3:$I$42,9,FALSE)),0)</f>
        <v>0</v>
      </c>
      <c r="AD41">
        <f>IF(AND(SUM(VLOOKUP($A41,'40Trips'!$A$3:$I$42,2,FALSE),VLOOKUP(AD$1,'40Trips'!$A$3:$I$42,2,FALSE))&lt;='40Trips'!$K$16,$A41&lt;&gt;AD$1,gamma!AD41=1),(VLOOKUP(AD$1,'40Trips'!$A$3:$I$42,8,FALSE))-(VLOOKUP($A41,'40Trips'!$A$3:$I$42,9,FALSE)),0)</f>
        <v>50</v>
      </c>
      <c r="AE41">
        <f>IF(AND(SUM(VLOOKUP($A41,'40Trips'!$A$3:$I$42,2,FALSE),VLOOKUP(AE$1,'40Trips'!$A$3:$I$42,2,FALSE))&lt;='40Trips'!$K$16,$A41&lt;&gt;AE$1,gamma!AE41=1),(VLOOKUP(AE$1,'40Trips'!$A$3:$I$42,8,FALSE))-(VLOOKUP($A41,'40Trips'!$A$3:$I$42,9,FALSE)),0)</f>
        <v>0</v>
      </c>
      <c r="AF41">
        <f>IF(AND(SUM(VLOOKUP($A41,'40Trips'!$A$3:$I$42,2,FALSE),VLOOKUP(AF$1,'40Trips'!$A$3:$I$42,2,FALSE))&lt;='40Trips'!$K$16,$A41&lt;&gt;AF$1,gamma!AF41=1),(VLOOKUP(AF$1,'40Trips'!$A$3:$I$42,8,FALSE))-(VLOOKUP($A41,'40Trips'!$A$3:$I$42,9,FALSE)),0)</f>
        <v>0</v>
      </c>
      <c r="AG41">
        <f>IF(AND(SUM(VLOOKUP($A41,'40Trips'!$A$3:$I$42,2,FALSE),VLOOKUP(AG$1,'40Trips'!$A$3:$I$42,2,FALSE))&lt;='40Trips'!$K$16,$A41&lt;&gt;AG$1,gamma!AG41=1),(VLOOKUP(AG$1,'40Trips'!$A$3:$I$42,8,FALSE))-(VLOOKUP($A41,'40Trips'!$A$3:$I$42,9,FALSE)),0)</f>
        <v>0</v>
      </c>
      <c r="AH41">
        <f>IF(AND(SUM(VLOOKUP($A41,'40Trips'!$A$3:$I$42,2,FALSE),VLOOKUP(AH$1,'40Trips'!$A$3:$I$42,2,FALSE))&lt;='40Trips'!$K$16,$A41&lt;&gt;AH$1,gamma!AH41=1),(VLOOKUP(AH$1,'40Trips'!$A$3:$I$42,8,FALSE))-(VLOOKUP($A41,'40Trips'!$A$3:$I$42,9,FALSE)),0)</f>
        <v>0</v>
      </c>
      <c r="AI41">
        <f>IF(AND(SUM(VLOOKUP($A41,'40Trips'!$A$3:$I$42,2,FALSE),VLOOKUP(AI$1,'40Trips'!$A$3:$I$42,2,FALSE))&lt;='40Trips'!$K$16,$A41&lt;&gt;AI$1,gamma!AI41=1),(VLOOKUP(AI$1,'40Trips'!$A$3:$I$42,8,FALSE))-(VLOOKUP($A41,'40Trips'!$A$3:$I$42,9,FALSE)),0)</f>
        <v>0</v>
      </c>
      <c r="AJ41">
        <f>IF(AND(SUM(VLOOKUP($A41,'40Trips'!$A$3:$I$42,2,FALSE),VLOOKUP(AJ$1,'40Trips'!$A$3:$I$42,2,FALSE))&lt;='40Trips'!$K$16,$A41&lt;&gt;AJ$1,gamma!AJ41=1),(VLOOKUP(AJ$1,'40Trips'!$A$3:$I$42,8,FALSE))-(VLOOKUP($A41,'40Trips'!$A$3:$I$42,9,FALSE)),0)</f>
        <v>0</v>
      </c>
      <c r="AK41">
        <f>IF(AND(SUM(VLOOKUP($A41,'40Trips'!$A$3:$I$42,2,FALSE),VLOOKUP(AK$1,'40Trips'!$A$3:$I$42,2,FALSE))&lt;='40Trips'!$K$16,$A41&lt;&gt;AK$1,gamma!AK41=1),(VLOOKUP(AK$1,'40Trips'!$A$3:$I$42,8,FALSE))-(VLOOKUP($A41,'40Trips'!$A$3:$I$42,9,FALSE)),0)</f>
        <v>0</v>
      </c>
      <c r="AL41">
        <f>IF(AND(SUM(VLOOKUP($A41,'40Trips'!$A$3:$I$42,2,FALSE),VLOOKUP(AL$1,'40Trips'!$A$3:$I$42,2,FALSE))&lt;='40Trips'!$K$16,$A41&lt;&gt;AL$1,gamma!AL41=1),(VLOOKUP(AL$1,'40Trips'!$A$3:$I$42,8,FALSE))-(VLOOKUP($A41,'40Trips'!$A$3:$I$42,9,FALSE)),0)</f>
        <v>100</v>
      </c>
      <c r="AM41">
        <f>IF(AND(SUM(VLOOKUP($A41,'40Trips'!$A$3:$I$42,2,FALSE),VLOOKUP(AM$1,'40Trips'!$A$3:$I$42,2,FALSE))&lt;='40Trips'!$K$16,$A41&lt;&gt;AM$1,gamma!AM41=1),(VLOOKUP(AM$1,'40Trips'!$A$3:$I$42,8,FALSE))-(VLOOKUP($A41,'40Trips'!$A$3:$I$42,9,FALSE)),0)</f>
        <v>0</v>
      </c>
      <c r="AN41">
        <f>IF(AND(SUM(VLOOKUP($A41,'40Trips'!$A$3:$I$42,2,FALSE),VLOOKUP(AN$1,'40Trips'!$A$3:$I$42,2,FALSE))&lt;='40Trips'!$K$16,$A41&lt;&gt;AN$1,gamma!AN41=1),(VLOOKUP(AN$1,'40Trips'!$A$3:$I$42,8,FALSE))-(VLOOKUP($A41,'40Trips'!$A$3:$I$42,9,FALSE)),0)</f>
        <v>0</v>
      </c>
      <c r="AO41">
        <f>IF(AND(SUM(VLOOKUP($A41,'40Trips'!$A$3:$I$42,2,FALSE),VLOOKUP(AO$1,'40Trips'!$A$3:$I$42,2,FALSE))&lt;='40Trips'!$K$16,$A41&lt;&gt;AO$1,gamma!AO41=1),(VLOOKUP(AO$1,'40Trips'!$A$3:$I$42,8,FALSE))-(VLOOKUP($A41,'40Trips'!$A$3:$I$42,9,FALSE)),0)</f>
        <v>0</v>
      </c>
      <c r="AP41">
        <f>IF(AND(SUM(VLOOKUP($A41,'40Trips'!$A$3:$I$42,2,FALSE),VLOOKUP(AP$1,'40Trips'!$A$3:$I$42,2,FALSE))&lt;='40Trips'!$K$16,$A41&lt;&gt;AP$1,gamma!AP41=1),(VLOOKUP(AP$1,'40Trips'!$A$3:$I$42,8,FALSE))-(VLOOKUP($A41,'40Trips'!$A$3:$I$42,9,FALSE)),0)</f>
        <v>65</v>
      </c>
    </row>
    <row r="42" spans="1:42" x14ac:dyDescent="0.25">
      <c r="A42" t="s">
        <v>91</v>
      </c>
      <c r="B42">
        <v>0</v>
      </c>
      <c r="C42">
        <f>IF(AND(SUM(VLOOKUP($A42,'40Trips'!$A$3:$I$42,2,FALSE),VLOOKUP(C$1,'40Trips'!$A$3:$I$42,2,FALSE))&lt;='40Trips'!$K$16,$A42&lt;&gt;C$1,gamma!C42=1),(VLOOKUP(C$1,'40Trips'!$A$3:$I$42,8,FALSE))-(VLOOKUP($A42,'40Trips'!$A$3:$I$42,9,FALSE)),0)</f>
        <v>0</v>
      </c>
      <c r="D42">
        <f>IF(AND(SUM(VLOOKUP($A42,'40Trips'!$A$3:$I$42,2,FALSE),VLOOKUP(D$1,'40Trips'!$A$3:$I$42,2,FALSE))&lt;='40Trips'!$K$16,$A42&lt;&gt;D$1,gamma!D42=1),(VLOOKUP(D$1,'40Trips'!$A$3:$I$42,8,FALSE))-(VLOOKUP($A42,'40Trips'!$A$3:$I$42,9,FALSE)),0)</f>
        <v>0</v>
      </c>
      <c r="E42">
        <f>IF(AND(SUM(VLOOKUP($A42,'40Trips'!$A$3:$I$42,2,FALSE),VLOOKUP(E$1,'40Trips'!$A$3:$I$42,2,FALSE))&lt;='40Trips'!$K$16,$A42&lt;&gt;E$1,gamma!E42=1),(VLOOKUP(E$1,'40Trips'!$A$3:$I$42,8,FALSE))-(VLOOKUP($A42,'40Trips'!$A$3:$I$42,9,FALSE)),0)</f>
        <v>0</v>
      </c>
      <c r="F42">
        <f>IF(AND(SUM(VLOOKUP($A42,'40Trips'!$A$3:$I$42,2,FALSE),VLOOKUP(F$1,'40Trips'!$A$3:$I$42,2,FALSE))&lt;='40Trips'!$K$16,$A42&lt;&gt;F$1,gamma!F42=1),(VLOOKUP(F$1,'40Trips'!$A$3:$I$42,8,FALSE))-(VLOOKUP($A42,'40Trips'!$A$3:$I$42,9,FALSE)),0)</f>
        <v>0</v>
      </c>
      <c r="G42">
        <f>IF(AND(SUM(VLOOKUP($A42,'40Trips'!$A$3:$I$42,2,FALSE),VLOOKUP(G$1,'40Trips'!$A$3:$I$42,2,FALSE))&lt;='40Trips'!$K$16,$A42&lt;&gt;G$1,gamma!G42=1),(VLOOKUP(G$1,'40Trips'!$A$3:$I$42,8,FALSE))-(VLOOKUP($A42,'40Trips'!$A$3:$I$42,9,FALSE)),0)</f>
        <v>0</v>
      </c>
      <c r="H42">
        <f>IF(AND(SUM(VLOOKUP($A42,'40Trips'!$A$3:$I$42,2,FALSE),VLOOKUP(H$1,'40Trips'!$A$3:$I$42,2,FALSE))&lt;='40Trips'!$K$16,$A42&lt;&gt;H$1,gamma!H42=1),(VLOOKUP(H$1,'40Trips'!$A$3:$I$42,8,FALSE))-(VLOOKUP($A42,'40Trips'!$A$3:$I$42,9,FALSE)),0)</f>
        <v>0</v>
      </c>
      <c r="I42">
        <f>IF(AND(SUM(VLOOKUP($A42,'40Trips'!$A$3:$I$42,2,FALSE),VLOOKUP(I$1,'40Trips'!$A$3:$I$42,2,FALSE))&lt;='40Trips'!$K$16,$A42&lt;&gt;I$1,gamma!I42=1),(VLOOKUP(I$1,'40Trips'!$A$3:$I$42,8,FALSE))-(VLOOKUP($A42,'40Trips'!$A$3:$I$42,9,FALSE)),0)</f>
        <v>0</v>
      </c>
      <c r="J42">
        <f>IF(AND(SUM(VLOOKUP($A42,'40Trips'!$A$3:$I$42,2,FALSE),VLOOKUP(J$1,'40Trips'!$A$3:$I$42,2,FALSE))&lt;='40Trips'!$K$16,$A42&lt;&gt;J$1,gamma!J42=1),(VLOOKUP(J$1,'40Trips'!$A$3:$I$42,8,FALSE))-(VLOOKUP($A42,'40Trips'!$A$3:$I$42,9,FALSE)),0)</f>
        <v>55</v>
      </c>
      <c r="K42">
        <f>IF(AND(SUM(VLOOKUP($A42,'40Trips'!$A$3:$I$42,2,FALSE),VLOOKUP(K$1,'40Trips'!$A$3:$I$42,2,FALSE))&lt;='40Trips'!$K$16,$A42&lt;&gt;K$1,gamma!K42=1),(VLOOKUP(K$1,'40Trips'!$A$3:$I$42,8,FALSE))-(VLOOKUP($A42,'40Trips'!$A$3:$I$42,9,FALSE)),0)</f>
        <v>0</v>
      </c>
      <c r="L42">
        <f>IF(AND(SUM(VLOOKUP($A42,'40Trips'!$A$3:$I$42,2,FALSE),VLOOKUP(L$1,'40Trips'!$A$3:$I$42,2,FALSE))&lt;='40Trips'!$K$16,$A42&lt;&gt;L$1,gamma!L42=1),(VLOOKUP(L$1,'40Trips'!$A$3:$I$42,8,FALSE))-(VLOOKUP($A42,'40Trips'!$A$3:$I$42,9,FALSE)),0)</f>
        <v>0</v>
      </c>
      <c r="M42">
        <f>IF(AND(SUM(VLOOKUP($A42,'40Trips'!$A$3:$I$42,2,FALSE),VLOOKUP(M$1,'40Trips'!$A$3:$I$42,2,FALSE))&lt;='40Trips'!$K$16,$A42&lt;&gt;M$1,gamma!M42=1),(VLOOKUP(M$1,'40Trips'!$A$3:$I$42,8,FALSE))-(VLOOKUP($A42,'40Trips'!$A$3:$I$42,9,FALSE)),0)</f>
        <v>0</v>
      </c>
      <c r="N42">
        <f>IF(AND(SUM(VLOOKUP($A42,'40Trips'!$A$3:$I$42,2,FALSE),VLOOKUP(N$1,'40Trips'!$A$3:$I$42,2,FALSE))&lt;='40Trips'!$K$16,$A42&lt;&gt;N$1,gamma!N42=1),(VLOOKUP(N$1,'40Trips'!$A$3:$I$42,8,FALSE))-(VLOOKUP($A42,'40Trips'!$A$3:$I$42,9,FALSE)),0)</f>
        <v>0</v>
      </c>
      <c r="O42">
        <f>IF(AND(SUM(VLOOKUP($A42,'40Trips'!$A$3:$I$42,2,FALSE),VLOOKUP(O$1,'40Trips'!$A$3:$I$42,2,FALSE))&lt;='40Trips'!$K$16,$A42&lt;&gt;O$1,gamma!O42=1),(VLOOKUP(O$1,'40Trips'!$A$3:$I$42,8,FALSE))-(VLOOKUP($A42,'40Trips'!$A$3:$I$42,9,FALSE)),0)</f>
        <v>0</v>
      </c>
      <c r="P42">
        <f>IF(AND(SUM(VLOOKUP($A42,'40Trips'!$A$3:$I$42,2,FALSE),VLOOKUP(P$1,'40Trips'!$A$3:$I$42,2,FALSE))&lt;='40Trips'!$K$16,$A42&lt;&gt;P$1,gamma!P42=1),(VLOOKUP(P$1,'40Trips'!$A$3:$I$42,8,FALSE))-(VLOOKUP($A42,'40Trips'!$A$3:$I$42,9,FALSE)),0)</f>
        <v>0</v>
      </c>
      <c r="Q42">
        <f>IF(AND(SUM(VLOOKUP($A42,'40Trips'!$A$3:$I$42,2,FALSE),VLOOKUP(Q$1,'40Trips'!$A$3:$I$42,2,FALSE))&lt;='40Trips'!$K$16,$A42&lt;&gt;Q$1,gamma!Q42=1),(VLOOKUP(Q$1,'40Trips'!$A$3:$I$42,8,FALSE))-(VLOOKUP($A42,'40Trips'!$A$3:$I$42,9,FALSE)),0)</f>
        <v>0</v>
      </c>
      <c r="R42">
        <f>IF(AND(SUM(VLOOKUP($A42,'40Trips'!$A$3:$I$42,2,FALSE),VLOOKUP(R$1,'40Trips'!$A$3:$I$42,2,FALSE))&lt;='40Trips'!$K$16,$A42&lt;&gt;R$1,gamma!R42=1),(VLOOKUP(R$1,'40Trips'!$A$3:$I$42,8,FALSE))-(VLOOKUP($A42,'40Trips'!$A$3:$I$42,9,FALSE)),0)</f>
        <v>0</v>
      </c>
      <c r="S42">
        <f>IF(AND(SUM(VLOOKUP($A42,'40Trips'!$A$3:$I$42,2,FALSE),VLOOKUP(S$1,'40Trips'!$A$3:$I$42,2,FALSE))&lt;='40Trips'!$K$16,$A42&lt;&gt;S$1,gamma!S42=1),(VLOOKUP(S$1,'40Trips'!$A$3:$I$42,8,FALSE))-(VLOOKUP($A42,'40Trips'!$A$3:$I$42,9,FALSE)),0)</f>
        <v>0</v>
      </c>
      <c r="T42">
        <f>IF(AND(SUM(VLOOKUP($A42,'40Trips'!$A$3:$I$42,2,FALSE),VLOOKUP(T$1,'40Trips'!$A$3:$I$42,2,FALSE))&lt;='40Trips'!$K$16,$A42&lt;&gt;T$1,gamma!T42=1),(VLOOKUP(T$1,'40Trips'!$A$3:$I$42,8,FALSE))-(VLOOKUP($A42,'40Trips'!$A$3:$I$42,9,FALSE)),0)</f>
        <v>0</v>
      </c>
      <c r="U42">
        <f>IF(AND(SUM(VLOOKUP($A42,'40Trips'!$A$3:$I$42,2,FALSE),VLOOKUP(U$1,'40Trips'!$A$3:$I$42,2,FALSE))&lt;='40Trips'!$K$16,$A42&lt;&gt;U$1,gamma!U42=1),(VLOOKUP(U$1,'40Trips'!$A$3:$I$42,8,FALSE))-(VLOOKUP($A42,'40Trips'!$A$3:$I$42,9,FALSE)),0)</f>
        <v>0</v>
      </c>
      <c r="V42">
        <f>IF(AND(SUM(VLOOKUP($A42,'40Trips'!$A$3:$I$42,2,FALSE),VLOOKUP(V$1,'40Trips'!$A$3:$I$42,2,FALSE))&lt;='40Trips'!$K$16,$A42&lt;&gt;V$1,gamma!V42=1),(VLOOKUP(V$1,'40Trips'!$A$3:$I$42,8,FALSE))-(VLOOKUP($A42,'40Trips'!$A$3:$I$42,9,FALSE)),0)</f>
        <v>0</v>
      </c>
      <c r="W42">
        <f>IF(AND(SUM(VLOOKUP($A42,'40Trips'!$A$3:$I$42,2,FALSE),VLOOKUP(W$1,'40Trips'!$A$3:$I$42,2,FALSE))&lt;='40Trips'!$K$16,$A42&lt;&gt;W$1,gamma!W42=1),(VLOOKUP(W$1,'40Trips'!$A$3:$I$42,8,FALSE))-(VLOOKUP($A42,'40Trips'!$A$3:$I$42,9,FALSE)),0)</f>
        <v>0</v>
      </c>
      <c r="X42">
        <f>IF(AND(SUM(VLOOKUP($A42,'40Trips'!$A$3:$I$42,2,FALSE),VLOOKUP(X$1,'40Trips'!$A$3:$I$42,2,FALSE))&lt;='40Trips'!$K$16,$A42&lt;&gt;X$1,gamma!X42=1),(VLOOKUP(X$1,'40Trips'!$A$3:$I$42,8,FALSE))-(VLOOKUP($A42,'40Trips'!$A$3:$I$42,9,FALSE)),0)</f>
        <v>0</v>
      </c>
      <c r="Y42">
        <f>IF(AND(SUM(VLOOKUP($A42,'40Trips'!$A$3:$I$42,2,FALSE),VLOOKUP(Y$1,'40Trips'!$A$3:$I$42,2,FALSE))&lt;='40Trips'!$K$16,$A42&lt;&gt;Y$1,gamma!Y42=1),(VLOOKUP(Y$1,'40Trips'!$A$3:$I$42,8,FALSE))-(VLOOKUP($A42,'40Trips'!$A$3:$I$42,9,FALSE)),0)</f>
        <v>0</v>
      </c>
      <c r="Z42">
        <f>IF(AND(SUM(VLOOKUP($A42,'40Trips'!$A$3:$I$42,2,FALSE),VLOOKUP(Z$1,'40Trips'!$A$3:$I$42,2,FALSE))&lt;='40Trips'!$K$16,$A42&lt;&gt;Z$1,gamma!Z42=1),(VLOOKUP(Z$1,'40Trips'!$A$3:$I$42,8,FALSE))-(VLOOKUP($A42,'40Trips'!$A$3:$I$42,9,FALSE)),0)</f>
        <v>0</v>
      </c>
      <c r="AA42">
        <f>IF(AND(SUM(VLOOKUP($A42,'40Trips'!$A$3:$I$42,2,FALSE),VLOOKUP(AA$1,'40Trips'!$A$3:$I$42,2,FALSE))&lt;='40Trips'!$K$16,$A42&lt;&gt;AA$1,gamma!AA42=1),(VLOOKUP(AA$1,'40Trips'!$A$3:$I$42,8,FALSE))-(VLOOKUP($A42,'40Trips'!$A$3:$I$42,9,FALSE)),0)</f>
        <v>0</v>
      </c>
      <c r="AB42">
        <f>IF(AND(SUM(VLOOKUP($A42,'40Trips'!$A$3:$I$42,2,FALSE),VLOOKUP(AB$1,'40Trips'!$A$3:$I$42,2,FALSE))&lt;='40Trips'!$K$16,$A42&lt;&gt;AB$1,gamma!AB42=1),(VLOOKUP(AB$1,'40Trips'!$A$3:$I$42,8,FALSE))-(VLOOKUP($A42,'40Trips'!$A$3:$I$42,9,FALSE)),0)</f>
        <v>0</v>
      </c>
      <c r="AC42">
        <f>IF(AND(SUM(VLOOKUP($A42,'40Trips'!$A$3:$I$42,2,FALSE),VLOOKUP(AC$1,'40Trips'!$A$3:$I$42,2,FALSE))&lt;='40Trips'!$K$16,$A42&lt;&gt;AC$1,gamma!AC42=1),(VLOOKUP(AC$1,'40Trips'!$A$3:$I$42,8,FALSE))-(VLOOKUP($A42,'40Trips'!$A$3:$I$42,9,FALSE)),0)</f>
        <v>0</v>
      </c>
      <c r="AD42">
        <f>IF(AND(SUM(VLOOKUP($A42,'40Trips'!$A$3:$I$42,2,FALSE),VLOOKUP(AD$1,'40Trips'!$A$3:$I$42,2,FALSE))&lt;='40Trips'!$K$16,$A42&lt;&gt;AD$1,gamma!AD42=1),(VLOOKUP(AD$1,'40Trips'!$A$3:$I$42,8,FALSE))-(VLOOKUP($A42,'40Trips'!$A$3:$I$42,9,FALSE)),0)</f>
        <v>0</v>
      </c>
      <c r="AE42">
        <f>IF(AND(SUM(VLOOKUP($A42,'40Trips'!$A$3:$I$42,2,FALSE),VLOOKUP(AE$1,'40Trips'!$A$3:$I$42,2,FALSE))&lt;='40Trips'!$K$16,$A42&lt;&gt;AE$1,gamma!AE42=1),(VLOOKUP(AE$1,'40Trips'!$A$3:$I$42,8,FALSE))-(VLOOKUP($A42,'40Trips'!$A$3:$I$42,9,FALSE)),0)</f>
        <v>0</v>
      </c>
      <c r="AF42">
        <f>IF(AND(SUM(VLOOKUP($A42,'40Trips'!$A$3:$I$42,2,FALSE),VLOOKUP(AF$1,'40Trips'!$A$3:$I$42,2,FALSE))&lt;='40Trips'!$K$16,$A42&lt;&gt;AF$1,gamma!AF42=1),(VLOOKUP(AF$1,'40Trips'!$A$3:$I$42,8,FALSE))-(VLOOKUP($A42,'40Trips'!$A$3:$I$42,9,FALSE)),0)</f>
        <v>0</v>
      </c>
      <c r="AG42">
        <f>IF(AND(SUM(VLOOKUP($A42,'40Trips'!$A$3:$I$42,2,FALSE),VLOOKUP(AG$1,'40Trips'!$A$3:$I$42,2,FALSE))&lt;='40Trips'!$K$16,$A42&lt;&gt;AG$1,gamma!AG42=1),(VLOOKUP(AG$1,'40Trips'!$A$3:$I$42,8,FALSE))-(VLOOKUP($A42,'40Trips'!$A$3:$I$42,9,FALSE)),0)</f>
        <v>0</v>
      </c>
      <c r="AH42">
        <f>IF(AND(SUM(VLOOKUP($A42,'40Trips'!$A$3:$I$42,2,FALSE),VLOOKUP(AH$1,'40Trips'!$A$3:$I$42,2,FALSE))&lt;='40Trips'!$K$16,$A42&lt;&gt;AH$1,gamma!AH42=1),(VLOOKUP(AH$1,'40Trips'!$A$3:$I$42,8,FALSE))-(VLOOKUP($A42,'40Trips'!$A$3:$I$42,9,FALSE)),0)</f>
        <v>0</v>
      </c>
      <c r="AI42">
        <f>IF(AND(SUM(VLOOKUP($A42,'40Trips'!$A$3:$I$42,2,FALSE),VLOOKUP(AI$1,'40Trips'!$A$3:$I$42,2,FALSE))&lt;='40Trips'!$K$16,$A42&lt;&gt;AI$1,gamma!AI42=1),(VLOOKUP(AI$1,'40Trips'!$A$3:$I$42,8,FALSE))-(VLOOKUP($A42,'40Trips'!$A$3:$I$42,9,FALSE)),0)</f>
        <v>0</v>
      </c>
      <c r="AJ42">
        <f>IF(AND(SUM(VLOOKUP($A42,'40Trips'!$A$3:$I$42,2,FALSE),VLOOKUP(AJ$1,'40Trips'!$A$3:$I$42,2,FALSE))&lt;='40Trips'!$K$16,$A42&lt;&gt;AJ$1,gamma!AJ42=1),(VLOOKUP(AJ$1,'40Trips'!$A$3:$I$42,8,FALSE))-(VLOOKUP($A42,'40Trips'!$A$3:$I$42,9,FALSE)),0)</f>
        <v>0</v>
      </c>
      <c r="AK42">
        <f>IF(AND(SUM(VLOOKUP($A42,'40Trips'!$A$3:$I$42,2,FALSE),VLOOKUP(AK$1,'40Trips'!$A$3:$I$42,2,FALSE))&lt;='40Trips'!$K$16,$A42&lt;&gt;AK$1,gamma!AK42=1),(VLOOKUP(AK$1,'40Trips'!$A$3:$I$42,8,FALSE))-(VLOOKUP($A42,'40Trips'!$A$3:$I$42,9,FALSE)),0)</f>
        <v>0</v>
      </c>
      <c r="AL42">
        <f>IF(AND(SUM(VLOOKUP($A42,'40Trips'!$A$3:$I$42,2,FALSE),VLOOKUP(AL$1,'40Trips'!$A$3:$I$42,2,FALSE))&lt;='40Trips'!$K$16,$A42&lt;&gt;AL$1,gamma!AL42=1),(VLOOKUP(AL$1,'40Trips'!$A$3:$I$42,8,FALSE))-(VLOOKUP($A42,'40Trips'!$A$3:$I$42,9,FALSE)),0)</f>
        <v>0</v>
      </c>
      <c r="AM42">
        <f>IF(AND(SUM(VLOOKUP($A42,'40Trips'!$A$3:$I$42,2,FALSE),VLOOKUP(AM$1,'40Trips'!$A$3:$I$42,2,FALSE))&lt;='40Trips'!$K$16,$A42&lt;&gt;AM$1,gamma!AM42=1),(VLOOKUP(AM$1,'40Trips'!$A$3:$I$42,8,FALSE))-(VLOOKUP($A42,'40Trips'!$A$3:$I$42,9,FALSE)),0)</f>
        <v>0</v>
      </c>
      <c r="AN42">
        <f>IF(AND(SUM(VLOOKUP($A42,'40Trips'!$A$3:$I$42,2,FALSE),VLOOKUP(AN$1,'40Trips'!$A$3:$I$42,2,FALSE))&lt;='40Trips'!$K$16,$A42&lt;&gt;AN$1,gamma!AN42=1),(VLOOKUP(AN$1,'40Trips'!$A$3:$I$42,8,FALSE))-(VLOOKUP($A42,'40Trips'!$A$3:$I$42,9,FALSE)),0)</f>
        <v>0</v>
      </c>
      <c r="AO42">
        <f>IF(AND(SUM(VLOOKUP($A42,'40Trips'!$A$3:$I$42,2,FALSE),VLOOKUP(AO$1,'40Trips'!$A$3:$I$42,2,FALSE))&lt;='40Trips'!$K$16,$A42&lt;&gt;AO$1,gamma!AO42=1),(VLOOKUP(AO$1,'40Trips'!$A$3:$I$42,8,FALSE))-(VLOOKUP($A42,'40Trips'!$A$3:$I$42,9,FALSE)),0)</f>
        <v>0</v>
      </c>
      <c r="AP42">
        <f>IF(AND(SUM(VLOOKUP($A42,'40Trips'!$A$3:$I$42,2,FALSE),VLOOKUP(AP$1,'40Trips'!$A$3:$I$42,2,FALSE))&lt;='40Trips'!$K$16,$A42&lt;&gt;AP$1,gamma!AP42=1),(VLOOKUP(AP$1,'40Trips'!$A$3:$I$42,8,FALSE))-(VLOOKUP($A42,'40Trips'!$A$3:$I$42,9,FALSE)),0)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20Trips</vt:lpstr>
      <vt:lpstr>feasible_mat</vt:lpstr>
      <vt:lpstr>duration_mat</vt:lpstr>
      <vt:lpstr>Recharged_Feasible_matv3</vt:lpstr>
      <vt:lpstr>idle_mat</vt:lpstr>
      <vt:lpstr>Recharged_Feasible_matv2</vt:lpstr>
      <vt:lpstr>40Trips</vt:lpstr>
      <vt:lpstr>gamma</vt:lpstr>
      <vt:lpstr>delta</vt:lpstr>
      <vt:lpstr>phi</vt:lpstr>
      <vt:lpstr>zeta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Corry</dc:creator>
  <cp:lastModifiedBy>Dicky Sentosa Gozali</cp:lastModifiedBy>
  <dcterms:created xsi:type="dcterms:W3CDTF">2024-02-13T00:51:05Z</dcterms:created>
  <dcterms:modified xsi:type="dcterms:W3CDTF">2025-04-28T02:12:22Z</dcterms:modified>
</cp:coreProperties>
</file>